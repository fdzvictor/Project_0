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0.xml" ContentType="application/vnd.openxmlformats-officedocument.spreadsheetml.pivotTable+xml"/>
  <Override PartName="/xl/tables/table3.xml" ContentType="application/vnd.openxmlformats-officedocument.spreadsheetml.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íctor\Proyectohackio\Project_0\"/>
    </mc:Choice>
  </mc:AlternateContent>
  <xr:revisionPtr revIDLastSave="0" documentId="13_ncr:1_{30E79155-89E4-483D-A2CE-C1F92769E4BB}" xr6:coauthVersionLast="47" xr6:coauthVersionMax="47" xr10:uidLastSave="{00000000-0000-0000-0000-000000000000}"/>
  <bookViews>
    <workbookView xWindow="0" yWindow="20" windowWidth="19200" windowHeight="10060" firstSheet="4" activeTab="5" xr2:uid="{990DC62B-4066-4F96-878A-8B631803529F}"/>
  </bookViews>
  <sheets>
    <sheet name="Memoria" sheetId="5" r:id="rId1"/>
    <sheet name="Cocina" sheetId="6" r:id="rId2"/>
    <sheet name="Sala" sheetId="1" r:id="rId3"/>
    <sheet name="Tablas dinámicas" sheetId="15" r:id="rId4"/>
    <sheet name="Tablas dash" sheetId="17" r:id="rId5"/>
    <sheet name="Dashboard" sheetId="16" r:id="rId6"/>
    <sheet name="Saladinamica" sheetId="13" state="hidden" r:id="rId7"/>
    <sheet name="Cocinadinamica" sheetId="14" r:id="rId8"/>
    <sheet name="SalaOG" sheetId="12" state="hidden" r:id="rId9"/>
    <sheet name="CocinaOG" sheetId="2" state="hidden" r:id="rId10"/>
  </sheets>
  <definedNames>
    <definedName name="_xlnm._FilterDatabase" localSheetId="5" hidden="1">Dashboard!$B$2:$B$2</definedName>
    <definedName name="_xlnm._FilterDatabase" localSheetId="4" hidden="1">'Tablas dash'!$B$4:$F$12</definedName>
    <definedName name="DatosExternos_1" localSheetId="1" hidden="1">Cocina!$A$1:$H$1903</definedName>
    <definedName name="DatosExternos_1" localSheetId="9" hidden="1">CocinaOG!$A$1:$I$1903</definedName>
    <definedName name="SegmentaciónDeDatos_País_de_Origen1">#N/A</definedName>
  </definedNames>
  <calcPr calcId="191029"/>
  <pivotCaches>
    <pivotCache cacheId="0" r:id="rId11"/>
    <pivotCache cacheId="1" r:id="rId12"/>
    <pivotCache cacheId="2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6" l="1"/>
  <c r="D10" i="16"/>
  <c r="D6" i="16"/>
  <c r="B6" i="16"/>
  <c r="I9" i="17" a="1"/>
  <c r="I9" i="17" s="1"/>
  <c r="I7" i="17" a="1"/>
  <c r="I7" i="17" s="1"/>
  <c r="I3" i="17" a="1"/>
  <c r="I3" i="17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2" i="1"/>
  <c r="O5" i="1"/>
  <c r="O566" i="1"/>
  <c r="O195" i="1"/>
  <c r="O223" i="1"/>
  <c r="O412" i="1"/>
  <c r="O452" i="1"/>
  <c r="O591" i="1"/>
  <c r="O65" i="1"/>
  <c r="O135" i="1"/>
  <c r="O490" i="1"/>
  <c r="O78" i="1"/>
  <c r="O109" i="1"/>
  <c r="O194" i="1"/>
  <c r="O296" i="1"/>
  <c r="O88" i="1"/>
  <c r="O379" i="1"/>
  <c r="O586" i="1"/>
  <c r="O746" i="1"/>
  <c r="O112" i="1"/>
  <c r="O504" i="1"/>
  <c r="O664" i="1"/>
  <c r="O619" i="1"/>
  <c r="O34" i="1"/>
  <c r="O382" i="1"/>
  <c r="O424" i="1"/>
  <c r="O562" i="1"/>
  <c r="O449" i="1"/>
  <c r="O721" i="1"/>
  <c r="O398" i="1"/>
  <c r="O408" i="1"/>
  <c r="O185" i="1"/>
  <c r="O444" i="1"/>
  <c r="O501" i="1"/>
  <c r="O493" i="1"/>
  <c r="O467" i="1"/>
  <c r="O267" i="1"/>
  <c r="O459" i="1"/>
  <c r="O462" i="1"/>
  <c r="O253" i="1"/>
  <c r="O372" i="1"/>
  <c r="O518" i="1"/>
  <c r="O337" i="1"/>
  <c r="O238" i="1"/>
  <c r="O617" i="1"/>
  <c r="O178" i="1"/>
  <c r="O521" i="1"/>
  <c r="O549" i="1"/>
  <c r="O552" i="1"/>
  <c r="O763" i="1"/>
  <c r="O28" i="1"/>
  <c r="O762" i="1"/>
  <c r="O298" i="1"/>
  <c r="O466" i="1"/>
  <c r="O698" i="1"/>
  <c r="O121" i="1"/>
  <c r="O197" i="1"/>
  <c r="O676" i="1"/>
  <c r="O159" i="1"/>
  <c r="O578" i="1"/>
  <c r="O70" i="1"/>
  <c r="O231" i="1"/>
  <c r="O111" i="1"/>
  <c r="O593" i="1"/>
  <c r="O406" i="1"/>
  <c r="O33" i="1"/>
  <c r="O198" i="1"/>
  <c r="O681" i="1"/>
  <c r="O168" i="1"/>
  <c r="O25" i="1"/>
  <c r="O364" i="1"/>
  <c r="O626" i="1"/>
  <c r="O569" i="1"/>
  <c r="O427" i="1"/>
  <c r="O264" i="1"/>
  <c r="O506" i="1"/>
  <c r="O204" i="1"/>
  <c r="O191" i="1"/>
  <c r="O188" i="1"/>
  <c r="O503" i="1"/>
  <c r="O276" i="1"/>
  <c r="O519" i="1"/>
  <c r="O378" i="1"/>
  <c r="O695" i="1"/>
  <c r="O148" i="1"/>
  <c r="O500" i="1"/>
  <c r="O66" i="1"/>
  <c r="O381" i="1"/>
  <c r="O547" i="1"/>
  <c r="O279" i="1"/>
  <c r="O55" i="1"/>
  <c r="O646" i="1"/>
  <c r="O300" i="1"/>
  <c r="O454" i="1"/>
  <c r="O559" i="1"/>
  <c r="O164" i="1"/>
  <c r="O751" i="1"/>
  <c r="O541" i="1"/>
  <c r="O93" i="1"/>
  <c r="O666" i="1"/>
  <c r="O486" i="1"/>
  <c r="O3" i="1"/>
  <c r="O216" i="1"/>
  <c r="O714" i="1"/>
  <c r="O561" i="1"/>
  <c r="O620" i="1"/>
  <c r="O738" i="1"/>
  <c r="O139" i="1"/>
  <c r="O266" i="1"/>
  <c r="O638" i="1"/>
  <c r="O334" i="1"/>
  <c r="O16" i="1"/>
  <c r="O722" i="1"/>
  <c r="O312" i="1"/>
  <c r="O520" i="1"/>
  <c r="O283" i="1"/>
  <c r="O152" i="1"/>
  <c r="O61" i="1"/>
  <c r="O305" i="1"/>
  <c r="O623" i="1"/>
  <c r="O273" i="1"/>
  <c r="O492" i="1"/>
  <c r="O531" i="1"/>
  <c r="O99" i="1"/>
  <c r="O479" i="1"/>
  <c r="O517" i="1"/>
  <c r="O558" i="1"/>
  <c r="O418" i="1"/>
  <c r="O268" i="1"/>
  <c r="O574" i="1"/>
  <c r="O677" i="1"/>
  <c r="O616" i="1"/>
  <c r="O429" i="1"/>
  <c r="O275" i="1"/>
  <c r="O115" i="1"/>
  <c r="O502" i="1"/>
  <c r="O227" i="1"/>
  <c r="O132" i="1"/>
  <c r="O354" i="1"/>
  <c r="O42" i="1"/>
  <c r="O53" i="1"/>
  <c r="O156" i="1"/>
  <c r="O400" i="1"/>
  <c r="O478" i="1"/>
  <c r="O710" i="1"/>
  <c r="O262" i="1"/>
  <c r="O302" i="1"/>
  <c r="O718" i="1"/>
  <c r="O448" i="1"/>
  <c r="O640" i="1"/>
  <c r="O731" i="1"/>
  <c r="O701" i="1"/>
  <c r="O59" i="1"/>
  <c r="O324" i="1"/>
  <c r="O165" i="1"/>
  <c r="O254" i="1"/>
  <c r="O86" i="1"/>
  <c r="O69" i="1"/>
  <c r="O44" i="1"/>
  <c r="O755" i="1"/>
  <c r="O232" i="1"/>
  <c r="O60" i="1"/>
  <c r="O445" i="1"/>
  <c r="O250" i="1"/>
  <c r="O50" i="1"/>
  <c r="O6" i="1"/>
  <c r="O117" i="1"/>
  <c r="O21" i="1"/>
  <c r="O19" i="1"/>
  <c r="O548" i="1"/>
  <c r="O696" i="1"/>
  <c r="O680" i="1"/>
  <c r="O650" i="1"/>
  <c r="O577" i="1"/>
  <c r="O585" i="1"/>
  <c r="O401" i="1"/>
  <c r="O596" i="1"/>
  <c r="O321" i="1"/>
  <c r="O693" i="1"/>
  <c r="O399" i="1"/>
  <c r="O599" i="1"/>
  <c r="O584" i="1"/>
  <c r="O453" i="1"/>
  <c r="O310" i="1"/>
  <c r="O325" i="1"/>
  <c r="O729" i="1"/>
  <c r="O241" i="1"/>
  <c r="O210" i="1"/>
  <c r="O133" i="1"/>
  <c r="O451" i="1"/>
  <c r="O537" i="1"/>
  <c r="O543" i="1"/>
  <c r="O557" i="1"/>
  <c r="O565" i="1"/>
  <c r="O391" i="1"/>
  <c r="O532" i="1"/>
  <c r="P5" i="1"/>
  <c r="P566" i="1"/>
  <c r="P195" i="1"/>
  <c r="P223" i="1"/>
  <c r="P412" i="1"/>
  <c r="P452" i="1"/>
  <c r="P591" i="1"/>
  <c r="P65" i="1"/>
  <c r="P135" i="1"/>
  <c r="P490" i="1"/>
  <c r="P78" i="1"/>
  <c r="P109" i="1"/>
  <c r="P194" i="1"/>
  <c r="P296" i="1"/>
  <c r="P88" i="1"/>
  <c r="P379" i="1"/>
  <c r="P586" i="1"/>
  <c r="P746" i="1"/>
  <c r="P112" i="1"/>
  <c r="P504" i="1"/>
  <c r="P664" i="1"/>
  <c r="P619" i="1"/>
  <c r="P34" i="1"/>
  <c r="P382" i="1"/>
  <c r="P424" i="1"/>
  <c r="P562" i="1"/>
  <c r="P449" i="1"/>
  <c r="P721" i="1"/>
  <c r="P398" i="1"/>
  <c r="P408" i="1"/>
  <c r="P185" i="1"/>
  <c r="P444" i="1"/>
  <c r="P501" i="1"/>
  <c r="P493" i="1"/>
  <c r="P467" i="1"/>
  <c r="P267" i="1"/>
  <c r="P459" i="1"/>
  <c r="P462" i="1"/>
  <c r="P253" i="1"/>
  <c r="P372" i="1"/>
  <c r="P518" i="1"/>
  <c r="P337" i="1"/>
  <c r="P238" i="1"/>
  <c r="P617" i="1"/>
  <c r="P178" i="1"/>
  <c r="P521" i="1"/>
  <c r="P549" i="1"/>
  <c r="P552" i="1"/>
  <c r="P763" i="1"/>
  <c r="P28" i="1"/>
  <c r="P762" i="1"/>
  <c r="P298" i="1"/>
  <c r="P466" i="1"/>
  <c r="P698" i="1"/>
  <c r="P121" i="1"/>
  <c r="P197" i="1"/>
  <c r="P676" i="1"/>
  <c r="P159" i="1"/>
  <c r="P578" i="1"/>
  <c r="P70" i="1"/>
  <c r="P231" i="1"/>
  <c r="P111" i="1"/>
  <c r="P593" i="1"/>
  <c r="P406" i="1"/>
  <c r="P33" i="1"/>
  <c r="P198" i="1"/>
  <c r="P681" i="1"/>
  <c r="P168" i="1"/>
  <c r="P25" i="1"/>
  <c r="P364" i="1"/>
  <c r="P626" i="1"/>
  <c r="P569" i="1"/>
  <c r="P427" i="1"/>
  <c r="P264" i="1"/>
  <c r="P506" i="1"/>
  <c r="P204" i="1"/>
  <c r="P191" i="1"/>
  <c r="P188" i="1"/>
  <c r="P503" i="1"/>
  <c r="P276" i="1"/>
  <c r="P519" i="1"/>
  <c r="P378" i="1"/>
  <c r="P695" i="1"/>
  <c r="P148" i="1"/>
  <c r="P500" i="1"/>
  <c r="P66" i="1"/>
  <c r="P381" i="1"/>
  <c r="P547" i="1"/>
  <c r="P279" i="1"/>
  <c r="P55" i="1"/>
  <c r="P646" i="1"/>
  <c r="P300" i="1"/>
  <c r="P454" i="1"/>
  <c r="P559" i="1"/>
  <c r="P164" i="1"/>
  <c r="P751" i="1"/>
  <c r="P541" i="1"/>
  <c r="P93" i="1"/>
  <c r="P666" i="1"/>
  <c r="P486" i="1"/>
  <c r="P3" i="1"/>
  <c r="P216" i="1"/>
  <c r="P714" i="1"/>
  <c r="P561" i="1"/>
  <c r="P620" i="1"/>
  <c r="P738" i="1"/>
  <c r="P139" i="1"/>
  <c r="P266" i="1"/>
  <c r="P638" i="1"/>
  <c r="P334" i="1"/>
  <c r="P16" i="1"/>
  <c r="P722" i="1"/>
  <c r="P312" i="1"/>
  <c r="P520" i="1"/>
  <c r="P283" i="1"/>
  <c r="P152" i="1"/>
  <c r="P61" i="1"/>
  <c r="P305" i="1"/>
  <c r="P623" i="1"/>
  <c r="P273" i="1"/>
  <c r="P492" i="1"/>
  <c r="P531" i="1"/>
  <c r="P99" i="1"/>
  <c r="P479" i="1"/>
  <c r="P517" i="1"/>
  <c r="P558" i="1"/>
  <c r="P418" i="1"/>
  <c r="P268" i="1"/>
  <c r="P574" i="1"/>
  <c r="P677" i="1"/>
  <c r="P616" i="1"/>
  <c r="P429" i="1"/>
  <c r="P275" i="1"/>
  <c r="P115" i="1"/>
  <c r="P502" i="1"/>
  <c r="P227" i="1"/>
  <c r="P132" i="1"/>
  <c r="P354" i="1"/>
  <c r="P42" i="1"/>
  <c r="P53" i="1"/>
  <c r="P156" i="1"/>
  <c r="P400" i="1"/>
  <c r="P478" i="1"/>
  <c r="P710" i="1"/>
  <c r="P262" i="1"/>
  <c r="P302" i="1"/>
  <c r="P718" i="1"/>
  <c r="P448" i="1"/>
  <c r="P640" i="1"/>
  <c r="P731" i="1"/>
  <c r="P701" i="1"/>
  <c r="P59" i="1"/>
  <c r="P324" i="1"/>
  <c r="P165" i="1"/>
  <c r="P254" i="1"/>
  <c r="P86" i="1"/>
  <c r="P69" i="1"/>
  <c r="P44" i="1"/>
  <c r="P755" i="1"/>
  <c r="P232" i="1"/>
  <c r="P60" i="1"/>
  <c r="P445" i="1"/>
  <c r="P250" i="1"/>
  <c r="P50" i="1"/>
  <c r="P6" i="1"/>
  <c r="P117" i="1"/>
  <c r="P21" i="1"/>
  <c r="P19" i="1"/>
  <c r="P548" i="1"/>
  <c r="P696" i="1"/>
  <c r="P680" i="1"/>
  <c r="P650" i="1"/>
  <c r="P577" i="1"/>
  <c r="P585" i="1"/>
  <c r="P401" i="1"/>
  <c r="P596" i="1"/>
  <c r="P321" i="1"/>
  <c r="P693" i="1"/>
  <c r="P399" i="1"/>
  <c r="P599" i="1"/>
  <c r="P584" i="1"/>
  <c r="P453" i="1"/>
  <c r="P310" i="1"/>
  <c r="P325" i="1"/>
  <c r="P729" i="1"/>
  <c r="P241" i="1"/>
  <c r="P210" i="1"/>
  <c r="P133" i="1"/>
  <c r="P451" i="1"/>
  <c r="P537" i="1"/>
  <c r="P543" i="1"/>
  <c r="P557" i="1"/>
  <c r="P565" i="1"/>
  <c r="P391" i="1"/>
  <c r="P532" i="1"/>
  <c r="Q5" i="1"/>
  <c r="Q566" i="1"/>
  <c r="Q195" i="1"/>
  <c r="R195" i="1" s="1" a="1"/>
  <c r="R195" i="1" s="1"/>
  <c r="Q223" i="1"/>
  <c r="R223" i="1" s="1" a="1"/>
  <c r="R223" i="1" s="1"/>
  <c r="Q412" i="1"/>
  <c r="Q452" i="1"/>
  <c r="Q591" i="1"/>
  <c r="Q65" i="1"/>
  <c r="R65" i="1" s="1" a="1"/>
  <c r="R65" i="1" s="1"/>
  <c r="Q135" i="1"/>
  <c r="Q490" i="1"/>
  <c r="Q78" i="1"/>
  <c r="R78" i="1" s="1" a="1"/>
  <c r="R78" i="1" s="1"/>
  <c r="Q109" i="1"/>
  <c r="R109" i="1" s="1" a="1"/>
  <c r="R109" i="1" s="1"/>
  <c r="Q194" i="1"/>
  <c r="Q296" i="1"/>
  <c r="Q88" i="1"/>
  <c r="Q379" i="1"/>
  <c r="R379" i="1" s="1" a="1"/>
  <c r="R379" i="1" s="1"/>
  <c r="Q586" i="1"/>
  <c r="R586" i="1" s="1" a="1"/>
  <c r="R586" i="1" s="1"/>
  <c r="Q746" i="1"/>
  <c r="Q112" i="1"/>
  <c r="R112" i="1" s="1" a="1"/>
  <c r="R112" i="1" s="1"/>
  <c r="Q504" i="1"/>
  <c r="R504" i="1" s="1" a="1"/>
  <c r="R504" i="1" s="1"/>
  <c r="Q664" i="1"/>
  <c r="Q619" i="1"/>
  <c r="Q34" i="1"/>
  <c r="Q382" i="1"/>
  <c r="R382" i="1" s="1" a="1"/>
  <c r="R382" i="1" s="1"/>
  <c r="Q424" i="1"/>
  <c r="Q562" i="1"/>
  <c r="R562" i="1" s="1" a="1"/>
  <c r="R562" i="1" s="1"/>
  <c r="Q449" i="1"/>
  <c r="R449" i="1" s="1" a="1"/>
  <c r="R449" i="1" s="1"/>
  <c r="Q721" i="1"/>
  <c r="R721" i="1" s="1" a="1"/>
  <c r="R721" i="1" s="1"/>
  <c r="Q398" i="1"/>
  <c r="Q408" i="1"/>
  <c r="Q185" i="1"/>
  <c r="Q444" i="1"/>
  <c r="R444" i="1" s="1" a="1"/>
  <c r="R444" i="1" s="1"/>
  <c r="Q501" i="1"/>
  <c r="Q493" i="1"/>
  <c r="R493" i="1" s="1" a="1"/>
  <c r="R493" i="1" s="1"/>
  <c r="Q467" i="1"/>
  <c r="R467" i="1" s="1" a="1"/>
  <c r="R467" i="1" s="1"/>
  <c r="Q267" i="1"/>
  <c r="R267" i="1" s="1" a="1"/>
  <c r="R267" i="1" s="1"/>
  <c r="Q459" i="1"/>
  <c r="Q462" i="1"/>
  <c r="Q253" i="1"/>
  <c r="Q372" i="1"/>
  <c r="R372" i="1" s="1" a="1"/>
  <c r="R372" i="1" s="1"/>
  <c r="Q518" i="1"/>
  <c r="Q337" i="1"/>
  <c r="R337" i="1" s="1" a="1"/>
  <c r="R337" i="1" s="1"/>
  <c r="Q238" i="1"/>
  <c r="R238" i="1" s="1" a="1"/>
  <c r="R238" i="1" s="1"/>
  <c r="Q617" i="1"/>
  <c r="R617" i="1" s="1" a="1"/>
  <c r="R617" i="1" s="1"/>
  <c r="Q178" i="1"/>
  <c r="Q521" i="1"/>
  <c r="Q549" i="1"/>
  <c r="Q552" i="1"/>
  <c r="R552" i="1" s="1" a="1"/>
  <c r="R552" i="1" s="1"/>
  <c r="Q763" i="1"/>
  <c r="Q28" i="1"/>
  <c r="R28" i="1" s="1" a="1"/>
  <c r="R28" i="1" s="1"/>
  <c r="Q762" i="1"/>
  <c r="R762" i="1" s="1" a="1"/>
  <c r="R762" i="1" s="1"/>
  <c r="Q298" i="1"/>
  <c r="R298" i="1" s="1" a="1"/>
  <c r="R298" i="1" s="1"/>
  <c r="Q466" i="1"/>
  <c r="Q698" i="1"/>
  <c r="Q121" i="1"/>
  <c r="Q197" i="1"/>
  <c r="R197" i="1" s="1" a="1"/>
  <c r="R197" i="1" s="1"/>
  <c r="Q676" i="1"/>
  <c r="R676" i="1" s="1" a="1"/>
  <c r="R676" i="1" s="1"/>
  <c r="Q159" i="1"/>
  <c r="R159" i="1" s="1" a="1"/>
  <c r="R159" i="1" s="1"/>
  <c r="Q578" i="1"/>
  <c r="R578" i="1" s="1" a="1"/>
  <c r="R578" i="1" s="1"/>
  <c r="Q70" i="1"/>
  <c r="R70" i="1" s="1" a="1"/>
  <c r="R70" i="1" s="1"/>
  <c r="Q231" i="1"/>
  <c r="Q111" i="1"/>
  <c r="R111" i="1" s="1" a="1"/>
  <c r="R111" i="1" s="1"/>
  <c r="Q593" i="1"/>
  <c r="Q406" i="1"/>
  <c r="R406" i="1" s="1" a="1"/>
  <c r="R406" i="1" s="1"/>
  <c r="Q33" i="1"/>
  <c r="R33" i="1" s="1" a="1"/>
  <c r="R33" i="1" s="1"/>
  <c r="Q198" i="1"/>
  <c r="R198" i="1" s="1" a="1"/>
  <c r="R198" i="1" s="1"/>
  <c r="Q681" i="1"/>
  <c r="R681" i="1" s="1" a="1"/>
  <c r="R681" i="1" s="1"/>
  <c r="Q168" i="1"/>
  <c r="R168" i="1" s="1" a="1"/>
  <c r="R168" i="1" s="1"/>
  <c r="Q25" i="1"/>
  <c r="Q364" i="1"/>
  <c r="Q626" i="1"/>
  <c r="Q569" i="1"/>
  <c r="R569" i="1" s="1" a="1"/>
  <c r="R569" i="1" s="1"/>
  <c r="Q427" i="1"/>
  <c r="R427" i="1" s="1" a="1"/>
  <c r="R427" i="1" s="1"/>
  <c r="Q264" i="1"/>
  <c r="R264" i="1" s="1" a="1"/>
  <c r="R264" i="1" s="1"/>
  <c r="Q506" i="1"/>
  <c r="R506" i="1" s="1" a="1"/>
  <c r="R506" i="1" s="1"/>
  <c r="Q204" i="1"/>
  <c r="Q191" i="1"/>
  <c r="Q188" i="1"/>
  <c r="R188" i="1" s="1" a="1"/>
  <c r="R188" i="1" s="1"/>
  <c r="Q503" i="1"/>
  <c r="Q276" i="1"/>
  <c r="R276" i="1" s="1" a="1"/>
  <c r="R276" i="1" s="1"/>
  <c r="Q519" i="1"/>
  <c r="R519" i="1" s="1" a="1"/>
  <c r="R519" i="1" s="1"/>
  <c r="Q378" i="1"/>
  <c r="R378" i="1" s="1" a="1"/>
  <c r="R378" i="1" s="1"/>
  <c r="Q695" i="1"/>
  <c r="R695" i="1" s="1" a="1"/>
  <c r="R695" i="1" s="1"/>
  <c r="Q148" i="1"/>
  <c r="R148" i="1" s="1" a="1"/>
  <c r="R148" i="1" s="1"/>
  <c r="Q500" i="1"/>
  <c r="Q66" i="1"/>
  <c r="Q381" i="1"/>
  <c r="Q547" i="1"/>
  <c r="R547" i="1" s="1" a="1"/>
  <c r="R547" i="1" s="1"/>
  <c r="Q279" i="1"/>
  <c r="R279" i="1" s="1" a="1"/>
  <c r="R279" i="1" s="1"/>
  <c r="Q55" i="1"/>
  <c r="R55" i="1" s="1" a="1"/>
  <c r="R55" i="1" s="1"/>
  <c r="Q646" i="1"/>
  <c r="R646" i="1" s="1" a="1"/>
  <c r="R646" i="1" s="1"/>
  <c r="Q300" i="1"/>
  <c r="R300" i="1" s="1" a="1"/>
  <c r="R300" i="1" s="1"/>
  <c r="Q454" i="1"/>
  <c r="Q559" i="1"/>
  <c r="Q164" i="1"/>
  <c r="Q751" i="1"/>
  <c r="R751" i="1" s="1" a="1"/>
  <c r="R751" i="1" s="1"/>
  <c r="Q541" i="1"/>
  <c r="R541" i="1" s="1" a="1"/>
  <c r="R541" i="1" s="1"/>
  <c r="Q93" i="1"/>
  <c r="R93" i="1" s="1" a="1"/>
  <c r="R93" i="1" s="1"/>
  <c r="Q666" i="1"/>
  <c r="R666" i="1" s="1" a="1"/>
  <c r="R666" i="1" s="1"/>
  <c r="Q486" i="1"/>
  <c r="R486" i="1" s="1" a="1"/>
  <c r="R486" i="1" s="1"/>
  <c r="Q3" i="1"/>
  <c r="Q216" i="1"/>
  <c r="Q714" i="1"/>
  <c r="Q561" i="1"/>
  <c r="R561" i="1" s="1" a="1"/>
  <c r="R561" i="1" s="1"/>
  <c r="Q620" i="1"/>
  <c r="R620" i="1" s="1" a="1"/>
  <c r="R620" i="1" s="1"/>
  <c r="Q738" i="1"/>
  <c r="R738" i="1" s="1" a="1"/>
  <c r="R738" i="1" s="1"/>
  <c r="Q139" i="1"/>
  <c r="R139" i="1" s="1" a="1"/>
  <c r="R139" i="1" s="1"/>
  <c r="Q266" i="1"/>
  <c r="R266" i="1" s="1" a="1"/>
  <c r="R266" i="1" s="1"/>
  <c r="Q638" i="1"/>
  <c r="Q334" i="1"/>
  <c r="Q16" i="1"/>
  <c r="Q722" i="1"/>
  <c r="R722" i="1" s="1" a="1"/>
  <c r="R722" i="1" s="1"/>
  <c r="Q312" i="1"/>
  <c r="R312" i="1" s="1" a="1"/>
  <c r="R312" i="1" s="1"/>
  <c r="Q520" i="1"/>
  <c r="R520" i="1" s="1" a="1"/>
  <c r="R520" i="1" s="1"/>
  <c r="Q283" i="1"/>
  <c r="R283" i="1" s="1" a="1"/>
  <c r="R283" i="1" s="1"/>
  <c r="Q152" i="1"/>
  <c r="R152" i="1" s="1" a="1"/>
  <c r="R152" i="1" s="1"/>
  <c r="Q61" i="1"/>
  <c r="Q305" i="1"/>
  <c r="R305" i="1" s="1" a="1"/>
  <c r="R305" i="1" s="1"/>
  <c r="Q623" i="1"/>
  <c r="Q273" i="1"/>
  <c r="R273" i="1" s="1" a="1"/>
  <c r="R273" i="1" s="1"/>
  <c r="Q492" i="1"/>
  <c r="R492" i="1" s="1" a="1"/>
  <c r="R492" i="1" s="1"/>
  <c r="Q531" i="1"/>
  <c r="R531" i="1" s="1" a="1"/>
  <c r="R531" i="1" s="1"/>
  <c r="Q99" i="1"/>
  <c r="R99" i="1" s="1" a="1"/>
  <c r="R99" i="1" s="1"/>
  <c r="Q479" i="1"/>
  <c r="R479" i="1" s="1" a="1"/>
  <c r="R479" i="1" s="1"/>
  <c r="Q517" i="1"/>
  <c r="Q558" i="1"/>
  <c r="Q418" i="1"/>
  <c r="Q268" i="1"/>
  <c r="R268" i="1" s="1" a="1"/>
  <c r="R268" i="1" s="1"/>
  <c r="Q574" i="1"/>
  <c r="R574" i="1" s="1" a="1"/>
  <c r="R574" i="1" s="1"/>
  <c r="Q677" i="1"/>
  <c r="R677" i="1" s="1" a="1"/>
  <c r="R677" i="1" s="1"/>
  <c r="Q616" i="1"/>
  <c r="R616" i="1" s="1" a="1"/>
  <c r="R616" i="1" s="1"/>
  <c r="Q429" i="1"/>
  <c r="R429" i="1" s="1" a="1"/>
  <c r="R429" i="1" s="1"/>
  <c r="Q275" i="1"/>
  <c r="Q115" i="1"/>
  <c r="Q502" i="1"/>
  <c r="Q227" i="1"/>
  <c r="R227" i="1" s="1" a="1"/>
  <c r="R227" i="1" s="1"/>
  <c r="Q132" i="1"/>
  <c r="R132" i="1" s="1" a="1"/>
  <c r="R132" i="1" s="1"/>
  <c r="Q354" i="1"/>
  <c r="R354" i="1" s="1" a="1"/>
  <c r="R354" i="1" s="1"/>
  <c r="Q42" i="1"/>
  <c r="R42" i="1" s="1" a="1"/>
  <c r="R42" i="1" s="1"/>
  <c r="Q53" i="1"/>
  <c r="R53" i="1" s="1" a="1"/>
  <c r="R53" i="1" s="1"/>
  <c r="Q156" i="1"/>
  <c r="Q400" i="1"/>
  <c r="Q478" i="1"/>
  <c r="Q710" i="1"/>
  <c r="R710" i="1" s="1" a="1"/>
  <c r="R710" i="1" s="1"/>
  <c r="Q262" i="1"/>
  <c r="R262" i="1" s="1" a="1"/>
  <c r="R262" i="1" s="1"/>
  <c r="Q302" i="1"/>
  <c r="R302" i="1" s="1" a="1"/>
  <c r="R302" i="1" s="1"/>
  <c r="Q718" i="1"/>
  <c r="R718" i="1" s="1" a="1"/>
  <c r="R718" i="1" s="1"/>
  <c r="Q448" i="1"/>
  <c r="R448" i="1" s="1" a="1"/>
  <c r="R448" i="1" s="1"/>
  <c r="Q640" i="1"/>
  <c r="Q731" i="1"/>
  <c r="Q701" i="1"/>
  <c r="Q59" i="1"/>
  <c r="R59" i="1" s="1" a="1"/>
  <c r="R59" i="1" s="1"/>
  <c r="Q324" i="1"/>
  <c r="R324" i="1" s="1" a="1"/>
  <c r="R324" i="1" s="1"/>
  <c r="Q165" i="1"/>
  <c r="R165" i="1" s="1" a="1"/>
  <c r="R165" i="1" s="1"/>
  <c r="Q254" i="1"/>
  <c r="R254" i="1" s="1" a="1"/>
  <c r="R254" i="1" s="1"/>
  <c r="Q86" i="1"/>
  <c r="R86" i="1" s="1" a="1"/>
  <c r="R86" i="1" s="1"/>
  <c r="Q69" i="1"/>
  <c r="Q44" i="1"/>
  <c r="Q755" i="1"/>
  <c r="Q232" i="1"/>
  <c r="R232" i="1" s="1" a="1"/>
  <c r="R232" i="1" s="1"/>
  <c r="Q60" i="1"/>
  <c r="R60" i="1" s="1" a="1"/>
  <c r="R60" i="1" s="1"/>
  <c r="Q445" i="1"/>
  <c r="R445" i="1" s="1" a="1"/>
  <c r="R445" i="1" s="1"/>
  <c r="Q250" i="1"/>
  <c r="R250" i="1" s="1" a="1"/>
  <c r="R250" i="1" s="1"/>
  <c r="Q50" i="1"/>
  <c r="R50" i="1" s="1" a="1"/>
  <c r="R50" i="1" s="1"/>
  <c r="Q6" i="1"/>
  <c r="Q117" i="1"/>
  <c r="Q21" i="1"/>
  <c r="Q19" i="1"/>
  <c r="R19" i="1" s="1" a="1"/>
  <c r="R19" i="1" s="1"/>
  <c r="Q548" i="1"/>
  <c r="R548" i="1" s="1" a="1"/>
  <c r="R548" i="1" s="1"/>
  <c r="Q696" i="1"/>
  <c r="R696" i="1" s="1" a="1"/>
  <c r="R696" i="1" s="1"/>
  <c r="Q680" i="1"/>
  <c r="R680" i="1" s="1" a="1"/>
  <c r="R680" i="1" s="1"/>
  <c r="Q650" i="1"/>
  <c r="R650" i="1" s="1" a="1"/>
  <c r="R650" i="1" s="1"/>
  <c r="Q577" i="1"/>
  <c r="Q585" i="1"/>
  <c r="Q401" i="1"/>
  <c r="Q596" i="1"/>
  <c r="R596" i="1" s="1" a="1"/>
  <c r="R596" i="1" s="1"/>
  <c r="Q321" i="1"/>
  <c r="R321" i="1" s="1" a="1"/>
  <c r="R321" i="1" s="1"/>
  <c r="Q693" i="1"/>
  <c r="R693" i="1" s="1" a="1"/>
  <c r="R693" i="1" s="1"/>
  <c r="Q399" i="1"/>
  <c r="R399" i="1" s="1" a="1"/>
  <c r="R399" i="1" s="1"/>
  <c r="Q599" i="1"/>
  <c r="R599" i="1" s="1" a="1"/>
  <c r="R599" i="1" s="1"/>
  <c r="Q584" i="1"/>
  <c r="Q453" i="1"/>
  <c r="Q310" i="1"/>
  <c r="Q325" i="1"/>
  <c r="R325" i="1" s="1" a="1"/>
  <c r="R325" i="1" s="1"/>
  <c r="Q729" i="1"/>
  <c r="R729" i="1" s="1" a="1"/>
  <c r="R729" i="1" s="1"/>
  <c r="Q241" i="1"/>
  <c r="R241" i="1" s="1" a="1"/>
  <c r="R241" i="1" s="1"/>
  <c r="Q210" i="1"/>
  <c r="R210" i="1" s="1" a="1"/>
  <c r="R210" i="1" s="1"/>
  <c r="Q133" i="1"/>
  <c r="R133" i="1" s="1" a="1"/>
  <c r="R133" i="1" s="1"/>
  <c r="Q451" i="1"/>
  <c r="Q537" i="1"/>
  <c r="Q543" i="1"/>
  <c r="Q557" i="1"/>
  <c r="R557" i="1" s="1" a="1"/>
  <c r="R557" i="1" s="1"/>
  <c r="Q565" i="1"/>
  <c r="R565" i="1" s="1" a="1"/>
  <c r="R565" i="1" s="1"/>
  <c r="Q391" i="1"/>
  <c r="R391" i="1" s="1" a="1"/>
  <c r="R391" i="1" s="1"/>
  <c r="Q532" i="1"/>
  <c r="R532" i="1" s="1" a="1"/>
  <c r="R532" i="1" s="1"/>
  <c r="Q218" i="1"/>
  <c r="Q347" i="1"/>
  <c r="Q353" i="1"/>
  <c r="Q357" i="1"/>
  <c r="Q610" i="1"/>
  <c r="Q683" i="1"/>
  <c r="R683" i="1" s="1" a="1"/>
  <c r="R683" i="1" s="1"/>
  <c r="Q750" i="1"/>
  <c r="R750" i="1" s="1" a="1"/>
  <c r="R750" i="1" s="1"/>
  <c r="Q14" i="1"/>
  <c r="Q94" i="1"/>
  <c r="Q196" i="1"/>
  <c r="Q396" i="1"/>
  <c r="Q439" i="1"/>
  <c r="Q484" i="1"/>
  <c r="Q494" i="1"/>
  <c r="R494" i="1" s="1" a="1"/>
  <c r="R494" i="1" s="1"/>
  <c r="Q505" i="1"/>
  <c r="Q523" i="1"/>
  <c r="Q688" i="1"/>
  <c r="Q697" i="1"/>
  <c r="Q202" i="1"/>
  <c r="Q272" i="1"/>
  <c r="Q450" i="1"/>
  <c r="Q583" i="1"/>
  <c r="R583" i="1" s="1" a="1"/>
  <c r="R583" i="1" s="1"/>
  <c r="Q689" i="1"/>
  <c r="Q753" i="1"/>
  <c r="R753" i="1" s="1" a="1"/>
  <c r="R753" i="1" s="1"/>
  <c r="Q758" i="1"/>
  <c r="Q114" i="1"/>
  <c r="Q142" i="1"/>
  <c r="Q207" i="1"/>
  <c r="Q244" i="1"/>
  <c r="Q278" i="1"/>
  <c r="R278" i="1" s="1" a="1"/>
  <c r="R278" i="1" s="1"/>
  <c r="Q329" i="1"/>
  <c r="Q356" i="1"/>
  <c r="Q366" i="1"/>
  <c r="Q380" i="1"/>
  <c r="Q524" i="1"/>
  <c r="Q527" i="1"/>
  <c r="Q567" i="1"/>
  <c r="Q628" i="1"/>
  <c r="R628" i="1" s="1" a="1"/>
  <c r="R628" i="1" s="1"/>
  <c r="Q37" i="1"/>
  <c r="Q122" i="1"/>
  <c r="Q153" i="1"/>
  <c r="Q257" i="1"/>
  <c r="Q303" i="1"/>
  <c r="Q387" i="1"/>
  <c r="Q510" i="1"/>
  <c r="Q622" i="1"/>
  <c r="R622" i="1" s="1" a="1"/>
  <c r="R622" i="1" s="1"/>
  <c r="Q636" i="1"/>
  <c r="R636" i="1" s="1" a="1"/>
  <c r="R636" i="1" s="1"/>
  <c r="Q656" i="1"/>
  <c r="Q686" i="1"/>
  <c r="Q709" i="1"/>
  <c r="Q761" i="1"/>
  <c r="Q91" i="1"/>
  <c r="Q113" i="1"/>
  <c r="Q123" i="1"/>
  <c r="R123" i="1" s="1" a="1"/>
  <c r="R123" i="1" s="1"/>
  <c r="Q128" i="1"/>
  <c r="Q137" i="1"/>
  <c r="Q157" i="1"/>
  <c r="Q333" i="1"/>
  <c r="Q384" i="1"/>
  <c r="Q386" i="1"/>
  <c r="Q388" i="1"/>
  <c r="Q446" i="1"/>
  <c r="R446" i="1" s="1" a="1"/>
  <c r="R446" i="1" s="1"/>
  <c r="Q509" i="1"/>
  <c r="Q511" i="1"/>
  <c r="Q632" i="1"/>
  <c r="Q668" i="1"/>
  <c r="Q7" i="1"/>
  <c r="Q79" i="1"/>
  <c r="Q225" i="1"/>
  <c r="Q307" i="1"/>
  <c r="R307" i="1" s="1" a="1"/>
  <c r="R307" i="1" s="1"/>
  <c r="Q348" i="1"/>
  <c r="Q431" i="1"/>
  <c r="Q464" i="1"/>
  <c r="Q472" i="1"/>
  <c r="Q545" i="1"/>
  <c r="Q588" i="1"/>
  <c r="Q609" i="1"/>
  <c r="Q719" i="1"/>
  <c r="R719" i="1" s="1" a="1"/>
  <c r="R719" i="1" s="1"/>
  <c r="Q118" i="1"/>
  <c r="Q147" i="1"/>
  <c r="Q234" i="1"/>
  <c r="Q251" i="1"/>
  <c r="Q256" i="1"/>
  <c r="Q430" i="1"/>
  <c r="Q514" i="1"/>
  <c r="Q667" i="1"/>
  <c r="R667" i="1" s="1" a="1"/>
  <c r="R667" i="1" s="1"/>
  <c r="Q700" i="1"/>
  <c r="R700" i="1" s="1" a="1"/>
  <c r="R700" i="1" s="1"/>
  <c r="Q725" i="1"/>
  <c r="Q144" i="1"/>
  <c r="Q199" i="1"/>
  <c r="Q463" i="1"/>
  <c r="Q482" i="1"/>
  <c r="Q483" i="1"/>
  <c r="Q580" i="1"/>
  <c r="R580" i="1" s="1" a="1"/>
  <c r="R580" i="1" s="1"/>
  <c r="Q645" i="1"/>
  <c r="R645" i="1" s="1" a="1"/>
  <c r="R645" i="1" s="1"/>
  <c r="Q649" i="1"/>
  <c r="R649" i="1" s="1" a="1"/>
  <c r="R649" i="1" s="1"/>
  <c r="Q660" i="1"/>
  <c r="Q704" i="1"/>
  <c r="Q131" i="1"/>
  <c r="Q175" i="1"/>
  <c r="Q260" i="1"/>
  <c r="Q271" i="1"/>
  <c r="R271" i="1" s="1" a="1"/>
  <c r="R271" i="1" s="1"/>
  <c r="Q293" i="1"/>
  <c r="Q437" i="1"/>
  <c r="Q581" i="1"/>
  <c r="Q713" i="1"/>
  <c r="Q740" i="1"/>
  <c r="Q248" i="1"/>
  <c r="Q413" i="1"/>
  <c r="Q560" i="1"/>
  <c r="R560" i="1" s="1" a="1"/>
  <c r="R560" i="1" s="1"/>
  <c r="Q579" i="1"/>
  <c r="Q592" i="1"/>
  <c r="Q26" i="1"/>
  <c r="Q167" i="1"/>
  <c r="Q173" i="1"/>
  <c r="Q180" i="1"/>
  <c r="Q242" i="1"/>
  <c r="Q258" i="1"/>
  <c r="R258" i="1" s="1" a="1"/>
  <c r="R258" i="1" s="1"/>
  <c r="Q447" i="1"/>
  <c r="R447" i="1" s="1" a="1"/>
  <c r="R447" i="1" s="1"/>
  <c r="Q456" i="1"/>
  <c r="R456" i="1" s="1" a="1"/>
  <c r="R456" i="1" s="1"/>
  <c r="Q564" i="1"/>
  <c r="Q647" i="1"/>
  <c r="Q138" i="1"/>
  <c r="Q162" i="1"/>
  <c r="Q236" i="1"/>
  <c r="Q239" i="1"/>
  <c r="R239" i="1" s="1" a="1"/>
  <c r="R239" i="1" s="1"/>
  <c r="Q319" i="1"/>
  <c r="R319" i="1" s="1" a="1"/>
  <c r="R319" i="1" s="1"/>
  <c r="Q371" i="1"/>
  <c r="R371" i="1" s="1" a="1"/>
  <c r="R371" i="1" s="1"/>
  <c r="Q414" i="1"/>
  <c r="Q705" i="1"/>
  <c r="Q163" i="1"/>
  <c r="Q373" i="1"/>
  <c r="Q415" i="1"/>
  <c r="Q605" i="1"/>
  <c r="R605" i="1" s="1" a="1"/>
  <c r="R605" i="1" s="1"/>
  <c r="Q40" i="1"/>
  <c r="R40" i="1" s="1" a="1"/>
  <c r="R40" i="1" s="1"/>
  <c r="Q107" i="1"/>
  <c r="R107" i="1" s="1" a="1"/>
  <c r="R107" i="1" s="1"/>
  <c r="Q182" i="1"/>
  <c r="Q221" i="1"/>
  <c r="Q287" i="1"/>
  <c r="Q392" i="1"/>
  <c r="Q432" i="1"/>
  <c r="Q572" i="1"/>
  <c r="R572" i="1" s="1" a="1"/>
  <c r="R572" i="1" s="1"/>
  <c r="Q576" i="1"/>
  <c r="R576" i="1" s="1" a="1"/>
  <c r="R576" i="1" s="1"/>
  <c r="Q124" i="1"/>
  <c r="R124" i="1" s="1" a="1"/>
  <c r="R124" i="1" s="1"/>
  <c r="Q140" i="1"/>
  <c r="Q205" i="1"/>
  <c r="Q229" i="1"/>
  <c r="Q346" i="1"/>
  <c r="Q377" i="1"/>
  <c r="Q402" i="1"/>
  <c r="R402" i="1" s="1" a="1"/>
  <c r="R402" i="1" s="1"/>
  <c r="Q438" i="1"/>
  <c r="R438" i="1" s="1" a="1"/>
  <c r="R438" i="1" s="1"/>
  <c r="Q621" i="1"/>
  <c r="R621" i="1" s="1" a="1"/>
  <c r="R621" i="1" s="1"/>
  <c r="Q639" i="1"/>
  <c r="Q748" i="1"/>
  <c r="Q46" i="1"/>
  <c r="Q82" i="1"/>
  <c r="Q169" i="1"/>
  <c r="Q193" i="1"/>
  <c r="R193" i="1" s="1" a="1"/>
  <c r="R193" i="1" s="1"/>
  <c r="Q644" i="1"/>
  <c r="R644" i="1" s="1" a="1"/>
  <c r="R644" i="1" s="1"/>
  <c r="Q728" i="1"/>
  <c r="R728" i="1" s="1" a="1"/>
  <c r="R728" i="1" s="1"/>
  <c r="Q732" i="1"/>
  <c r="Q20" i="1"/>
  <c r="Q183" i="1"/>
  <c r="Q282" i="1"/>
  <c r="Q286" i="1"/>
  <c r="Q375" i="1"/>
  <c r="R375" i="1" s="1" a="1"/>
  <c r="R375" i="1" s="1"/>
  <c r="Q376" i="1"/>
  <c r="R376" i="1" s="1" a="1"/>
  <c r="R376" i="1" s="1"/>
  <c r="Q426" i="1"/>
  <c r="R426" i="1" s="1" a="1"/>
  <c r="R426" i="1" s="1"/>
  <c r="Q485" i="1"/>
  <c r="Q507" i="1"/>
  <c r="Q538" i="1"/>
  <c r="Q85" i="1"/>
  <c r="Q224" i="1"/>
  <c r="Q284" i="1"/>
  <c r="R284" i="1" s="1" a="1"/>
  <c r="R284" i="1" s="1"/>
  <c r="Q291" i="1"/>
  <c r="R291" i="1" s="1" a="1"/>
  <c r="R291" i="1" s="1"/>
  <c r="Q390" i="1"/>
  <c r="R390" i="1" s="1" a="1"/>
  <c r="R390" i="1" s="1"/>
  <c r="Q516" i="1"/>
  <c r="Q528" i="1"/>
  <c r="Q604" i="1"/>
  <c r="Q615" i="1"/>
  <c r="Q692" i="1"/>
  <c r="Q17" i="1"/>
  <c r="R17" i="1" s="1" a="1"/>
  <c r="R17" i="1" s="1"/>
  <c r="Q38" i="1"/>
  <c r="R38" i="1" s="1" a="1"/>
  <c r="R38" i="1" s="1"/>
  <c r="Q87" i="1"/>
  <c r="R87" i="1" s="1" a="1"/>
  <c r="R87" i="1" s="1"/>
  <c r="Q177" i="1"/>
  <c r="Q261" i="1"/>
  <c r="Q308" i="1"/>
  <c r="Q315" i="1"/>
  <c r="Q383" i="1"/>
  <c r="Q417" i="1"/>
  <c r="R417" i="1" s="1" a="1"/>
  <c r="R417" i="1" s="1"/>
  <c r="Q460" i="1"/>
  <c r="R460" i="1" s="1" a="1"/>
  <c r="R460" i="1" s="1"/>
  <c r="Q499" i="1"/>
  <c r="R499" i="1" s="1" a="1"/>
  <c r="R499" i="1" s="1"/>
  <c r="Q556" i="1"/>
  <c r="Q707" i="1"/>
  <c r="Q535" i="1"/>
  <c r="Q320" i="1"/>
  <c r="Q658" i="1"/>
  <c r="Q481" i="1"/>
  <c r="R481" i="1" s="1" a="1"/>
  <c r="R481" i="1" s="1"/>
  <c r="Q411" i="1"/>
  <c r="R411" i="1" s="1" a="1"/>
  <c r="R411" i="1" s="1"/>
  <c r="Q491" i="1"/>
  <c r="R491" i="1" s="1" a="1"/>
  <c r="R491" i="1" s="1"/>
  <c r="Q212" i="1"/>
  <c r="Q614" i="1"/>
  <c r="Q102" i="1"/>
  <c r="Q534" i="1"/>
  <c r="Q455" i="1"/>
  <c r="Q497" i="1"/>
  <c r="R497" i="1" s="1" a="1"/>
  <c r="R497" i="1" s="1"/>
  <c r="Q24" i="1"/>
  <c r="R24" i="1" s="1" a="1"/>
  <c r="R24" i="1" s="1"/>
  <c r="Q607" i="1"/>
  <c r="R607" i="1" s="1" a="1"/>
  <c r="R607" i="1" s="1"/>
  <c r="Q470" i="1"/>
  <c r="Q92" i="1"/>
  <c r="Q352" i="1"/>
  <c r="Q385" i="1"/>
  <c r="Q306" i="1"/>
  <c r="Q480" i="1"/>
  <c r="R480" i="1" s="1" a="1"/>
  <c r="R480" i="1" s="1"/>
  <c r="Q41" i="1"/>
  <c r="R41" i="1" s="1" a="1"/>
  <c r="R41" i="1" s="1"/>
  <c r="Q57" i="1"/>
  <c r="R57" i="1" s="1" a="1"/>
  <c r="R57" i="1" s="1"/>
  <c r="Q625" i="1"/>
  <c r="Q675" i="1"/>
  <c r="Q530" i="1"/>
  <c r="Q571" i="1"/>
  <c r="Q551" i="1"/>
  <c r="Q220" i="1"/>
  <c r="R220" i="1" s="1" a="1"/>
  <c r="R220" i="1" s="1"/>
  <c r="Q110" i="1"/>
  <c r="R110" i="1" s="1" a="1"/>
  <c r="R110" i="1" s="1"/>
  <c r="Q211" i="1"/>
  <c r="R211" i="1" s="1" a="1"/>
  <c r="R211" i="1" s="1"/>
  <c r="Q166" i="1"/>
  <c r="Q422" i="1"/>
  <c r="Q39" i="1"/>
  <c r="Q555" i="1"/>
  <c r="Q434" i="1"/>
  <c r="Q726" i="1"/>
  <c r="R726" i="1" s="1" a="1"/>
  <c r="R726" i="1" s="1"/>
  <c r="Q608" i="1"/>
  <c r="R608" i="1" s="1" a="1"/>
  <c r="R608" i="1" s="1"/>
  <c r="Q149" i="1"/>
  <c r="R149" i="1" s="1" a="1"/>
  <c r="R149" i="1" s="1"/>
  <c r="Q331" i="1"/>
  <c r="Q590" i="1"/>
  <c r="Q685" i="1"/>
  <c r="Q181" i="1"/>
  <c r="Q62" i="1"/>
  <c r="Q47" i="1"/>
  <c r="R47" i="1" s="1" a="1"/>
  <c r="R47" i="1" s="1"/>
  <c r="Q255" i="1"/>
  <c r="R255" i="1" s="1" a="1"/>
  <c r="R255" i="1" s="1"/>
  <c r="Q670" i="1"/>
  <c r="R670" i="1" s="1" a="1"/>
  <c r="R670" i="1" s="1"/>
  <c r="Q489" i="1"/>
  <c r="Q2" i="1"/>
  <c r="Q768" i="1"/>
  <c r="Q687" i="1"/>
  <c r="Q433" i="1"/>
  <c r="Q154" i="1"/>
  <c r="R154" i="1" s="1" a="1"/>
  <c r="R154" i="1" s="1"/>
  <c r="Q314" i="1"/>
  <c r="R314" i="1" s="1" a="1"/>
  <c r="R314" i="1" s="1"/>
  <c r="Q141" i="1"/>
  <c r="R141" i="1" s="1" a="1"/>
  <c r="R141" i="1" s="1"/>
  <c r="Q338" i="1"/>
  <c r="Q299" i="1"/>
  <c r="Q651" i="1"/>
  <c r="Q270" i="1"/>
  <c r="Q174" i="1"/>
  <c r="Q285" i="1"/>
  <c r="R285" i="1" s="1" a="1"/>
  <c r="R285" i="1" s="1"/>
  <c r="Q200" i="1"/>
  <c r="R200" i="1" s="1" a="1"/>
  <c r="R200" i="1" s="1"/>
  <c r="Q757" i="1"/>
  <c r="R757" i="1" s="1" a="1"/>
  <c r="R757" i="1" s="1"/>
  <c r="Q553" i="1"/>
  <c r="Q420" i="1"/>
  <c r="Q280" i="1"/>
  <c r="Q190" i="1"/>
  <c r="Q90" i="1"/>
  <c r="Q600" i="1"/>
  <c r="R600" i="1" s="1" a="1"/>
  <c r="R600" i="1" s="1"/>
  <c r="Q246" i="1"/>
  <c r="R246" i="1" s="1" a="1"/>
  <c r="R246" i="1" s="1"/>
  <c r="Q108" i="1"/>
  <c r="R108" i="1" s="1" a="1"/>
  <c r="R108" i="1" s="1"/>
  <c r="Q613" i="1"/>
  <c r="Q179" i="1"/>
  <c r="Q727" i="1"/>
  <c r="Q201" i="1"/>
  <c r="Q496" i="1"/>
  <c r="Q136" i="1"/>
  <c r="R136" i="1" s="1" a="1"/>
  <c r="R136" i="1" s="1"/>
  <c r="Q754" i="1"/>
  <c r="R754" i="1" s="1" a="1"/>
  <c r="R754" i="1" s="1"/>
  <c r="Q360" i="1"/>
  <c r="R360" i="1" s="1" a="1"/>
  <c r="R360" i="1" s="1"/>
  <c r="Q155" i="1"/>
  <c r="Q9" i="1"/>
  <c r="Q745" i="1"/>
  <c r="Q397" i="1"/>
  <c r="Q423" i="1"/>
  <c r="Q724" i="1"/>
  <c r="R724" i="1" s="1" a="1"/>
  <c r="R724" i="1" s="1"/>
  <c r="Q237" i="1"/>
  <c r="R237" i="1" s="1" a="1"/>
  <c r="R237" i="1" s="1"/>
  <c r="Q603" i="1"/>
  <c r="R603" i="1" s="1" a="1"/>
  <c r="R603" i="1" s="1"/>
  <c r="Q550" i="1"/>
  <c r="Q22" i="1"/>
  <c r="Q335" i="1"/>
  <c r="Q96" i="1"/>
  <c r="Q192" i="1"/>
  <c r="Q116" i="1"/>
  <c r="R116" i="1" s="1" a="1"/>
  <c r="R116" i="1" s="1"/>
  <c r="Q328" i="1"/>
  <c r="R328" i="1" s="1" a="1"/>
  <c r="R328" i="1" s="1"/>
  <c r="Q706" i="1"/>
  <c r="R706" i="1" s="1" a="1"/>
  <c r="R706" i="1" s="1"/>
  <c r="Q716" i="1"/>
  <c r="Q669" i="1"/>
  <c r="Q95" i="1"/>
  <c r="Q368" i="1"/>
  <c r="Q323" i="1"/>
  <c r="Q171" i="1"/>
  <c r="R171" i="1" s="1" a="1"/>
  <c r="R171" i="1" s="1"/>
  <c r="Q673" i="1"/>
  <c r="R673" i="1" s="1" a="1"/>
  <c r="R673" i="1" s="1"/>
  <c r="Q648" i="1"/>
  <c r="R648" i="1" s="1" a="1"/>
  <c r="R648" i="1" s="1"/>
  <c r="Q570" i="1"/>
  <c r="Q249" i="1"/>
  <c r="Q52" i="1"/>
  <c r="Q717" i="1"/>
  <c r="Q756" i="1"/>
  <c r="Q733" i="1"/>
  <c r="R733" i="1" s="1" a="1"/>
  <c r="R733" i="1" s="1"/>
  <c r="Q259" i="1"/>
  <c r="R259" i="1" s="1" a="1"/>
  <c r="R259" i="1" s="1"/>
  <c r="Q344" i="1"/>
  <c r="R344" i="1" s="1" a="1"/>
  <c r="R344" i="1" s="1"/>
  <c r="Q240" i="1"/>
  <c r="Q252" i="1"/>
  <c r="Q655" i="1"/>
  <c r="Q355" i="1"/>
  <c r="Q243" i="1"/>
  <c r="Q369" i="1"/>
  <c r="R369" i="1" s="1" a="1"/>
  <c r="R369" i="1" s="1"/>
  <c r="Q119" i="1"/>
  <c r="R119" i="1" s="1" a="1"/>
  <c r="R119" i="1" s="1"/>
  <c r="Q442" i="1"/>
  <c r="R442" i="1" s="1" a="1"/>
  <c r="R442" i="1" s="1"/>
  <c r="Q394" i="1"/>
  <c r="Q654" i="1"/>
  <c r="Q457" i="1"/>
  <c r="Q612" i="1"/>
  <c r="Q32" i="1"/>
  <c r="Q618" i="1"/>
  <c r="R618" i="1" s="1" a="1"/>
  <c r="R618" i="1" s="1"/>
  <c r="Q214" i="1"/>
  <c r="R214" i="1" s="1" a="1"/>
  <c r="R214" i="1" s="1"/>
  <c r="Q425" i="1"/>
  <c r="R425" i="1" s="1" a="1"/>
  <c r="R425" i="1" s="1"/>
  <c r="Q104" i="1"/>
  <c r="Q624" i="1"/>
  <c r="Q477" i="1"/>
  <c r="Q723" i="1"/>
  <c r="Q187" i="1"/>
  <c r="Q703" i="1"/>
  <c r="R703" i="1" s="1" a="1"/>
  <c r="R703" i="1" s="1"/>
  <c r="Q158" i="1"/>
  <c r="R158" i="1" s="1" a="1"/>
  <c r="R158" i="1" s="1"/>
  <c r="Q340" i="1"/>
  <c r="R340" i="1" s="1" a="1"/>
  <c r="R340" i="1" s="1"/>
  <c r="Q533" i="1"/>
  <c r="Q350" i="1"/>
  <c r="Q474" i="1"/>
  <c r="Q219" i="1"/>
  <c r="Q498" i="1"/>
  <c r="Q330" i="1"/>
  <c r="R330" i="1" s="1" a="1"/>
  <c r="R330" i="1" s="1"/>
  <c r="Q359" i="1"/>
  <c r="R359" i="1" s="1" a="1"/>
  <c r="R359" i="1" s="1"/>
  <c r="Q36" i="1"/>
  <c r="R36" i="1" s="1" a="1"/>
  <c r="R36" i="1" s="1"/>
  <c r="Q602" i="1"/>
  <c r="Q441" i="1"/>
  <c r="Q747" i="1"/>
  <c r="Q690" i="1"/>
  <c r="Q742" i="1"/>
  <c r="Q18" i="1"/>
  <c r="R18" i="1" s="1" a="1"/>
  <c r="R18" i="1" s="1"/>
  <c r="Q43" i="1"/>
  <c r="R43" i="1" s="1" a="1"/>
  <c r="R43" i="1" s="1"/>
  <c r="Q143" i="1"/>
  <c r="R143" i="1" s="1" a="1"/>
  <c r="R143" i="1" s="1"/>
  <c r="Q678" i="1"/>
  <c r="Q734" i="1"/>
  <c r="Q213" i="1"/>
  <c r="Q31" i="1"/>
  <c r="Q105" i="1"/>
  <c r="Q539" i="1"/>
  <c r="R539" i="1" s="1" a="1"/>
  <c r="R539" i="1" s="1"/>
  <c r="Q641" i="1"/>
  <c r="R641" i="1" s="1" a="1"/>
  <c r="R641" i="1" s="1"/>
  <c r="Q393" i="1"/>
  <c r="R393" i="1" s="1" a="1"/>
  <c r="R393" i="1" s="1"/>
  <c r="Q269" i="1"/>
  <c r="Q327" i="1"/>
  <c r="Q106" i="1"/>
  <c r="Q404" i="1"/>
  <c r="Q336" i="1"/>
  <c r="Q469" i="1"/>
  <c r="R469" i="1" s="1" a="1"/>
  <c r="R469" i="1" s="1"/>
  <c r="Q297" i="1"/>
  <c r="R297" i="1" s="1" a="1"/>
  <c r="R297" i="1" s="1"/>
  <c r="Q342" i="1"/>
  <c r="R342" i="1" s="1" a="1"/>
  <c r="R342" i="1" s="1"/>
  <c r="Q637" i="1"/>
  <c r="Q316" i="1"/>
  <c r="Q126" i="1"/>
  <c r="Q281" i="1"/>
  <c r="Q176" i="1"/>
  <c r="Q627" i="1"/>
  <c r="R627" i="1" s="1" a="1"/>
  <c r="R627" i="1" s="1"/>
  <c r="Q601" i="1"/>
  <c r="R601" i="1" s="1" a="1"/>
  <c r="R601" i="1" s="1"/>
  <c r="Q554" i="1"/>
  <c r="R554" i="1" s="1" a="1"/>
  <c r="R554" i="1" s="1"/>
  <c r="Q206" i="1"/>
  <c r="Q309" i="1"/>
  <c r="Q12" i="1"/>
  <c r="Q735" i="1"/>
  <c r="Q13" i="1"/>
  <c r="Q416" i="1"/>
  <c r="R416" i="1" s="1" a="1"/>
  <c r="R416" i="1" s="1"/>
  <c r="Q407" i="1"/>
  <c r="R407" i="1" s="1" a="1"/>
  <c r="R407" i="1" s="1"/>
  <c r="Q529" i="1"/>
  <c r="R529" i="1" s="1" a="1"/>
  <c r="R529" i="1" s="1"/>
  <c r="Q653" i="1"/>
  <c r="Q230" i="1"/>
  <c r="Q304" i="1"/>
  <c r="Q98" i="1"/>
  <c r="Q35" i="1"/>
  <c r="Q410" i="1"/>
  <c r="R410" i="1" s="1" a="1"/>
  <c r="R410" i="1" s="1"/>
  <c r="Q468" i="1"/>
  <c r="R468" i="1" s="1" a="1"/>
  <c r="R468" i="1" s="1"/>
  <c r="Q589" i="1"/>
  <c r="R589" i="1" s="1" a="1"/>
  <c r="R589" i="1" s="1"/>
  <c r="Q345" i="1"/>
  <c r="Q290" i="1"/>
  <c r="Q84" i="1"/>
  <c r="Q341" i="1"/>
  <c r="Q694" i="1"/>
  <c r="Q443" i="1"/>
  <c r="R443" i="1" s="1" a="1"/>
  <c r="R443" i="1" s="1"/>
  <c r="Q487" i="1"/>
  <c r="R487" i="1" s="1" a="1"/>
  <c r="R487" i="1" s="1"/>
  <c r="Q365" i="1"/>
  <c r="R365" i="1" s="1" a="1"/>
  <c r="R365" i="1" s="1"/>
  <c r="Q663" i="1"/>
  <c r="Q277" i="1"/>
  <c r="Q363" i="1"/>
  <c r="Q643" i="1"/>
  <c r="Q739" i="1"/>
  <c r="Q536" i="1"/>
  <c r="R536" i="1" s="1" a="1"/>
  <c r="R536" i="1" s="1"/>
  <c r="Q10" i="1"/>
  <c r="R10" i="1" s="1" a="1"/>
  <c r="R10" i="1" s="1"/>
  <c r="Q568" i="1"/>
  <c r="R568" i="1" s="1" a="1"/>
  <c r="R568" i="1" s="1"/>
  <c r="Q708" i="1"/>
  <c r="Q440" i="1"/>
  <c r="Q435" i="1"/>
  <c r="Q23" i="1"/>
  <c r="Q691" i="1"/>
  <c r="Q289" i="1"/>
  <c r="R289" i="1" s="1" a="1"/>
  <c r="R289" i="1" s="1"/>
  <c r="Q362" i="1"/>
  <c r="R362" i="1" s="1" a="1"/>
  <c r="R362" i="1" s="1"/>
  <c r="Q361" i="1"/>
  <c r="R361" i="1" s="1" a="1"/>
  <c r="R361" i="1" s="1"/>
  <c r="Q634" i="1"/>
  <c r="Q525" i="1"/>
  <c r="Q671" i="1"/>
  <c r="Q172" i="1"/>
  <c r="Q741" i="1"/>
  <c r="Q526" i="1"/>
  <c r="R526" i="1" s="1" a="1"/>
  <c r="R526" i="1" s="1"/>
  <c r="Q598" i="1"/>
  <c r="R598" i="1" s="1" a="1"/>
  <c r="R598" i="1" s="1"/>
  <c r="Q294" i="1"/>
  <c r="R294" i="1" s="1" a="1"/>
  <c r="R294" i="1" s="1"/>
  <c r="Q465" i="1"/>
  <c r="Q203" i="1"/>
  <c r="Q83" i="1"/>
  <c r="Q160" i="1"/>
  <c r="Q652" i="1"/>
  <c r="Q633" i="1"/>
  <c r="R633" i="1" s="1" a="1"/>
  <c r="R633" i="1" s="1"/>
  <c r="Q54" i="1"/>
  <c r="R54" i="1" s="1" a="1"/>
  <c r="R54" i="1" s="1"/>
  <c r="Q130" i="1"/>
  <c r="R130" i="1" s="1" a="1"/>
  <c r="R130" i="1" s="1"/>
  <c r="Q186" i="1"/>
  <c r="Q209" i="1"/>
  <c r="Q222" i="1"/>
  <c r="Q80" i="1"/>
  <c r="Q15" i="1"/>
  <c r="Q125" i="1"/>
  <c r="R125" i="1" s="1" a="1"/>
  <c r="R125" i="1" s="1"/>
  <c r="Q97" i="1"/>
  <c r="R97" i="1" s="1" a="1"/>
  <c r="R97" i="1" s="1"/>
  <c r="Q349" i="1"/>
  <c r="R349" i="1" s="1" a="1"/>
  <c r="R349" i="1" s="1"/>
  <c r="Q662" i="1"/>
  <c r="Q720" i="1"/>
  <c r="Q752" i="1"/>
  <c r="Q767" i="1"/>
  <c r="Q471" i="1"/>
  <c r="Q409" i="1"/>
  <c r="R409" i="1" s="1" a="1"/>
  <c r="R409" i="1" s="1"/>
  <c r="Q217" i="1"/>
  <c r="R217" i="1" s="1" a="1"/>
  <c r="R217" i="1" s="1"/>
  <c r="Q73" i="1"/>
  <c r="R73" i="1" s="1" a="1"/>
  <c r="R73" i="1" s="1"/>
  <c r="Q235" i="1"/>
  <c r="Q419" i="1"/>
  <c r="Q737" i="1"/>
  <c r="Q8" i="1"/>
  <c r="Q11" i="1"/>
  <c r="Q295" i="1"/>
  <c r="R295" i="1" s="1" a="1"/>
  <c r="R295" i="1" s="1"/>
  <c r="Q436" i="1"/>
  <c r="R436" i="1" s="1" a="1"/>
  <c r="R436" i="1" s="1"/>
  <c r="Q228" i="1"/>
  <c r="R228" i="1" s="1" a="1"/>
  <c r="R228" i="1" s="1"/>
  <c r="Q245" i="1"/>
  <c r="Q77" i="1"/>
  <c r="Q318" i="1"/>
  <c r="Q358" i="1"/>
  <c r="Q595" i="1"/>
  <c r="Q120" i="1"/>
  <c r="R120" i="1" s="1" a="1"/>
  <c r="R120" i="1" s="1"/>
  <c r="Q71" i="1"/>
  <c r="R71" i="1" s="1" a="1"/>
  <c r="R71" i="1" s="1"/>
  <c r="Q311" i="1"/>
  <c r="R311" i="1" s="1" a="1"/>
  <c r="R311" i="1" s="1"/>
  <c r="Q395" i="1"/>
  <c r="Q672" i="1"/>
  <c r="Q630" i="1"/>
  <c r="Q594" i="1"/>
  <c r="Q587" i="1"/>
  <c r="Q64" i="1"/>
  <c r="R64" i="1" s="1" a="1"/>
  <c r="R64" i="1" s="1"/>
  <c r="Q405" i="1"/>
  <c r="R405" i="1" s="1" a="1"/>
  <c r="R405" i="1" s="1"/>
  <c r="Q367" i="1"/>
  <c r="R367" i="1" s="1" a="1"/>
  <c r="R367" i="1" s="1"/>
  <c r="Q488" i="1"/>
  <c r="Q49" i="1"/>
  <c r="Q27" i="1"/>
  <c r="Q326" i="1"/>
  <c r="Q476" i="1"/>
  <c r="Q263" i="1"/>
  <c r="R263" i="1" s="1" a="1"/>
  <c r="R263" i="1" s="1"/>
  <c r="Q421" i="1"/>
  <c r="R421" i="1" s="1" a="1"/>
  <c r="R421" i="1" s="1"/>
  <c r="Q597" i="1"/>
  <c r="R597" i="1" s="1" a="1"/>
  <c r="R597" i="1" s="1"/>
  <c r="Q764" i="1"/>
  <c r="Q89" i="1"/>
  <c r="Q582" i="1"/>
  <c r="Q522" i="1"/>
  <c r="Q72" i="1"/>
  <c r="Q127" i="1"/>
  <c r="R127" i="1" s="1" a="1"/>
  <c r="R127" i="1" s="1"/>
  <c r="Q301" i="1"/>
  <c r="R301" i="1" s="1" a="1"/>
  <c r="R301" i="1" s="1"/>
  <c r="Q458" i="1"/>
  <c r="R458" i="1" s="1" a="1"/>
  <c r="R458" i="1" s="1"/>
  <c r="Q151" i="1"/>
  <c r="Q540" i="1"/>
  <c r="Q67" i="1"/>
  <c r="Q81" i="1"/>
  <c r="Q322" i="1"/>
  <c r="Q150" i="1"/>
  <c r="R150" i="1" s="1" a="1"/>
  <c r="R150" i="1" s="1"/>
  <c r="Q45" i="1"/>
  <c r="R45" i="1" s="1" a="1"/>
  <c r="R45" i="1" s="1"/>
  <c r="Q145" i="1"/>
  <c r="R145" i="1" s="1" a="1"/>
  <c r="R145" i="1" s="1"/>
  <c r="Q184" i="1"/>
  <c r="Q711" i="1"/>
  <c r="Q48" i="1"/>
  <c r="Q389" i="1"/>
  <c r="Q339" i="1"/>
  <c r="Q759" i="1"/>
  <c r="R759" i="1" s="1" a="1"/>
  <c r="R759" i="1" s="1"/>
  <c r="Q515" i="1"/>
  <c r="R515" i="1" s="1" a="1"/>
  <c r="R515" i="1" s="1"/>
  <c r="Q58" i="1"/>
  <c r="R58" i="1" s="1" a="1"/>
  <c r="R58" i="1" s="1"/>
  <c r="Q403" i="1"/>
  <c r="Q101" i="1"/>
  <c r="Q508" i="1"/>
  <c r="Q699" i="1"/>
  <c r="Q715" i="1"/>
  <c r="Q657" i="1"/>
  <c r="R657" i="1" s="1" a="1"/>
  <c r="R657" i="1" s="1"/>
  <c r="Q542" i="1"/>
  <c r="R542" i="1" s="1" a="1"/>
  <c r="R542" i="1" s="1"/>
  <c r="Q679" i="1"/>
  <c r="R679" i="1" s="1" a="1"/>
  <c r="R679" i="1" s="1"/>
  <c r="Q661" i="1"/>
  <c r="Q170" i="1"/>
  <c r="Q103" i="1"/>
  <c r="Q702" i="1"/>
  <c r="Q744" i="1"/>
  <c r="Q606" i="1"/>
  <c r="R606" i="1" s="1" a="1"/>
  <c r="R606" i="1" s="1"/>
  <c r="Q51" i="1"/>
  <c r="R51" i="1" s="1" a="1"/>
  <c r="R51" i="1" s="1"/>
  <c r="Q611" i="1"/>
  <c r="R611" i="1" s="1" a="1"/>
  <c r="R611" i="1" s="1"/>
  <c r="Q161" i="1"/>
  <c r="Q76" i="1"/>
  <c r="Q75" i="1"/>
  <c r="Q374" i="1"/>
  <c r="Q343" i="1"/>
  <c r="Q659" i="1"/>
  <c r="R659" i="1" s="1" a="1"/>
  <c r="R659" i="1" s="1"/>
  <c r="Q573" i="1"/>
  <c r="R573" i="1" s="1" a="1"/>
  <c r="R573" i="1" s="1"/>
  <c r="Q461" i="1"/>
  <c r="R461" i="1" s="1" a="1"/>
  <c r="R461" i="1" s="1"/>
  <c r="Q226" i="1"/>
  <c r="Q544" i="1"/>
  <c r="Q629" i="1"/>
  <c r="Q215" i="1"/>
  <c r="Q313" i="1"/>
  <c r="Q265" i="1"/>
  <c r="R265" i="1" s="1" a="1"/>
  <c r="R265" i="1" s="1"/>
  <c r="Q635" i="1"/>
  <c r="R635" i="1" s="1" a="1"/>
  <c r="R635" i="1" s="1"/>
  <c r="Q513" i="1"/>
  <c r="R513" i="1" s="1" a="1"/>
  <c r="R513" i="1" s="1"/>
  <c r="Q749" i="1"/>
  <c r="Q68" i="1"/>
  <c r="Q29" i="1"/>
  <c r="Q631" i="1"/>
  <c r="Q292" i="1"/>
  <c r="Q233" i="1"/>
  <c r="R233" i="1" s="1" a="1"/>
  <c r="R233" i="1" s="1"/>
  <c r="Q146" i="1"/>
  <c r="R146" i="1" s="1" a="1"/>
  <c r="R146" i="1" s="1"/>
  <c r="Q475" i="1"/>
  <c r="R475" i="1" s="1" a="1"/>
  <c r="R475" i="1" s="1"/>
  <c r="Q351" i="1"/>
  <c r="Q317" i="1"/>
  <c r="Q63" i="1"/>
  <c r="Q642" i="1"/>
  <c r="Q129" i="1"/>
  <c r="Q684" i="1"/>
  <c r="R684" i="1" s="1" a="1"/>
  <c r="R684" i="1" s="1"/>
  <c r="Q682" i="1"/>
  <c r="R682" i="1" s="1" a="1"/>
  <c r="R682" i="1" s="1"/>
  <c r="Q100" i="1"/>
  <c r="R100" i="1" s="1" a="1"/>
  <c r="R100" i="1" s="1"/>
  <c r="Q512" i="1"/>
  <c r="Q428" i="1"/>
  <c r="Q247" i="1"/>
  <c r="Q736" i="1"/>
  <c r="Q765" i="1"/>
  <c r="Q134" i="1"/>
  <c r="R134" i="1" s="1" a="1"/>
  <c r="R134" i="1" s="1"/>
  <c r="Q730" i="1"/>
  <c r="R730" i="1" s="1" a="1"/>
  <c r="R730" i="1" s="1"/>
  <c r="Q712" i="1"/>
  <c r="R712" i="1" s="1" a="1"/>
  <c r="R712" i="1" s="1"/>
  <c r="Q288" i="1"/>
  <c r="Q743" i="1"/>
  <c r="Q208" i="1"/>
  <c r="Q760" i="1"/>
  <c r="Q30" i="1"/>
  <c r="Q56" i="1"/>
  <c r="R56" i="1" s="1" a="1"/>
  <c r="R56" i="1" s="1"/>
  <c r="Q563" i="1"/>
  <c r="R563" i="1" s="1" a="1"/>
  <c r="R563" i="1" s="1"/>
  <c r="Q674" i="1"/>
  <c r="R674" i="1" s="1" a="1"/>
  <c r="R674" i="1" s="1"/>
  <c r="Q495" i="1"/>
  <c r="Q332" i="1"/>
  <c r="Q370" i="1"/>
  <c r="Q546" i="1"/>
  <c r="Q473" i="1"/>
  <c r="Q274" i="1"/>
  <c r="R274" i="1" s="1" a="1"/>
  <c r="R274" i="1" s="1"/>
  <c r="Q189" i="1"/>
  <c r="R189" i="1" s="1" a="1"/>
  <c r="R189" i="1" s="1"/>
  <c r="Q575" i="1"/>
  <c r="R575" i="1" s="1" a="1"/>
  <c r="R575" i="1" s="1"/>
  <c r="Q766" i="1"/>
  <c r="Q665" i="1"/>
  <c r="Q4" i="1"/>
  <c r="Q74" i="1"/>
  <c r="P218" i="1"/>
  <c r="P347" i="1"/>
  <c r="P353" i="1"/>
  <c r="P357" i="1"/>
  <c r="P610" i="1"/>
  <c r="P683" i="1"/>
  <c r="P750" i="1"/>
  <c r="P14" i="1"/>
  <c r="P94" i="1"/>
  <c r="P196" i="1"/>
  <c r="P396" i="1"/>
  <c r="P439" i="1"/>
  <c r="P484" i="1"/>
  <c r="P494" i="1"/>
  <c r="P505" i="1"/>
  <c r="P523" i="1"/>
  <c r="P688" i="1"/>
  <c r="P697" i="1"/>
  <c r="R697" i="1" s="1" a="1"/>
  <c r="R697" i="1" s="1"/>
  <c r="P202" i="1"/>
  <c r="P272" i="1"/>
  <c r="P450" i="1"/>
  <c r="P583" i="1"/>
  <c r="P689" i="1"/>
  <c r="P753" i="1"/>
  <c r="P758" i="1"/>
  <c r="P114" i="1"/>
  <c r="P142" i="1"/>
  <c r="P207" i="1"/>
  <c r="P244" i="1"/>
  <c r="P278" i="1"/>
  <c r="P329" i="1"/>
  <c r="P356" i="1"/>
  <c r="P366" i="1"/>
  <c r="P380" i="1"/>
  <c r="P524" i="1"/>
  <c r="P527" i="1"/>
  <c r="P567" i="1"/>
  <c r="P628" i="1"/>
  <c r="P37" i="1"/>
  <c r="P122" i="1"/>
  <c r="P153" i="1"/>
  <c r="P257" i="1"/>
  <c r="P303" i="1"/>
  <c r="P387" i="1"/>
  <c r="P510" i="1"/>
  <c r="P622" i="1"/>
  <c r="P636" i="1"/>
  <c r="P656" i="1"/>
  <c r="P686" i="1"/>
  <c r="P709" i="1"/>
  <c r="P761" i="1"/>
  <c r="R761" i="1" s="1" a="1"/>
  <c r="R761" i="1" s="1"/>
  <c r="P91" i="1"/>
  <c r="P113" i="1"/>
  <c r="P123" i="1"/>
  <c r="P128" i="1"/>
  <c r="P137" i="1"/>
  <c r="P157" i="1"/>
  <c r="P333" i="1"/>
  <c r="R333" i="1" s="1" a="1"/>
  <c r="R333" i="1" s="1"/>
  <c r="P384" i="1"/>
  <c r="P386" i="1"/>
  <c r="R386" i="1" s="1" a="1"/>
  <c r="R386" i="1" s="1"/>
  <c r="P388" i="1"/>
  <c r="P446" i="1"/>
  <c r="P509" i="1"/>
  <c r="P511" i="1"/>
  <c r="P632" i="1"/>
  <c r="R632" i="1" s="1" a="1"/>
  <c r="R632" i="1" s="1"/>
  <c r="P668" i="1"/>
  <c r="P7" i="1"/>
  <c r="P79" i="1"/>
  <c r="P225" i="1"/>
  <c r="P307" i="1"/>
  <c r="P348" i="1"/>
  <c r="P431" i="1"/>
  <c r="P464" i="1"/>
  <c r="P472" i="1"/>
  <c r="P545" i="1"/>
  <c r="P588" i="1"/>
  <c r="P609" i="1"/>
  <c r="P719" i="1"/>
  <c r="P118" i="1"/>
  <c r="P147" i="1"/>
  <c r="P234" i="1"/>
  <c r="P251" i="1"/>
  <c r="P256" i="1"/>
  <c r="P430" i="1"/>
  <c r="P514" i="1"/>
  <c r="P667" i="1"/>
  <c r="P700" i="1"/>
  <c r="P725" i="1"/>
  <c r="P144" i="1"/>
  <c r="P199" i="1"/>
  <c r="P463" i="1"/>
  <c r="P482" i="1"/>
  <c r="R482" i="1" s="1" a="1"/>
  <c r="R482" i="1" s="1"/>
  <c r="P483" i="1"/>
  <c r="P580" i="1"/>
  <c r="P645" i="1"/>
  <c r="P649" i="1"/>
  <c r="P660" i="1"/>
  <c r="P704" i="1"/>
  <c r="P131" i="1"/>
  <c r="P175" i="1"/>
  <c r="P260" i="1"/>
  <c r="P271" i="1"/>
  <c r="P293" i="1"/>
  <c r="P437" i="1"/>
  <c r="P581" i="1"/>
  <c r="P713" i="1"/>
  <c r="R713" i="1" s="1" a="1"/>
  <c r="R713" i="1" s="1"/>
  <c r="P740" i="1"/>
  <c r="P248" i="1"/>
  <c r="P413" i="1"/>
  <c r="P560" i="1"/>
  <c r="P579" i="1"/>
  <c r="P592" i="1"/>
  <c r="P26" i="1"/>
  <c r="P167" i="1"/>
  <c r="R167" i="1" s="1" a="1"/>
  <c r="R167" i="1" s="1"/>
  <c r="P173" i="1"/>
  <c r="P180" i="1"/>
  <c r="P242" i="1"/>
  <c r="P258" i="1"/>
  <c r="P447" i="1"/>
  <c r="P456" i="1"/>
  <c r="P564" i="1"/>
  <c r="P647" i="1"/>
  <c r="R647" i="1" s="1" a="1"/>
  <c r="R647" i="1" s="1"/>
  <c r="P138" i="1"/>
  <c r="P162" i="1"/>
  <c r="P236" i="1"/>
  <c r="P239" i="1"/>
  <c r="P319" i="1"/>
  <c r="P371" i="1"/>
  <c r="P414" i="1"/>
  <c r="P705" i="1"/>
  <c r="R705" i="1" s="1" a="1"/>
  <c r="R705" i="1" s="1"/>
  <c r="P163" i="1"/>
  <c r="P373" i="1"/>
  <c r="P415" i="1"/>
  <c r="P605" i="1"/>
  <c r="P40" i="1"/>
  <c r="P107" i="1"/>
  <c r="P182" i="1"/>
  <c r="P221" i="1"/>
  <c r="R221" i="1" s="1" a="1"/>
  <c r="R221" i="1" s="1"/>
  <c r="P287" i="1"/>
  <c r="P392" i="1"/>
  <c r="P432" i="1"/>
  <c r="P572" i="1"/>
  <c r="P576" i="1"/>
  <c r="P124" i="1"/>
  <c r="P140" i="1"/>
  <c r="P205" i="1"/>
  <c r="P229" i="1"/>
  <c r="P346" i="1"/>
  <c r="P377" i="1"/>
  <c r="P402" i="1"/>
  <c r="P438" i="1"/>
  <c r="P621" i="1"/>
  <c r="P639" i="1"/>
  <c r="P748" i="1"/>
  <c r="P46" i="1"/>
  <c r="P82" i="1"/>
  <c r="P169" i="1"/>
  <c r="P193" i="1"/>
  <c r="P644" i="1"/>
  <c r="P728" i="1"/>
  <c r="P732" i="1"/>
  <c r="P20" i="1"/>
  <c r="P183" i="1"/>
  <c r="P282" i="1"/>
  <c r="P286" i="1"/>
  <c r="P375" i="1"/>
  <c r="P376" i="1"/>
  <c r="P426" i="1"/>
  <c r="P485" i="1"/>
  <c r="P507" i="1"/>
  <c r="P538" i="1"/>
  <c r="P85" i="1"/>
  <c r="P224" i="1"/>
  <c r="P284" i="1"/>
  <c r="P291" i="1"/>
  <c r="P390" i="1"/>
  <c r="P516" i="1"/>
  <c r="P528" i="1"/>
  <c r="P604" i="1"/>
  <c r="P615" i="1"/>
  <c r="P692" i="1"/>
  <c r="P17" i="1"/>
  <c r="P38" i="1"/>
  <c r="P87" i="1"/>
  <c r="P177" i="1"/>
  <c r="P261" i="1"/>
  <c r="P308" i="1"/>
  <c r="P315" i="1"/>
  <c r="P383" i="1"/>
  <c r="P417" i="1"/>
  <c r="P460" i="1"/>
  <c r="P499" i="1"/>
  <c r="P556" i="1"/>
  <c r="P707" i="1"/>
  <c r="P535" i="1"/>
  <c r="P320" i="1"/>
  <c r="P658" i="1"/>
  <c r="P481" i="1"/>
  <c r="P411" i="1"/>
  <c r="P491" i="1"/>
  <c r="P212" i="1"/>
  <c r="P614" i="1"/>
  <c r="P102" i="1"/>
  <c r="P534" i="1"/>
  <c r="P455" i="1"/>
  <c r="P497" i="1"/>
  <c r="P24" i="1"/>
  <c r="P607" i="1"/>
  <c r="P470" i="1"/>
  <c r="P92" i="1"/>
  <c r="P352" i="1"/>
  <c r="P385" i="1"/>
  <c r="P306" i="1"/>
  <c r="P480" i="1"/>
  <c r="P41" i="1"/>
  <c r="P57" i="1"/>
  <c r="P625" i="1"/>
  <c r="P675" i="1"/>
  <c r="P530" i="1"/>
  <c r="P571" i="1"/>
  <c r="P551" i="1"/>
  <c r="P220" i="1"/>
  <c r="P110" i="1"/>
  <c r="P211" i="1"/>
  <c r="P166" i="1"/>
  <c r="P422" i="1"/>
  <c r="P39" i="1"/>
  <c r="P555" i="1"/>
  <c r="P434" i="1"/>
  <c r="P726" i="1"/>
  <c r="P608" i="1"/>
  <c r="P149" i="1"/>
  <c r="P331" i="1"/>
  <c r="P590" i="1"/>
  <c r="P685" i="1"/>
  <c r="P181" i="1"/>
  <c r="P62" i="1"/>
  <c r="P47" i="1"/>
  <c r="P255" i="1"/>
  <c r="P670" i="1"/>
  <c r="P489" i="1"/>
  <c r="P2" i="1"/>
  <c r="R2" i="1" s="1" a="1"/>
  <c r="R2" i="1" s="1"/>
  <c r="P768" i="1"/>
  <c r="P687" i="1"/>
  <c r="P433" i="1"/>
  <c r="P154" i="1"/>
  <c r="P314" i="1"/>
  <c r="P141" i="1"/>
  <c r="P338" i="1"/>
  <c r="P299" i="1"/>
  <c r="P651" i="1"/>
  <c r="P270" i="1"/>
  <c r="P174" i="1"/>
  <c r="P285" i="1"/>
  <c r="P200" i="1"/>
  <c r="P757" i="1"/>
  <c r="P553" i="1"/>
  <c r="P420" i="1"/>
  <c r="P280" i="1"/>
  <c r="P190" i="1"/>
  <c r="P90" i="1"/>
  <c r="P600" i="1"/>
  <c r="P246" i="1"/>
  <c r="P108" i="1"/>
  <c r="P613" i="1"/>
  <c r="P179" i="1"/>
  <c r="P727" i="1"/>
  <c r="R727" i="1" s="1" a="1"/>
  <c r="R727" i="1" s="1"/>
  <c r="P201" i="1"/>
  <c r="P496" i="1"/>
  <c r="P136" i="1"/>
  <c r="P754" i="1"/>
  <c r="P360" i="1"/>
  <c r="P155" i="1"/>
  <c r="P9" i="1"/>
  <c r="P745" i="1"/>
  <c r="R745" i="1" s="1" a="1"/>
  <c r="R745" i="1" s="1"/>
  <c r="P397" i="1"/>
  <c r="P423" i="1"/>
  <c r="P724" i="1"/>
  <c r="P237" i="1"/>
  <c r="P603" i="1"/>
  <c r="P550" i="1"/>
  <c r="P22" i="1"/>
  <c r="R22" i="1" s="1" a="1"/>
  <c r="R22" i="1" s="1"/>
  <c r="P335" i="1"/>
  <c r="P96" i="1"/>
  <c r="P192" i="1"/>
  <c r="P116" i="1"/>
  <c r="P328" i="1"/>
  <c r="P706" i="1"/>
  <c r="P716" i="1"/>
  <c r="P669" i="1"/>
  <c r="P95" i="1"/>
  <c r="P368" i="1"/>
  <c r="P323" i="1"/>
  <c r="P171" i="1"/>
  <c r="P673" i="1"/>
  <c r="P648" i="1"/>
  <c r="P570" i="1"/>
  <c r="P249" i="1"/>
  <c r="R249" i="1" s="1" a="1"/>
  <c r="R249" i="1" s="1"/>
  <c r="P52" i="1"/>
  <c r="P717" i="1"/>
  <c r="P756" i="1"/>
  <c r="P733" i="1"/>
  <c r="P259" i="1"/>
  <c r="P344" i="1"/>
  <c r="P240" i="1"/>
  <c r="P252" i="1"/>
  <c r="P655" i="1"/>
  <c r="R655" i="1" s="1" a="1"/>
  <c r="R655" i="1" s="1"/>
  <c r="P355" i="1"/>
  <c r="P243" i="1"/>
  <c r="P369" i="1"/>
  <c r="P119" i="1"/>
  <c r="P442" i="1"/>
  <c r="P394" i="1"/>
  <c r="P654" i="1"/>
  <c r="P457" i="1"/>
  <c r="P612" i="1"/>
  <c r="P32" i="1"/>
  <c r="P618" i="1"/>
  <c r="P214" i="1"/>
  <c r="P425" i="1"/>
  <c r="P104" i="1"/>
  <c r="P624" i="1"/>
  <c r="P477" i="1"/>
  <c r="P723" i="1"/>
  <c r="P187" i="1"/>
  <c r="P703" i="1"/>
  <c r="P158" i="1"/>
  <c r="P340" i="1"/>
  <c r="P533" i="1"/>
  <c r="P350" i="1"/>
  <c r="P474" i="1"/>
  <c r="P219" i="1"/>
  <c r="P498" i="1"/>
  <c r="P330" i="1"/>
  <c r="P359" i="1"/>
  <c r="P36" i="1"/>
  <c r="P602" i="1"/>
  <c r="P441" i="1"/>
  <c r="P747" i="1"/>
  <c r="P690" i="1"/>
  <c r="P742" i="1"/>
  <c r="P18" i="1"/>
  <c r="P43" i="1"/>
  <c r="P143" i="1"/>
  <c r="P678" i="1"/>
  <c r="P734" i="1"/>
  <c r="P213" i="1"/>
  <c r="P31" i="1"/>
  <c r="P105" i="1"/>
  <c r="P539" i="1"/>
  <c r="P641" i="1"/>
  <c r="P393" i="1"/>
  <c r="P269" i="1"/>
  <c r="P327" i="1"/>
  <c r="P106" i="1"/>
  <c r="P404" i="1"/>
  <c r="P336" i="1"/>
  <c r="P469" i="1"/>
  <c r="P297" i="1"/>
  <c r="P342" i="1"/>
  <c r="P637" i="1"/>
  <c r="P316" i="1"/>
  <c r="P126" i="1"/>
  <c r="P281" i="1"/>
  <c r="P176" i="1"/>
  <c r="P627" i="1"/>
  <c r="P601" i="1"/>
  <c r="P554" i="1"/>
  <c r="P206" i="1"/>
  <c r="P309" i="1"/>
  <c r="P12" i="1"/>
  <c r="P735" i="1"/>
  <c r="R735" i="1" s="1" a="1"/>
  <c r="R735" i="1" s="1"/>
  <c r="P13" i="1"/>
  <c r="P416" i="1"/>
  <c r="P407" i="1"/>
  <c r="P529" i="1"/>
  <c r="P653" i="1"/>
  <c r="P230" i="1"/>
  <c r="P304" i="1"/>
  <c r="P98" i="1"/>
  <c r="P35" i="1"/>
  <c r="P410" i="1"/>
  <c r="P468" i="1"/>
  <c r="P589" i="1"/>
  <c r="P345" i="1"/>
  <c r="P290" i="1"/>
  <c r="P84" i="1"/>
  <c r="R84" i="1" s="1" a="1"/>
  <c r="R84" i="1" s="1"/>
  <c r="P341" i="1"/>
  <c r="P694" i="1"/>
  <c r="P443" i="1"/>
  <c r="P487" i="1"/>
  <c r="P365" i="1"/>
  <c r="P663" i="1"/>
  <c r="P277" i="1"/>
  <c r="P363" i="1"/>
  <c r="P643" i="1"/>
  <c r="P739" i="1"/>
  <c r="P536" i="1"/>
  <c r="P10" i="1"/>
  <c r="P568" i="1"/>
  <c r="P708" i="1"/>
  <c r="P440" i="1"/>
  <c r="P435" i="1"/>
  <c r="P23" i="1"/>
  <c r="P691" i="1"/>
  <c r="P289" i="1"/>
  <c r="P362" i="1"/>
  <c r="P361" i="1"/>
  <c r="P634" i="1"/>
  <c r="P525" i="1"/>
  <c r="P671" i="1"/>
  <c r="R671" i="1" s="1" a="1"/>
  <c r="R671" i="1" s="1"/>
  <c r="P172" i="1"/>
  <c r="P741" i="1"/>
  <c r="P526" i="1"/>
  <c r="P598" i="1"/>
  <c r="P294" i="1"/>
  <c r="P465" i="1"/>
  <c r="P203" i="1"/>
  <c r="P83" i="1"/>
  <c r="P160" i="1"/>
  <c r="P652" i="1"/>
  <c r="P633" i="1"/>
  <c r="P54" i="1"/>
  <c r="P130" i="1"/>
  <c r="P186" i="1"/>
  <c r="P209" i="1"/>
  <c r="P222" i="1"/>
  <c r="P80" i="1"/>
  <c r="P15" i="1"/>
  <c r="P125" i="1"/>
  <c r="P97" i="1"/>
  <c r="P349" i="1"/>
  <c r="P662" i="1"/>
  <c r="P720" i="1"/>
  <c r="P752" i="1"/>
  <c r="P767" i="1"/>
  <c r="R767" i="1" s="1" a="1"/>
  <c r="R767" i="1" s="1"/>
  <c r="P471" i="1"/>
  <c r="P409" i="1"/>
  <c r="P217" i="1"/>
  <c r="P73" i="1"/>
  <c r="P235" i="1"/>
  <c r="P419" i="1"/>
  <c r="P737" i="1"/>
  <c r="P8" i="1"/>
  <c r="P11" i="1"/>
  <c r="P295" i="1"/>
  <c r="P436" i="1"/>
  <c r="P228" i="1"/>
  <c r="P245" i="1"/>
  <c r="P77" i="1"/>
  <c r="P318" i="1"/>
  <c r="P358" i="1"/>
  <c r="P595" i="1"/>
  <c r="P120" i="1"/>
  <c r="P71" i="1"/>
  <c r="P311" i="1"/>
  <c r="P395" i="1"/>
  <c r="P672" i="1"/>
  <c r="P630" i="1"/>
  <c r="P594" i="1"/>
  <c r="P587" i="1"/>
  <c r="P64" i="1"/>
  <c r="P405" i="1"/>
  <c r="P367" i="1"/>
  <c r="P488" i="1"/>
  <c r="P49" i="1"/>
  <c r="P27" i="1"/>
  <c r="P326" i="1"/>
  <c r="P476" i="1"/>
  <c r="P263" i="1"/>
  <c r="P421" i="1"/>
  <c r="P597" i="1"/>
  <c r="P764" i="1"/>
  <c r="P89" i="1"/>
  <c r="P582" i="1"/>
  <c r="P522" i="1"/>
  <c r="P72" i="1"/>
  <c r="P127" i="1"/>
  <c r="P301" i="1"/>
  <c r="P458" i="1"/>
  <c r="P151" i="1"/>
  <c r="P540" i="1"/>
  <c r="P67" i="1"/>
  <c r="P81" i="1"/>
  <c r="P322" i="1"/>
  <c r="P150" i="1"/>
  <c r="P45" i="1"/>
  <c r="P145" i="1"/>
  <c r="P184" i="1"/>
  <c r="P711" i="1"/>
  <c r="P48" i="1"/>
  <c r="P389" i="1"/>
  <c r="P339" i="1"/>
  <c r="P759" i="1"/>
  <c r="P515" i="1"/>
  <c r="P58" i="1"/>
  <c r="P403" i="1"/>
  <c r="P101" i="1"/>
  <c r="P508" i="1"/>
  <c r="P699" i="1"/>
  <c r="P715" i="1"/>
  <c r="P657" i="1"/>
  <c r="P542" i="1"/>
  <c r="P679" i="1"/>
  <c r="P661" i="1"/>
  <c r="P170" i="1"/>
  <c r="P103" i="1"/>
  <c r="P702" i="1"/>
  <c r="P744" i="1"/>
  <c r="P606" i="1"/>
  <c r="P51" i="1"/>
  <c r="P611" i="1"/>
  <c r="P161" i="1"/>
  <c r="P76" i="1"/>
  <c r="P75" i="1"/>
  <c r="P374" i="1"/>
  <c r="P343" i="1"/>
  <c r="P659" i="1"/>
  <c r="P573" i="1"/>
  <c r="P461" i="1"/>
  <c r="P226" i="1"/>
  <c r="P544" i="1"/>
  <c r="P629" i="1"/>
  <c r="P215" i="1"/>
  <c r="P313" i="1"/>
  <c r="P265" i="1"/>
  <c r="P635" i="1"/>
  <c r="P513" i="1"/>
  <c r="P749" i="1"/>
  <c r="P68" i="1"/>
  <c r="P29" i="1"/>
  <c r="P631" i="1"/>
  <c r="P292" i="1"/>
  <c r="P233" i="1"/>
  <c r="P146" i="1"/>
  <c r="P475" i="1"/>
  <c r="P351" i="1"/>
  <c r="P317" i="1"/>
  <c r="P63" i="1"/>
  <c r="P642" i="1"/>
  <c r="P129" i="1"/>
  <c r="P684" i="1"/>
  <c r="P682" i="1"/>
  <c r="P100" i="1"/>
  <c r="P512" i="1"/>
  <c r="P428" i="1"/>
  <c r="P247" i="1"/>
  <c r="P736" i="1"/>
  <c r="P765" i="1"/>
  <c r="P134" i="1"/>
  <c r="P730" i="1"/>
  <c r="P712" i="1"/>
  <c r="P288" i="1"/>
  <c r="P743" i="1"/>
  <c r="P208" i="1"/>
  <c r="P760" i="1"/>
  <c r="P30" i="1"/>
  <c r="P56" i="1"/>
  <c r="P563" i="1"/>
  <c r="P674" i="1"/>
  <c r="P495" i="1"/>
  <c r="P332" i="1"/>
  <c r="P370" i="1"/>
  <c r="P546" i="1"/>
  <c r="P473" i="1"/>
  <c r="P274" i="1"/>
  <c r="P189" i="1"/>
  <c r="P575" i="1"/>
  <c r="P766" i="1"/>
  <c r="P665" i="1"/>
  <c r="P4" i="1"/>
  <c r="P74" i="1"/>
  <c r="O218" i="1"/>
  <c r="O347" i="1"/>
  <c r="O353" i="1"/>
  <c r="O357" i="1"/>
  <c r="O610" i="1"/>
  <c r="O683" i="1"/>
  <c r="O750" i="1"/>
  <c r="O14" i="1"/>
  <c r="O94" i="1"/>
  <c r="O196" i="1"/>
  <c r="O396" i="1"/>
  <c r="O439" i="1"/>
  <c r="O484" i="1"/>
  <c r="O494" i="1"/>
  <c r="O505" i="1"/>
  <c r="O523" i="1"/>
  <c r="O688" i="1"/>
  <c r="O697" i="1"/>
  <c r="O202" i="1"/>
  <c r="O272" i="1"/>
  <c r="O450" i="1"/>
  <c r="O583" i="1"/>
  <c r="O689" i="1"/>
  <c r="O753" i="1"/>
  <c r="O758" i="1"/>
  <c r="O114" i="1"/>
  <c r="O142" i="1"/>
  <c r="O207" i="1"/>
  <c r="O244" i="1"/>
  <c r="O278" i="1"/>
  <c r="O329" i="1"/>
  <c r="O356" i="1"/>
  <c r="O366" i="1"/>
  <c r="O380" i="1"/>
  <c r="O524" i="1"/>
  <c r="O527" i="1"/>
  <c r="O567" i="1"/>
  <c r="O628" i="1"/>
  <c r="O37" i="1"/>
  <c r="O122" i="1"/>
  <c r="O153" i="1"/>
  <c r="O257" i="1"/>
  <c r="O303" i="1"/>
  <c r="O387" i="1"/>
  <c r="O510" i="1"/>
  <c r="O622" i="1"/>
  <c r="O636" i="1"/>
  <c r="O656" i="1"/>
  <c r="O686" i="1"/>
  <c r="O709" i="1"/>
  <c r="O761" i="1"/>
  <c r="O91" i="1"/>
  <c r="O113" i="1"/>
  <c r="O123" i="1"/>
  <c r="O128" i="1"/>
  <c r="O137" i="1"/>
  <c r="O157" i="1"/>
  <c r="O333" i="1"/>
  <c r="O384" i="1"/>
  <c r="O386" i="1"/>
  <c r="O388" i="1"/>
  <c r="O446" i="1"/>
  <c r="O509" i="1"/>
  <c r="O511" i="1"/>
  <c r="O632" i="1"/>
  <c r="O668" i="1"/>
  <c r="O7" i="1"/>
  <c r="O79" i="1"/>
  <c r="O225" i="1"/>
  <c r="O307" i="1"/>
  <c r="O348" i="1"/>
  <c r="O431" i="1"/>
  <c r="O464" i="1"/>
  <c r="O472" i="1"/>
  <c r="O545" i="1"/>
  <c r="O588" i="1"/>
  <c r="O609" i="1"/>
  <c r="O719" i="1"/>
  <c r="O118" i="1"/>
  <c r="O147" i="1"/>
  <c r="O234" i="1"/>
  <c r="O251" i="1"/>
  <c r="O256" i="1"/>
  <c r="O430" i="1"/>
  <c r="O514" i="1"/>
  <c r="O667" i="1"/>
  <c r="O700" i="1"/>
  <c r="O725" i="1"/>
  <c r="O144" i="1"/>
  <c r="O199" i="1"/>
  <c r="O463" i="1"/>
  <c r="O482" i="1"/>
  <c r="O483" i="1"/>
  <c r="O580" i="1"/>
  <c r="O645" i="1"/>
  <c r="O649" i="1"/>
  <c r="O660" i="1"/>
  <c r="O704" i="1"/>
  <c r="O131" i="1"/>
  <c r="O175" i="1"/>
  <c r="O260" i="1"/>
  <c r="O271" i="1"/>
  <c r="O293" i="1"/>
  <c r="O437" i="1"/>
  <c r="O581" i="1"/>
  <c r="O713" i="1"/>
  <c r="O740" i="1"/>
  <c r="O248" i="1"/>
  <c r="O413" i="1"/>
  <c r="O560" i="1"/>
  <c r="O579" i="1"/>
  <c r="O592" i="1"/>
  <c r="O26" i="1"/>
  <c r="O167" i="1"/>
  <c r="O173" i="1"/>
  <c r="O180" i="1"/>
  <c r="O242" i="1"/>
  <c r="O258" i="1"/>
  <c r="O447" i="1"/>
  <c r="O456" i="1"/>
  <c r="O564" i="1"/>
  <c r="O647" i="1"/>
  <c r="O138" i="1"/>
  <c r="O162" i="1"/>
  <c r="O236" i="1"/>
  <c r="O239" i="1"/>
  <c r="O319" i="1"/>
  <c r="O371" i="1"/>
  <c r="O414" i="1"/>
  <c r="O705" i="1"/>
  <c r="O163" i="1"/>
  <c r="O373" i="1"/>
  <c r="O415" i="1"/>
  <c r="O605" i="1"/>
  <c r="O40" i="1"/>
  <c r="O107" i="1"/>
  <c r="O182" i="1"/>
  <c r="O221" i="1"/>
  <c r="O287" i="1"/>
  <c r="O392" i="1"/>
  <c r="O432" i="1"/>
  <c r="O572" i="1"/>
  <c r="O576" i="1"/>
  <c r="O124" i="1"/>
  <c r="O140" i="1"/>
  <c r="O205" i="1"/>
  <c r="O229" i="1"/>
  <c r="O346" i="1"/>
  <c r="O377" i="1"/>
  <c r="O402" i="1"/>
  <c r="O438" i="1"/>
  <c r="O621" i="1"/>
  <c r="O639" i="1"/>
  <c r="O748" i="1"/>
  <c r="O46" i="1"/>
  <c r="O82" i="1"/>
  <c r="O169" i="1"/>
  <c r="O193" i="1"/>
  <c r="O644" i="1"/>
  <c r="O728" i="1"/>
  <c r="O732" i="1"/>
  <c r="O20" i="1"/>
  <c r="O183" i="1"/>
  <c r="O282" i="1"/>
  <c r="O286" i="1"/>
  <c r="O375" i="1"/>
  <c r="O376" i="1"/>
  <c r="O426" i="1"/>
  <c r="O485" i="1"/>
  <c r="O507" i="1"/>
  <c r="O538" i="1"/>
  <c r="O85" i="1"/>
  <c r="O224" i="1"/>
  <c r="O284" i="1"/>
  <c r="O291" i="1"/>
  <c r="O390" i="1"/>
  <c r="O516" i="1"/>
  <c r="O528" i="1"/>
  <c r="O604" i="1"/>
  <c r="O615" i="1"/>
  <c r="O692" i="1"/>
  <c r="O17" i="1"/>
  <c r="O38" i="1"/>
  <c r="O87" i="1"/>
  <c r="O177" i="1"/>
  <c r="O261" i="1"/>
  <c r="O308" i="1"/>
  <c r="O315" i="1"/>
  <c r="O383" i="1"/>
  <c r="O417" i="1"/>
  <c r="O460" i="1"/>
  <c r="O499" i="1"/>
  <c r="O556" i="1"/>
  <c r="O707" i="1"/>
  <c r="O535" i="1"/>
  <c r="O320" i="1"/>
  <c r="O658" i="1"/>
  <c r="O481" i="1"/>
  <c r="O411" i="1"/>
  <c r="O491" i="1"/>
  <c r="O212" i="1"/>
  <c r="O614" i="1"/>
  <c r="O102" i="1"/>
  <c r="O534" i="1"/>
  <c r="O455" i="1"/>
  <c r="O497" i="1"/>
  <c r="O24" i="1"/>
  <c r="O607" i="1"/>
  <c r="O470" i="1"/>
  <c r="O92" i="1"/>
  <c r="O352" i="1"/>
  <c r="O385" i="1"/>
  <c r="O306" i="1"/>
  <c r="O480" i="1"/>
  <c r="O41" i="1"/>
  <c r="O57" i="1"/>
  <c r="O625" i="1"/>
  <c r="O675" i="1"/>
  <c r="O530" i="1"/>
  <c r="O571" i="1"/>
  <c r="O551" i="1"/>
  <c r="O220" i="1"/>
  <c r="O110" i="1"/>
  <c r="O211" i="1"/>
  <c r="O166" i="1"/>
  <c r="O422" i="1"/>
  <c r="O39" i="1"/>
  <c r="O555" i="1"/>
  <c r="O434" i="1"/>
  <c r="O726" i="1"/>
  <c r="O608" i="1"/>
  <c r="O149" i="1"/>
  <c r="O331" i="1"/>
  <c r="O590" i="1"/>
  <c r="O685" i="1"/>
  <c r="O181" i="1"/>
  <c r="O62" i="1"/>
  <c r="O47" i="1"/>
  <c r="O255" i="1"/>
  <c r="O670" i="1"/>
  <c r="O489" i="1"/>
  <c r="O2" i="1"/>
  <c r="O768" i="1"/>
  <c r="O687" i="1"/>
  <c r="O433" i="1"/>
  <c r="O154" i="1"/>
  <c r="O314" i="1"/>
  <c r="O141" i="1"/>
  <c r="O338" i="1"/>
  <c r="O299" i="1"/>
  <c r="O651" i="1"/>
  <c r="O270" i="1"/>
  <c r="O174" i="1"/>
  <c r="O285" i="1"/>
  <c r="O200" i="1"/>
  <c r="O757" i="1"/>
  <c r="O553" i="1"/>
  <c r="O420" i="1"/>
  <c r="O280" i="1"/>
  <c r="O190" i="1"/>
  <c r="O90" i="1"/>
  <c r="O600" i="1"/>
  <c r="O246" i="1"/>
  <c r="O108" i="1"/>
  <c r="O613" i="1"/>
  <c r="O179" i="1"/>
  <c r="O727" i="1"/>
  <c r="O201" i="1"/>
  <c r="O496" i="1"/>
  <c r="O136" i="1"/>
  <c r="O754" i="1"/>
  <c r="O360" i="1"/>
  <c r="O155" i="1"/>
  <c r="O9" i="1"/>
  <c r="O745" i="1"/>
  <c r="O397" i="1"/>
  <c r="O423" i="1"/>
  <c r="O724" i="1"/>
  <c r="O237" i="1"/>
  <c r="O603" i="1"/>
  <c r="O550" i="1"/>
  <c r="O22" i="1"/>
  <c r="O335" i="1"/>
  <c r="O96" i="1"/>
  <c r="O192" i="1"/>
  <c r="O116" i="1"/>
  <c r="O328" i="1"/>
  <c r="O706" i="1"/>
  <c r="O716" i="1"/>
  <c r="O669" i="1"/>
  <c r="O95" i="1"/>
  <c r="O368" i="1"/>
  <c r="O323" i="1"/>
  <c r="O171" i="1"/>
  <c r="O673" i="1"/>
  <c r="O648" i="1"/>
  <c r="O570" i="1"/>
  <c r="O249" i="1"/>
  <c r="O52" i="1"/>
  <c r="O717" i="1"/>
  <c r="O756" i="1"/>
  <c r="O733" i="1"/>
  <c r="O259" i="1"/>
  <c r="O344" i="1"/>
  <c r="O240" i="1"/>
  <c r="O252" i="1"/>
  <c r="O655" i="1"/>
  <c r="O355" i="1"/>
  <c r="O243" i="1"/>
  <c r="O369" i="1"/>
  <c r="O119" i="1"/>
  <c r="O442" i="1"/>
  <c r="O394" i="1"/>
  <c r="O654" i="1"/>
  <c r="O457" i="1"/>
  <c r="O612" i="1"/>
  <c r="O32" i="1"/>
  <c r="O618" i="1"/>
  <c r="O214" i="1"/>
  <c r="O425" i="1"/>
  <c r="O104" i="1"/>
  <c r="O624" i="1"/>
  <c r="O477" i="1"/>
  <c r="O723" i="1"/>
  <c r="O187" i="1"/>
  <c r="O703" i="1"/>
  <c r="O158" i="1"/>
  <c r="O340" i="1"/>
  <c r="O533" i="1"/>
  <c r="O350" i="1"/>
  <c r="O474" i="1"/>
  <c r="O219" i="1"/>
  <c r="O498" i="1"/>
  <c r="O330" i="1"/>
  <c r="O359" i="1"/>
  <c r="O36" i="1"/>
  <c r="O602" i="1"/>
  <c r="O441" i="1"/>
  <c r="O747" i="1"/>
  <c r="O690" i="1"/>
  <c r="O742" i="1"/>
  <c r="O18" i="1"/>
  <c r="O43" i="1"/>
  <c r="O143" i="1"/>
  <c r="O678" i="1"/>
  <c r="O734" i="1"/>
  <c r="O213" i="1"/>
  <c r="O31" i="1"/>
  <c r="O105" i="1"/>
  <c r="O539" i="1"/>
  <c r="O641" i="1"/>
  <c r="O393" i="1"/>
  <c r="O269" i="1"/>
  <c r="O327" i="1"/>
  <c r="O106" i="1"/>
  <c r="O404" i="1"/>
  <c r="O336" i="1"/>
  <c r="O469" i="1"/>
  <c r="O297" i="1"/>
  <c r="O342" i="1"/>
  <c r="O637" i="1"/>
  <c r="O316" i="1"/>
  <c r="O126" i="1"/>
  <c r="O281" i="1"/>
  <c r="O176" i="1"/>
  <c r="O627" i="1"/>
  <c r="O601" i="1"/>
  <c r="O554" i="1"/>
  <c r="O206" i="1"/>
  <c r="O309" i="1"/>
  <c r="O12" i="1"/>
  <c r="O735" i="1"/>
  <c r="O13" i="1"/>
  <c r="O416" i="1"/>
  <c r="O407" i="1"/>
  <c r="O529" i="1"/>
  <c r="O653" i="1"/>
  <c r="O230" i="1"/>
  <c r="O304" i="1"/>
  <c r="O98" i="1"/>
  <c r="O35" i="1"/>
  <c r="O410" i="1"/>
  <c r="O468" i="1"/>
  <c r="O589" i="1"/>
  <c r="O345" i="1"/>
  <c r="O290" i="1"/>
  <c r="O84" i="1"/>
  <c r="O341" i="1"/>
  <c r="O694" i="1"/>
  <c r="O443" i="1"/>
  <c r="O487" i="1"/>
  <c r="O365" i="1"/>
  <c r="O663" i="1"/>
  <c r="O277" i="1"/>
  <c r="O363" i="1"/>
  <c r="O643" i="1"/>
  <c r="O739" i="1"/>
  <c r="O536" i="1"/>
  <c r="O10" i="1"/>
  <c r="O568" i="1"/>
  <c r="O708" i="1"/>
  <c r="O440" i="1"/>
  <c r="O435" i="1"/>
  <c r="O23" i="1"/>
  <c r="O691" i="1"/>
  <c r="O289" i="1"/>
  <c r="O362" i="1"/>
  <c r="O361" i="1"/>
  <c r="O634" i="1"/>
  <c r="O525" i="1"/>
  <c r="O671" i="1"/>
  <c r="O172" i="1"/>
  <c r="O741" i="1"/>
  <c r="O526" i="1"/>
  <c r="O598" i="1"/>
  <c r="O294" i="1"/>
  <c r="O465" i="1"/>
  <c r="O203" i="1"/>
  <c r="O83" i="1"/>
  <c r="O160" i="1"/>
  <c r="O652" i="1"/>
  <c r="O633" i="1"/>
  <c r="O54" i="1"/>
  <c r="O130" i="1"/>
  <c r="O186" i="1"/>
  <c r="O209" i="1"/>
  <c r="O222" i="1"/>
  <c r="O80" i="1"/>
  <c r="O15" i="1"/>
  <c r="O125" i="1"/>
  <c r="O97" i="1"/>
  <c r="O349" i="1"/>
  <c r="O662" i="1"/>
  <c r="O720" i="1"/>
  <c r="O752" i="1"/>
  <c r="O767" i="1"/>
  <c r="O471" i="1"/>
  <c r="O409" i="1"/>
  <c r="O217" i="1"/>
  <c r="O73" i="1"/>
  <c r="O235" i="1"/>
  <c r="O419" i="1"/>
  <c r="O737" i="1"/>
  <c r="O8" i="1"/>
  <c r="O11" i="1"/>
  <c r="O295" i="1"/>
  <c r="O436" i="1"/>
  <c r="O228" i="1"/>
  <c r="O245" i="1"/>
  <c r="O77" i="1"/>
  <c r="O318" i="1"/>
  <c r="O358" i="1"/>
  <c r="O595" i="1"/>
  <c r="O120" i="1"/>
  <c r="O71" i="1"/>
  <c r="O311" i="1"/>
  <c r="O395" i="1"/>
  <c r="O672" i="1"/>
  <c r="O630" i="1"/>
  <c r="O594" i="1"/>
  <c r="O587" i="1"/>
  <c r="O64" i="1"/>
  <c r="O405" i="1"/>
  <c r="O367" i="1"/>
  <c r="O488" i="1"/>
  <c r="O49" i="1"/>
  <c r="O27" i="1"/>
  <c r="O326" i="1"/>
  <c r="O476" i="1"/>
  <c r="O263" i="1"/>
  <c r="O421" i="1"/>
  <c r="O597" i="1"/>
  <c r="O764" i="1"/>
  <c r="O89" i="1"/>
  <c r="O582" i="1"/>
  <c r="O522" i="1"/>
  <c r="O72" i="1"/>
  <c r="O127" i="1"/>
  <c r="O301" i="1"/>
  <c r="O458" i="1"/>
  <c r="O151" i="1"/>
  <c r="O540" i="1"/>
  <c r="O67" i="1"/>
  <c r="O81" i="1"/>
  <c r="O322" i="1"/>
  <c r="O150" i="1"/>
  <c r="O45" i="1"/>
  <c r="O145" i="1"/>
  <c r="O184" i="1"/>
  <c r="O711" i="1"/>
  <c r="O48" i="1"/>
  <c r="O389" i="1"/>
  <c r="O339" i="1"/>
  <c r="O759" i="1"/>
  <c r="O515" i="1"/>
  <c r="O58" i="1"/>
  <c r="O403" i="1"/>
  <c r="O101" i="1"/>
  <c r="O508" i="1"/>
  <c r="O699" i="1"/>
  <c r="O715" i="1"/>
  <c r="O657" i="1"/>
  <c r="O542" i="1"/>
  <c r="O679" i="1"/>
  <c r="O661" i="1"/>
  <c r="O170" i="1"/>
  <c r="O103" i="1"/>
  <c r="O702" i="1"/>
  <c r="O744" i="1"/>
  <c r="O606" i="1"/>
  <c r="O51" i="1"/>
  <c r="O611" i="1"/>
  <c r="O161" i="1"/>
  <c r="O76" i="1"/>
  <c r="O75" i="1"/>
  <c r="O374" i="1"/>
  <c r="O343" i="1"/>
  <c r="O659" i="1"/>
  <c r="O573" i="1"/>
  <c r="O461" i="1"/>
  <c r="O226" i="1"/>
  <c r="O544" i="1"/>
  <c r="O629" i="1"/>
  <c r="O215" i="1"/>
  <c r="O313" i="1"/>
  <c r="O265" i="1"/>
  <c r="O635" i="1"/>
  <c r="O513" i="1"/>
  <c r="O749" i="1"/>
  <c r="O68" i="1"/>
  <c r="O29" i="1"/>
  <c r="O631" i="1"/>
  <c r="O292" i="1"/>
  <c r="O233" i="1"/>
  <c r="O146" i="1"/>
  <c r="O475" i="1"/>
  <c r="O351" i="1"/>
  <c r="O317" i="1"/>
  <c r="O63" i="1"/>
  <c r="O642" i="1"/>
  <c r="O129" i="1"/>
  <c r="O684" i="1"/>
  <c r="O682" i="1"/>
  <c r="O100" i="1"/>
  <c r="O512" i="1"/>
  <c r="O428" i="1"/>
  <c r="O247" i="1"/>
  <c r="O736" i="1"/>
  <c r="O765" i="1"/>
  <c r="O134" i="1"/>
  <c r="O730" i="1"/>
  <c r="O712" i="1"/>
  <c r="O288" i="1"/>
  <c r="O743" i="1"/>
  <c r="O208" i="1"/>
  <c r="O760" i="1"/>
  <c r="O30" i="1"/>
  <c r="O56" i="1"/>
  <c r="O563" i="1"/>
  <c r="O674" i="1"/>
  <c r="O495" i="1"/>
  <c r="O332" i="1"/>
  <c r="O370" i="1"/>
  <c r="O546" i="1"/>
  <c r="O473" i="1"/>
  <c r="O274" i="1"/>
  <c r="O189" i="1"/>
  <c r="O575" i="1"/>
  <c r="O766" i="1"/>
  <c r="O665" i="1"/>
  <c r="O4" i="1"/>
  <c r="O74" i="1"/>
  <c r="J545" i="6"/>
  <c r="J1130" i="6"/>
  <c r="J1495" i="6"/>
  <c r="J1212" i="6"/>
  <c r="J1408" i="6"/>
  <c r="J1496" i="6"/>
  <c r="J101" i="6"/>
  <c r="J899" i="6"/>
  <c r="J1227" i="6"/>
  <c r="J1409" i="6"/>
  <c r="J60" i="6"/>
  <c r="J149" i="6"/>
  <c r="J975" i="6"/>
  <c r="J1131" i="6"/>
  <c r="J1228" i="6"/>
  <c r="J1510" i="6"/>
  <c r="J1661" i="6"/>
  <c r="J242" i="6"/>
  <c r="J546" i="6"/>
  <c r="J1310" i="6"/>
  <c r="J1537" i="6"/>
  <c r="J1662" i="6"/>
  <c r="J567" i="6"/>
  <c r="J778" i="6"/>
  <c r="J1296" i="6"/>
  <c r="J1511" i="6"/>
  <c r="J1616" i="6"/>
  <c r="J1688" i="6"/>
  <c r="J563" i="6"/>
  <c r="J812" i="6"/>
  <c r="J897" i="6"/>
  <c r="J1165" i="6"/>
  <c r="J1213" i="6"/>
  <c r="J1501" i="6"/>
  <c r="J102" i="6"/>
  <c r="J1297" i="6"/>
  <c r="J271" i="6"/>
  <c r="J568" i="6"/>
  <c r="J813" i="6"/>
  <c r="J1229" i="6"/>
  <c r="J1663" i="6"/>
  <c r="J1190" i="6"/>
  <c r="J1214" i="6"/>
  <c r="J1230" i="6"/>
  <c r="J1298" i="6"/>
  <c r="J888" i="6"/>
  <c r="J1036" i="6"/>
  <c r="J1132" i="6"/>
  <c r="J1299" i="6"/>
  <c r="J1538" i="6"/>
  <c r="J1357" i="6"/>
  <c r="J814" i="6"/>
  <c r="J1617" i="6"/>
  <c r="J547" i="6"/>
  <c r="J1037" i="6"/>
  <c r="J1311" i="6"/>
  <c r="J1358" i="6"/>
  <c r="J548" i="6"/>
  <c r="J909" i="6"/>
  <c r="J976" i="6"/>
  <c r="J1191" i="6"/>
  <c r="J1512" i="6"/>
  <c r="J1664" i="6"/>
  <c r="J243" i="6"/>
  <c r="J272" i="6"/>
  <c r="J61" i="6"/>
  <c r="J199" i="6"/>
  <c r="J244" i="6"/>
  <c r="J977" i="6"/>
  <c r="J1133" i="6"/>
  <c r="J1192" i="6"/>
  <c r="J1497" i="6"/>
  <c r="J1312" i="6"/>
  <c r="J1359" i="6"/>
  <c r="J1539" i="6"/>
  <c r="J245" i="6"/>
  <c r="J273" i="6"/>
  <c r="J779" i="6"/>
  <c r="J815" i="6"/>
  <c r="J898" i="6"/>
  <c r="J1166" i="6"/>
  <c r="J1193" i="6"/>
  <c r="J1313" i="6"/>
  <c r="J1513" i="6"/>
  <c r="J1618" i="6"/>
  <c r="J1855" i="6"/>
  <c r="J103" i="6"/>
  <c r="J150" i="6"/>
  <c r="J1314" i="6"/>
  <c r="J339" i="6"/>
  <c r="J506" i="6"/>
  <c r="J674" i="6"/>
  <c r="J733" i="6"/>
  <c r="J1073" i="6"/>
  <c r="J1561" i="6"/>
  <c r="J1579" i="6"/>
  <c r="J182" i="6"/>
  <c r="J599" i="6"/>
  <c r="J1853" i="6"/>
  <c r="J1096" i="6"/>
  <c r="J1686" i="6"/>
  <c r="J167" i="6"/>
  <c r="J263" i="6"/>
  <c r="J998" i="6"/>
  <c r="J1074" i="6"/>
  <c r="J804" i="6"/>
  <c r="J1687" i="6"/>
  <c r="J1075" i="6"/>
  <c r="J1256" i="6"/>
  <c r="J1580" i="6"/>
  <c r="J1722" i="6"/>
  <c r="J675" i="6"/>
  <c r="J793" i="6"/>
  <c r="J1854" i="6"/>
  <c r="J1174" i="6"/>
  <c r="J1284" i="6"/>
  <c r="J168" i="6"/>
  <c r="J264" i="6"/>
  <c r="J340" i="6"/>
  <c r="J632" i="6"/>
  <c r="J734" i="6"/>
  <c r="J895" i="6"/>
  <c r="J1175" i="6"/>
  <c r="J1552" i="6"/>
  <c r="J1689" i="6"/>
  <c r="J555" i="6"/>
  <c r="J735" i="6"/>
  <c r="J1176" i="6"/>
  <c r="J1257" i="6"/>
  <c r="J183" i="6"/>
  <c r="J1258" i="6"/>
  <c r="J1700" i="6"/>
  <c r="J169" i="6"/>
  <c r="J184" i="6"/>
  <c r="J265" i="6"/>
  <c r="J382" i="6"/>
  <c r="J600" i="6"/>
  <c r="J676" i="6"/>
  <c r="J185" i="6"/>
  <c r="J556" i="6"/>
  <c r="J805" i="6"/>
  <c r="J1547" i="6"/>
  <c r="J1553" i="6"/>
  <c r="J1562" i="6"/>
  <c r="J1690" i="6"/>
  <c r="J557" i="6"/>
  <c r="J1259" i="6"/>
  <c r="J1691" i="6"/>
  <c r="J72" i="6"/>
  <c r="J341" i="6"/>
  <c r="J806" i="6"/>
  <c r="J1220" i="6"/>
  <c r="J383" i="6"/>
  <c r="J1563" i="6"/>
  <c r="J1692" i="6"/>
  <c r="J601" i="6"/>
  <c r="J633" i="6"/>
  <c r="J807" i="6"/>
  <c r="J896" i="6"/>
  <c r="J1196" i="6"/>
  <c r="J1247" i="6"/>
  <c r="J342" i="6"/>
  <c r="J602" i="6"/>
  <c r="J634" i="6"/>
  <c r="J1548" i="6"/>
  <c r="J635" i="6"/>
  <c r="J677" i="6"/>
  <c r="J736" i="6"/>
  <c r="J794" i="6"/>
  <c r="J1076" i="6"/>
  <c r="J1564" i="6"/>
  <c r="J32" i="6"/>
  <c r="J73" i="6"/>
  <c r="J248" i="6"/>
  <c r="J266" i="6"/>
  <c r="J1177" i="6"/>
  <c r="J1581" i="6"/>
  <c r="J1438" i="6"/>
  <c r="J1846" i="6"/>
  <c r="J500" i="6"/>
  <c r="J10" i="6"/>
  <c r="J209" i="6"/>
  <c r="J504" i="6"/>
  <c r="J1395" i="6"/>
  <c r="J966" i="6"/>
  <c r="J1245" i="6"/>
  <c r="J745" i="6"/>
  <c r="J501" i="6"/>
  <c r="J573" i="6"/>
  <c r="J1122" i="6"/>
  <c r="J1210" i="6"/>
  <c r="J232" i="6"/>
  <c r="J297" i="6"/>
  <c r="J358" i="6"/>
  <c r="J746" i="6"/>
  <c r="J1119" i="6"/>
  <c r="J1396" i="6"/>
  <c r="J1439" i="6"/>
  <c r="J1523" i="6"/>
  <c r="J11" i="6"/>
  <c r="J287" i="6"/>
  <c r="J574" i="6"/>
  <c r="J233" i="6"/>
  <c r="J747" i="6"/>
  <c r="J1524" i="6"/>
  <c r="J1123" i="6"/>
  <c r="J1451" i="6"/>
  <c r="J172" i="6"/>
  <c r="J502" i="6"/>
  <c r="J1525" i="6"/>
  <c r="J505" i="6"/>
  <c r="J748" i="6"/>
  <c r="J967" i="6"/>
  <c r="J1861" i="6"/>
  <c r="J1875" i="6"/>
  <c r="J173" i="6"/>
  <c r="J1038" i="6"/>
  <c r="J1211" i="6"/>
  <c r="J1246" i="6"/>
  <c r="J174" i="6"/>
  <c r="J288" i="6"/>
  <c r="J1452" i="6"/>
  <c r="J1632" i="6"/>
  <c r="J210" i="6"/>
  <c r="J234" i="6"/>
  <c r="J289" i="6"/>
  <c r="J1039" i="6"/>
  <c r="J1397" i="6"/>
  <c r="J1440" i="6"/>
  <c r="J1526" i="6"/>
  <c r="J1633" i="6"/>
  <c r="J298" i="6"/>
  <c r="J693" i="6"/>
  <c r="J503" i="6"/>
  <c r="J1040" i="6"/>
  <c r="J1430" i="6"/>
  <c r="J1847" i="6"/>
  <c r="J211" i="6"/>
  <c r="J299" i="6"/>
  <c r="J359" i="6"/>
  <c r="J520" i="6"/>
  <c r="J1848" i="6"/>
  <c r="J1124" i="6"/>
  <c r="J1398" i="6"/>
  <c r="J1441" i="6"/>
  <c r="J1849" i="6"/>
  <c r="J290" i="6"/>
  <c r="J300" i="6"/>
  <c r="J1634" i="6"/>
  <c r="J1701" i="6"/>
  <c r="J648" i="6"/>
  <c r="J682" i="6"/>
  <c r="J1155" i="6"/>
  <c r="J70" i="6"/>
  <c r="J85" i="6"/>
  <c r="J322" i="6"/>
  <c r="J457" i="6"/>
  <c r="J649" i="6"/>
  <c r="J863" i="6"/>
  <c r="J908" i="6"/>
  <c r="J971" i="6"/>
  <c r="J1106" i="6"/>
  <c r="J1399" i="6"/>
  <c r="J1886" i="6"/>
  <c r="J972" i="6"/>
  <c r="J1117" i="6"/>
  <c r="J1139" i="6"/>
  <c r="J1217" i="6"/>
  <c r="J1291" i="6"/>
  <c r="J1723" i="6"/>
  <c r="J1783" i="6"/>
  <c r="J458" i="6"/>
  <c r="J864" i="6"/>
  <c r="J1118" i="6"/>
  <c r="J1269" i="6"/>
  <c r="J373" i="6"/>
  <c r="J459" i="6"/>
  <c r="J751" i="6"/>
  <c r="J865" i="6"/>
  <c r="J1218" i="6"/>
  <c r="J1360" i="6"/>
  <c r="J1546" i="6"/>
  <c r="J1887" i="6"/>
  <c r="J507" i="6"/>
  <c r="J612" i="6"/>
  <c r="J952" i="6"/>
  <c r="J1107" i="6"/>
  <c r="J1156" i="6"/>
  <c r="J1385" i="6"/>
  <c r="J1724" i="6"/>
  <c r="J1883" i="6"/>
  <c r="J86" i="6"/>
  <c r="J1064" i="6"/>
  <c r="J1108" i="6"/>
  <c r="J476" i="6"/>
  <c r="J508" i="6"/>
  <c r="J953" i="6"/>
  <c r="J1065" i="6"/>
  <c r="J1109" i="6"/>
  <c r="J1140" i="6"/>
  <c r="J1157" i="6"/>
  <c r="J1884" i="6"/>
  <c r="J323" i="6"/>
  <c r="J706" i="6"/>
  <c r="J954" i="6"/>
  <c r="J1001" i="6"/>
  <c r="J1277" i="6"/>
  <c r="J1352" i="6"/>
  <c r="J302" i="6"/>
  <c r="J1141" i="6"/>
  <c r="J1278" i="6"/>
  <c r="J1353" i="6"/>
  <c r="J938" i="6"/>
  <c r="J955" i="6"/>
  <c r="J530" i="6"/>
  <c r="J613" i="6"/>
  <c r="J1158" i="6"/>
  <c r="J1279" i="6"/>
  <c r="J1361" i="6"/>
  <c r="J1519" i="6"/>
  <c r="J1725" i="6"/>
  <c r="J625" i="6"/>
  <c r="J477" i="6"/>
  <c r="J509" i="6"/>
  <c r="J1027" i="6"/>
  <c r="J1362" i="6"/>
  <c r="J752" i="6"/>
  <c r="J1363" i="6"/>
  <c r="J1386" i="6"/>
  <c r="J1142" i="6"/>
  <c r="J1159" i="6"/>
  <c r="J1237" i="6"/>
  <c r="J1270" i="6"/>
  <c r="J87" i="6"/>
  <c r="J478" i="6"/>
  <c r="J1002" i="6"/>
  <c r="J1238" i="6"/>
  <c r="J1285" i="6"/>
  <c r="J1726" i="6"/>
  <c r="J460" i="6"/>
  <c r="J683" i="6"/>
  <c r="J1219" i="6"/>
  <c r="J1271" i="6"/>
  <c r="J1520" i="6"/>
  <c r="J1784" i="6"/>
  <c r="J1885" i="6"/>
  <c r="J71" i="6"/>
  <c r="J88" i="6"/>
  <c r="J841" i="6"/>
  <c r="J968" i="6"/>
  <c r="J1028" i="6"/>
  <c r="J1148" i="6"/>
  <c r="J510" i="6"/>
  <c r="J753" i="6"/>
  <c r="J1149" i="6"/>
  <c r="J1280" i="6"/>
  <c r="J1785" i="6"/>
  <c r="J1069" i="6"/>
  <c r="J1234" i="6"/>
  <c r="J1248" i="6"/>
  <c r="J1454" i="6"/>
  <c r="J1665" i="6"/>
  <c r="J62" i="6"/>
  <c r="J81" i="6"/>
  <c r="J294" i="6"/>
  <c r="J324" i="6"/>
  <c r="J414" i="6"/>
  <c r="J484" i="6"/>
  <c r="J701" i="6"/>
  <c r="J1021" i="6"/>
  <c r="J1235" i="6"/>
  <c r="J82" i="6"/>
  <c r="J190" i="6"/>
  <c r="J702" i="6"/>
  <c r="J930" i="6"/>
  <c r="J969" i="6"/>
  <c r="J979" i="6"/>
  <c r="J1070" i="6"/>
  <c r="J1242" i="6"/>
  <c r="J1272" i="6"/>
  <c r="J1683" i="6"/>
  <c r="J175" i="6"/>
  <c r="J415" i="6"/>
  <c r="J437" i="6"/>
  <c r="J970" i="6"/>
  <c r="J191" i="6"/>
  <c r="J525" i="6"/>
  <c r="J658" i="6"/>
  <c r="J1540" i="6"/>
  <c r="J1716" i="6"/>
  <c r="J63" i="6"/>
  <c r="J493" i="6"/>
  <c r="J83" i="6"/>
  <c r="J592" i="6"/>
  <c r="J670" i="6"/>
  <c r="J769" i="6"/>
  <c r="J964" i="6"/>
  <c r="J1347" i="6"/>
  <c r="J176" i="6"/>
  <c r="J400" i="6"/>
  <c r="J593" i="6"/>
  <c r="J1071" i="6"/>
  <c r="J1348" i="6"/>
  <c r="J177" i="6"/>
  <c r="J438" i="6"/>
  <c r="J526" i="6"/>
  <c r="J594" i="6"/>
  <c r="J703" i="6"/>
  <c r="J707" i="6"/>
  <c r="J1611" i="6"/>
  <c r="J439" i="6"/>
  <c r="J485" i="6"/>
  <c r="J511" i="6"/>
  <c r="J965" i="6"/>
  <c r="J1404" i="6"/>
  <c r="J416" i="6"/>
  <c r="J931" i="6"/>
  <c r="J1072" i="6"/>
  <c r="J1666" i="6"/>
  <c r="J95" i="6"/>
  <c r="J671" i="6"/>
  <c r="J932" i="6"/>
  <c r="J1236" i="6"/>
  <c r="J64" i="6"/>
  <c r="J178" i="6"/>
  <c r="J385" i="6"/>
  <c r="J494" i="6"/>
  <c r="J1022" i="6"/>
  <c r="J1249" i="6"/>
  <c r="J1254" i="6"/>
  <c r="J1405" i="6"/>
  <c r="J1541" i="6"/>
  <c r="J1717" i="6"/>
  <c r="J1023" i="6"/>
  <c r="J1667" i="6"/>
  <c r="J1684" i="6"/>
  <c r="J1718" i="6"/>
  <c r="J84" i="6"/>
  <c r="J495" i="6"/>
  <c r="J1243" i="6"/>
  <c r="J1423" i="6"/>
  <c r="J1542" i="6"/>
  <c r="J1685" i="6"/>
  <c r="J1719" i="6"/>
  <c r="J386" i="6"/>
  <c r="J1244" i="6"/>
  <c r="J1273" i="6"/>
  <c r="J1424" i="6"/>
  <c r="J1455" i="6"/>
  <c r="J295" i="6"/>
  <c r="J486" i="6"/>
  <c r="J512" i="6"/>
  <c r="J1697" i="6"/>
  <c r="J1750" i="6"/>
  <c r="J192" i="6"/>
  <c r="J672" i="6"/>
  <c r="J708" i="6"/>
  <c r="J933" i="6"/>
  <c r="J417" i="6"/>
  <c r="J496" i="6"/>
  <c r="J673" i="6"/>
  <c r="J1530" i="6"/>
  <c r="J1882" i="6"/>
  <c r="J65" i="6"/>
  <c r="J296" i="6"/>
  <c r="J487" i="6"/>
  <c r="J1565" i="6"/>
  <c r="J1379" i="6"/>
  <c r="J1383" i="6"/>
  <c r="J1569" i="6"/>
  <c r="J1638" i="6"/>
  <c r="J365" i="6"/>
  <c r="J1527" i="6"/>
  <c r="J1762" i="6"/>
  <c r="J1856" i="6"/>
  <c r="J141" i="6"/>
  <c r="J161" i="6"/>
  <c r="J426" i="6"/>
  <c r="J1380" i="6"/>
  <c r="J1570" i="6"/>
  <c r="J1587" i="6"/>
  <c r="J1763" i="6"/>
  <c r="J366" i="6"/>
  <c r="J37" i="6"/>
  <c r="J398" i="6"/>
  <c r="J774" i="6"/>
  <c r="J399" i="6"/>
  <c r="J678" i="6"/>
  <c r="J775" i="6"/>
  <c r="J1128" i="6"/>
  <c r="J1253" i="6"/>
  <c r="J1381" i="6"/>
  <c r="J1764" i="6"/>
  <c r="J38" i="6"/>
  <c r="J409" i="6"/>
  <c r="J4" i="6"/>
  <c r="J142" i="6"/>
  <c r="J367" i="6"/>
  <c r="J427" i="6"/>
  <c r="J679" i="6"/>
  <c r="J776" i="6"/>
  <c r="J980" i="6"/>
  <c r="J1857" i="6"/>
  <c r="J241" i="6"/>
  <c r="J558" i="6"/>
  <c r="J1129" i="6"/>
  <c r="J1571" i="6"/>
  <c r="J338" i="6"/>
  <c r="J757" i="6"/>
  <c r="J855" i="6"/>
  <c r="J974" i="6"/>
  <c r="J1198" i="6"/>
  <c r="J1255" i="6"/>
  <c r="J1641" i="6"/>
  <c r="J1786" i="6"/>
  <c r="J368" i="6"/>
  <c r="J428" i="6"/>
  <c r="J559" i="6"/>
  <c r="J680" i="6"/>
  <c r="J978" i="6"/>
  <c r="J1823" i="6"/>
  <c r="J363" i="6"/>
  <c r="J777" i="6"/>
  <c r="J854" i="6"/>
  <c r="J1274" i="6"/>
  <c r="J301" i="6"/>
  <c r="J716" i="6"/>
  <c r="J758" i="6"/>
  <c r="J143" i="6"/>
  <c r="J162" i="6"/>
  <c r="J717" i="6"/>
  <c r="J759" i="6"/>
  <c r="J856" i="6"/>
  <c r="J1332" i="6"/>
  <c r="J1384" i="6"/>
  <c r="J429" i="6"/>
  <c r="J1275" i="6"/>
  <c r="J1554" i="6"/>
  <c r="J5" i="6"/>
  <c r="J681" i="6"/>
  <c r="J1112" i="6"/>
  <c r="J1276" i="6"/>
  <c r="J1528" i="6"/>
  <c r="J1588" i="6"/>
  <c r="J1639" i="6"/>
  <c r="J1787" i="6"/>
  <c r="J246" i="6"/>
  <c r="J760" i="6"/>
  <c r="J791" i="6"/>
  <c r="J1199" i="6"/>
  <c r="J1788" i="6"/>
  <c r="J39" i="6"/>
  <c r="J144" i="6"/>
  <c r="J325" i="6"/>
  <c r="J1333" i="6"/>
  <c r="J247" i="6"/>
  <c r="J792" i="6"/>
  <c r="J1765" i="6"/>
  <c r="J1789" i="6"/>
  <c r="J1824" i="6"/>
  <c r="J1077" i="6"/>
  <c r="J1082" i="6"/>
  <c r="J1300" i="6"/>
  <c r="J1376" i="6"/>
  <c r="J1515" i="6"/>
  <c r="J104" i="6"/>
  <c r="J576" i="6"/>
  <c r="J699" i="6"/>
  <c r="J135" i="6"/>
  <c r="J1005" i="6"/>
  <c r="J212" i="6"/>
  <c r="J260" i="6"/>
  <c r="J700" i="6"/>
  <c r="J1048" i="6"/>
  <c r="J1266" i="6"/>
  <c r="J347" i="6"/>
  <c r="J579" i="6"/>
  <c r="J1239" i="6"/>
  <c r="J1377" i="6"/>
  <c r="J1413" i="6"/>
  <c r="J1668" i="6"/>
  <c r="J1078" i="6"/>
  <c r="J1267" i="6"/>
  <c r="J1516" i="6"/>
  <c r="J1669" i="6"/>
  <c r="J105" i="6"/>
  <c r="J684" i="6"/>
  <c r="J780" i="6"/>
  <c r="J1378" i="6"/>
  <c r="J1517" i="6"/>
  <c r="J685" i="6"/>
  <c r="J1240" i="6"/>
  <c r="J1301" i="6"/>
  <c r="J1531" i="6"/>
  <c r="J1670" i="6"/>
  <c r="J136" i="6"/>
  <c r="J406" i="6"/>
  <c r="J1079" i="6"/>
  <c r="J1151" i="6"/>
  <c r="J1518" i="6"/>
  <c r="J1532" i="6"/>
  <c r="J1671" i="6"/>
  <c r="J137" i="6"/>
  <c r="J900" i="6"/>
  <c r="J1414" i="6"/>
  <c r="J1006" i="6"/>
  <c r="J106" i="6"/>
  <c r="J303" i="6"/>
  <c r="J686" i="6"/>
  <c r="J901" i="6"/>
  <c r="J1188" i="6"/>
  <c r="J1215" i="6"/>
  <c r="J348" i="6"/>
  <c r="J1049" i="6"/>
  <c r="J1080" i="6"/>
  <c r="J1241" i="6"/>
  <c r="J261" i="6"/>
  <c r="J407" i="6"/>
  <c r="J580" i="6"/>
  <c r="J1268" i="6"/>
  <c r="J1779" i="6"/>
  <c r="J304" i="6"/>
  <c r="J349" i="6"/>
  <c r="J1302" i="6"/>
  <c r="J305" i="6"/>
  <c r="J902" i="6"/>
  <c r="J408" i="6"/>
  <c r="J581" i="6"/>
  <c r="J1050" i="6"/>
  <c r="J694" i="6"/>
  <c r="J1444" i="6"/>
  <c r="J14" i="6"/>
  <c r="J695" i="6"/>
  <c r="J889" i="6"/>
  <c r="J903" i="6"/>
  <c r="J1169" i="6"/>
  <c r="J1344" i="6"/>
  <c r="J262" i="6"/>
  <c r="J306" i="6"/>
  <c r="J582" i="6"/>
  <c r="J1051" i="6"/>
  <c r="J1189" i="6"/>
  <c r="J1216" i="6"/>
  <c r="J1500" i="6"/>
  <c r="J49" i="6"/>
  <c r="J186" i="6"/>
  <c r="J650" i="6"/>
  <c r="J657" i="6"/>
  <c r="J1751" i="6"/>
  <c r="J765" i="6"/>
  <c r="J1081" i="6"/>
  <c r="J1573" i="6"/>
  <c r="J1732" i="6"/>
  <c r="J595" i="6"/>
  <c r="J1752" i="6"/>
  <c r="J12" i="6"/>
  <c r="J157" i="6"/>
  <c r="J603" i="6"/>
  <c r="J1114" i="6"/>
  <c r="J1574" i="6"/>
  <c r="J596" i="6"/>
  <c r="J651" i="6"/>
  <c r="J1184" i="6"/>
  <c r="J1753" i="6"/>
  <c r="J50" i="6"/>
  <c r="J158" i="6"/>
  <c r="J187" i="6"/>
  <c r="J1110" i="6"/>
  <c r="J1185" i="6"/>
  <c r="J109" i="6"/>
  <c r="J126" i="6"/>
  <c r="J188" i="6"/>
  <c r="J227" i="6"/>
  <c r="J310" i="6"/>
  <c r="J430" i="6"/>
  <c r="J666" i="6"/>
  <c r="J189" i="6"/>
  <c r="J228" i="6"/>
  <c r="J1115" i="6"/>
  <c r="J1866" i="6"/>
  <c r="J110" i="6"/>
  <c r="J384" i="6"/>
  <c r="J597" i="6"/>
  <c r="J766" i="6"/>
  <c r="J1575" i="6"/>
  <c r="J111" i="6"/>
  <c r="J311" i="6"/>
  <c r="J598" i="6"/>
  <c r="J1186" i="6"/>
  <c r="J1733" i="6"/>
  <c r="J229" i="6"/>
  <c r="J312" i="6"/>
  <c r="J431" i="6"/>
  <c r="J1776" i="6"/>
  <c r="J1806" i="6"/>
  <c r="J159" i="6"/>
  <c r="J155" i="6"/>
  <c r="J230" i="6"/>
  <c r="J643" i="6"/>
  <c r="J767" i="6"/>
  <c r="J1116" i="6"/>
  <c r="J1640" i="6"/>
  <c r="J127" i="6"/>
  <c r="J160" i="6"/>
  <c r="J641" i="6"/>
  <c r="J824" i="6"/>
  <c r="J1260" i="6"/>
  <c r="J156" i="6"/>
  <c r="J432" i="6"/>
  <c r="J642" i="6"/>
  <c r="J825" i="6"/>
  <c r="J1777" i="6"/>
  <c r="J1794" i="6"/>
  <c r="J1734" i="6"/>
  <c r="J1778" i="6"/>
  <c r="J1867" i="6"/>
  <c r="J13" i="6"/>
  <c r="J112" i="6"/>
  <c r="J128" i="6"/>
  <c r="J433" i="6"/>
  <c r="J826" i="6"/>
  <c r="J1111" i="6"/>
  <c r="J1187" i="6"/>
  <c r="J1807" i="6"/>
  <c r="J1868" i="6"/>
  <c r="J51" i="6"/>
  <c r="J313" i="6"/>
  <c r="J314" i="6"/>
  <c r="J1754" i="6"/>
  <c r="J652" i="6"/>
  <c r="J667" i="6"/>
  <c r="J768" i="6"/>
  <c r="J827" i="6"/>
  <c r="J1731" i="6"/>
  <c r="J377" i="6"/>
  <c r="J537" i="6"/>
  <c r="J1426" i="6"/>
  <c r="J1593" i="6"/>
  <c r="J1679" i="6"/>
  <c r="J44" i="6"/>
  <c r="J538" i="6"/>
  <c r="J828" i="6"/>
  <c r="J986" i="6"/>
  <c r="J1194" i="6"/>
  <c r="J1338" i="6"/>
  <c r="J1473" i="6"/>
  <c r="J1680" i="6"/>
  <c r="J1003" i="6"/>
  <c r="J1150" i="6"/>
  <c r="J1349" i="6"/>
  <c r="J1420" i="6"/>
  <c r="J1431" i="6"/>
  <c r="J350" i="6"/>
  <c r="J816" i="6"/>
  <c r="J987" i="6"/>
  <c r="J1125" i="6"/>
  <c r="J1195" i="6"/>
  <c r="J1303" i="6"/>
  <c r="J1435" i="6"/>
  <c r="J1463" i="6"/>
  <c r="J1681" i="6"/>
  <c r="J1741" i="6"/>
  <c r="J351" i="6"/>
  <c r="J539" i="6"/>
  <c r="J617" i="6"/>
  <c r="J1319" i="6"/>
  <c r="J45" i="6"/>
  <c r="J618" i="6"/>
  <c r="J1474" i="6"/>
  <c r="J1801" i="6"/>
  <c r="J1004" i="6"/>
  <c r="J1007" i="6"/>
  <c r="J1436" i="6"/>
  <c r="J1592" i="6"/>
  <c r="J1594" i="6"/>
  <c r="J1682" i="6"/>
  <c r="J1720" i="6"/>
  <c r="J619" i="6"/>
  <c r="J786" i="6"/>
  <c r="J1008" i="6"/>
  <c r="J1126" i="6"/>
  <c r="J1350" i="6"/>
  <c r="J1421" i="6"/>
  <c r="J1437" i="6"/>
  <c r="J1475" i="6"/>
  <c r="J1586" i="6"/>
  <c r="J540" i="6"/>
  <c r="J817" i="6"/>
  <c r="J1339" i="6"/>
  <c r="J352" i="6"/>
  <c r="J1120" i="6"/>
  <c r="J1392" i="6"/>
  <c r="J1422" i="6"/>
  <c r="J829" i="6"/>
  <c r="J1320" i="6"/>
  <c r="J1464" i="6"/>
  <c r="J1710" i="6"/>
  <c r="J1721" i="6"/>
  <c r="J46" i="6"/>
  <c r="J787" i="6"/>
  <c r="J1009" i="6"/>
  <c r="J1304" i="6"/>
  <c r="J1393" i="6"/>
  <c r="J1432" i="6"/>
  <c r="J1394" i="6"/>
  <c r="J1595" i="6"/>
  <c r="J1711" i="6"/>
  <c r="J620" i="6"/>
  <c r="J1121" i="6"/>
  <c r="J1305" i="6"/>
  <c r="J1321" i="6"/>
  <c r="J1374" i="6"/>
  <c r="J1433" i="6"/>
  <c r="J1712" i="6"/>
  <c r="J1802" i="6"/>
  <c r="J818" i="6"/>
  <c r="J988" i="6"/>
  <c r="J1127" i="6"/>
  <c r="J1375" i="6"/>
  <c r="J513" i="6"/>
  <c r="J830" i="6"/>
  <c r="J1340" i="6"/>
  <c r="J1803" i="6"/>
  <c r="J1434" i="6"/>
  <c r="J353" i="6"/>
  <c r="J788" i="6"/>
  <c r="J1351" i="6"/>
  <c r="J1713" i="6"/>
  <c r="J47" i="6"/>
  <c r="J1306" i="6"/>
  <c r="J1322" i="6"/>
  <c r="J1596" i="6"/>
  <c r="J1621" i="6"/>
  <c r="J846" i="6"/>
  <c r="J387" i="6"/>
  <c r="J653" i="6"/>
  <c r="J1693" i="6"/>
  <c r="J401" i="6"/>
  <c r="J1427" i="6"/>
  <c r="J795" i="6"/>
  <c r="J434" i="6"/>
  <c r="J541" i="6"/>
  <c r="J847" i="6"/>
  <c r="J1084" i="6"/>
  <c r="J1447" i="6"/>
  <c r="J1901" i="6"/>
  <c r="J117" i="6"/>
  <c r="J291" i="6"/>
  <c r="J848" i="6"/>
  <c r="J1207" i="6"/>
  <c r="J1371" i="6"/>
  <c r="J1448" i="6"/>
  <c r="J1828" i="6"/>
  <c r="J1449" i="6"/>
  <c r="J1645" i="6"/>
  <c r="J163" i="6"/>
  <c r="J654" i="6"/>
  <c r="J737" i="6"/>
  <c r="J849" i="6"/>
  <c r="J1085" i="6"/>
  <c r="J1094" i="6"/>
  <c r="J1498" i="6"/>
  <c r="J97" i="6"/>
  <c r="J655" i="6"/>
  <c r="J796" i="6"/>
  <c r="J1060" i="6"/>
  <c r="J1208" i="6"/>
  <c r="J1646" i="6"/>
  <c r="J1694" i="6"/>
  <c r="J1698" i="6"/>
  <c r="J118" i="6"/>
  <c r="J292" i="6"/>
  <c r="J388" i="6"/>
  <c r="J656" i="6"/>
  <c r="J692" i="6"/>
  <c r="J1450" i="6"/>
  <c r="J1795" i="6"/>
  <c r="J98" i="6"/>
  <c r="J797" i="6"/>
  <c r="J1695" i="6"/>
  <c r="J2" i="6"/>
  <c r="J119" i="6"/>
  <c r="J164" i="6"/>
  <c r="J453" i="6"/>
  <c r="J466" i="6"/>
  <c r="J542" i="6"/>
  <c r="J1087" i="6"/>
  <c r="J165" i="6"/>
  <c r="J402" i="6"/>
  <c r="J543" i="6"/>
  <c r="J1372" i="6"/>
  <c r="J1499" i="6"/>
  <c r="J389" i="6"/>
  <c r="J467" i="6"/>
  <c r="J1086" i="6"/>
  <c r="J1699" i="6"/>
  <c r="J166" i="6"/>
  <c r="J1061" i="6"/>
  <c r="J1209" i="6"/>
  <c r="J293" i="6"/>
  <c r="J1796" i="6"/>
  <c r="J468" i="6"/>
  <c r="J664" i="6"/>
  <c r="J1647" i="6"/>
  <c r="J3" i="6"/>
  <c r="J403" i="6"/>
  <c r="J435" i="6"/>
  <c r="J544" i="6"/>
  <c r="J798" i="6"/>
  <c r="J1088" i="6"/>
  <c r="J1761" i="6"/>
  <c r="J1902" i="6"/>
  <c r="J99" i="6"/>
  <c r="J346" i="6"/>
  <c r="J390" i="6"/>
  <c r="J469" i="6"/>
  <c r="J1696" i="6"/>
  <c r="J1903" i="6"/>
  <c r="J370" i="6"/>
  <c r="J518" i="6"/>
  <c r="J490" i="6"/>
  <c r="J917" i="6"/>
  <c r="J461" i="6"/>
  <c r="J636" i="6"/>
  <c r="J719" i="6"/>
  <c r="J1054" i="6"/>
  <c r="J1223" i="6"/>
  <c r="J1382" i="6"/>
  <c r="J519" i="6"/>
  <c r="J720" i="6"/>
  <c r="J1873" i="6"/>
  <c r="J514" i="6"/>
  <c r="J999" i="6"/>
  <c r="J1364" i="6"/>
  <c r="J1597" i="6"/>
  <c r="J238" i="6"/>
  <c r="J1797" i="6"/>
  <c r="J1862" i="6"/>
  <c r="J284" i="6"/>
  <c r="J451" i="6"/>
  <c r="J1598" i="6"/>
  <c r="J1863" i="6"/>
  <c r="J17" i="6"/>
  <c r="J709" i="6"/>
  <c r="J866" i="6"/>
  <c r="J918" i="6"/>
  <c r="J1224" i="6"/>
  <c r="J1506" i="6"/>
  <c r="J360" i="6"/>
  <c r="J628" i="6"/>
  <c r="J1041" i="6"/>
  <c r="J1476" i="6"/>
  <c r="J1874" i="6"/>
  <c r="J239" i="6"/>
  <c r="J285" i="6"/>
  <c r="J491" i="6"/>
  <c r="J689" i="6"/>
  <c r="J1055" i="6"/>
  <c r="J1477" i="6"/>
  <c r="J404" i="6"/>
  <c r="J629" i="6"/>
  <c r="J690" i="6"/>
  <c r="J754" i="6"/>
  <c r="J1507" i="6"/>
  <c r="J1798" i="6"/>
  <c r="J1864" i="6"/>
  <c r="J462" i="6"/>
  <c r="J1425" i="6"/>
  <c r="J18" i="6"/>
  <c r="J361" i="6"/>
  <c r="J630" i="6"/>
  <c r="J691" i="6"/>
  <c r="J710" i="6"/>
  <c r="J1225" i="6"/>
  <c r="J1365" i="6"/>
  <c r="J1453" i="6"/>
  <c r="J721" i="6"/>
  <c r="J1000" i="6"/>
  <c r="J1366" i="6"/>
  <c r="J1508" i="6"/>
  <c r="J371" i="6"/>
  <c r="J405" i="6"/>
  <c r="J631" i="6"/>
  <c r="J711" i="6"/>
  <c r="J1844" i="6"/>
  <c r="J19" i="6"/>
  <c r="J240" i="6"/>
  <c r="J463" i="6"/>
  <c r="J755" i="6"/>
  <c r="J919" i="6"/>
  <c r="J1799" i="6"/>
  <c r="J452" i="6"/>
  <c r="J515" i="6"/>
  <c r="J722" i="6"/>
  <c r="J756" i="6"/>
  <c r="J1226" i="6"/>
  <c r="J1509" i="6"/>
  <c r="J492" i="6"/>
  <c r="J867" i="6"/>
  <c r="J1865" i="6"/>
  <c r="J372" i="6"/>
  <c r="J464" i="6"/>
  <c r="J516" i="6"/>
  <c r="J712" i="6"/>
  <c r="J1478" i="6"/>
  <c r="J1599" i="6"/>
  <c r="J286" i="6"/>
  <c r="J362" i="6"/>
  <c r="J517" i="6"/>
  <c r="J920" i="6"/>
  <c r="J1600" i="6"/>
  <c r="J1845" i="6"/>
  <c r="J52" i="6"/>
  <c r="J497" i="6"/>
  <c r="J622" i="6"/>
  <c r="J637" i="6"/>
  <c r="J660" i="6"/>
  <c r="J1354" i="6"/>
  <c r="J1642" i="6"/>
  <c r="J1769" i="6"/>
  <c r="J1773" i="6"/>
  <c r="J1869" i="6"/>
  <c r="J615" i="6"/>
  <c r="J623" i="6"/>
  <c r="J644" i="6"/>
  <c r="J942" i="6"/>
  <c r="J1062" i="6"/>
  <c r="J1643" i="6"/>
  <c r="J1743" i="6"/>
  <c r="J1809" i="6"/>
  <c r="J131" i="6"/>
  <c r="J249" i="6"/>
  <c r="J608" i="6"/>
  <c r="J624" i="6"/>
  <c r="J252" i="6"/>
  <c r="J645" i="6"/>
  <c r="J904" i="6"/>
  <c r="J1654" i="6"/>
  <c r="J1870" i="6"/>
  <c r="J822" i="6"/>
  <c r="J857" i="6"/>
  <c r="J1113" i="6"/>
  <c r="J1406" i="6"/>
  <c r="J1655" i="6"/>
  <c r="J1774" i="6"/>
  <c r="J1871" i="6"/>
  <c r="J132" i="6"/>
  <c r="J436" i="6"/>
  <c r="J646" i="6"/>
  <c r="J659" i="6"/>
  <c r="J858" i="6"/>
  <c r="J881" i="6"/>
  <c r="J53" i="6"/>
  <c r="J250" i="6"/>
  <c r="J253" i="6"/>
  <c r="J307" i="6"/>
  <c r="J609" i="6"/>
  <c r="J661" i="6"/>
  <c r="J823" i="6"/>
  <c r="J905" i="6"/>
  <c r="J1656" i="6"/>
  <c r="J1792" i="6"/>
  <c r="J465" i="6"/>
  <c r="J1590" i="6"/>
  <c r="J1775" i="6"/>
  <c r="J66" i="6"/>
  <c r="J450" i="6"/>
  <c r="J638" i="6"/>
  <c r="J838" i="6"/>
  <c r="J882" i="6"/>
  <c r="J1355" i="6"/>
  <c r="J1407" i="6"/>
  <c r="J444" i="6"/>
  <c r="J1063" i="6"/>
  <c r="J1810" i="6"/>
  <c r="J251" i="6"/>
  <c r="J308" i="6"/>
  <c r="J445" i="6"/>
  <c r="J859" i="6"/>
  <c r="J1485" i="6"/>
  <c r="J1770" i="6"/>
  <c r="J54" i="6"/>
  <c r="J662" i="6"/>
  <c r="J1486" i="6"/>
  <c r="J1811" i="6"/>
  <c r="J55" i="6"/>
  <c r="J446" i="6"/>
  <c r="J663" i="6"/>
  <c r="J943" i="6"/>
  <c r="J1609" i="6"/>
  <c r="J1744" i="6"/>
  <c r="J133" i="6"/>
  <c r="J621" i="6"/>
  <c r="J839" i="6"/>
  <c r="J906" i="6"/>
  <c r="J1591" i="6"/>
  <c r="J1771" i="6"/>
  <c r="J134" i="6"/>
  <c r="J610" i="6"/>
  <c r="J647" i="6"/>
  <c r="J1487" i="6"/>
  <c r="J1610" i="6"/>
  <c r="J309" i="6"/>
  <c r="J639" i="6"/>
  <c r="J840" i="6"/>
  <c r="J1391" i="6"/>
  <c r="J1772" i="6"/>
  <c r="J616" i="6"/>
  <c r="J860" i="6"/>
  <c r="J907" i="6"/>
  <c r="J1134" i="6"/>
  <c r="J1644" i="6"/>
  <c r="J611" i="6"/>
  <c r="J1356" i="6"/>
  <c r="J1488" i="6"/>
  <c r="J1589" i="6"/>
  <c r="J1793" i="6"/>
  <c r="J447" i="6"/>
  <c r="J498" i="6"/>
  <c r="J640" i="6"/>
  <c r="J944" i="6"/>
  <c r="J1872" i="6"/>
  <c r="J410" i="6"/>
  <c r="J1533" i="6"/>
  <c r="J914" i="6"/>
  <c r="J1101" i="6"/>
  <c r="J1307" i="6"/>
  <c r="J1521" i="6"/>
  <c r="J91" i="6"/>
  <c r="J607" i="6"/>
  <c r="J945" i="6"/>
  <c r="J79" i="6"/>
  <c r="J564" i="6"/>
  <c r="J892" i="6"/>
  <c r="J992" i="6"/>
  <c r="J1099" i="6"/>
  <c r="J276" i="6"/>
  <c r="J364" i="6"/>
  <c r="J842" i="6"/>
  <c r="J993" i="6"/>
  <c r="J1308" i="6"/>
  <c r="J1504" i="6"/>
  <c r="J1737" i="6"/>
  <c r="J1790" i="6"/>
  <c r="J315" i="6"/>
  <c r="J565" i="6"/>
  <c r="J843" i="6"/>
  <c r="J872" i="6"/>
  <c r="J1100" i="6"/>
  <c r="J1481" i="6"/>
  <c r="J316" i="6"/>
  <c r="J481" i="6"/>
  <c r="J1180" i="6"/>
  <c r="J1309" i="6"/>
  <c r="J1534" i="6"/>
  <c r="J1850" i="6"/>
  <c r="J411" i="6"/>
  <c r="J424" i="6"/>
  <c r="J1482" i="6"/>
  <c r="J1606" i="6"/>
  <c r="J1738" i="6"/>
  <c r="J92" i="6"/>
  <c r="J482" i="6"/>
  <c r="J844" i="6"/>
  <c r="J277" i="6"/>
  <c r="J1135" i="6"/>
  <c r="J1181" i="6"/>
  <c r="J412" i="6"/>
  <c r="J614" i="6"/>
  <c r="J951" i="6"/>
  <c r="J1505" i="6"/>
  <c r="J93" i="6"/>
  <c r="J413" i="6"/>
  <c r="J553" i="6"/>
  <c r="J893" i="6"/>
  <c r="J1231" i="6"/>
  <c r="J1522" i="6"/>
  <c r="J1607" i="6"/>
  <c r="J845" i="6"/>
  <c r="J1136" i="6"/>
  <c r="J1182" i="6"/>
  <c r="J1232" i="6"/>
  <c r="J1483" i="6"/>
  <c r="J915" i="6"/>
  <c r="J278" i="6"/>
  <c r="J317" i="6"/>
  <c r="J916" i="6"/>
  <c r="J1739" i="6"/>
  <c r="J1742" i="6"/>
  <c r="J994" i="6"/>
  <c r="J1066" i="6"/>
  <c r="J1172" i="6"/>
  <c r="J1535" i="6"/>
  <c r="J1791" i="6"/>
  <c r="J318" i="6"/>
  <c r="J483" i="6"/>
  <c r="J554" i="6"/>
  <c r="J566" i="6"/>
  <c r="J1067" i="6"/>
  <c r="J1740" i="6"/>
  <c r="J946" i="6"/>
  <c r="J1183" i="6"/>
  <c r="J894" i="6"/>
  <c r="J995" i="6"/>
  <c r="J1042" i="6"/>
  <c r="J1102" i="6"/>
  <c r="J1173" i="6"/>
  <c r="J1484" i="6"/>
  <c r="J1536" i="6"/>
  <c r="J1608" i="6"/>
  <c r="J1851" i="6"/>
  <c r="J80" i="6"/>
  <c r="J94" i="6"/>
  <c r="J811" i="6"/>
  <c r="J873" i="6"/>
  <c r="J588" i="6"/>
  <c r="J800" i="6"/>
  <c r="J1024" i="6"/>
  <c r="J1367" i="6"/>
  <c r="J1702" i="6"/>
  <c r="J77" i="6"/>
  <c r="J257" i="6"/>
  <c r="J549" i="6"/>
  <c r="J770" i="6"/>
  <c r="J1576" i="6"/>
  <c r="J1043" i="6"/>
  <c r="J1324" i="6"/>
  <c r="J1577" i="6"/>
  <c r="J1833" i="6"/>
  <c r="J1162" i="6"/>
  <c r="J1368" i="6"/>
  <c r="J1566" i="6"/>
  <c r="J1815" i="6"/>
  <c r="J550" i="6"/>
  <c r="J801" i="6"/>
  <c r="J1567" i="6"/>
  <c r="J1578" i="6"/>
  <c r="J1703" i="6"/>
  <c r="J279" i="6"/>
  <c r="J374" i="6"/>
  <c r="J713" i="6"/>
  <c r="J749" i="6"/>
  <c r="J1325" i="6"/>
  <c r="J1704" i="6"/>
  <c r="J454" i="6"/>
  <c r="J528" i="6"/>
  <c r="J990" i="6"/>
  <c r="J1014" i="6"/>
  <c r="J1816" i="6"/>
  <c r="J26" i="6"/>
  <c r="J28" i="6"/>
  <c r="J331" i="6"/>
  <c r="J551" i="6"/>
  <c r="J589" i="6"/>
  <c r="J782" i="6"/>
  <c r="J802" i="6"/>
  <c r="J835" i="6"/>
  <c r="J861" i="6"/>
  <c r="J876" i="6"/>
  <c r="J1163" i="6"/>
  <c r="J1326" i="6"/>
  <c r="J1479" i="6"/>
  <c r="J1834" i="6"/>
  <c r="J280" i="6"/>
  <c r="J783" i="6"/>
  <c r="J1604" i="6"/>
  <c r="J258" i="6"/>
  <c r="J332" i="6"/>
  <c r="J784" i="6"/>
  <c r="J1044" i="6"/>
  <c r="J1672" i="6"/>
  <c r="J29" i="6"/>
  <c r="J590" i="6"/>
  <c r="J750" i="6"/>
  <c r="J1045" i="6"/>
  <c r="J1605" i="6"/>
  <c r="J1812" i="6"/>
  <c r="J27" i="6"/>
  <c r="J552" i="6"/>
  <c r="J862" i="6"/>
  <c r="J1327" i="6"/>
  <c r="J1369" i="6"/>
  <c r="J1480" i="6"/>
  <c r="J1543" i="6"/>
  <c r="J30" i="6"/>
  <c r="J107" i="6"/>
  <c r="J375" i="6"/>
  <c r="J771" i="6"/>
  <c r="J1293" i="6"/>
  <c r="J78" i="6"/>
  <c r="J259" i="6"/>
  <c r="J281" i="6"/>
  <c r="J333" i="6"/>
  <c r="J772" i="6"/>
  <c r="J1025" i="6"/>
  <c r="J1164" i="6"/>
  <c r="J1294" i="6"/>
  <c r="J1673" i="6"/>
  <c r="J41" i="6"/>
  <c r="J836" i="6"/>
  <c r="J956" i="6"/>
  <c r="J1015" i="6"/>
  <c r="J1295" i="6"/>
  <c r="J42" i="6"/>
  <c r="J108" i="6"/>
  <c r="J687" i="6"/>
  <c r="J877" i="6"/>
  <c r="J1016" i="6"/>
  <c r="J1370" i="6"/>
  <c r="J282" i="6"/>
  <c r="J1046" i="6"/>
  <c r="J1813" i="6"/>
  <c r="J376" i="6"/>
  <c r="J425" i="6"/>
  <c r="J455" i="6"/>
  <c r="J688" i="6"/>
  <c r="J714" i="6"/>
  <c r="J773" i="6"/>
  <c r="J991" i="6"/>
  <c r="J1017" i="6"/>
  <c r="J1544" i="6"/>
  <c r="J1568" i="6"/>
  <c r="J1814" i="6"/>
  <c r="J1817" i="6"/>
  <c r="J1835" i="6"/>
  <c r="J31" i="6"/>
  <c r="J43" i="6"/>
  <c r="J591" i="6"/>
  <c r="J785" i="6"/>
  <c r="J837" i="6"/>
  <c r="J878" i="6"/>
  <c r="J1026" i="6"/>
  <c r="J1490" i="6"/>
  <c r="J1674" i="6"/>
  <c r="J529" i="6"/>
  <c r="J803" i="6"/>
  <c r="J1545" i="6"/>
  <c r="J1836" i="6"/>
  <c r="J934" i="6"/>
  <c r="J1103" i="6"/>
  <c r="J1445" i="6"/>
  <c r="J1629" i="6"/>
  <c r="J89" i="6"/>
  <c r="J704" i="6"/>
  <c r="J730" i="6"/>
  <c r="J1089" i="6"/>
  <c r="J1097" i="6"/>
  <c r="J1446" i="6"/>
  <c r="J1582" i="6"/>
  <c r="J1825" i="6"/>
  <c r="J1098" i="6"/>
  <c r="J1160" i="6"/>
  <c r="J1400" i="6"/>
  <c r="J1705" i="6"/>
  <c r="J20" i="6"/>
  <c r="J728" i="6"/>
  <c r="J1032" i="6"/>
  <c r="J1315" i="6"/>
  <c r="J1401" i="6"/>
  <c r="J1583" i="6"/>
  <c r="J1714" i="6"/>
  <c r="J1746" i="6"/>
  <c r="J21" i="6"/>
  <c r="J223" i="6"/>
  <c r="J883" i="6"/>
  <c r="J1747" i="6"/>
  <c r="J874" i="6"/>
  <c r="J935" i="6"/>
  <c r="J1033" i="6"/>
  <c r="J1402" i="6"/>
  <c r="J1706" i="6"/>
  <c r="J1826" i="6"/>
  <c r="J884" i="6"/>
  <c r="J1707" i="6"/>
  <c r="J56" i="6"/>
  <c r="J90" i="6"/>
  <c r="J283" i="6"/>
  <c r="J724" i="6"/>
  <c r="J1104" i="6"/>
  <c r="J1200" i="6"/>
  <c r="J1403" i="6"/>
  <c r="J100" i="6"/>
  <c r="J1105" i="6"/>
  <c r="J1201" i="6"/>
  <c r="J1630" i="6"/>
  <c r="J1715" i="6"/>
  <c r="J1748" i="6"/>
  <c r="J22" i="6"/>
  <c r="J1083" i="6"/>
  <c r="J1749" i="6"/>
  <c r="J875" i="6"/>
  <c r="J1034" i="6"/>
  <c r="J1316" i="6"/>
  <c r="J1708" i="6"/>
  <c r="J224" i="6"/>
  <c r="J731" i="6"/>
  <c r="J927" i="6"/>
  <c r="J1202" i="6"/>
  <c r="J57" i="6"/>
  <c r="J928" i="6"/>
  <c r="J1419" i="6"/>
  <c r="J1827" i="6"/>
  <c r="J705" i="6"/>
  <c r="J885" i="6"/>
  <c r="J936" i="6"/>
  <c r="J989" i="6"/>
  <c r="J1090" i="6"/>
  <c r="J1161" i="6"/>
  <c r="J225" i="6"/>
  <c r="J470" i="6"/>
  <c r="J1410" i="6"/>
  <c r="J23" i="6"/>
  <c r="J569" i="6"/>
  <c r="J729" i="6"/>
  <c r="J929" i="6"/>
  <c r="J1035" i="6"/>
  <c r="J1203" i="6"/>
  <c r="J1317" i="6"/>
  <c r="J1631" i="6"/>
  <c r="J58" i="6"/>
  <c r="J886" i="6"/>
  <c r="J59" i="6"/>
  <c r="J937" i="6"/>
  <c r="J1318" i="6"/>
  <c r="J1584" i="6"/>
  <c r="J221" i="6"/>
  <c r="J327" i="6"/>
  <c r="J1625" i="6"/>
  <c r="J1852" i="6"/>
  <c r="J448" i="6"/>
  <c r="J890" i="6"/>
  <c r="J921" i="6"/>
  <c r="J1152" i="6"/>
  <c r="J33" i="6"/>
  <c r="J213" i="6"/>
  <c r="J254" i="6"/>
  <c r="J328" i="6"/>
  <c r="J418" i="6"/>
  <c r="J1555" i="6"/>
  <c r="J1601" i="6"/>
  <c r="J255" i="6"/>
  <c r="J343" i="6"/>
  <c r="J887" i="6"/>
  <c r="J1529" i="6"/>
  <c r="J1780" i="6"/>
  <c r="J214" i="6"/>
  <c r="J479" i="6"/>
  <c r="J922" i="6"/>
  <c r="J1010" i="6"/>
  <c r="J1602" i="6"/>
  <c r="J34" i="6"/>
  <c r="J138" i="6"/>
  <c r="J587" i="6"/>
  <c r="J963" i="6"/>
  <c r="J1288" i="6"/>
  <c r="J1626" i="6"/>
  <c r="J1648" i="6"/>
  <c r="J1829" i="6"/>
  <c r="J534" i="6"/>
  <c r="J570" i="6"/>
  <c r="J923" i="6"/>
  <c r="J1556" i="6"/>
  <c r="J1830" i="6"/>
  <c r="J480" i="6"/>
  <c r="J738" i="6"/>
  <c r="J1469" i="6"/>
  <c r="J1627" i="6"/>
  <c r="J1831" i="6"/>
  <c r="J419" i="6"/>
  <c r="J1289" i="6"/>
  <c r="J1628" i="6"/>
  <c r="J571" i="6"/>
  <c r="J139" i="6"/>
  <c r="J521" i="6"/>
  <c r="J535" i="6"/>
  <c r="J739" i="6"/>
  <c r="J1649" i="6"/>
  <c r="J1832" i="6"/>
  <c r="J35" i="6"/>
  <c r="J140" i="6"/>
  <c r="J222" i="6"/>
  <c r="J522" i="6"/>
  <c r="J740" i="6"/>
  <c r="J924" i="6"/>
  <c r="J1557" i="6"/>
  <c r="J1572" i="6"/>
  <c r="J523" i="6"/>
  <c r="J1470" i="6"/>
  <c r="J1603" i="6"/>
  <c r="J1781" i="6"/>
  <c r="J36" i="6"/>
  <c r="J215" i="6"/>
  <c r="J329" i="6"/>
  <c r="J344" i="6"/>
  <c r="J536" i="6"/>
  <c r="J891" i="6"/>
  <c r="J420" i="6"/>
  <c r="J1471" i="6"/>
  <c r="J1558" i="6"/>
  <c r="J1153" i="6"/>
  <c r="J1286" i="6"/>
  <c r="J1559" i="6"/>
  <c r="J1154" i="6"/>
  <c r="J1287" i="6"/>
  <c r="J256" i="6"/>
  <c r="J326" i="6"/>
  <c r="J524" i="6"/>
  <c r="J527" i="6"/>
  <c r="J925" i="6"/>
  <c r="J1472" i="6"/>
  <c r="J1560" i="6"/>
  <c r="J369" i="6"/>
  <c r="J1095" i="6"/>
  <c r="J1290" i="6"/>
  <c r="J1650" i="6"/>
  <c r="J216" i="6"/>
  <c r="J330" i="6"/>
  <c r="J345" i="6"/>
  <c r="J421" i="6"/>
  <c r="J449" i="6"/>
  <c r="J572" i="6"/>
  <c r="J926" i="6"/>
  <c r="J1782" i="6"/>
  <c r="J193" i="6"/>
  <c r="J499" i="6"/>
  <c r="J560" i="6"/>
  <c r="J910" i="6"/>
  <c r="J1029" i="6"/>
  <c r="J1052" i="6"/>
  <c r="J1651" i="6"/>
  <c r="J1858" i="6"/>
  <c r="J205" i="6"/>
  <c r="J319" i="6"/>
  <c r="J789" i="6"/>
  <c r="J1091" i="6"/>
  <c r="J123" i="6"/>
  <c r="J583" i="6"/>
  <c r="J1442" i="6"/>
  <c r="J1456" i="6"/>
  <c r="J1460" i="6"/>
  <c r="J1585" i="6"/>
  <c r="J626" i="6"/>
  <c r="J1897" i="6"/>
  <c r="J197" i="6"/>
  <c r="J561" i="6"/>
  <c r="J1018" i="6"/>
  <c r="J1092" i="6"/>
  <c r="J1898" i="6"/>
  <c r="J15" i="6"/>
  <c r="J808" i="6"/>
  <c r="J1652" i="6"/>
  <c r="J1808" i="6"/>
  <c r="J584" i="6"/>
  <c r="J1820" i="6"/>
  <c r="J220" i="6"/>
  <c r="J585" i="6"/>
  <c r="J604" i="6"/>
  <c r="J741" i="6"/>
  <c r="J1053" i="6"/>
  <c r="J1204" i="6"/>
  <c r="J1457" i="6"/>
  <c r="J1821" i="6"/>
  <c r="J24" i="6"/>
  <c r="J194" i="6"/>
  <c r="J742" i="6"/>
  <c r="J809" i="6"/>
  <c r="J1030" i="6"/>
  <c r="J1205" i="6"/>
  <c r="J1549" i="6"/>
  <c r="J16" i="6"/>
  <c r="J320" i="6"/>
  <c r="J743" i="6"/>
  <c r="J1458" i="6"/>
  <c r="J206" i="6"/>
  <c r="J605" i="6"/>
  <c r="J790" i="6"/>
  <c r="J1093" i="6"/>
  <c r="J1899" i="6"/>
  <c r="J25" i="6"/>
  <c r="J627" i="6"/>
  <c r="J939" i="6"/>
  <c r="J1019" i="6"/>
  <c r="J1459" i="6"/>
  <c r="J170" i="6"/>
  <c r="J911" i="6"/>
  <c r="J1020" i="6"/>
  <c r="J1461" i="6"/>
  <c r="J1550" i="6"/>
  <c r="J1800" i="6"/>
  <c r="J1900" i="6"/>
  <c r="J116" i="6"/>
  <c r="J198" i="6"/>
  <c r="J207" i="6"/>
  <c r="J321" i="6"/>
  <c r="J744" i="6"/>
  <c r="J1167" i="6"/>
  <c r="J1551" i="6"/>
  <c r="J124" i="6"/>
  <c r="J440" i="6"/>
  <c r="J810" i="6"/>
  <c r="J912" i="6"/>
  <c r="J1206" i="6"/>
  <c r="J1462" i="6"/>
  <c r="J1822" i="6"/>
  <c r="J1859" i="6"/>
  <c r="J125" i="6"/>
  <c r="J562" i="6"/>
  <c r="J913" i="6"/>
  <c r="J940" i="6"/>
  <c r="J208" i="6"/>
  <c r="J586" i="6"/>
  <c r="J606" i="6"/>
  <c r="J996" i="6"/>
  <c r="J1031" i="6"/>
  <c r="J1168" i="6"/>
  <c r="J1443" i="6"/>
  <c r="J171" i="6"/>
  <c r="J941" i="6"/>
  <c r="J1653" i="6"/>
  <c r="J997" i="6"/>
  <c r="J1860" i="6"/>
  <c r="J113" i="6"/>
  <c r="J267" i="6"/>
  <c r="J1011" i="6"/>
  <c r="J1056" i="6"/>
  <c r="J1197" i="6"/>
  <c r="J1281" i="6"/>
  <c r="J1465" i="6"/>
  <c r="J114" i="6"/>
  <c r="J235" i="6"/>
  <c r="J472" i="6"/>
  <c r="J761" i="6"/>
  <c r="J1261" i="6"/>
  <c r="J120" i="6"/>
  <c r="J395" i="6"/>
  <c r="J715" i="6"/>
  <c r="J981" i="6"/>
  <c r="J1137" i="6"/>
  <c r="J1428" i="6"/>
  <c r="J1888" i="6"/>
  <c r="J236" i="6"/>
  <c r="J378" i="6"/>
  <c r="J471" i="6"/>
  <c r="J1012" i="6"/>
  <c r="J1068" i="6"/>
  <c r="J1138" i="6"/>
  <c r="J1262" i="6"/>
  <c r="J1755" i="6"/>
  <c r="J1889" i="6"/>
  <c r="J67" i="6"/>
  <c r="J115" i="6"/>
  <c r="J723" i="6"/>
  <c r="J831" i="6"/>
  <c r="J868" i="6"/>
  <c r="J1323" i="6"/>
  <c r="J121" i="6"/>
  <c r="J195" i="6"/>
  <c r="J819" i="6"/>
  <c r="J1466" i="6"/>
  <c r="J1756" i="6"/>
  <c r="J473" i="6"/>
  <c r="J832" i="6"/>
  <c r="J869" i="6"/>
  <c r="J1057" i="6"/>
  <c r="J1263" i="6"/>
  <c r="J1467" i="6"/>
  <c r="J334" i="6"/>
  <c r="J820" i="6"/>
  <c r="J668" i="6"/>
  <c r="J833" i="6"/>
  <c r="J962" i="6"/>
  <c r="J982" i="6"/>
  <c r="J379" i="6"/>
  <c r="J391" i="6"/>
  <c r="J870" i="6"/>
  <c r="J1058" i="6"/>
  <c r="J1178" i="6"/>
  <c r="J1251" i="6"/>
  <c r="J1282" i="6"/>
  <c r="J151" i="6"/>
  <c r="J179" i="6"/>
  <c r="J380" i="6"/>
  <c r="J983" i="6"/>
  <c r="J1252" i="6"/>
  <c r="J196" i="6"/>
  <c r="J335" i="6"/>
  <c r="J392" i="6"/>
  <c r="J762" i="6"/>
  <c r="J1328" i="6"/>
  <c r="J1429" i="6"/>
  <c r="J1876" i="6"/>
  <c r="J48" i="6"/>
  <c r="J152" i="6"/>
  <c r="J180" i="6"/>
  <c r="J237" i="6"/>
  <c r="J763" i="6"/>
  <c r="J122" i="6"/>
  <c r="J396" i="6"/>
  <c r="J474" i="6"/>
  <c r="J871" i="6"/>
  <c r="J1059" i="6"/>
  <c r="J1264" i="6"/>
  <c r="J1757" i="6"/>
  <c r="J68" i="6"/>
  <c r="J181" i="6"/>
  <c r="J393" i="6"/>
  <c r="J764" i="6"/>
  <c r="J1329" i="6"/>
  <c r="J1758" i="6"/>
  <c r="J153" i="6"/>
  <c r="J217" i="6"/>
  <c r="J268" i="6"/>
  <c r="J397" i="6"/>
  <c r="J669" i="6"/>
  <c r="J821" i="6"/>
  <c r="J1013" i="6"/>
  <c r="J1877" i="6"/>
  <c r="J1330" i="6"/>
  <c r="J69" i="6"/>
  <c r="J218" i="6"/>
  <c r="J269" i="6"/>
  <c r="J336" i="6"/>
  <c r="J1179" i="6"/>
  <c r="J1468" i="6"/>
  <c r="J154" i="6"/>
  <c r="J337" i="6"/>
  <c r="J475" i="6"/>
  <c r="J834" i="6"/>
  <c r="J961" i="6"/>
  <c r="J1250" i="6"/>
  <c r="J219" i="6"/>
  <c r="J381" i="6"/>
  <c r="J394" i="6"/>
  <c r="J984" i="6"/>
  <c r="J1283" i="6"/>
  <c r="J1331" i="6"/>
  <c r="J1144" i="6"/>
  <c r="J200" i="6"/>
  <c r="J718" i="6"/>
  <c r="J1145" i="6"/>
  <c r="J1502" i="6"/>
  <c r="J1727" i="6"/>
  <c r="J1841" i="6"/>
  <c r="J577" i="6"/>
  <c r="J985" i="6"/>
  <c r="J1334" i="6"/>
  <c r="J1735" i="6"/>
  <c r="J1766" i="6"/>
  <c r="J1335" i="6"/>
  <c r="J1612" i="6"/>
  <c r="J1622" i="6"/>
  <c r="J1675" i="6"/>
  <c r="J441" i="6"/>
  <c r="J957" i="6"/>
  <c r="J1728" i="6"/>
  <c r="J203" i="6"/>
  <c r="J578" i="6"/>
  <c r="J879" i="6"/>
  <c r="J1336" i="6"/>
  <c r="J1613" i="6"/>
  <c r="J1729" i="6"/>
  <c r="J1842" i="6"/>
  <c r="J129" i="6"/>
  <c r="J201" i="6"/>
  <c r="J575" i="6"/>
  <c r="J1341" i="6"/>
  <c r="J1619" i="6"/>
  <c r="J274" i="6"/>
  <c r="J880" i="6"/>
  <c r="J1146" i="6"/>
  <c r="J1342" i="6"/>
  <c r="J1489" i="6"/>
  <c r="J202" i="6"/>
  <c r="J442" i="6"/>
  <c r="J1767" i="6"/>
  <c r="J422" i="6"/>
  <c r="J1614" i="6"/>
  <c r="J226" i="6"/>
  <c r="J1411" i="6"/>
  <c r="J1491" i="6"/>
  <c r="J1623" i="6"/>
  <c r="J1768" i="6"/>
  <c r="J204" i="6"/>
  <c r="J732" i="6"/>
  <c r="J1492" i="6"/>
  <c r="J1624" i="6"/>
  <c r="J958" i="6"/>
  <c r="J1493" i="6"/>
  <c r="J1615" i="6"/>
  <c r="J1265" i="6"/>
  <c r="J1503" i="6"/>
  <c r="J1736" i="6"/>
  <c r="J1843" i="6"/>
  <c r="J130" i="6"/>
  <c r="J443" i="6"/>
  <c r="J959" i="6"/>
  <c r="J1412" i="6"/>
  <c r="J1709" i="6"/>
  <c r="J1292" i="6"/>
  <c r="J1343" i="6"/>
  <c r="J1620" i="6"/>
  <c r="J1730" i="6"/>
  <c r="J423" i="6"/>
  <c r="J1147" i="6"/>
  <c r="J1514" i="6"/>
  <c r="J1676" i="6"/>
  <c r="J960" i="6"/>
  <c r="J1494" i="6"/>
  <c r="J1677" i="6"/>
  <c r="J275" i="6"/>
  <c r="J1337" i="6"/>
  <c r="J1678" i="6"/>
  <c r="J74" i="6"/>
  <c r="J231" i="6"/>
  <c r="J696" i="6"/>
  <c r="J850" i="6"/>
  <c r="J1047" i="6"/>
  <c r="J1657" i="6"/>
  <c r="J1878" i="6"/>
  <c r="J488" i="6"/>
  <c r="J531" i="6"/>
  <c r="J947" i="6"/>
  <c r="J1415" i="6"/>
  <c r="J1837" i="6"/>
  <c r="J1893" i="6"/>
  <c r="J145" i="6"/>
  <c r="J1345" i="6"/>
  <c r="J1879" i="6"/>
  <c r="J851" i="6"/>
  <c r="J1233" i="6"/>
  <c r="J1635" i="6"/>
  <c r="J1838" i="6"/>
  <c r="J96" i="6"/>
  <c r="J456" i="6"/>
  <c r="J781" i="6"/>
  <c r="J1416" i="6"/>
  <c r="J1894" i="6"/>
  <c r="J665" i="6"/>
  <c r="J725" i="6"/>
  <c r="J948" i="6"/>
  <c r="J1818" i="6"/>
  <c r="J146" i="6"/>
  <c r="J354" i="6"/>
  <c r="J697" i="6"/>
  <c r="J726" i="6"/>
  <c r="J1221" i="6"/>
  <c r="J1759" i="6"/>
  <c r="J1819" i="6"/>
  <c r="J40" i="6"/>
  <c r="J949" i="6"/>
  <c r="J1143" i="6"/>
  <c r="J1895" i="6"/>
  <c r="J6" i="6"/>
  <c r="J75" i="6"/>
  <c r="J355" i="6"/>
  <c r="J489" i="6"/>
  <c r="J532" i="6"/>
  <c r="J950" i="6"/>
  <c r="J1346" i="6"/>
  <c r="J1387" i="6"/>
  <c r="J1839" i="6"/>
  <c r="J356" i="6"/>
  <c r="J1760" i="6"/>
  <c r="J1804" i="6"/>
  <c r="J1890" i="6"/>
  <c r="J7" i="6"/>
  <c r="J147" i="6"/>
  <c r="J1222" i="6"/>
  <c r="J1417" i="6"/>
  <c r="J1896" i="6"/>
  <c r="J727" i="6"/>
  <c r="J1373" i="6"/>
  <c r="J1658" i="6"/>
  <c r="J1840" i="6"/>
  <c r="J8" i="6"/>
  <c r="J1388" i="6"/>
  <c r="J1659" i="6"/>
  <c r="J1805" i="6"/>
  <c r="J76" i="6"/>
  <c r="J357" i="6"/>
  <c r="J1418" i="6"/>
  <c r="J1636" i="6"/>
  <c r="J1745" i="6"/>
  <c r="J698" i="6"/>
  <c r="J1170" i="6"/>
  <c r="J1637" i="6"/>
  <c r="J799" i="6"/>
  <c r="J1880" i="6"/>
  <c r="J1891" i="6"/>
  <c r="J148" i="6"/>
  <c r="J852" i="6"/>
  <c r="J1389" i="6"/>
  <c r="J1892" i="6"/>
  <c r="J533" i="6"/>
  <c r="J853" i="6"/>
  <c r="J1171" i="6"/>
  <c r="J1660" i="6"/>
  <c r="J9" i="6"/>
  <c r="J973" i="6"/>
  <c r="J1390" i="6"/>
  <c r="J1881" i="6"/>
  <c r="J270" i="6"/>
  <c r="I545" i="6"/>
  <c r="I1130" i="6"/>
  <c r="I1495" i="6"/>
  <c r="I1212" i="6"/>
  <c r="I1408" i="6"/>
  <c r="I1496" i="6"/>
  <c r="I101" i="6"/>
  <c r="I899" i="6"/>
  <c r="I1227" i="6"/>
  <c r="I1409" i="6"/>
  <c r="I60" i="6"/>
  <c r="I149" i="6"/>
  <c r="I975" i="6"/>
  <c r="I1131" i="6"/>
  <c r="I1228" i="6"/>
  <c r="I1510" i="6"/>
  <c r="I1661" i="6"/>
  <c r="I242" i="6"/>
  <c r="I546" i="6"/>
  <c r="I1310" i="6"/>
  <c r="I1537" i="6"/>
  <c r="I1662" i="6"/>
  <c r="I567" i="6"/>
  <c r="I778" i="6"/>
  <c r="I1296" i="6"/>
  <c r="I1511" i="6"/>
  <c r="I1616" i="6"/>
  <c r="I1688" i="6"/>
  <c r="I563" i="6"/>
  <c r="I812" i="6"/>
  <c r="I897" i="6"/>
  <c r="I1165" i="6"/>
  <c r="I1213" i="6"/>
  <c r="I1501" i="6"/>
  <c r="I102" i="6"/>
  <c r="I1297" i="6"/>
  <c r="I271" i="6"/>
  <c r="I568" i="6"/>
  <c r="I813" i="6"/>
  <c r="I1229" i="6"/>
  <c r="I1663" i="6"/>
  <c r="I1190" i="6"/>
  <c r="I1214" i="6"/>
  <c r="I1230" i="6"/>
  <c r="I1298" i="6"/>
  <c r="I888" i="6"/>
  <c r="I1036" i="6"/>
  <c r="I1132" i="6"/>
  <c r="I1299" i="6"/>
  <c r="I1538" i="6"/>
  <c r="I1357" i="6"/>
  <c r="I814" i="6"/>
  <c r="I1617" i="6"/>
  <c r="I547" i="6"/>
  <c r="I1037" i="6"/>
  <c r="I1311" i="6"/>
  <c r="I1358" i="6"/>
  <c r="I548" i="6"/>
  <c r="I909" i="6"/>
  <c r="I976" i="6"/>
  <c r="I1191" i="6"/>
  <c r="I1512" i="6"/>
  <c r="I1664" i="6"/>
  <c r="I243" i="6"/>
  <c r="I272" i="6"/>
  <c r="I61" i="6"/>
  <c r="I199" i="6"/>
  <c r="I244" i="6"/>
  <c r="I977" i="6"/>
  <c r="I1133" i="6"/>
  <c r="I1192" i="6"/>
  <c r="I1497" i="6"/>
  <c r="I1312" i="6"/>
  <c r="I1359" i="6"/>
  <c r="I1539" i="6"/>
  <c r="I245" i="6"/>
  <c r="I273" i="6"/>
  <c r="I779" i="6"/>
  <c r="I815" i="6"/>
  <c r="I898" i="6"/>
  <c r="I1166" i="6"/>
  <c r="I1193" i="6"/>
  <c r="I1313" i="6"/>
  <c r="I1513" i="6"/>
  <c r="I1618" i="6"/>
  <c r="I1855" i="6"/>
  <c r="I103" i="6"/>
  <c r="I150" i="6"/>
  <c r="I1314" i="6"/>
  <c r="I339" i="6"/>
  <c r="I506" i="6"/>
  <c r="I674" i="6"/>
  <c r="I733" i="6"/>
  <c r="I1073" i="6"/>
  <c r="I1561" i="6"/>
  <c r="I1579" i="6"/>
  <c r="I182" i="6"/>
  <c r="I599" i="6"/>
  <c r="I1853" i="6"/>
  <c r="I1096" i="6"/>
  <c r="I1686" i="6"/>
  <c r="I167" i="6"/>
  <c r="I263" i="6"/>
  <c r="I998" i="6"/>
  <c r="I1074" i="6"/>
  <c r="I804" i="6"/>
  <c r="I1687" i="6"/>
  <c r="I1075" i="6"/>
  <c r="I1256" i="6"/>
  <c r="I1580" i="6"/>
  <c r="I1722" i="6"/>
  <c r="I675" i="6"/>
  <c r="I793" i="6"/>
  <c r="I1854" i="6"/>
  <c r="I1174" i="6"/>
  <c r="I1284" i="6"/>
  <c r="I168" i="6"/>
  <c r="I264" i="6"/>
  <c r="I340" i="6"/>
  <c r="I632" i="6"/>
  <c r="I734" i="6"/>
  <c r="I895" i="6"/>
  <c r="I1175" i="6"/>
  <c r="I1552" i="6"/>
  <c r="I1689" i="6"/>
  <c r="I555" i="6"/>
  <c r="I735" i="6"/>
  <c r="I1176" i="6"/>
  <c r="I1257" i="6"/>
  <c r="I183" i="6"/>
  <c r="I1258" i="6"/>
  <c r="I1700" i="6"/>
  <c r="I169" i="6"/>
  <c r="I184" i="6"/>
  <c r="I265" i="6"/>
  <c r="I382" i="6"/>
  <c r="I600" i="6"/>
  <c r="I676" i="6"/>
  <c r="I185" i="6"/>
  <c r="I556" i="6"/>
  <c r="I805" i="6"/>
  <c r="I1547" i="6"/>
  <c r="I1553" i="6"/>
  <c r="I1562" i="6"/>
  <c r="I1690" i="6"/>
  <c r="I557" i="6"/>
  <c r="I1259" i="6"/>
  <c r="I1691" i="6"/>
  <c r="I72" i="6"/>
  <c r="I341" i="6"/>
  <c r="I806" i="6"/>
  <c r="I1220" i="6"/>
  <c r="I383" i="6"/>
  <c r="I1563" i="6"/>
  <c r="I1692" i="6"/>
  <c r="I601" i="6"/>
  <c r="I633" i="6"/>
  <c r="I807" i="6"/>
  <c r="I896" i="6"/>
  <c r="I1196" i="6"/>
  <c r="I1247" i="6"/>
  <c r="I342" i="6"/>
  <c r="I602" i="6"/>
  <c r="I634" i="6"/>
  <c r="I1548" i="6"/>
  <c r="I635" i="6"/>
  <c r="I677" i="6"/>
  <c r="I736" i="6"/>
  <c r="I794" i="6"/>
  <c r="I1076" i="6"/>
  <c r="I1564" i="6"/>
  <c r="I32" i="6"/>
  <c r="I73" i="6"/>
  <c r="I248" i="6"/>
  <c r="I266" i="6"/>
  <c r="I1177" i="6"/>
  <c r="I1581" i="6"/>
  <c r="I1438" i="6"/>
  <c r="I1846" i="6"/>
  <c r="I500" i="6"/>
  <c r="I10" i="6"/>
  <c r="I209" i="6"/>
  <c r="I504" i="6"/>
  <c r="I1395" i="6"/>
  <c r="I966" i="6"/>
  <c r="I1245" i="6"/>
  <c r="I745" i="6"/>
  <c r="I501" i="6"/>
  <c r="I573" i="6"/>
  <c r="I1122" i="6"/>
  <c r="I1210" i="6"/>
  <c r="I232" i="6"/>
  <c r="I297" i="6"/>
  <c r="I358" i="6"/>
  <c r="I746" i="6"/>
  <c r="I1119" i="6"/>
  <c r="I1396" i="6"/>
  <c r="I1439" i="6"/>
  <c r="I1523" i="6"/>
  <c r="I11" i="6"/>
  <c r="I287" i="6"/>
  <c r="I574" i="6"/>
  <c r="I233" i="6"/>
  <c r="I747" i="6"/>
  <c r="I1524" i="6"/>
  <c r="I1123" i="6"/>
  <c r="I1451" i="6"/>
  <c r="I172" i="6"/>
  <c r="I502" i="6"/>
  <c r="I1525" i="6"/>
  <c r="I505" i="6"/>
  <c r="I748" i="6"/>
  <c r="I967" i="6"/>
  <c r="I1861" i="6"/>
  <c r="I1875" i="6"/>
  <c r="I173" i="6"/>
  <c r="I1038" i="6"/>
  <c r="I1211" i="6"/>
  <c r="I1246" i="6"/>
  <c r="I174" i="6"/>
  <c r="I288" i="6"/>
  <c r="I1452" i="6"/>
  <c r="I1632" i="6"/>
  <c r="I210" i="6"/>
  <c r="I234" i="6"/>
  <c r="I289" i="6"/>
  <c r="I1039" i="6"/>
  <c r="I1397" i="6"/>
  <c r="I1440" i="6"/>
  <c r="I1526" i="6"/>
  <c r="I1633" i="6"/>
  <c r="I298" i="6"/>
  <c r="I693" i="6"/>
  <c r="I503" i="6"/>
  <c r="I1040" i="6"/>
  <c r="I1430" i="6"/>
  <c r="I1847" i="6"/>
  <c r="I211" i="6"/>
  <c r="I299" i="6"/>
  <c r="I359" i="6"/>
  <c r="I520" i="6"/>
  <c r="I1848" i="6"/>
  <c r="I1124" i="6"/>
  <c r="I1398" i="6"/>
  <c r="I1441" i="6"/>
  <c r="I1849" i="6"/>
  <c r="I290" i="6"/>
  <c r="I300" i="6"/>
  <c r="I1634" i="6"/>
  <c r="I1701" i="6"/>
  <c r="I648" i="6"/>
  <c r="I682" i="6"/>
  <c r="I1155" i="6"/>
  <c r="I70" i="6"/>
  <c r="I85" i="6"/>
  <c r="I322" i="6"/>
  <c r="I457" i="6"/>
  <c r="I649" i="6"/>
  <c r="I863" i="6"/>
  <c r="I908" i="6"/>
  <c r="I971" i="6"/>
  <c r="I1106" i="6"/>
  <c r="I1399" i="6"/>
  <c r="I1886" i="6"/>
  <c r="I972" i="6"/>
  <c r="I1117" i="6"/>
  <c r="I1139" i="6"/>
  <c r="I1217" i="6"/>
  <c r="I1291" i="6"/>
  <c r="I1723" i="6"/>
  <c r="I1783" i="6"/>
  <c r="I458" i="6"/>
  <c r="I864" i="6"/>
  <c r="I1118" i="6"/>
  <c r="I1269" i="6"/>
  <c r="I373" i="6"/>
  <c r="I459" i="6"/>
  <c r="I751" i="6"/>
  <c r="I865" i="6"/>
  <c r="I1218" i="6"/>
  <c r="I1360" i="6"/>
  <c r="I1546" i="6"/>
  <c r="I1887" i="6"/>
  <c r="I507" i="6"/>
  <c r="I612" i="6"/>
  <c r="I952" i="6"/>
  <c r="I1107" i="6"/>
  <c r="I1156" i="6"/>
  <c r="I1385" i="6"/>
  <c r="I1724" i="6"/>
  <c r="I1883" i="6"/>
  <c r="I86" i="6"/>
  <c r="I1064" i="6"/>
  <c r="I1108" i="6"/>
  <c r="I476" i="6"/>
  <c r="I508" i="6"/>
  <c r="I953" i="6"/>
  <c r="I1065" i="6"/>
  <c r="I1109" i="6"/>
  <c r="I1140" i="6"/>
  <c r="I1157" i="6"/>
  <c r="I1884" i="6"/>
  <c r="I323" i="6"/>
  <c r="I706" i="6"/>
  <c r="I954" i="6"/>
  <c r="I1001" i="6"/>
  <c r="I1277" i="6"/>
  <c r="I1352" i="6"/>
  <c r="I302" i="6"/>
  <c r="I1141" i="6"/>
  <c r="I1278" i="6"/>
  <c r="I1353" i="6"/>
  <c r="I938" i="6"/>
  <c r="I955" i="6"/>
  <c r="I530" i="6"/>
  <c r="I613" i="6"/>
  <c r="I1158" i="6"/>
  <c r="I1279" i="6"/>
  <c r="I1361" i="6"/>
  <c r="I1519" i="6"/>
  <c r="I1725" i="6"/>
  <c r="I625" i="6"/>
  <c r="I477" i="6"/>
  <c r="I509" i="6"/>
  <c r="I1027" i="6"/>
  <c r="I1362" i="6"/>
  <c r="I752" i="6"/>
  <c r="I1363" i="6"/>
  <c r="I1386" i="6"/>
  <c r="I1142" i="6"/>
  <c r="I1159" i="6"/>
  <c r="I1237" i="6"/>
  <c r="I1270" i="6"/>
  <c r="I87" i="6"/>
  <c r="I478" i="6"/>
  <c r="I1002" i="6"/>
  <c r="I1238" i="6"/>
  <c r="I1285" i="6"/>
  <c r="I1726" i="6"/>
  <c r="I460" i="6"/>
  <c r="I683" i="6"/>
  <c r="I1219" i="6"/>
  <c r="I1271" i="6"/>
  <c r="I1520" i="6"/>
  <c r="I1784" i="6"/>
  <c r="I1885" i="6"/>
  <c r="I71" i="6"/>
  <c r="I88" i="6"/>
  <c r="I841" i="6"/>
  <c r="I968" i="6"/>
  <c r="I1028" i="6"/>
  <c r="I1148" i="6"/>
  <c r="I510" i="6"/>
  <c r="I753" i="6"/>
  <c r="I1149" i="6"/>
  <c r="I1280" i="6"/>
  <c r="I1785" i="6"/>
  <c r="I1069" i="6"/>
  <c r="I1234" i="6"/>
  <c r="I1248" i="6"/>
  <c r="I1454" i="6"/>
  <c r="I1665" i="6"/>
  <c r="I62" i="6"/>
  <c r="I81" i="6"/>
  <c r="I294" i="6"/>
  <c r="I324" i="6"/>
  <c r="I414" i="6"/>
  <c r="I484" i="6"/>
  <c r="I701" i="6"/>
  <c r="I1021" i="6"/>
  <c r="I1235" i="6"/>
  <c r="I82" i="6"/>
  <c r="I190" i="6"/>
  <c r="I702" i="6"/>
  <c r="I930" i="6"/>
  <c r="I969" i="6"/>
  <c r="I979" i="6"/>
  <c r="I1070" i="6"/>
  <c r="I1242" i="6"/>
  <c r="I1272" i="6"/>
  <c r="I1683" i="6"/>
  <c r="I175" i="6"/>
  <c r="I415" i="6"/>
  <c r="I437" i="6"/>
  <c r="I970" i="6"/>
  <c r="I191" i="6"/>
  <c r="I525" i="6"/>
  <c r="I658" i="6"/>
  <c r="I1540" i="6"/>
  <c r="I1716" i="6"/>
  <c r="I63" i="6"/>
  <c r="I493" i="6"/>
  <c r="I83" i="6"/>
  <c r="I592" i="6"/>
  <c r="I670" i="6"/>
  <c r="I769" i="6"/>
  <c r="I964" i="6"/>
  <c r="I1347" i="6"/>
  <c r="I176" i="6"/>
  <c r="I400" i="6"/>
  <c r="I593" i="6"/>
  <c r="I1071" i="6"/>
  <c r="I1348" i="6"/>
  <c r="I177" i="6"/>
  <c r="I438" i="6"/>
  <c r="I526" i="6"/>
  <c r="I594" i="6"/>
  <c r="I703" i="6"/>
  <c r="I707" i="6"/>
  <c r="I1611" i="6"/>
  <c r="I439" i="6"/>
  <c r="I485" i="6"/>
  <c r="I511" i="6"/>
  <c r="I965" i="6"/>
  <c r="I1404" i="6"/>
  <c r="I416" i="6"/>
  <c r="I931" i="6"/>
  <c r="I1072" i="6"/>
  <c r="I1666" i="6"/>
  <c r="I95" i="6"/>
  <c r="I671" i="6"/>
  <c r="I932" i="6"/>
  <c r="I1236" i="6"/>
  <c r="I64" i="6"/>
  <c r="I178" i="6"/>
  <c r="I385" i="6"/>
  <c r="I494" i="6"/>
  <c r="I1022" i="6"/>
  <c r="I1249" i="6"/>
  <c r="I1254" i="6"/>
  <c r="I1405" i="6"/>
  <c r="I1541" i="6"/>
  <c r="I1717" i="6"/>
  <c r="I1023" i="6"/>
  <c r="I1667" i="6"/>
  <c r="I1684" i="6"/>
  <c r="I1718" i="6"/>
  <c r="I84" i="6"/>
  <c r="I495" i="6"/>
  <c r="I1243" i="6"/>
  <c r="I1423" i="6"/>
  <c r="I1542" i="6"/>
  <c r="I1685" i="6"/>
  <c r="I1719" i="6"/>
  <c r="I386" i="6"/>
  <c r="I1244" i="6"/>
  <c r="I1273" i="6"/>
  <c r="I1424" i="6"/>
  <c r="I1455" i="6"/>
  <c r="I295" i="6"/>
  <c r="I486" i="6"/>
  <c r="I512" i="6"/>
  <c r="I1697" i="6"/>
  <c r="I1750" i="6"/>
  <c r="I192" i="6"/>
  <c r="I672" i="6"/>
  <c r="I708" i="6"/>
  <c r="I933" i="6"/>
  <c r="I417" i="6"/>
  <c r="I496" i="6"/>
  <c r="I673" i="6"/>
  <c r="I1530" i="6"/>
  <c r="I1882" i="6"/>
  <c r="I65" i="6"/>
  <c r="I296" i="6"/>
  <c r="I487" i="6"/>
  <c r="I1565" i="6"/>
  <c r="I1379" i="6"/>
  <c r="I1383" i="6"/>
  <c r="I1569" i="6"/>
  <c r="I1638" i="6"/>
  <c r="I365" i="6"/>
  <c r="I1527" i="6"/>
  <c r="I1762" i="6"/>
  <c r="I1856" i="6"/>
  <c r="I141" i="6"/>
  <c r="I161" i="6"/>
  <c r="I426" i="6"/>
  <c r="I1380" i="6"/>
  <c r="I1570" i="6"/>
  <c r="I1587" i="6"/>
  <c r="I1763" i="6"/>
  <c r="I366" i="6"/>
  <c r="I37" i="6"/>
  <c r="I398" i="6"/>
  <c r="I774" i="6"/>
  <c r="I399" i="6"/>
  <c r="I678" i="6"/>
  <c r="I775" i="6"/>
  <c r="I1128" i="6"/>
  <c r="I1253" i="6"/>
  <c r="I1381" i="6"/>
  <c r="I1764" i="6"/>
  <c r="I38" i="6"/>
  <c r="I409" i="6"/>
  <c r="I4" i="6"/>
  <c r="I142" i="6"/>
  <c r="I367" i="6"/>
  <c r="I427" i="6"/>
  <c r="I679" i="6"/>
  <c r="I776" i="6"/>
  <c r="I980" i="6"/>
  <c r="I1857" i="6"/>
  <c r="I241" i="6"/>
  <c r="I558" i="6"/>
  <c r="I1129" i="6"/>
  <c r="I1571" i="6"/>
  <c r="I338" i="6"/>
  <c r="I757" i="6"/>
  <c r="I855" i="6"/>
  <c r="I974" i="6"/>
  <c r="I1198" i="6"/>
  <c r="I1255" i="6"/>
  <c r="I1641" i="6"/>
  <c r="I1786" i="6"/>
  <c r="I368" i="6"/>
  <c r="I428" i="6"/>
  <c r="I559" i="6"/>
  <c r="I680" i="6"/>
  <c r="I978" i="6"/>
  <c r="I1823" i="6"/>
  <c r="I363" i="6"/>
  <c r="I777" i="6"/>
  <c r="I854" i="6"/>
  <c r="I1274" i="6"/>
  <c r="I301" i="6"/>
  <c r="I716" i="6"/>
  <c r="I758" i="6"/>
  <c r="I143" i="6"/>
  <c r="I162" i="6"/>
  <c r="I717" i="6"/>
  <c r="I759" i="6"/>
  <c r="I856" i="6"/>
  <c r="I1332" i="6"/>
  <c r="I1384" i="6"/>
  <c r="I429" i="6"/>
  <c r="I1275" i="6"/>
  <c r="I1554" i="6"/>
  <c r="I5" i="6"/>
  <c r="I681" i="6"/>
  <c r="I1112" i="6"/>
  <c r="I1276" i="6"/>
  <c r="I1528" i="6"/>
  <c r="I1588" i="6"/>
  <c r="I1639" i="6"/>
  <c r="I1787" i="6"/>
  <c r="I246" i="6"/>
  <c r="I760" i="6"/>
  <c r="I791" i="6"/>
  <c r="I1199" i="6"/>
  <c r="I1788" i="6"/>
  <c r="I39" i="6"/>
  <c r="I144" i="6"/>
  <c r="I325" i="6"/>
  <c r="I1333" i="6"/>
  <c r="I247" i="6"/>
  <c r="I792" i="6"/>
  <c r="I1765" i="6"/>
  <c r="I1789" i="6"/>
  <c r="I1824" i="6"/>
  <c r="I1077" i="6"/>
  <c r="I1082" i="6"/>
  <c r="I1300" i="6"/>
  <c r="I1376" i="6"/>
  <c r="I1515" i="6"/>
  <c r="I104" i="6"/>
  <c r="I576" i="6"/>
  <c r="I699" i="6"/>
  <c r="I135" i="6"/>
  <c r="I1005" i="6"/>
  <c r="I212" i="6"/>
  <c r="I260" i="6"/>
  <c r="I700" i="6"/>
  <c r="I1048" i="6"/>
  <c r="I1266" i="6"/>
  <c r="I347" i="6"/>
  <c r="I579" i="6"/>
  <c r="I1239" i="6"/>
  <c r="I1377" i="6"/>
  <c r="I1413" i="6"/>
  <c r="I1668" i="6"/>
  <c r="I1078" i="6"/>
  <c r="I1267" i="6"/>
  <c r="I1516" i="6"/>
  <c r="I1669" i="6"/>
  <c r="I105" i="6"/>
  <c r="I684" i="6"/>
  <c r="I780" i="6"/>
  <c r="I1378" i="6"/>
  <c r="I1517" i="6"/>
  <c r="I685" i="6"/>
  <c r="I1240" i="6"/>
  <c r="I1301" i="6"/>
  <c r="I1531" i="6"/>
  <c r="I1670" i="6"/>
  <c r="I136" i="6"/>
  <c r="I406" i="6"/>
  <c r="I1079" i="6"/>
  <c r="I1151" i="6"/>
  <c r="I1518" i="6"/>
  <c r="I1532" i="6"/>
  <c r="I1671" i="6"/>
  <c r="I137" i="6"/>
  <c r="I900" i="6"/>
  <c r="I1414" i="6"/>
  <c r="I1006" i="6"/>
  <c r="I106" i="6"/>
  <c r="I303" i="6"/>
  <c r="I686" i="6"/>
  <c r="I901" i="6"/>
  <c r="I1188" i="6"/>
  <c r="I1215" i="6"/>
  <c r="I348" i="6"/>
  <c r="I1049" i="6"/>
  <c r="I1080" i="6"/>
  <c r="I1241" i="6"/>
  <c r="I261" i="6"/>
  <c r="I407" i="6"/>
  <c r="I580" i="6"/>
  <c r="I1268" i="6"/>
  <c r="I1779" i="6"/>
  <c r="I304" i="6"/>
  <c r="I349" i="6"/>
  <c r="I1302" i="6"/>
  <c r="I305" i="6"/>
  <c r="I902" i="6"/>
  <c r="I408" i="6"/>
  <c r="I581" i="6"/>
  <c r="I1050" i="6"/>
  <c r="I694" i="6"/>
  <c r="I1444" i="6"/>
  <c r="I14" i="6"/>
  <c r="I695" i="6"/>
  <c r="I889" i="6"/>
  <c r="I903" i="6"/>
  <c r="I1169" i="6"/>
  <c r="I1344" i="6"/>
  <c r="I262" i="6"/>
  <c r="I306" i="6"/>
  <c r="I582" i="6"/>
  <c r="I1051" i="6"/>
  <c r="I1189" i="6"/>
  <c r="I1216" i="6"/>
  <c r="I1500" i="6"/>
  <c r="I49" i="6"/>
  <c r="I186" i="6"/>
  <c r="I650" i="6"/>
  <c r="I657" i="6"/>
  <c r="I1751" i="6"/>
  <c r="I765" i="6"/>
  <c r="I1081" i="6"/>
  <c r="I1573" i="6"/>
  <c r="I1732" i="6"/>
  <c r="I595" i="6"/>
  <c r="I1752" i="6"/>
  <c r="I12" i="6"/>
  <c r="I157" i="6"/>
  <c r="I603" i="6"/>
  <c r="I1114" i="6"/>
  <c r="I1574" i="6"/>
  <c r="I596" i="6"/>
  <c r="I651" i="6"/>
  <c r="I1184" i="6"/>
  <c r="I1753" i="6"/>
  <c r="I50" i="6"/>
  <c r="I158" i="6"/>
  <c r="I187" i="6"/>
  <c r="I1110" i="6"/>
  <c r="I1185" i="6"/>
  <c r="I109" i="6"/>
  <c r="I126" i="6"/>
  <c r="I188" i="6"/>
  <c r="I227" i="6"/>
  <c r="I310" i="6"/>
  <c r="I430" i="6"/>
  <c r="I666" i="6"/>
  <c r="I189" i="6"/>
  <c r="I228" i="6"/>
  <c r="I1115" i="6"/>
  <c r="I1866" i="6"/>
  <c r="I110" i="6"/>
  <c r="I384" i="6"/>
  <c r="I597" i="6"/>
  <c r="I766" i="6"/>
  <c r="I1575" i="6"/>
  <c r="I111" i="6"/>
  <c r="I311" i="6"/>
  <c r="I598" i="6"/>
  <c r="I1186" i="6"/>
  <c r="I1733" i="6"/>
  <c r="I229" i="6"/>
  <c r="I312" i="6"/>
  <c r="I431" i="6"/>
  <c r="I1776" i="6"/>
  <c r="I1806" i="6"/>
  <c r="I159" i="6"/>
  <c r="I155" i="6"/>
  <c r="I230" i="6"/>
  <c r="I643" i="6"/>
  <c r="I767" i="6"/>
  <c r="I1116" i="6"/>
  <c r="I1640" i="6"/>
  <c r="I127" i="6"/>
  <c r="I160" i="6"/>
  <c r="I641" i="6"/>
  <c r="I824" i="6"/>
  <c r="I1260" i="6"/>
  <c r="I156" i="6"/>
  <c r="I432" i="6"/>
  <c r="I642" i="6"/>
  <c r="I825" i="6"/>
  <c r="I1777" i="6"/>
  <c r="I1794" i="6"/>
  <c r="I1734" i="6"/>
  <c r="I1778" i="6"/>
  <c r="I1867" i="6"/>
  <c r="I13" i="6"/>
  <c r="I112" i="6"/>
  <c r="I128" i="6"/>
  <c r="I433" i="6"/>
  <c r="I826" i="6"/>
  <c r="I1111" i="6"/>
  <c r="I1187" i="6"/>
  <c r="I1807" i="6"/>
  <c r="I1868" i="6"/>
  <c r="I51" i="6"/>
  <c r="I313" i="6"/>
  <c r="I314" i="6"/>
  <c r="I1754" i="6"/>
  <c r="I652" i="6"/>
  <c r="I667" i="6"/>
  <c r="I768" i="6"/>
  <c r="I827" i="6"/>
  <c r="I1731" i="6"/>
  <c r="I377" i="6"/>
  <c r="I537" i="6"/>
  <c r="I1426" i="6"/>
  <c r="I1593" i="6"/>
  <c r="I1679" i="6"/>
  <c r="I44" i="6"/>
  <c r="I538" i="6"/>
  <c r="I828" i="6"/>
  <c r="I986" i="6"/>
  <c r="I1194" i="6"/>
  <c r="I1338" i="6"/>
  <c r="I1473" i="6"/>
  <c r="I1680" i="6"/>
  <c r="I1003" i="6"/>
  <c r="I1150" i="6"/>
  <c r="I1349" i="6"/>
  <c r="I1420" i="6"/>
  <c r="I1431" i="6"/>
  <c r="I350" i="6"/>
  <c r="I816" i="6"/>
  <c r="I987" i="6"/>
  <c r="I1125" i="6"/>
  <c r="I1195" i="6"/>
  <c r="I1303" i="6"/>
  <c r="I1435" i="6"/>
  <c r="I1463" i="6"/>
  <c r="I1681" i="6"/>
  <c r="I1741" i="6"/>
  <c r="I351" i="6"/>
  <c r="I539" i="6"/>
  <c r="I617" i="6"/>
  <c r="I1319" i="6"/>
  <c r="I45" i="6"/>
  <c r="I618" i="6"/>
  <c r="I1474" i="6"/>
  <c r="I1801" i="6"/>
  <c r="I1004" i="6"/>
  <c r="I1007" i="6"/>
  <c r="I1436" i="6"/>
  <c r="I1592" i="6"/>
  <c r="I1594" i="6"/>
  <c r="I1682" i="6"/>
  <c r="I1720" i="6"/>
  <c r="I619" i="6"/>
  <c r="I786" i="6"/>
  <c r="I1008" i="6"/>
  <c r="I1126" i="6"/>
  <c r="I1350" i="6"/>
  <c r="I1421" i="6"/>
  <c r="I1437" i="6"/>
  <c r="I1475" i="6"/>
  <c r="I1586" i="6"/>
  <c r="I540" i="6"/>
  <c r="I817" i="6"/>
  <c r="I1339" i="6"/>
  <c r="I352" i="6"/>
  <c r="I1120" i="6"/>
  <c r="I1392" i="6"/>
  <c r="I1422" i="6"/>
  <c r="I829" i="6"/>
  <c r="I1320" i="6"/>
  <c r="I1464" i="6"/>
  <c r="I1710" i="6"/>
  <c r="I1721" i="6"/>
  <c r="I46" i="6"/>
  <c r="I787" i="6"/>
  <c r="I1009" i="6"/>
  <c r="I1304" i="6"/>
  <c r="I1393" i="6"/>
  <c r="I1432" i="6"/>
  <c r="I1394" i="6"/>
  <c r="I1595" i="6"/>
  <c r="I1711" i="6"/>
  <c r="I620" i="6"/>
  <c r="I1121" i="6"/>
  <c r="I1305" i="6"/>
  <c r="I1321" i="6"/>
  <c r="I1374" i="6"/>
  <c r="I1433" i="6"/>
  <c r="I1712" i="6"/>
  <c r="I1802" i="6"/>
  <c r="I818" i="6"/>
  <c r="I988" i="6"/>
  <c r="I1127" i="6"/>
  <c r="I1375" i="6"/>
  <c r="I513" i="6"/>
  <c r="I830" i="6"/>
  <c r="I1340" i="6"/>
  <c r="I1803" i="6"/>
  <c r="I1434" i="6"/>
  <c r="I353" i="6"/>
  <c r="I788" i="6"/>
  <c r="I1351" i="6"/>
  <c r="I1713" i="6"/>
  <c r="I47" i="6"/>
  <c r="I1306" i="6"/>
  <c r="I1322" i="6"/>
  <c r="I1596" i="6"/>
  <c r="I1621" i="6"/>
  <c r="I846" i="6"/>
  <c r="I387" i="6"/>
  <c r="I653" i="6"/>
  <c r="I1693" i="6"/>
  <c r="I401" i="6"/>
  <c r="I1427" i="6"/>
  <c r="I795" i="6"/>
  <c r="I434" i="6"/>
  <c r="I541" i="6"/>
  <c r="I847" i="6"/>
  <c r="I1084" i="6"/>
  <c r="I1447" i="6"/>
  <c r="I1901" i="6"/>
  <c r="I117" i="6"/>
  <c r="I291" i="6"/>
  <c r="I848" i="6"/>
  <c r="I1207" i="6"/>
  <c r="I1371" i="6"/>
  <c r="I1448" i="6"/>
  <c r="I1828" i="6"/>
  <c r="I1449" i="6"/>
  <c r="I1645" i="6"/>
  <c r="I163" i="6"/>
  <c r="I654" i="6"/>
  <c r="I737" i="6"/>
  <c r="I849" i="6"/>
  <c r="I1085" i="6"/>
  <c r="I1094" i="6"/>
  <c r="I1498" i="6"/>
  <c r="I97" i="6"/>
  <c r="I655" i="6"/>
  <c r="I796" i="6"/>
  <c r="I1060" i="6"/>
  <c r="I1208" i="6"/>
  <c r="I1646" i="6"/>
  <c r="I1694" i="6"/>
  <c r="I1698" i="6"/>
  <c r="I118" i="6"/>
  <c r="I292" i="6"/>
  <c r="I388" i="6"/>
  <c r="I656" i="6"/>
  <c r="I692" i="6"/>
  <c r="I1450" i="6"/>
  <c r="I1795" i="6"/>
  <c r="I98" i="6"/>
  <c r="I797" i="6"/>
  <c r="I1695" i="6"/>
  <c r="I2" i="6"/>
  <c r="I119" i="6"/>
  <c r="I164" i="6"/>
  <c r="I453" i="6"/>
  <c r="K453" i="6" s="1"/>
  <c r="I466" i="6"/>
  <c r="I542" i="6"/>
  <c r="I1087" i="6"/>
  <c r="I165" i="6"/>
  <c r="I402" i="6"/>
  <c r="I543" i="6"/>
  <c r="I1372" i="6"/>
  <c r="I1499" i="6"/>
  <c r="I389" i="6"/>
  <c r="I467" i="6"/>
  <c r="I1086" i="6"/>
  <c r="I1699" i="6"/>
  <c r="I166" i="6"/>
  <c r="I1061" i="6"/>
  <c r="I1209" i="6"/>
  <c r="I293" i="6"/>
  <c r="I1796" i="6"/>
  <c r="I468" i="6"/>
  <c r="I664" i="6"/>
  <c r="I1647" i="6"/>
  <c r="I3" i="6"/>
  <c r="I403" i="6"/>
  <c r="I435" i="6"/>
  <c r="I544" i="6"/>
  <c r="I798" i="6"/>
  <c r="I1088" i="6"/>
  <c r="I1761" i="6"/>
  <c r="I1902" i="6"/>
  <c r="I99" i="6"/>
  <c r="I346" i="6"/>
  <c r="I390" i="6"/>
  <c r="I469" i="6"/>
  <c r="I1696" i="6"/>
  <c r="I1903" i="6"/>
  <c r="I370" i="6"/>
  <c r="I518" i="6"/>
  <c r="I490" i="6"/>
  <c r="I917" i="6"/>
  <c r="I461" i="6"/>
  <c r="I636" i="6"/>
  <c r="I719" i="6"/>
  <c r="I1054" i="6"/>
  <c r="I1223" i="6"/>
  <c r="I1382" i="6"/>
  <c r="I519" i="6"/>
  <c r="I720" i="6"/>
  <c r="I1873" i="6"/>
  <c r="I514" i="6"/>
  <c r="I999" i="6"/>
  <c r="I1364" i="6"/>
  <c r="I1597" i="6"/>
  <c r="I238" i="6"/>
  <c r="I1797" i="6"/>
  <c r="I1862" i="6"/>
  <c r="I284" i="6"/>
  <c r="I451" i="6"/>
  <c r="I1598" i="6"/>
  <c r="I1863" i="6"/>
  <c r="I17" i="6"/>
  <c r="I709" i="6"/>
  <c r="I866" i="6"/>
  <c r="I918" i="6"/>
  <c r="I1224" i="6"/>
  <c r="I1506" i="6"/>
  <c r="I360" i="6"/>
  <c r="I628" i="6"/>
  <c r="I1041" i="6"/>
  <c r="I1476" i="6"/>
  <c r="I1874" i="6"/>
  <c r="I239" i="6"/>
  <c r="I285" i="6"/>
  <c r="I491" i="6"/>
  <c r="I689" i="6"/>
  <c r="I1055" i="6"/>
  <c r="I1477" i="6"/>
  <c r="I404" i="6"/>
  <c r="I629" i="6"/>
  <c r="I690" i="6"/>
  <c r="I754" i="6"/>
  <c r="I1507" i="6"/>
  <c r="I1798" i="6"/>
  <c r="I1864" i="6"/>
  <c r="I462" i="6"/>
  <c r="I1425" i="6"/>
  <c r="I18" i="6"/>
  <c r="I361" i="6"/>
  <c r="I630" i="6"/>
  <c r="I691" i="6"/>
  <c r="I710" i="6"/>
  <c r="I1225" i="6"/>
  <c r="I1365" i="6"/>
  <c r="I1453" i="6"/>
  <c r="I721" i="6"/>
  <c r="I1000" i="6"/>
  <c r="I1366" i="6"/>
  <c r="I1508" i="6"/>
  <c r="I371" i="6"/>
  <c r="I405" i="6"/>
  <c r="I631" i="6"/>
  <c r="I711" i="6"/>
  <c r="I1844" i="6"/>
  <c r="I19" i="6"/>
  <c r="I240" i="6"/>
  <c r="I463" i="6"/>
  <c r="I755" i="6"/>
  <c r="I919" i="6"/>
  <c r="I1799" i="6"/>
  <c r="I452" i="6"/>
  <c r="I515" i="6"/>
  <c r="I722" i="6"/>
  <c r="I756" i="6"/>
  <c r="I1226" i="6"/>
  <c r="I1509" i="6"/>
  <c r="I492" i="6"/>
  <c r="I867" i="6"/>
  <c r="I1865" i="6"/>
  <c r="I372" i="6"/>
  <c r="I464" i="6"/>
  <c r="I516" i="6"/>
  <c r="I712" i="6"/>
  <c r="I1478" i="6"/>
  <c r="I1599" i="6"/>
  <c r="I286" i="6"/>
  <c r="I362" i="6"/>
  <c r="I517" i="6"/>
  <c r="I920" i="6"/>
  <c r="I1600" i="6"/>
  <c r="I1845" i="6"/>
  <c r="I52" i="6"/>
  <c r="I497" i="6"/>
  <c r="I622" i="6"/>
  <c r="I637" i="6"/>
  <c r="I660" i="6"/>
  <c r="I1354" i="6"/>
  <c r="I1642" i="6"/>
  <c r="I1769" i="6"/>
  <c r="I1773" i="6"/>
  <c r="I1869" i="6"/>
  <c r="I615" i="6"/>
  <c r="I623" i="6"/>
  <c r="I644" i="6"/>
  <c r="I942" i="6"/>
  <c r="I1062" i="6"/>
  <c r="I1643" i="6"/>
  <c r="I1743" i="6"/>
  <c r="I1809" i="6"/>
  <c r="I131" i="6"/>
  <c r="I249" i="6"/>
  <c r="I608" i="6"/>
  <c r="I624" i="6"/>
  <c r="I252" i="6"/>
  <c r="I645" i="6"/>
  <c r="I904" i="6"/>
  <c r="I1654" i="6"/>
  <c r="I1870" i="6"/>
  <c r="I822" i="6"/>
  <c r="I857" i="6"/>
  <c r="I1113" i="6"/>
  <c r="I1406" i="6"/>
  <c r="I1655" i="6"/>
  <c r="I1774" i="6"/>
  <c r="I1871" i="6"/>
  <c r="I132" i="6"/>
  <c r="I436" i="6"/>
  <c r="I646" i="6"/>
  <c r="I659" i="6"/>
  <c r="I858" i="6"/>
  <c r="I881" i="6"/>
  <c r="I53" i="6"/>
  <c r="I250" i="6"/>
  <c r="I253" i="6"/>
  <c r="I307" i="6"/>
  <c r="I609" i="6"/>
  <c r="I661" i="6"/>
  <c r="I823" i="6"/>
  <c r="I905" i="6"/>
  <c r="I1656" i="6"/>
  <c r="I1792" i="6"/>
  <c r="I465" i="6"/>
  <c r="I1590" i="6"/>
  <c r="I1775" i="6"/>
  <c r="I66" i="6"/>
  <c r="I450" i="6"/>
  <c r="I638" i="6"/>
  <c r="I838" i="6"/>
  <c r="I882" i="6"/>
  <c r="I1355" i="6"/>
  <c r="I1407" i="6"/>
  <c r="I444" i="6"/>
  <c r="K444" i="6" s="1"/>
  <c r="I1063" i="6"/>
  <c r="I1810" i="6"/>
  <c r="I251" i="6"/>
  <c r="I308" i="6"/>
  <c r="I445" i="6"/>
  <c r="I859" i="6"/>
  <c r="I1485" i="6"/>
  <c r="I1770" i="6"/>
  <c r="I54" i="6"/>
  <c r="I662" i="6"/>
  <c r="I1486" i="6"/>
  <c r="I1811" i="6"/>
  <c r="I55" i="6"/>
  <c r="I446" i="6"/>
  <c r="I663" i="6"/>
  <c r="I943" i="6"/>
  <c r="I1609" i="6"/>
  <c r="I1744" i="6"/>
  <c r="I133" i="6"/>
  <c r="I621" i="6"/>
  <c r="I839" i="6"/>
  <c r="I906" i="6"/>
  <c r="I1591" i="6"/>
  <c r="I1771" i="6"/>
  <c r="I134" i="6"/>
  <c r="I610" i="6"/>
  <c r="I647" i="6"/>
  <c r="I1487" i="6"/>
  <c r="I1610" i="6"/>
  <c r="I309" i="6"/>
  <c r="I639" i="6"/>
  <c r="I840" i="6"/>
  <c r="I1391" i="6"/>
  <c r="I1772" i="6"/>
  <c r="I616" i="6"/>
  <c r="I860" i="6"/>
  <c r="I907" i="6"/>
  <c r="I1134" i="6"/>
  <c r="I1644" i="6"/>
  <c r="I611" i="6"/>
  <c r="K611" i="6" s="1"/>
  <c r="I1356" i="6"/>
  <c r="I1488" i="6"/>
  <c r="I1589" i="6"/>
  <c r="I1793" i="6"/>
  <c r="I447" i="6"/>
  <c r="I498" i="6"/>
  <c r="I640" i="6"/>
  <c r="I944" i="6"/>
  <c r="I1872" i="6"/>
  <c r="I410" i="6"/>
  <c r="I1533" i="6"/>
  <c r="I914" i="6"/>
  <c r="I1101" i="6"/>
  <c r="I1307" i="6"/>
  <c r="I1521" i="6"/>
  <c r="I91" i="6"/>
  <c r="I607" i="6"/>
  <c r="I945" i="6"/>
  <c r="I79" i="6"/>
  <c r="I564" i="6"/>
  <c r="I892" i="6"/>
  <c r="I992" i="6"/>
  <c r="I1099" i="6"/>
  <c r="I276" i="6"/>
  <c r="I364" i="6"/>
  <c r="I842" i="6"/>
  <c r="I993" i="6"/>
  <c r="I1308" i="6"/>
  <c r="I1504" i="6"/>
  <c r="I1737" i="6"/>
  <c r="I1790" i="6"/>
  <c r="I315" i="6"/>
  <c r="K315" i="6" s="1"/>
  <c r="I565" i="6"/>
  <c r="I843" i="6"/>
  <c r="I872" i="6"/>
  <c r="I1100" i="6"/>
  <c r="I1481" i="6"/>
  <c r="I316" i="6"/>
  <c r="I481" i="6"/>
  <c r="I1180" i="6"/>
  <c r="I1309" i="6"/>
  <c r="I1534" i="6"/>
  <c r="I1850" i="6"/>
  <c r="I411" i="6"/>
  <c r="I424" i="6"/>
  <c r="I1482" i="6"/>
  <c r="I1606" i="6"/>
  <c r="I1738" i="6"/>
  <c r="I92" i="6"/>
  <c r="I482" i="6"/>
  <c r="I844" i="6"/>
  <c r="I277" i="6"/>
  <c r="I1135" i="6"/>
  <c r="I1181" i="6"/>
  <c r="I412" i="6"/>
  <c r="I614" i="6"/>
  <c r="I951" i="6"/>
  <c r="I1505" i="6"/>
  <c r="I93" i="6"/>
  <c r="I413" i="6"/>
  <c r="I553" i="6"/>
  <c r="I893" i="6"/>
  <c r="I1231" i="6"/>
  <c r="I1522" i="6"/>
  <c r="I1607" i="6"/>
  <c r="I845" i="6"/>
  <c r="I1136" i="6"/>
  <c r="I1182" i="6"/>
  <c r="I1232" i="6"/>
  <c r="I1483" i="6"/>
  <c r="I915" i="6"/>
  <c r="I278" i="6"/>
  <c r="I317" i="6"/>
  <c r="I916" i="6"/>
  <c r="I1739" i="6"/>
  <c r="I1742" i="6"/>
  <c r="I994" i="6"/>
  <c r="I1066" i="6"/>
  <c r="I1172" i="6"/>
  <c r="I1535" i="6"/>
  <c r="I1791" i="6"/>
  <c r="I318" i="6"/>
  <c r="I483" i="6"/>
  <c r="I554" i="6"/>
  <c r="I566" i="6"/>
  <c r="I1067" i="6"/>
  <c r="I1740" i="6"/>
  <c r="I946" i="6"/>
  <c r="I1183" i="6"/>
  <c r="I894" i="6"/>
  <c r="I995" i="6"/>
  <c r="I1042" i="6"/>
  <c r="I1102" i="6"/>
  <c r="I1173" i="6"/>
  <c r="I1484" i="6"/>
  <c r="I1536" i="6"/>
  <c r="I1608" i="6"/>
  <c r="I1851" i="6"/>
  <c r="I80" i="6"/>
  <c r="I94" i="6"/>
  <c r="I811" i="6"/>
  <c r="I873" i="6"/>
  <c r="I588" i="6"/>
  <c r="I800" i="6"/>
  <c r="I1024" i="6"/>
  <c r="I1367" i="6"/>
  <c r="I1702" i="6"/>
  <c r="I77" i="6"/>
  <c r="I257" i="6"/>
  <c r="I549" i="6"/>
  <c r="I770" i="6"/>
  <c r="I1576" i="6"/>
  <c r="I1043" i="6"/>
  <c r="I1324" i="6"/>
  <c r="I1577" i="6"/>
  <c r="I1833" i="6"/>
  <c r="I1162" i="6"/>
  <c r="I1368" i="6"/>
  <c r="I1566" i="6"/>
  <c r="I1815" i="6"/>
  <c r="I550" i="6"/>
  <c r="I801" i="6"/>
  <c r="I1567" i="6"/>
  <c r="I1578" i="6"/>
  <c r="I1703" i="6"/>
  <c r="I279" i="6"/>
  <c r="I374" i="6"/>
  <c r="I713" i="6"/>
  <c r="I749" i="6"/>
  <c r="I1325" i="6"/>
  <c r="I1704" i="6"/>
  <c r="I454" i="6"/>
  <c r="I528" i="6"/>
  <c r="I990" i="6"/>
  <c r="I1014" i="6"/>
  <c r="I1816" i="6"/>
  <c r="I26" i="6"/>
  <c r="I28" i="6"/>
  <c r="I331" i="6"/>
  <c r="I551" i="6"/>
  <c r="I589" i="6"/>
  <c r="I782" i="6"/>
  <c r="I802" i="6"/>
  <c r="I835" i="6"/>
  <c r="I861" i="6"/>
  <c r="I876" i="6"/>
  <c r="I1163" i="6"/>
  <c r="I1326" i="6"/>
  <c r="I1479" i="6"/>
  <c r="I1834" i="6"/>
  <c r="I280" i="6"/>
  <c r="I783" i="6"/>
  <c r="I1604" i="6"/>
  <c r="I258" i="6"/>
  <c r="I332" i="6"/>
  <c r="I784" i="6"/>
  <c r="I1044" i="6"/>
  <c r="I1672" i="6"/>
  <c r="I29" i="6"/>
  <c r="I590" i="6"/>
  <c r="I750" i="6"/>
  <c r="I1045" i="6"/>
  <c r="I1605" i="6"/>
  <c r="I1812" i="6"/>
  <c r="I27" i="6"/>
  <c r="I552" i="6"/>
  <c r="I862" i="6"/>
  <c r="I1327" i="6"/>
  <c r="I1369" i="6"/>
  <c r="I1480" i="6"/>
  <c r="I1543" i="6"/>
  <c r="I30" i="6"/>
  <c r="I107" i="6"/>
  <c r="I375" i="6"/>
  <c r="I771" i="6"/>
  <c r="I1293" i="6"/>
  <c r="I78" i="6"/>
  <c r="I259" i="6"/>
  <c r="I281" i="6"/>
  <c r="I333" i="6"/>
  <c r="I772" i="6"/>
  <c r="I1025" i="6"/>
  <c r="I1164" i="6"/>
  <c r="I1294" i="6"/>
  <c r="I1673" i="6"/>
  <c r="I41" i="6"/>
  <c r="I836" i="6"/>
  <c r="I956" i="6"/>
  <c r="I1015" i="6"/>
  <c r="I1295" i="6"/>
  <c r="I42" i="6"/>
  <c r="I108" i="6"/>
  <c r="K108" i="6" s="1"/>
  <c r="I687" i="6"/>
  <c r="I877" i="6"/>
  <c r="I1016" i="6"/>
  <c r="I1370" i="6"/>
  <c r="I282" i="6"/>
  <c r="I1046" i="6"/>
  <c r="I1813" i="6"/>
  <c r="I376" i="6"/>
  <c r="I425" i="6"/>
  <c r="I455" i="6"/>
  <c r="I688" i="6"/>
  <c r="I714" i="6"/>
  <c r="I773" i="6"/>
  <c r="I991" i="6"/>
  <c r="I1017" i="6"/>
  <c r="I1544" i="6"/>
  <c r="I1568" i="6"/>
  <c r="I1814" i="6"/>
  <c r="I1817" i="6"/>
  <c r="I1835" i="6"/>
  <c r="I31" i="6"/>
  <c r="I43" i="6"/>
  <c r="I591" i="6"/>
  <c r="I785" i="6"/>
  <c r="I837" i="6"/>
  <c r="I878" i="6"/>
  <c r="I1026" i="6"/>
  <c r="I1490" i="6"/>
  <c r="I1674" i="6"/>
  <c r="I529" i="6"/>
  <c r="I803" i="6"/>
  <c r="I1545" i="6"/>
  <c r="I1836" i="6"/>
  <c r="I934" i="6"/>
  <c r="I1103" i="6"/>
  <c r="I1445" i="6"/>
  <c r="I1629" i="6"/>
  <c r="I89" i="6"/>
  <c r="I704" i="6"/>
  <c r="I730" i="6"/>
  <c r="I1089" i="6"/>
  <c r="I1097" i="6"/>
  <c r="I1446" i="6"/>
  <c r="I1582" i="6"/>
  <c r="I1825" i="6"/>
  <c r="I1098" i="6"/>
  <c r="I1160" i="6"/>
  <c r="I1400" i="6"/>
  <c r="I1705" i="6"/>
  <c r="I20" i="6"/>
  <c r="I728" i="6"/>
  <c r="I1032" i="6"/>
  <c r="I1315" i="6"/>
  <c r="I1401" i="6"/>
  <c r="I1583" i="6"/>
  <c r="I1714" i="6"/>
  <c r="I1746" i="6"/>
  <c r="I21" i="6"/>
  <c r="I223" i="6"/>
  <c r="I883" i="6"/>
  <c r="I1747" i="6"/>
  <c r="I874" i="6"/>
  <c r="I935" i="6"/>
  <c r="I1033" i="6"/>
  <c r="I1402" i="6"/>
  <c r="I1706" i="6"/>
  <c r="I1826" i="6"/>
  <c r="I884" i="6"/>
  <c r="I1707" i="6"/>
  <c r="I56" i="6"/>
  <c r="I90" i="6"/>
  <c r="I283" i="6"/>
  <c r="I724" i="6"/>
  <c r="I1104" i="6"/>
  <c r="I1200" i="6"/>
  <c r="I1403" i="6"/>
  <c r="I100" i="6"/>
  <c r="I1105" i="6"/>
  <c r="I1201" i="6"/>
  <c r="I1630" i="6"/>
  <c r="I1715" i="6"/>
  <c r="I1748" i="6"/>
  <c r="I22" i="6"/>
  <c r="I1083" i="6"/>
  <c r="I1749" i="6"/>
  <c r="I875" i="6"/>
  <c r="I1034" i="6"/>
  <c r="I1316" i="6"/>
  <c r="I1708" i="6"/>
  <c r="I224" i="6"/>
  <c r="I731" i="6"/>
  <c r="I927" i="6"/>
  <c r="I1202" i="6"/>
  <c r="I57" i="6"/>
  <c r="I928" i="6"/>
  <c r="I1419" i="6"/>
  <c r="I1827" i="6"/>
  <c r="I705" i="6"/>
  <c r="I885" i="6"/>
  <c r="I936" i="6"/>
  <c r="I989" i="6"/>
  <c r="I1090" i="6"/>
  <c r="I1161" i="6"/>
  <c r="I225" i="6"/>
  <c r="I470" i="6"/>
  <c r="I1410" i="6"/>
  <c r="I23" i="6"/>
  <c r="I569" i="6"/>
  <c r="I729" i="6"/>
  <c r="I929" i="6"/>
  <c r="I1035" i="6"/>
  <c r="I1203" i="6"/>
  <c r="I1317" i="6"/>
  <c r="I1631" i="6"/>
  <c r="I58" i="6"/>
  <c r="I886" i="6"/>
  <c r="I59" i="6"/>
  <c r="I937" i="6"/>
  <c r="I1318" i="6"/>
  <c r="I1584" i="6"/>
  <c r="I221" i="6"/>
  <c r="I327" i="6"/>
  <c r="I1625" i="6"/>
  <c r="I1852" i="6"/>
  <c r="I448" i="6"/>
  <c r="I890" i="6"/>
  <c r="I921" i="6"/>
  <c r="I1152" i="6"/>
  <c r="I33" i="6"/>
  <c r="I213" i="6"/>
  <c r="I254" i="6"/>
  <c r="I328" i="6"/>
  <c r="I418" i="6"/>
  <c r="I1555" i="6"/>
  <c r="I1601" i="6"/>
  <c r="I255" i="6"/>
  <c r="I343" i="6"/>
  <c r="I887" i="6"/>
  <c r="I1529" i="6"/>
  <c r="I1780" i="6"/>
  <c r="I214" i="6"/>
  <c r="I479" i="6"/>
  <c r="I922" i="6"/>
  <c r="I1010" i="6"/>
  <c r="I1602" i="6"/>
  <c r="I34" i="6"/>
  <c r="I138" i="6"/>
  <c r="I587" i="6"/>
  <c r="I963" i="6"/>
  <c r="I1288" i="6"/>
  <c r="I1626" i="6"/>
  <c r="I1648" i="6"/>
  <c r="I1829" i="6"/>
  <c r="I534" i="6"/>
  <c r="I570" i="6"/>
  <c r="I923" i="6"/>
  <c r="I1556" i="6"/>
  <c r="I1830" i="6"/>
  <c r="I480" i="6"/>
  <c r="I738" i="6"/>
  <c r="I1469" i="6"/>
  <c r="I1627" i="6"/>
  <c r="I1831" i="6"/>
  <c r="I419" i="6"/>
  <c r="I1289" i="6"/>
  <c r="I1628" i="6"/>
  <c r="I571" i="6"/>
  <c r="I139" i="6"/>
  <c r="I521" i="6"/>
  <c r="I535" i="6"/>
  <c r="I739" i="6"/>
  <c r="I1649" i="6"/>
  <c r="I1832" i="6"/>
  <c r="I35" i="6"/>
  <c r="I140" i="6"/>
  <c r="I222" i="6"/>
  <c r="I522" i="6"/>
  <c r="I740" i="6"/>
  <c r="I924" i="6"/>
  <c r="I1557" i="6"/>
  <c r="I1572" i="6"/>
  <c r="I523" i="6"/>
  <c r="I1470" i="6"/>
  <c r="I1603" i="6"/>
  <c r="I1781" i="6"/>
  <c r="I36" i="6"/>
  <c r="I215" i="6"/>
  <c r="I329" i="6"/>
  <c r="I344" i="6"/>
  <c r="I536" i="6"/>
  <c r="I891" i="6"/>
  <c r="I420" i="6"/>
  <c r="I1471" i="6"/>
  <c r="I1558" i="6"/>
  <c r="I1153" i="6"/>
  <c r="I1286" i="6"/>
  <c r="I1559" i="6"/>
  <c r="I1154" i="6"/>
  <c r="I1287" i="6"/>
  <c r="I256" i="6"/>
  <c r="I326" i="6"/>
  <c r="I524" i="6"/>
  <c r="I527" i="6"/>
  <c r="I925" i="6"/>
  <c r="I1472" i="6"/>
  <c r="I1560" i="6"/>
  <c r="I369" i="6"/>
  <c r="I1095" i="6"/>
  <c r="I1290" i="6"/>
  <c r="I1650" i="6"/>
  <c r="I216" i="6"/>
  <c r="I330" i="6"/>
  <c r="I345" i="6"/>
  <c r="I421" i="6"/>
  <c r="I449" i="6"/>
  <c r="I572" i="6"/>
  <c r="I926" i="6"/>
  <c r="I1782" i="6"/>
  <c r="I193" i="6"/>
  <c r="I499" i="6"/>
  <c r="I560" i="6"/>
  <c r="I910" i="6"/>
  <c r="I1029" i="6"/>
  <c r="I1052" i="6"/>
  <c r="I1651" i="6"/>
  <c r="I1858" i="6"/>
  <c r="I205" i="6"/>
  <c r="I319" i="6"/>
  <c r="I789" i="6"/>
  <c r="I1091" i="6"/>
  <c r="I123" i="6"/>
  <c r="I583" i="6"/>
  <c r="I1442" i="6"/>
  <c r="I1456" i="6"/>
  <c r="I1460" i="6"/>
  <c r="I1585" i="6"/>
  <c r="I626" i="6"/>
  <c r="I1897" i="6"/>
  <c r="I197" i="6"/>
  <c r="I561" i="6"/>
  <c r="I1018" i="6"/>
  <c r="I1092" i="6"/>
  <c r="I1898" i="6"/>
  <c r="I15" i="6"/>
  <c r="I808" i="6"/>
  <c r="I1652" i="6"/>
  <c r="I1808" i="6"/>
  <c r="I584" i="6"/>
  <c r="I1820" i="6"/>
  <c r="I220" i="6"/>
  <c r="I585" i="6"/>
  <c r="I604" i="6"/>
  <c r="I741" i="6"/>
  <c r="I1053" i="6"/>
  <c r="I1204" i="6"/>
  <c r="I1457" i="6"/>
  <c r="I1821" i="6"/>
  <c r="I24" i="6"/>
  <c r="I194" i="6"/>
  <c r="I742" i="6"/>
  <c r="I809" i="6"/>
  <c r="I1030" i="6"/>
  <c r="I1205" i="6"/>
  <c r="I1549" i="6"/>
  <c r="I16" i="6"/>
  <c r="I320" i="6"/>
  <c r="I743" i="6"/>
  <c r="I1458" i="6"/>
  <c r="I206" i="6"/>
  <c r="I605" i="6"/>
  <c r="I790" i="6"/>
  <c r="I1093" i="6"/>
  <c r="I1899" i="6"/>
  <c r="I25" i="6"/>
  <c r="I627" i="6"/>
  <c r="I939" i="6"/>
  <c r="I1019" i="6"/>
  <c r="I1459" i="6"/>
  <c r="I170" i="6"/>
  <c r="I911" i="6"/>
  <c r="I1020" i="6"/>
  <c r="I1461" i="6"/>
  <c r="I1550" i="6"/>
  <c r="I1800" i="6"/>
  <c r="I1900" i="6"/>
  <c r="I116" i="6"/>
  <c r="I198" i="6"/>
  <c r="I207" i="6"/>
  <c r="I321" i="6"/>
  <c r="I744" i="6"/>
  <c r="I1167" i="6"/>
  <c r="I1551" i="6"/>
  <c r="I124" i="6"/>
  <c r="I440" i="6"/>
  <c r="I810" i="6"/>
  <c r="I912" i="6"/>
  <c r="I1206" i="6"/>
  <c r="I1462" i="6"/>
  <c r="I1822" i="6"/>
  <c r="I1859" i="6"/>
  <c r="I125" i="6"/>
  <c r="I562" i="6"/>
  <c r="I913" i="6"/>
  <c r="I940" i="6"/>
  <c r="I208" i="6"/>
  <c r="I586" i="6"/>
  <c r="I606" i="6"/>
  <c r="I996" i="6"/>
  <c r="I1031" i="6"/>
  <c r="I1168" i="6"/>
  <c r="I1443" i="6"/>
  <c r="I171" i="6"/>
  <c r="I941" i="6"/>
  <c r="I1653" i="6"/>
  <c r="I997" i="6"/>
  <c r="I1860" i="6"/>
  <c r="I113" i="6"/>
  <c r="I267" i="6"/>
  <c r="I1011" i="6"/>
  <c r="I1056" i="6"/>
  <c r="I1197" i="6"/>
  <c r="I1281" i="6"/>
  <c r="I1465" i="6"/>
  <c r="I114" i="6"/>
  <c r="I235" i="6"/>
  <c r="I472" i="6"/>
  <c r="I761" i="6"/>
  <c r="I1261" i="6"/>
  <c r="I120" i="6"/>
  <c r="I395" i="6"/>
  <c r="I715" i="6"/>
  <c r="I981" i="6"/>
  <c r="I1137" i="6"/>
  <c r="I1428" i="6"/>
  <c r="I1888" i="6"/>
  <c r="I236" i="6"/>
  <c r="I378" i="6"/>
  <c r="I471" i="6"/>
  <c r="I1012" i="6"/>
  <c r="I1068" i="6"/>
  <c r="I1138" i="6"/>
  <c r="I1262" i="6"/>
  <c r="I1755" i="6"/>
  <c r="I1889" i="6"/>
  <c r="I67" i="6"/>
  <c r="I115" i="6"/>
  <c r="I723" i="6"/>
  <c r="I831" i="6"/>
  <c r="I868" i="6"/>
  <c r="I1323" i="6"/>
  <c r="I121" i="6"/>
  <c r="I195" i="6"/>
  <c r="I819" i="6"/>
  <c r="I1466" i="6"/>
  <c r="I1756" i="6"/>
  <c r="I473" i="6"/>
  <c r="I832" i="6"/>
  <c r="I869" i="6"/>
  <c r="I1057" i="6"/>
  <c r="I1263" i="6"/>
  <c r="I1467" i="6"/>
  <c r="I334" i="6"/>
  <c r="I820" i="6"/>
  <c r="I668" i="6"/>
  <c r="I833" i="6"/>
  <c r="I962" i="6"/>
  <c r="I982" i="6"/>
  <c r="I379" i="6"/>
  <c r="I391" i="6"/>
  <c r="I870" i="6"/>
  <c r="I1058" i="6"/>
  <c r="I1178" i="6"/>
  <c r="I1251" i="6"/>
  <c r="I1282" i="6"/>
  <c r="I151" i="6"/>
  <c r="I179" i="6"/>
  <c r="I380" i="6"/>
  <c r="I983" i="6"/>
  <c r="I1252" i="6"/>
  <c r="I196" i="6"/>
  <c r="I335" i="6"/>
  <c r="I392" i="6"/>
  <c r="I762" i="6"/>
  <c r="I1328" i="6"/>
  <c r="I1429" i="6"/>
  <c r="I1876" i="6"/>
  <c r="I48" i="6"/>
  <c r="I152" i="6"/>
  <c r="I180" i="6"/>
  <c r="I237" i="6"/>
  <c r="I763" i="6"/>
  <c r="I122" i="6"/>
  <c r="I396" i="6"/>
  <c r="I474" i="6"/>
  <c r="I871" i="6"/>
  <c r="I1059" i="6"/>
  <c r="I1264" i="6"/>
  <c r="I1757" i="6"/>
  <c r="I68" i="6"/>
  <c r="I181" i="6"/>
  <c r="I393" i="6"/>
  <c r="I764" i="6"/>
  <c r="I1329" i="6"/>
  <c r="I1758" i="6"/>
  <c r="I153" i="6"/>
  <c r="I217" i="6"/>
  <c r="I268" i="6"/>
  <c r="I397" i="6"/>
  <c r="I669" i="6"/>
  <c r="I821" i="6"/>
  <c r="I1013" i="6"/>
  <c r="I1877" i="6"/>
  <c r="I1330" i="6"/>
  <c r="I69" i="6"/>
  <c r="I218" i="6"/>
  <c r="I269" i="6"/>
  <c r="I336" i="6"/>
  <c r="I1179" i="6"/>
  <c r="I1468" i="6"/>
  <c r="I154" i="6"/>
  <c r="I337" i="6"/>
  <c r="I475" i="6"/>
  <c r="I834" i="6"/>
  <c r="I961" i="6"/>
  <c r="I1250" i="6"/>
  <c r="I219" i="6"/>
  <c r="I381" i="6"/>
  <c r="I394" i="6"/>
  <c r="I984" i="6"/>
  <c r="I1283" i="6"/>
  <c r="I1331" i="6"/>
  <c r="I1144" i="6"/>
  <c r="I200" i="6"/>
  <c r="I718" i="6"/>
  <c r="I1145" i="6"/>
  <c r="I1502" i="6"/>
  <c r="I1727" i="6"/>
  <c r="I1841" i="6"/>
  <c r="I577" i="6"/>
  <c r="I985" i="6"/>
  <c r="I1334" i="6"/>
  <c r="I1735" i="6"/>
  <c r="I1766" i="6"/>
  <c r="I1335" i="6"/>
  <c r="I1612" i="6"/>
  <c r="I1622" i="6"/>
  <c r="I1675" i="6"/>
  <c r="I441" i="6"/>
  <c r="I957" i="6"/>
  <c r="I1728" i="6"/>
  <c r="I203" i="6"/>
  <c r="I578" i="6"/>
  <c r="I879" i="6"/>
  <c r="I1336" i="6"/>
  <c r="I1613" i="6"/>
  <c r="I1729" i="6"/>
  <c r="I1842" i="6"/>
  <c r="I129" i="6"/>
  <c r="I201" i="6"/>
  <c r="I575" i="6"/>
  <c r="I1341" i="6"/>
  <c r="I1619" i="6"/>
  <c r="I274" i="6"/>
  <c r="I880" i="6"/>
  <c r="I1146" i="6"/>
  <c r="I1342" i="6"/>
  <c r="I1489" i="6"/>
  <c r="I202" i="6"/>
  <c r="I442" i="6"/>
  <c r="I1767" i="6"/>
  <c r="I422" i="6"/>
  <c r="I1614" i="6"/>
  <c r="I226" i="6"/>
  <c r="I1411" i="6"/>
  <c r="I1491" i="6"/>
  <c r="I1623" i="6"/>
  <c r="I1768" i="6"/>
  <c r="I204" i="6"/>
  <c r="I732" i="6"/>
  <c r="I1492" i="6"/>
  <c r="I1624" i="6"/>
  <c r="I958" i="6"/>
  <c r="I1493" i="6"/>
  <c r="I1615" i="6"/>
  <c r="I1265" i="6"/>
  <c r="I1503" i="6"/>
  <c r="I1736" i="6"/>
  <c r="I1843" i="6"/>
  <c r="I130" i="6"/>
  <c r="I443" i="6"/>
  <c r="I959" i="6"/>
  <c r="I1412" i="6"/>
  <c r="I1709" i="6"/>
  <c r="I1292" i="6"/>
  <c r="I1343" i="6"/>
  <c r="I1620" i="6"/>
  <c r="I1730" i="6"/>
  <c r="I423" i="6"/>
  <c r="I1147" i="6"/>
  <c r="I1514" i="6"/>
  <c r="I1676" i="6"/>
  <c r="I960" i="6"/>
  <c r="I1494" i="6"/>
  <c r="I1677" i="6"/>
  <c r="I275" i="6"/>
  <c r="I1337" i="6"/>
  <c r="I1678" i="6"/>
  <c r="I74" i="6"/>
  <c r="I231" i="6"/>
  <c r="I696" i="6"/>
  <c r="I850" i="6"/>
  <c r="I1047" i="6"/>
  <c r="I1657" i="6"/>
  <c r="I1878" i="6"/>
  <c r="I488" i="6"/>
  <c r="I531" i="6"/>
  <c r="I947" i="6"/>
  <c r="I1415" i="6"/>
  <c r="I1837" i="6"/>
  <c r="I1893" i="6"/>
  <c r="I145" i="6"/>
  <c r="I1345" i="6"/>
  <c r="I1879" i="6"/>
  <c r="I851" i="6"/>
  <c r="I1233" i="6"/>
  <c r="I1635" i="6"/>
  <c r="I1838" i="6"/>
  <c r="I96" i="6"/>
  <c r="I456" i="6"/>
  <c r="I781" i="6"/>
  <c r="I1416" i="6"/>
  <c r="I1894" i="6"/>
  <c r="I665" i="6"/>
  <c r="I725" i="6"/>
  <c r="I948" i="6"/>
  <c r="I1818" i="6"/>
  <c r="I146" i="6"/>
  <c r="I354" i="6"/>
  <c r="I697" i="6"/>
  <c r="I726" i="6"/>
  <c r="I1221" i="6"/>
  <c r="I1759" i="6"/>
  <c r="I1819" i="6"/>
  <c r="I40" i="6"/>
  <c r="I949" i="6"/>
  <c r="I1143" i="6"/>
  <c r="I1895" i="6"/>
  <c r="I6" i="6"/>
  <c r="I75" i="6"/>
  <c r="I355" i="6"/>
  <c r="I489" i="6"/>
  <c r="I532" i="6"/>
  <c r="I950" i="6"/>
  <c r="I1346" i="6"/>
  <c r="I1387" i="6"/>
  <c r="I1839" i="6"/>
  <c r="I356" i="6"/>
  <c r="I1760" i="6"/>
  <c r="I1804" i="6"/>
  <c r="I1890" i="6"/>
  <c r="I7" i="6"/>
  <c r="I147" i="6"/>
  <c r="I1222" i="6"/>
  <c r="I1417" i="6"/>
  <c r="I1896" i="6"/>
  <c r="I727" i="6"/>
  <c r="I1373" i="6"/>
  <c r="I1658" i="6"/>
  <c r="I1840" i="6"/>
  <c r="I8" i="6"/>
  <c r="I1388" i="6"/>
  <c r="I1659" i="6"/>
  <c r="I1805" i="6"/>
  <c r="I76" i="6"/>
  <c r="I357" i="6"/>
  <c r="I1418" i="6"/>
  <c r="I1636" i="6"/>
  <c r="I1745" i="6"/>
  <c r="I698" i="6"/>
  <c r="I1170" i="6"/>
  <c r="I1637" i="6"/>
  <c r="I799" i="6"/>
  <c r="I1880" i="6"/>
  <c r="I1891" i="6"/>
  <c r="I148" i="6"/>
  <c r="I852" i="6"/>
  <c r="I1389" i="6"/>
  <c r="I1892" i="6"/>
  <c r="I533" i="6"/>
  <c r="I853" i="6"/>
  <c r="I1171" i="6"/>
  <c r="I1660" i="6"/>
  <c r="I9" i="6"/>
  <c r="I973" i="6"/>
  <c r="I1390" i="6"/>
  <c r="I1881" i="6"/>
  <c r="I270" i="6"/>
  <c r="R105" i="1" l="1" a="1"/>
  <c r="R105" i="1" s="1"/>
  <c r="R639" i="1" a="1"/>
  <c r="R639" i="1" s="1"/>
  <c r="R746" i="1" a="1"/>
  <c r="R746" i="1" s="1"/>
  <c r="R490" i="1" a="1"/>
  <c r="R490" i="1" s="1"/>
  <c r="R566" i="1" a="1"/>
  <c r="R566" i="1" s="1"/>
  <c r="R763" i="1" a="1"/>
  <c r="R763" i="1" s="1"/>
  <c r="R518" i="1" a="1"/>
  <c r="R518" i="1" s="1"/>
  <c r="R501" i="1" a="1"/>
  <c r="R501" i="1" s="1"/>
  <c r="R424" i="1" a="1"/>
  <c r="R424" i="1" s="1"/>
  <c r="R135" i="1" a="1"/>
  <c r="R135" i="1" s="1"/>
  <c r="R5" i="1" a="1"/>
  <c r="R5" i="1" s="1"/>
  <c r="R546" i="1" a="1"/>
  <c r="R546" i="1" s="1"/>
  <c r="R215" i="1" a="1"/>
  <c r="R215" i="1" s="1"/>
  <c r="R522" i="1" a="1"/>
  <c r="R522" i="1" s="1"/>
  <c r="R160" i="1" a="1"/>
  <c r="R160" i="1" s="1"/>
  <c r="R281" i="1" a="1"/>
  <c r="R281" i="1" s="1"/>
  <c r="R687" i="1" a="1"/>
  <c r="R687" i="1" s="1"/>
  <c r="R689" i="1" a="1"/>
  <c r="R689" i="1" s="1"/>
  <c r="R29" i="1" a="1"/>
  <c r="R29" i="1" s="1"/>
  <c r="R737" i="1" a="1"/>
  <c r="R737" i="1" s="1"/>
  <c r="R665" i="1" a="1"/>
  <c r="R665" i="1" s="1"/>
  <c r="R743" i="1" a="1"/>
  <c r="R743" i="1" s="1"/>
  <c r="R711" i="1" a="1"/>
  <c r="R711" i="1" s="1"/>
  <c r="R49" i="1" a="1"/>
  <c r="R49" i="1" s="1"/>
  <c r="R77" i="1" a="1"/>
  <c r="R77" i="1" s="1"/>
  <c r="R537" i="1" a="1"/>
  <c r="R537" i="1" s="1"/>
  <c r="R453" i="1" a="1"/>
  <c r="R453" i="1" s="1"/>
  <c r="R117" i="1" a="1"/>
  <c r="R117" i="1" s="1"/>
  <c r="R44" i="1" a="1"/>
  <c r="R44" i="1" s="1"/>
  <c r="R731" i="1" a="1"/>
  <c r="R731" i="1" s="1"/>
  <c r="R400" i="1" a="1"/>
  <c r="R400" i="1" s="1"/>
  <c r="R115" i="1" a="1"/>
  <c r="R115" i="1" s="1"/>
  <c r="R558" i="1" a="1"/>
  <c r="R558" i="1" s="1"/>
  <c r="T558" i="1" s="1" a="1"/>
  <c r="T558" i="1" s="1"/>
  <c r="U558" i="1" s="1" a="1"/>
  <c r="U558" i="1" s="1"/>
  <c r="R334" i="1" a="1"/>
  <c r="R334" i="1" s="1"/>
  <c r="R216" i="1" a="1"/>
  <c r="R216" i="1" s="1"/>
  <c r="R559" i="1" a="1"/>
  <c r="R559" i="1" s="1"/>
  <c r="R66" i="1" a="1"/>
  <c r="R66" i="1" s="1"/>
  <c r="R364" i="1" a="1"/>
  <c r="R364" i="1" s="1"/>
  <c r="R698" i="1" a="1"/>
  <c r="R698" i="1" s="1"/>
  <c r="R408" i="1" a="1"/>
  <c r="R408" i="1" s="1"/>
  <c r="R514" i="1" a="1"/>
  <c r="R514" i="1" s="1"/>
  <c r="R450" i="1" a="1"/>
  <c r="R450" i="1" s="1"/>
  <c r="R634" i="1" a="1"/>
  <c r="R634" i="1" s="1"/>
  <c r="R663" i="1" a="1"/>
  <c r="R663" i="1" s="1"/>
  <c r="R394" i="1" a="1"/>
  <c r="R394" i="1" s="1"/>
  <c r="R310" i="1" a="1"/>
  <c r="R310" i="1" s="1"/>
  <c r="R418" i="1" a="1"/>
  <c r="R418" i="1" s="1"/>
  <c r="R626" i="1" a="1"/>
  <c r="R626" i="1" s="1"/>
  <c r="R473" i="1" a="1"/>
  <c r="R473" i="1" s="1"/>
  <c r="R30" i="1" a="1"/>
  <c r="R30" i="1" s="1"/>
  <c r="R765" i="1" a="1"/>
  <c r="R765" i="1" s="1"/>
  <c r="R129" i="1" a="1"/>
  <c r="R129" i="1" s="1"/>
  <c r="R292" i="1" a="1"/>
  <c r="R292" i="1" s="1"/>
  <c r="R313" i="1" a="1"/>
  <c r="R313" i="1" s="1"/>
  <c r="R343" i="1" a="1"/>
  <c r="R343" i="1" s="1"/>
  <c r="R744" i="1" a="1"/>
  <c r="R744" i="1" s="1"/>
  <c r="R715" i="1" a="1"/>
  <c r="R715" i="1" s="1"/>
  <c r="R339" i="1" a="1"/>
  <c r="R339" i="1" s="1"/>
  <c r="R322" i="1" a="1"/>
  <c r="R322" i="1" s="1"/>
  <c r="R72" i="1" a="1"/>
  <c r="R72" i="1" s="1"/>
  <c r="R476" i="1" a="1"/>
  <c r="R476" i="1" s="1"/>
  <c r="R587" i="1" a="1"/>
  <c r="R587" i="1" s="1"/>
  <c r="R595" i="1" a="1"/>
  <c r="R595" i="1" s="1"/>
  <c r="R11" i="1" a="1"/>
  <c r="R11" i="1" s="1"/>
  <c r="R471" i="1" a="1"/>
  <c r="R471" i="1" s="1"/>
  <c r="R15" i="1" a="1"/>
  <c r="R15" i="1" s="1"/>
  <c r="R652" i="1" a="1"/>
  <c r="R652" i="1" s="1"/>
  <c r="R741" i="1" a="1"/>
  <c r="R741" i="1" s="1"/>
  <c r="R691" i="1" a="1"/>
  <c r="R691" i="1" s="1"/>
  <c r="R739" i="1" a="1"/>
  <c r="R739" i="1" s="1"/>
  <c r="R694" i="1" a="1"/>
  <c r="R694" i="1" s="1"/>
  <c r="R35" i="1" a="1"/>
  <c r="R35" i="1" s="1"/>
  <c r="R13" i="1" a="1"/>
  <c r="R13" i="1" s="1"/>
  <c r="R176" i="1" a="1"/>
  <c r="R176" i="1" s="1"/>
  <c r="R336" i="1" a="1"/>
  <c r="R336" i="1" s="1"/>
  <c r="R742" i="1" a="1"/>
  <c r="R742" i="1" s="1"/>
  <c r="R498" i="1" a="1"/>
  <c r="R498" i="1" s="1"/>
  <c r="R187" i="1" a="1"/>
  <c r="R187" i="1" s="1"/>
  <c r="R32" i="1" a="1"/>
  <c r="R32" i="1" s="1"/>
  <c r="R243" i="1" a="1"/>
  <c r="R243" i="1" s="1"/>
  <c r="R756" i="1" a="1"/>
  <c r="R756" i="1" s="1"/>
  <c r="R323" i="1" a="1"/>
  <c r="R323" i="1" s="1"/>
  <c r="R192" i="1" a="1"/>
  <c r="R192" i="1" s="1"/>
  <c r="R423" i="1" a="1"/>
  <c r="R423" i="1" s="1"/>
  <c r="R496" i="1" a="1"/>
  <c r="R496" i="1" s="1"/>
  <c r="R90" i="1" a="1"/>
  <c r="R90" i="1" s="1"/>
  <c r="R174" i="1" a="1"/>
  <c r="R174" i="1" s="1"/>
  <c r="R433" i="1" a="1"/>
  <c r="R433" i="1" s="1"/>
  <c r="R62" i="1" a="1"/>
  <c r="R62" i="1" s="1"/>
  <c r="R434" i="1" a="1"/>
  <c r="R434" i="1" s="1"/>
  <c r="R551" i="1" a="1"/>
  <c r="R551" i="1" s="1"/>
  <c r="R306" i="1" a="1"/>
  <c r="R306" i="1" s="1"/>
  <c r="R455" i="1" a="1"/>
  <c r="R455" i="1" s="1"/>
  <c r="R658" i="1" a="1"/>
  <c r="R658" i="1" s="1"/>
  <c r="R383" i="1" a="1"/>
  <c r="R383" i="1" s="1"/>
  <c r="R692" i="1" a="1"/>
  <c r="R692" i="1" s="1"/>
  <c r="R224" i="1" a="1"/>
  <c r="R224" i="1" s="1"/>
  <c r="R286" i="1" a="1"/>
  <c r="R286" i="1" s="1"/>
  <c r="R169" i="1" a="1"/>
  <c r="R169" i="1" s="1"/>
  <c r="R432" i="1" a="1"/>
  <c r="R432" i="1" s="1"/>
  <c r="R225" i="1" a="1"/>
  <c r="R225" i="1" s="1"/>
  <c r="R74" i="1" a="1"/>
  <c r="R74" i="1" s="1"/>
  <c r="R760" i="1" a="1"/>
  <c r="R760" i="1" s="1"/>
  <c r="R736" i="1" a="1"/>
  <c r="R736" i="1" s="1"/>
  <c r="R642" i="1" a="1"/>
  <c r="R642" i="1" s="1"/>
  <c r="R631" i="1" a="1"/>
  <c r="R631" i="1" s="1"/>
  <c r="R374" i="1" a="1"/>
  <c r="R374" i="1" s="1"/>
  <c r="R702" i="1" a="1"/>
  <c r="R702" i="1" s="1"/>
  <c r="R699" i="1" a="1"/>
  <c r="R699" i="1" s="1"/>
  <c r="R389" i="1" a="1"/>
  <c r="R389" i="1" s="1"/>
  <c r="R81" i="1" a="1"/>
  <c r="R81" i="1" s="1"/>
  <c r="R326" i="1" a="1"/>
  <c r="R326" i="1" s="1"/>
  <c r="R594" i="1" a="1"/>
  <c r="R594" i="1" s="1"/>
  <c r="R358" i="1" a="1"/>
  <c r="R358" i="1" s="1"/>
  <c r="R8" i="1" a="1"/>
  <c r="R8" i="1" s="1"/>
  <c r="R80" i="1" a="1"/>
  <c r="R80" i="1" s="1"/>
  <c r="R172" i="1" a="1"/>
  <c r="R172" i="1" s="1"/>
  <c r="R23" i="1" a="1"/>
  <c r="R23" i="1" s="1"/>
  <c r="R643" i="1" a="1"/>
  <c r="R643" i="1" s="1"/>
  <c r="R341" i="1" a="1"/>
  <c r="R341" i="1" s="1"/>
  <c r="R98" i="1" a="1"/>
  <c r="R98" i="1" s="1"/>
  <c r="R404" i="1" a="1"/>
  <c r="R404" i="1" s="1"/>
  <c r="R31" i="1" a="1"/>
  <c r="R31" i="1" s="1"/>
  <c r="R690" i="1" a="1"/>
  <c r="R690" i="1" s="1"/>
  <c r="R219" i="1" a="1"/>
  <c r="R219" i="1" s="1"/>
  <c r="R723" i="1" a="1"/>
  <c r="R723" i="1" s="1"/>
  <c r="R612" i="1" a="1"/>
  <c r="R612" i="1" s="1"/>
  <c r="R355" i="1" a="1"/>
  <c r="R355" i="1" s="1"/>
  <c r="R717" i="1" a="1"/>
  <c r="R717" i="1" s="1"/>
  <c r="R368" i="1" a="1"/>
  <c r="R368" i="1" s="1"/>
  <c r="R96" i="1" a="1"/>
  <c r="R96" i="1" s="1"/>
  <c r="R397" i="1" a="1"/>
  <c r="R397" i="1" s="1"/>
  <c r="R201" i="1" a="1"/>
  <c r="R201" i="1" s="1"/>
  <c r="R190" i="1" a="1"/>
  <c r="R190" i="1" s="1"/>
  <c r="R270" i="1" a="1"/>
  <c r="R270" i="1" s="1"/>
  <c r="R181" i="1" a="1"/>
  <c r="R181" i="1" s="1"/>
  <c r="R555" i="1" a="1"/>
  <c r="R555" i="1" s="1"/>
  <c r="R571" i="1" a="1"/>
  <c r="R571" i="1" s="1"/>
  <c r="R385" i="1" a="1"/>
  <c r="R385" i="1" s="1"/>
  <c r="R534" i="1" a="1"/>
  <c r="R534" i="1" s="1"/>
  <c r="R320" i="1" a="1"/>
  <c r="R320" i="1" s="1"/>
  <c r="R315" i="1" a="1"/>
  <c r="R315" i="1" s="1"/>
  <c r="R615" i="1" a="1"/>
  <c r="R615" i="1" s="1"/>
  <c r="R85" i="1" a="1"/>
  <c r="R85" i="1" s="1"/>
  <c r="R282" i="1" a="1"/>
  <c r="R282" i="1" s="1"/>
  <c r="R82" i="1" a="1"/>
  <c r="R82" i="1" s="1"/>
  <c r="R346" i="1" a="1"/>
  <c r="R346" i="1" s="1"/>
  <c r="R392" i="1" a="1"/>
  <c r="R392" i="1" s="1"/>
  <c r="R373" i="1" a="1"/>
  <c r="R373" i="1" s="1"/>
  <c r="R162" i="1" a="1"/>
  <c r="R162" i="1" s="1"/>
  <c r="R180" i="1" a="1"/>
  <c r="R180" i="1" s="1"/>
  <c r="R91" i="1" a="1"/>
  <c r="R91" i="1" s="1"/>
  <c r="R4" i="1" a="1"/>
  <c r="R4" i="1" s="1"/>
  <c r="R370" i="1" a="1"/>
  <c r="R370" i="1" s="1"/>
  <c r="R208" i="1" a="1"/>
  <c r="R208" i="1" s="1"/>
  <c r="R247" i="1" a="1"/>
  <c r="R247" i="1" s="1"/>
  <c r="R63" i="1" a="1"/>
  <c r="R63" i="1" s="1"/>
  <c r="R629" i="1" a="1"/>
  <c r="R629" i="1" s="1"/>
  <c r="R75" i="1" a="1"/>
  <c r="R75" i="1" s="1"/>
  <c r="R103" i="1" a="1"/>
  <c r="R103" i="1" s="1"/>
  <c r="R508" i="1" a="1"/>
  <c r="R508" i="1" s="1"/>
  <c r="R48" i="1" a="1"/>
  <c r="R48" i="1" s="1"/>
  <c r="R67" i="1" a="1"/>
  <c r="R67" i="1" s="1"/>
  <c r="R582" i="1" a="1"/>
  <c r="R582" i="1" s="1"/>
  <c r="R27" i="1" a="1"/>
  <c r="R27" i="1" s="1"/>
  <c r="R630" i="1" a="1"/>
  <c r="R630" i="1" s="1"/>
  <c r="R318" i="1" a="1"/>
  <c r="R318" i="1" s="1"/>
  <c r="R752" i="1" a="1"/>
  <c r="R752" i="1" s="1"/>
  <c r="R222" i="1" a="1"/>
  <c r="R222" i="1" s="1"/>
  <c r="R126" i="1" a="1"/>
  <c r="R126" i="1" s="1"/>
  <c r="R747" i="1" a="1"/>
  <c r="R747" i="1" s="1"/>
  <c r="R474" i="1" a="1"/>
  <c r="R474" i="1" s="1"/>
  <c r="R651" i="1" a="1"/>
  <c r="R651" i="1" s="1"/>
  <c r="R768" i="1" a="1"/>
  <c r="R768" i="1" s="1"/>
  <c r="R685" i="1" a="1"/>
  <c r="R685" i="1" s="1"/>
  <c r="R530" i="1" a="1"/>
  <c r="R530" i="1" s="1"/>
  <c r="R352" i="1" a="1"/>
  <c r="R352" i="1" s="1"/>
  <c r="R308" i="1" a="1"/>
  <c r="R308" i="1" s="1"/>
  <c r="R604" i="1" a="1"/>
  <c r="R604" i="1" s="1"/>
  <c r="R538" i="1" a="1"/>
  <c r="R538" i="1" s="1"/>
  <c r="R287" i="1" a="1"/>
  <c r="R287" i="1" s="1"/>
  <c r="R138" i="1" a="1"/>
  <c r="R138" i="1" s="1"/>
  <c r="R740" i="1" a="1"/>
  <c r="R740" i="1" s="1"/>
  <c r="R131" i="1" a="1"/>
  <c r="R131" i="1" s="1"/>
  <c r="R7" i="1" a="1"/>
  <c r="R7" i="1" s="1"/>
  <c r="R384" i="1" a="1"/>
  <c r="R384" i="1" s="1"/>
  <c r="R303" i="1" a="1"/>
  <c r="R303" i="1" s="1"/>
  <c r="R202" i="1" a="1"/>
  <c r="R202" i="1" s="1"/>
  <c r="R755" i="1" a="1"/>
  <c r="R755" i="1" s="1"/>
  <c r="R701" i="1" a="1"/>
  <c r="R701" i="1" s="1"/>
  <c r="R623" i="1" a="1"/>
  <c r="R623" i="1" s="1"/>
  <c r="R714" i="1" a="1"/>
  <c r="R714" i="1" s="1"/>
  <c r="R34" i="1" a="1"/>
  <c r="R34" i="1" s="1"/>
  <c r="R332" i="1" a="1"/>
  <c r="R332" i="1" s="1"/>
  <c r="R428" i="1" a="1"/>
  <c r="R428" i="1" s="1"/>
  <c r="R317" i="1" a="1"/>
  <c r="R317" i="1" s="1"/>
  <c r="R68" i="1" a="1"/>
  <c r="R68" i="1" s="1"/>
  <c r="R544" i="1" a="1"/>
  <c r="R544" i="1" s="1"/>
  <c r="R76" i="1" a="1"/>
  <c r="R76" i="1" s="1"/>
  <c r="R170" i="1" a="1"/>
  <c r="R170" i="1" s="1"/>
  <c r="R101" i="1" a="1"/>
  <c r="R101" i="1" s="1"/>
  <c r="R540" i="1" a="1"/>
  <c r="R540" i="1" s="1"/>
  <c r="R89" i="1" a="1"/>
  <c r="R89" i="1" s="1"/>
  <c r="R672" i="1" a="1"/>
  <c r="R672" i="1" s="1"/>
  <c r="R419" i="1" a="1"/>
  <c r="R419" i="1" s="1"/>
  <c r="R720" i="1" a="1"/>
  <c r="R720" i="1" s="1"/>
  <c r="R209" i="1" a="1"/>
  <c r="R209" i="1" s="1"/>
  <c r="R203" i="1" a="1"/>
  <c r="R203" i="1" s="1"/>
  <c r="R525" i="1" a="1"/>
  <c r="R525" i="1" s="1"/>
  <c r="R440" i="1" a="1"/>
  <c r="R440" i="1" s="1"/>
  <c r="R277" i="1" a="1"/>
  <c r="R277" i="1" s="1"/>
  <c r="R290" i="1" a="1"/>
  <c r="R290" i="1" s="1"/>
  <c r="R230" i="1" a="1"/>
  <c r="R230" i="1" s="1"/>
  <c r="R309" i="1" a="1"/>
  <c r="R309" i="1" s="1"/>
  <c r="R316" i="1" a="1"/>
  <c r="R316" i="1" s="1"/>
  <c r="R327" i="1" a="1"/>
  <c r="R327" i="1" s="1"/>
  <c r="R734" i="1" a="1"/>
  <c r="R734" i="1" s="1"/>
  <c r="R624" i="1" a="1"/>
  <c r="R624" i="1" s="1"/>
  <c r="R654" i="1" a="1"/>
  <c r="R654" i="1" s="1"/>
  <c r="R669" i="1" a="1"/>
  <c r="R669" i="1" s="1"/>
  <c r="R9" i="1" a="1"/>
  <c r="R9" i="1" s="1"/>
  <c r="R179" i="1" a="1"/>
  <c r="R179" i="1" s="1"/>
  <c r="R675" i="1" a="1"/>
  <c r="R675" i="1" s="1"/>
  <c r="R614" i="1" a="1"/>
  <c r="R614" i="1" s="1"/>
  <c r="R707" i="1" a="1"/>
  <c r="R707" i="1" s="1"/>
  <c r="R528" i="1" a="1"/>
  <c r="R528" i="1" s="1"/>
  <c r="R20" i="1" a="1"/>
  <c r="R20" i="1" s="1"/>
  <c r="R748" i="1" a="1"/>
  <c r="R748" i="1" s="1"/>
  <c r="R704" i="1" a="1"/>
  <c r="R704" i="1" s="1"/>
  <c r="R472" i="1" a="1"/>
  <c r="R472" i="1" s="1"/>
  <c r="R668" i="1" a="1"/>
  <c r="R668" i="1" s="1"/>
  <c r="R709" i="1" a="1"/>
  <c r="R709" i="1" s="1"/>
  <c r="R257" i="1" a="1"/>
  <c r="R257" i="1" s="1"/>
  <c r="R766" i="1" a="1"/>
  <c r="R766" i="1" s="1"/>
  <c r="R495" i="1" a="1"/>
  <c r="R495" i="1" s="1"/>
  <c r="R288" i="1" a="1"/>
  <c r="R288" i="1" s="1"/>
  <c r="R512" i="1" a="1"/>
  <c r="R512" i="1" s="1"/>
  <c r="R351" i="1" a="1"/>
  <c r="R351" i="1" s="1"/>
  <c r="R749" i="1" a="1"/>
  <c r="R749" i="1" s="1"/>
  <c r="R226" i="1" a="1"/>
  <c r="R226" i="1" s="1"/>
  <c r="R161" i="1" a="1"/>
  <c r="R161" i="1" s="1"/>
  <c r="R661" i="1" a="1"/>
  <c r="R661" i="1" s="1"/>
  <c r="R403" i="1" a="1"/>
  <c r="R403" i="1" s="1"/>
  <c r="R184" i="1" a="1"/>
  <c r="R184" i="1" s="1"/>
  <c r="R151" i="1" a="1"/>
  <c r="R151" i="1" s="1"/>
  <c r="R764" i="1" a="1"/>
  <c r="R764" i="1" s="1"/>
  <c r="R488" i="1" a="1"/>
  <c r="R488" i="1" s="1"/>
  <c r="R395" i="1" a="1"/>
  <c r="R395" i="1" s="1"/>
  <c r="R245" i="1" a="1"/>
  <c r="R245" i="1" s="1"/>
  <c r="R235" i="1" a="1"/>
  <c r="R235" i="1" s="1"/>
  <c r="R662" i="1" a="1"/>
  <c r="R662" i="1" s="1"/>
  <c r="R186" i="1" a="1"/>
  <c r="R186" i="1" s="1"/>
  <c r="R465" i="1" a="1"/>
  <c r="R465" i="1" s="1"/>
  <c r="R708" i="1" a="1"/>
  <c r="R708" i="1" s="1"/>
  <c r="R345" i="1" a="1"/>
  <c r="R345" i="1" s="1"/>
  <c r="R653" i="1" a="1"/>
  <c r="R653" i="1" s="1"/>
  <c r="R206" i="1" a="1"/>
  <c r="R206" i="1" s="1"/>
  <c r="R637" i="1" a="1"/>
  <c r="R637" i="1" s="1"/>
  <c r="R269" i="1" a="1"/>
  <c r="R269" i="1" s="1"/>
  <c r="R678" i="1" a="1"/>
  <c r="R678" i="1" s="1"/>
  <c r="R602" i="1" a="1"/>
  <c r="R602" i="1" s="1"/>
  <c r="R533" i="1" a="1"/>
  <c r="R533" i="1" s="1"/>
  <c r="R104" i="1" a="1"/>
  <c r="R104" i="1" s="1"/>
  <c r="R240" i="1" a="1"/>
  <c r="R240" i="1" s="1"/>
  <c r="R570" i="1" a="1"/>
  <c r="R570" i="1" s="1"/>
  <c r="R716" i="1" a="1"/>
  <c r="R716" i="1" s="1"/>
  <c r="R550" i="1" a="1"/>
  <c r="R550" i="1" s="1"/>
  <c r="R155" i="1" a="1"/>
  <c r="R155" i="1" s="1"/>
  <c r="R613" i="1" a="1"/>
  <c r="R613" i="1" s="1"/>
  <c r="R553" i="1" a="1"/>
  <c r="R553" i="1" s="1"/>
  <c r="R338" i="1" a="1"/>
  <c r="R338" i="1" s="1"/>
  <c r="R489" i="1" a="1"/>
  <c r="R489" i="1" s="1"/>
  <c r="R331" i="1" a="1"/>
  <c r="R331" i="1" s="1"/>
  <c r="R166" i="1" a="1"/>
  <c r="R166" i="1" s="1"/>
  <c r="R625" i="1" a="1"/>
  <c r="R625" i="1" s="1"/>
  <c r="R732" i="1" a="1"/>
  <c r="R732" i="1" s="1"/>
  <c r="R660" i="1" a="1"/>
  <c r="R660" i="1" s="1"/>
  <c r="R144" i="1" a="1"/>
  <c r="R144" i="1" s="1"/>
  <c r="R234" i="1" a="1"/>
  <c r="R234" i="1" s="1"/>
  <c r="R464" i="1" a="1"/>
  <c r="R464" i="1" s="1"/>
  <c r="R686" i="1" a="1"/>
  <c r="R686" i="1" s="1"/>
  <c r="R153" i="1" a="1"/>
  <c r="R153" i="1" s="1"/>
  <c r="R758" i="1" a="1"/>
  <c r="R758" i="1" s="1"/>
  <c r="R688" i="1" a="1"/>
  <c r="R688" i="1" s="1"/>
  <c r="R584" i="1" a="1"/>
  <c r="R584" i="1" s="1"/>
  <c r="R69" i="1" a="1"/>
  <c r="R69" i="1" s="1"/>
  <c r="R640" i="1" a="1"/>
  <c r="R640" i="1" s="1"/>
  <c r="R638" i="1" a="1"/>
  <c r="R638" i="1" s="1"/>
  <c r="R466" i="1" a="1"/>
  <c r="R466" i="1" s="1"/>
  <c r="R664" i="1" a="1"/>
  <c r="R664" i="1" s="1"/>
  <c r="R592" i="1" a="1"/>
  <c r="R592" i="1" s="1"/>
  <c r="R437" i="1" a="1"/>
  <c r="R437" i="1" s="1"/>
  <c r="R725" i="1" a="1"/>
  <c r="R725" i="1" s="1"/>
  <c r="R147" i="1" a="1"/>
  <c r="R147" i="1" s="1"/>
  <c r="R431" i="1" a="1"/>
  <c r="R431" i="1" s="1"/>
  <c r="R511" i="1" a="1"/>
  <c r="R511" i="1" s="1"/>
  <c r="R137" i="1" a="1"/>
  <c r="R137" i="1" s="1"/>
  <c r="R656" i="1" a="1"/>
  <c r="R656" i="1" s="1"/>
  <c r="R122" i="1" a="1"/>
  <c r="R122" i="1" s="1"/>
  <c r="R356" i="1" a="1"/>
  <c r="R356" i="1" s="1"/>
  <c r="R523" i="1" a="1"/>
  <c r="R523" i="1" s="1"/>
  <c r="R14" i="1" a="1"/>
  <c r="R14" i="1" s="1"/>
  <c r="R204" i="1" a="1"/>
  <c r="R204" i="1" s="1"/>
  <c r="T204" i="1" s="1" a="1"/>
  <c r="T204" i="1" s="1"/>
  <c r="U204" i="1" s="1" a="1"/>
  <c r="U204" i="1" s="1"/>
  <c r="R579" i="1" a="1"/>
  <c r="R579" i="1" s="1"/>
  <c r="R293" i="1" a="1"/>
  <c r="R293" i="1" s="1"/>
  <c r="R118" i="1" a="1"/>
  <c r="R118" i="1" s="1"/>
  <c r="R348" i="1" a="1"/>
  <c r="R348" i="1" s="1"/>
  <c r="R509" i="1" a="1"/>
  <c r="R509" i="1" s="1"/>
  <c r="R128" i="1" a="1"/>
  <c r="R128" i="1" s="1"/>
  <c r="R37" i="1" a="1"/>
  <c r="R37" i="1" s="1"/>
  <c r="R329" i="1" a="1"/>
  <c r="R329" i="1" s="1"/>
  <c r="R505" i="1" a="1"/>
  <c r="R505" i="1" s="1"/>
  <c r="T537" i="1" a="1"/>
  <c r="T537" i="1" s="1"/>
  <c r="U537" i="1" s="1" a="1"/>
  <c r="U537" i="1" s="1"/>
  <c r="T453" i="1" a="1"/>
  <c r="T453" i="1" s="1"/>
  <c r="U453" i="1" s="1" a="1"/>
  <c r="U453" i="1" s="1"/>
  <c r="T117" i="1" a="1"/>
  <c r="T117" i="1" s="1"/>
  <c r="U117" i="1" s="1" a="1"/>
  <c r="U117" i="1" s="1"/>
  <c r="T305" i="1" a="1"/>
  <c r="T305" i="1" s="1"/>
  <c r="U305" i="1" s="1" a="1"/>
  <c r="U305" i="1" s="1"/>
  <c r="T216" i="1" a="1"/>
  <c r="T216" i="1" s="1"/>
  <c r="U216" i="1" s="1" a="1"/>
  <c r="U216" i="1" s="1"/>
  <c r="T408" i="1" a="1"/>
  <c r="T408" i="1" s="1"/>
  <c r="U408" i="1" s="1" a="1"/>
  <c r="U408" i="1" s="1"/>
  <c r="R377" i="1" a="1"/>
  <c r="R377" i="1" s="1"/>
  <c r="R415" i="1" a="1"/>
  <c r="R415" i="1" s="1"/>
  <c r="R236" i="1" a="1"/>
  <c r="R236" i="1" s="1"/>
  <c r="R242" i="1" a="1"/>
  <c r="R242" i="1" s="1"/>
  <c r="R413" i="1" a="1"/>
  <c r="R413" i="1" s="1"/>
  <c r="R260" i="1" a="1"/>
  <c r="R260" i="1" s="1"/>
  <c r="R483" i="1" a="1"/>
  <c r="R483" i="1" s="1"/>
  <c r="R609" i="1" a="1"/>
  <c r="R609" i="1" s="1"/>
  <c r="R388" i="1" a="1"/>
  <c r="R388" i="1" s="1"/>
  <c r="R113" i="1" a="1"/>
  <c r="R113" i="1" s="1"/>
  <c r="R510" i="1" a="1"/>
  <c r="R510" i="1" s="1"/>
  <c r="R567" i="1" a="1"/>
  <c r="R567" i="1" s="1"/>
  <c r="R244" i="1" a="1"/>
  <c r="R244" i="1" s="1"/>
  <c r="R484" i="1" a="1"/>
  <c r="R484" i="1" s="1"/>
  <c r="R610" i="1" a="1"/>
  <c r="R610" i="1" s="1"/>
  <c r="R248" i="1" a="1"/>
  <c r="R248" i="1" s="1"/>
  <c r="R175" i="1" a="1"/>
  <c r="R175" i="1" s="1"/>
  <c r="R430" i="1" a="1"/>
  <c r="R430" i="1" s="1"/>
  <c r="R588" i="1" a="1"/>
  <c r="R588" i="1" s="1"/>
  <c r="R79" i="1" a="1"/>
  <c r="R79" i="1" s="1"/>
  <c r="R387" i="1" a="1"/>
  <c r="R387" i="1" s="1"/>
  <c r="R527" i="1" a="1"/>
  <c r="R527" i="1" s="1"/>
  <c r="R207" i="1" a="1"/>
  <c r="R207" i="1" s="1"/>
  <c r="R272" i="1" a="1"/>
  <c r="R272" i="1" s="1"/>
  <c r="R439" i="1" a="1"/>
  <c r="R439" i="1" s="1"/>
  <c r="R357" i="1" a="1"/>
  <c r="R357" i="1" s="1"/>
  <c r="R83" i="1" a="1"/>
  <c r="R83" i="1" s="1"/>
  <c r="R435" i="1" a="1"/>
  <c r="R435" i="1" s="1"/>
  <c r="R363" i="1" a="1"/>
  <c r="R363" i="1" s="1"/>
  <c r="R304" i="1" a="1"/>
  <c r="R304" i="1" s="1"/>
  <c r="R12" i="1" a="1"/>
  <c r="R12" i="1" s="1"/>
  <c r="R106" i="1" a="1"/>
  <c r="R106" i="1" s="1"/>
  <c r="R213" i="1" a="1"/>
  <c r="R213" i="1" s="1"/>
  <c r="R477" i="1" a="1"/>
  <c r="R477" i="1" s="1"/>
  <c r="R457" i="1" a="1"/>
  <c r="R457" i="1" s="1"/>
  <c r="R52" i="1" a="1"/>
  <c r="R52" i="1" s="1"/>
  <c r="R95" i="1" a="1"/>
  <c r="R95" i="1" s="1"/>
  <c r="R335" i="1" a="1"/>
  <c r="R335" i="1" s="1"/>
  <c r="R280" i="1" a="1"/>
  <c r="R280" i="1" s="1"/>
  <c r="R39" i="1" a="1"/>
  <c r="R39" i="1" s="1"/>
  <c r="R102" i="1" a="1"/>
  <c r="R102" i="1" s="1"/>
  <c r="R535" i="1" a="1"/>
  <c r="R535" i="1" s="1"/>
  <c r="R183" i="1" a="1"/>
  <c r="R183" i="1" s="1"/>
  <c r="R46" i="1" a="1"/>
  <c r="R46" i="1" s="1"/>
  <c r="R229" i="1" a="1"/>
  <c r="R229" i="1" s="1"/>
  <c r="R163" i="1" a="1"/>
  <c r="R163" i="1" s="1"/>
  <c r="R173" i="1" a="1"/>
  <c r="R173" i="1" s="1"/>
  <c r="R463" i="1" a="1"/>
  <c r="R463" i="1" s="1"/>
  <c r="R256" i="1" a="1"/>
  <c r="R256" i="1" s="1"/>
  <c r="R545" i="1" a="1"/>
  <c r="R545" i="1" s="1"/>
  <c r="R524" i="1" a="1"/>
  <c r="R524" i="1" s="1"/>
  <c r="R142" i="1" a="1"/>
  <c r="R142" i="1" s="1"/>
  <c r="R396" i="1" a="1"/>
  <c r="R396" i="1" s="1"/>
  <c r="R353" i="1" a="1"/>
  <c r="R353" i="1" s="1"/>
  <c r="R543" i="1" a="1"/>
  <c r="R543" i="1" s="1"/>
  <c r="R401" i="1" a="1"/>
  <c r="R401" i="1" s="1"/>
  <c r="R21" i="1" a="1"/>
  <c r="R21" i="1" s="1"/>
  <c r="R478" i="1" a="1"/>
  <c r="R478" i="1" s="1"/>
  <c r="R502" i="1" a="1"/>
  <c r="R502" i="1" s="1"/>
  <c r="R16" i="1" a="1"/>
  <c r="R16" i="1" s="1"/>
  <c r="R164" i="1" a="1"/>
  <c r="R164" i="1" s="1"/>
  <c r="R381" i="1" a="1"/>
  <c r="R381" i="1" s="1"/>
  <c r="R503" i="1" a="1"/>
  <c r="R503" i="1" s="1"/>
  <c r="R593" i="1" a="1"/>
  <c r="R593" i="1" s="1"/>
  <c r="R121" i="1" a="1"/>
  <c r="R121" i="1" s="1"/>
  <c r="R549" i="1" a="1"/>
  <c r="R549" i="1" s="1"/>
  <c r="R253" i="1" a="1"/>
  <c r="R253" i="1" s="1"/>
  <c r="R185" i="1" a="1"/>
  <c r="R185" i="1" s="1"/>
  <c r="R88" i="1" a="1"/>
  <c r="R88" i="1" s="1"/>
  <c r="R591" i="1" a="1"/>
  <c r="R591" i="1" s="1"/>
  <c r="R441" i="1" a="1"/>
  <c r="R441" i="1" s="1"/>
  <c r="R350" i="1" a="1"/>
  <c r="R350" i="1" s="1"/>
  <c r="R252" i="1" a="1"/>
  <c r="R252" i="1" s="1"/>
  <c r="R420" i="1" a="1"/>
  <c r="R420" i="1" s="1"/>
  <c r="R299" i="1" a="1"/>
  <c r="R299" i="1" s="1"/>
  <c r="R590" i="1" a="1"/>
  <c r="R590" i="1" s="1"/>
  <c r="R422" i="1" a="1"/>
  <c r="R422" i="1" s="1"/>
  <c r="R92" i="1" a="1"/>
  <c r="R92" i="1" s="1"/>
  <c r="R261" i="1" a="1"/>
  <c r="R261" i="1" s="1"/>
  <c r="R507" i="1" a="1"/>
  <c r="R507" i="1" s="1"/>
  <c r="R205" i="1" a="1"/>
  <c r="R205" i="1" s="1"/>
  <c r="R199" i="1" a="1"/>
  <c r="R199" i="1" s="1"/>
  <c r="R251" i="1" a="1"/>
  <c r="R251" i="1" s="1"/>
  <c r="R380" i="1" a="1"/>
  <c r="R380" i="1" s="1"/>
  <c r="R114" i="1" a="1"/>
  <c r="R114" i="1" s="1"/>
  <c r="R196" i="1" a="1"/>
  <c r="R196" i="1" s="1"/>
  <c r="R347" i="1" a="1"/>
  <c r="R347" i="1" s="1"/>
  <c r="R585" i="1" a="1"/>
  <c r="R585" i="1" s="1"/>
  <c r="T585" i="1" s="1" a="1"/>
  <c r="T585" i="1" s="1"/>
  <c r="U585" i="1" s="1" a="1"/>
  <c r="U585" i="1" s="1"/>
  <c r="R521" i="1" a="1"/>
  <c r="R521" i="1" s="1"/>
  <c r="R462" i="1" a="1"/>
  <c r="R462" i="1" s="1"/>
  <c r="T462" i="1" s="1" a="1"/>
  <c r="T462" i="1" s="1"/>
  <c r="U462" i="1" s="1" a="1"/>
  <c r="U462" i="1" s="1"/>
  <c r="R619" i="1" a="1"/>
  <c r="R619" i="1" s="1"/>
  <c r="R296" i="1" a="1"/>
  <c r="R296" i="1" s="1"/>
  <c r="R452" i="1" a="1"/>
  <c r="R452" i="1" s="1"/>
  <c r="R470" i="1" a="1"/>
  <c r="R470" i="1" s="1"/>
  <c r="R212" i="1" a="1"/>
  <c r="R212" i="1" s="1"/>
  <c r="R556" i="1" a="1"/>
  <c r="R556" i="1" s="1"/>
  <c r="R177" i="1" a="1"/>
  <c r="R177" i="1" s="1"/>
  <c r="R516" i="1" a="1"/>
  <c r="R516" i="1" s="1"/>
  <c r="R485" i="1" a="1"/>
  <c r="R485" i="1" s="1"/>
  <c r="R140" i="1" a="1"/>
  <c r="R140" i="1" s="1"/>
  <c r="R182" i="1" a="1"/>
  <c r="R182" i="1" s="1"/>
  <c r="R414" i="1" a="1"/>
  <c r="R414" i="1" s="1"/>
  <c r="R564" i="1" a="1"/>
  <c r="R564" i="1" s="1"/>
  <c r="R26" i="1" a="1"/>
  <c r="R26" i="1" s="1"/>
  <c r="R581" i="1" a="1"/>
  <c r="R581" i="1" s="1"/>
  <c r="R157" i="1" a="1"/>
  <c r="R157" i="1" s="1"/>
  <c r="R366" i="1" a="1"/>
  <c r="R366" i="1" s="1"/>
  <c r="R94" i="1" a="1"/>
  <c r="R94" i="1" s="1"/>
  <c r="R218" i="1" a="1"/>
  <c r="R218" i="1" s="1"/>
  <c r="R451" i="1" a="1"/>
  <c r="R451" i="1" s="1"/>
  <c r="R577" i="1" a="1"/>
  <c r="R577" i="1" s="1"/>
  <c r="R6" i="1" a="1"/>
  <c r="R6" i="1" s="1"/>
  <c r="R156" i="1" a="1"/>
  <c r="R156" i="1" s="1"/>
  <c r="R275" i="1" a="1"/>
  <c r="R275" i="1" s="1"/>
  <c r="R517" i="1" a="1"/>
  <c r="R517" i="1" s="1"/>
  <c r="R61" i="1" a="1"/>
  <c r="R61" i="1" s="1"/>
  <c r="R3" i="1" a="1"/>
  <c r="R3" i="1" s="1"/>
  <c r="R454" i="1" a="1"/>
  <c r="R454" i="1" s="1"/>
  <c r="R500" i="1" a="1"/>
  <c r="R500" i="1" s="1"/>
  <c r="R191" i="1" a="1"/>
  <c r="R191" i="1" s="1"/>
  <c r="R25" i="1" a="1"/>
  <c r="R25" i="1" s="1"/>
  <c r="R231" i="1" a="1"/>
  <c r="R231" i="1" s="1"/>
  <c r="R178" i="1" a="1"/>
  <c r="R178" i="1" s="1"/>
  <c r="R459" i="1" a="1"/>
  <c r="R459" i="1" s="1"/>
  <c r="R398" i="1" a="1"/>
  <c r="R398" i="1" s="1"/>
  <c r="R194" i="1" a="1"/>
  <c r="R194" i="1" s="1"/>
  <c r="R412" i="1" a="1"/>
  <c r="R412" i="1" s="1"/>
  <c r="T731" i="1" a="1"/>
  <c r="T731" i="1" s="1"/>
  <c r="U731" i="1" s="1" a="1"/>
  <c r="U731" i="1" s="1"/>
  <c r="T619" i="1" a="1"/>
  <c r="T619" i="1" s="1"/>
  <c r="U619" i="1" s="1" a="1"/>
  <c r="U619" i="1" s="1"/>
  <c r="T565" i="1" a="1"/>
  <c r="T565" i="1" s="1"/>
  <c r="U565" i="1" s="1" a="1"/>
  <c r="U565" i="1" s="1"/>
  <c r="T729" i="1" a="1"/>
  <c r="T729" i="1" s="1"/>
  <c r="U729" i="1" s="1" a="1"/>
  <c r="U729" i="1" s="1"/>
  <c r="T321" i="1" a="1"/>
  <c r="T321" i="1" s="1"/>
  <c r="U321" i="1" s="1" a="1"/>
  <c r="U321" i="1" s="1"/>
  <c r="T548" i="1" a="1"/>
  <c r="T548" i="1" s="1"/>
  <c r="U548" i="1" s="1" a="1"/>
  <c r="U548" i="1" s="1"/>
  <c r="T60" i="1" a="1"/>
  <c r="T60" i="1" s="1"/>
  <c r="U60" i="1" s="1" a="1"/>
  <c r="U60" i="1" s="1"/>
  <c r="T324" i="1" a="1"/>
  <c r="T324" i="1" s="1"/>
  <c r="U324" i="1" s="1" a="1"/>
  <c r="U324" i="1" s="1"/>
  <c r="T262" i="1" a="1"/>
  <c r="T262" i="1" s="1"/>
  <c r="U262" i="1" s="1" a="1"/>
  <c r="U262" i="1" s="1"/>
  <c r="T132" i="1" a="1"/>
  <c r="T132" i="1" s="1"/>
  <c r="U132" i="1" s="1" a="1"/>
  <c r="U132" i="1" s="1"/>
  <c r="T574" i="1" a="1"/>
  <c r="T574" i="1" s="1"/>
  <c r="U574" i="1" s="1" a="1"/>
  <c r="U574" i="1" s="1"/>
  <c r="T492" i="1" a="1"/>
  <c r="T492" i="1" s="1"/>
  <c r="U492" i="1" s="1" a="1"/>
  <c r="U492" i="1" s="1"/>
  <c r="T312" i="1" a="1"/>
  <c r="T312" i="1" s="1"/>
  <c r="U312" i="1" s="1" a="1"/>
  <c r="U312" i="1" s="1"/>
  <c r="T620" i="1" a="1"/>
  <c r="T620" i="1" s="1"/>
  <c r="U620" i="1" s="1" a="1"/>
  <c r="U620" i="1" s="1"/>
  <c r="T541" i="1" a="1"/>
  <c r="T541" i="1" s="1"/>
  <c r="U541" i="1" s="1" a="1"/>
  <c r="U541" i="1" s="1"/>
  <c r="T279" i="1" a="1"/>
  <c r="T279" i="1" s="1"/>
  <c r="U279" i="1" s="1" a="1"/>
  <c r="U279" i="1" s="1"/>
  <c r="T519" i="1" a="1"/>
  <c r="T519" i="1" s="1"/>
  <c r="U519" i="1" s="1" a="1"/>
  <c r="U519" i="1" s="1"/>
  <c r="T427" i="1" a="1"/>
  <c r="T427" i="1" s="1"/>
  <c r="U427" i="1" s="1" a="1"/>
  <c r="U427" i="1" s="1"/>
  <c r="T33" i="1" a="1"/>
  <c r="T33" i="1" s="1"/>
  <c r="U33" i="1" s="1" a="1"/>
  <c r="U33" i="1" s="1"/>
  <c r="T676" i="1" a="1"/>
  <c r="T676" i="1" s="1"/>
  <c r="U676" i="1" s="1" a="1"/>
  <c r="U676" i="1" s="1"/>
  <c r="T763" i="1" a="1"/>
  <c r="T763" i="1" s="1"/>
  <c r="U763" i="1" s="1" a="1"/>
  <c r="U763" i="1" s="1"/>
  <c r="T518" i="1" a="1"/>
  <c r="T518" i="1" s="1"/>
  <c r="U518" i="1" s="1" a="1"/>
  <c r="U518" i="1" s="1"/>
  <c r="T501" i="1" a="1"/>
  <c r="T501" i="1" s="1"/>
  <c r="U501" i="1" s="1" a="1"/>
  <c r="U501" i="1" s="1"/>
  <c r="T424" i="1" a="1"/>
  <c r="T424" i="1" s="1"/>
  <c r="U424" i="1" s="1" a="1"/>
  <c r="U424" i="1" s="1"/>
  <c r="T586" i="1" a="1"/>
  <c r="T586" i="1" s="1"/>
  <c r="U586" i="1" s="1" a="1"/>
  <c r="U586" i="1" s="1"/>
  <c r="T135" i="1" a="1"/>
  <c r="T135" i="1" s="1"/>
  <c r="U135" i="1" s="1" a="1"/>
  <c r="U135" i="1" s="1"/>
  <c r="T5" i="1" a="1"/>
  <c r="T5" i="1" s="1"/>
  <c r="U5" i="1" s="1" a="1"/>
  <c r="U5" i="1" s="1"/>
  <c r="T448" i="1" a="1"/>
  <c r="T448" i="1" s="1"/>
  <c r="U448" i="1" s="1" a="1"/>
  <c r="U448" i="1" s="1"/>
  <c r="T486" i="1" a="1"/>
  <c r="T486" i="1" s="1"/>
  <c r="U486" i="1" s="1" a="1"/>
  <c r="U486" i="1" s="1"/>
  <c r="T148" i="1" a="1"/>
  <c r="T148" i="1" s="1"/>
  <c r="U148" i="1" s="1" a="1"/>
  <c r="U148" i="1" s="1"/>
  <c r="T70" i="1" a="1"/>
  <c r="T70" i="1" s="1"/>
  <c r="U70" i="1" s="1" a="1"/>
  <c r="U70" i="1" s="1"/>
  <c r="T617" i="1" a="1"/>
  <c r="T617" i="1" s="1"/>
  <c r="U617" i="1" s="1" a="1"/>
  <c r="U617" i="1" s="1"/>
  <c r="T267" i="1" a="1"/>
  <c r="T267" i="1" s="1"/>
  <c r="U267" i="1" s="1" a="1"/>
  <c r="U267" i="1" s="1"/>
  <c r="T504" i="1" a="1"/>
  <c r="T504" i="1" s="1"/>
  <c r="U504" i="1" s="1" a="1"/>
  <c r="U504" i="1" s="1"/>
  <c r="T109" i="1" a="1"/>
  <c r="T109" i="1" s="1"/>
  <c r="U109" i="1" s="1" a="1"/>
  <c r="U109" i="1" s="1"/>
  <c r="T223" i="1" a="1"/>
  <c r="T223" i="1" s="1"/>
  <c r="U223" i="1" s="1" a="1"/>
  <c r="U223" i="1" s="1"/>
  <c r="T543" i="1" a="1"/>
  <c r="T543" i="1" s="1"/>
  <c r="U543" i="1" s="1" a="1"/>
  <c r="U543" i="1" s="1"/>
  <c r="T418" i="1" a="1"/>
  <c r="T418" i="1" s="1"/>
  <c r="U418" i="1" s="1" a="1"/>
  <c r="U418" i="1" s="1"/>
  <c r="T593" i="1" a="1"/>
  <c r="T593" i="1" s="1"/>
  <c r="U593" i="1" s="1" a="1"/>
  <c r="U593" i="1" s="1"/>
  <c r="T115" i="1" a="1"/>
  <c r="T115" i="1" s="1"/>
  <c r="U115" i="1" s="1" a="1"/>
  <c r="U115" i="1" s="1"/>
  <c r="T584" i="1" a="1"/>
  <c r="T584" i="1" s="1"/>
  <c r="U584" i="1" s="1" a="1"/>
  <c r="U584" i="1" s="1"/>
  <c r="T577" i="1" a="1"/>
  <c r="T577" i="1" s="1"/>
  <c r="U577" i="1" s="1" a="1"/>
  <c r="U577" i="1" s="1"/>
  <c r="T6" i="1" a="1"/>
  <c r="T6" i="1" s="1"/>
  <c r="U6" i="1" s="1" a="1"/>
  <c r="U6" i="1" s="1"/>
  <c r="T640" i="1" a="1"/>
  <c r="T640" i="1" s="1"/>
  <c r="U640" i="1" s="1" a="1"/>
  <c r="U640" i="1" s="1"/>
  <c r="T156" i="1" a="1"/>
  <c r="T156" i="1" s="1"/>
  <c r="U156" i="1" s="1" a="1"/>
  <c r="U156" i="1" s="1"/>
  <c r="T275" i="1" a="1"/>
  <c r="T275" i="1" s="1"/>
  <c r="U275" i="1" s="1" a="1"/>
  <c r="U275" i="1" s="1"/>
  <c r="T517" i="1" a="1"/>
  <c r="T517" i="1" s="1"/>
  <c r="U517" i="1" s="1" a="1"/>
  <c r="U517" i="1" s="1"/>
  <c r="T3" i="1" a="1"/>
  <c r="T3" i="1" s="1"/>
  <c r="U3" i="1" s="1" a="1"/>
  <c r="U3" i="1" s="1"/>
  <c r="T191" i="1" a="1"/>
  <c r="T191" i="1" s="1"/>
  <c r="U191" i="1" s="1" a="1"/>
  <c r="U191" i="1" s="1"/>
  <c r="T25" i="1" a="1"/>
  <c r="T25" i="1" s="1"/>
  <c r="U25" i="1" s="1" a="1"/>
  <c r="U25" i="1" s="1"/>
  <c r="T459" i="1" a="1"/>
  <c r="T459" i="1" s="1"/>
  <c r="U459" i="1" s="1" a="1"/>
  <c r="U459" i="1" s="1"/>
  <c r="T596" i="1" a="1"/>
  <c r="T596" i="1" s="1"/>
  <c r="U596" i="1" s="1" a="1"/>
  <c r="U596" i="1" s="1"/>
  <c r="T227" i="1" a="1"/>
  <c r="T227" i="1" s="1"/>
  <c r="U227" i="1" s="1" a="1"/>
  <c r="U227" i="1" s="1"/>
  <c r="T722" i="1" a="1"/>
  <c r="T722" i="1" s="1"/>
  <c r="U722" i="1" s="1" a="1"/>
  <c r="U722" i="1" s="1"/>
  <c r="T751" i="1" a="1"/>
  <c r="T751" i="1" s="1"/>
  <c r="U751" i="1" s="1" a="1"/>
  <c r="U751" i="1" s="1"/>
  <c r="T569" i="1" a="1"/>
  <c r="T569" i="1" s="1"/>
  <c r="U569" i="1" s="1" a="1"/>
  <c r="U569" i="1" s="1"/>
  <c r="T406" i="1" a="1"/>
  <c r="T406" i="1" s="1"/>
  <c r="U406" i="1" s="1" a="1"/>
  <c r="U406" i="1" s="1"/>
  <c r="T197" i="1" a="1"/>
  <c r="T197" i="1" s="1"/>
  <c r="U197" i="1" s="1" a="1"/>
  <c r="U197" i="1" s="1"/>
  <c r="T552" i="1" a="1"/>
  <c r="T552" i="1" s="1"/>
  <c r="U552" i="1" s="1" a="1"/>
  <c r="U552" i="1" s="1"/>
  <c r="T382" i="1" a="1"/>
  <c r="T382" i="1" s="1"/>
  <c r="U382" i="1" s="1" a="1"/>
  <c r="U382" i="1" s="1"/>
  <c r="T65" i="1" a="1"/>
  <c r="T65" i="1" s="1"/>
  <c r="U65" i="1" s="1" a="1"/>
  <c r="U65" i="1" s="1"/>
  <c r="T178" i="1" a="1"/>
  <c r="T178" i="1" s="1"/>
  <c r="U178" i="1" s="1" a="1"/>
  <c r="U178" i="1" s="1"/>
  <c r="T50" i="1" a="1"/>
  <c r="T50" i="1" s="1"/>
  <c r="U50" i="1" s="1" a="1"/>
  <c r="U50" i="1" s="1"/>
  <c r="T466" i="1" a="1"/>
  <c r="T466" i="1" s="1"/>
  <c r="U466" i="1" s="1" a="1"/>
  <c r="U466" i="1" s="1"/>
  <c r="T296" i="1" a="1"/>
  <c r="T296" i="1" s="1"/>
  <c r="U296" i="1" s="1" a="1"/>
  <c r="U296" i="1" s="1"/>
  <c r="T69" i="1" a="1"/>
  <c r="T69" i="1" s="1"/>
  <c r="U69" i="1" s="1" a="1"/>
  <c r="U69" i="1" s="1"/>
  <c r="T638" i="1" a="1"/>
  <c r="T638" i="1" s="1"/>
  <c r="U638" i="1" s="1" a="1"/>
  <c r="U638" i="1" s="1"/>
  <c r="T454" i="1" a="1"/>
  <c r="T454" i="1" s="1"/>
  <c r="U454" i="1" s="1" a="1"/>
  <c r="U454" i="1" s="1"/>
  <c r="T500" i="1" a="1"/>
  <c r="T500" i="1" s="1"/>
  <c r="U500" i="1" s="1" a="1"/>
  <c r="U500" i="1" s="1"/>
  <c r="T231" i="1" a="1"/>
  <c r="T231" i="1" s="1"/>
  <c r="U231" i="1" s="1" a="1"/>
  <c r="U231" i="1" s="1"/>
  <c r="T194" i="1" a="1"/>
  <c r="T194" i="1" s="1"/>
  <c r="U194" i="1" s="1" a="1"/>
  <c r="U194" i="1" s="1"/>
  <c r="T276" i="1" a="1"/>
  <c r="T276" i="1" s="1"/>
  <c r="U276" i="1" s="1" a="1"/>
  <c r="U276" i="1" s="1"/>
  <c r="T372" i="1" a="1"/>
  <c r="T372" i="1" s="1"/>
  <c r="U372" i="1" s="1" a="1"/>
  <c r="U372" i="1" s="1"/>
  <c r="T444" i="1" a="1"/>
  <c r="T444" i="1" s="1"/>
  <c r="U444" i="1" s="1" a="1"/>
  <c r="U444" i="1" s="1"/>
  <c r="T379" i="1" a="1"/>
  <c r="T379" i="1" s="1"/>
  <c r="U379" i="1" s="1" a="1"/>
  <c r="U379" i="1" s="1"/>
  <c r="T674" i="1" a="1"/>
  <c r="T674" i="1" s="1"/>
  <c r="U674" i="1" s="1" a="1"/>
  <c r="U674" i="1" s="1"/>
  <c r="T58" i="1" a="1"/>
  <c r="T58" i="1" s="1"/>
  <c r="U58" i="1" s="1" a="1"/>
  <c r="U58" i="1" s="1"/>
  <c r="T367" i="1" a="1"/>
  <c r="T367" i="1" s="1"/>
  <c r="U367" i="1" s="1" a="1"/>
  <c r="U367" i="1" s="1"/>
  <c r="T349" i="1" a="1"/>
  <c r="T349" i="1" s="1"/>
  <c r="U349" i="1" s="1" a="1"/>
  <c r="U349" i="1" s="1"/>
  <c r="T568" i="1" a="1"/>
  <c r="T568" i="1" s="1"/>
  <c r="U568" i="1" s="1" a="1"/>
  <c r="U568" i="1" s="1"/>
  <c r="T365" i="1" a="1"/>
  <c r="T365" i="1" s="1"/>
  <c r="U365" i="1" s="1" a="1"/>
  <c r="U365" i="1" s="1"/>
  <c r="T554" i="1" a="1"/>
  <c r="T554" i="1" s="1"/>
  <c r="U554" i="1" s="1" a="1"/>
  <c r="U554" i="1" s="1"/>
  <c r="T36" i="1" a="1"/>
  <c r="T36" i="1" s="1"/>
  <c r="U36" i="1" s="1" a="1"/>
  <c r="U36" i="1" s="1"/>
  <c r="T340" i="1" a="1"/>
  <c r="T340" i="1" s="1"/>
  <c r="U340" i="1" s="1" a="1"/>
  <c r="U340" i="1" s="1"/>
  <c r="T344" i="1" a="1"/>
  <c r="T344" i="1" s="1"/>
  <c r="U344" i="1" s="1" a="1"/>
  <c r="U344" i="1" s="1"/>
  <c r="T108" i="1" a="1"/>
  <c r="T108" i="1" s="1"/>
  <c r="U108" i="1" s="1" a="1"/>
  <c r="U108" i="1" s="1"/>
  <c r="T670" i="1" a="1"/>
  <c r="T670" i="1" s="1"/>
  <c r="U670" i="1" s="1" a="1"/>
  <c r="U670" i="1" s="1"/>
  <c r="T607" i="1" a="1"/>
  <c r="T607" i="1" s="1"/>
  <c r="U607" i="1" s="1" a="1"/>
  <c r="U607" i="1" s="1"/>
  <c r="T390" i="1" a="1"/>
  <c r="T390" i="1" s="1"/>
  <c r="U390" i="1" s="1" a="1"/>
  <c r="U390" i="1" s="1"/>
  <c r="T124" i="1" a="1"/>
  <c r="T124" i="1" s="1"/>
  <c r="U124" i="1" s="1" a="1"/>
  <c r="U124" i="1" s="1"/>
  <c r="T107" i="1" a="1"/>
  <c r="T107" i="1" s="1"/>
  <c r="U107" i="1" s="1" a="1"/>
  <c r="U107" i="1" s="1"/>
  <c r="T592" i="1" a="1"/>
  <c r="T592" i="1" s="1"/>
  <c r="U592" i="1" s="1" a="1"/>
  <c r="U592" i="1" s="1"/>
  <c r="T147" i="1" a="1"/>
  <c r="T147" i="1" s="1"/>
  <c r="U147" i="1" s="1" a="1"/>
  <c r="U147" i="1" s="1"/>
  <c r="T431" i="1" a="1"/>
  <c r="T431" i="1" s="1"/>
  <c r="U431" i="1" s="1" a="1"/>
  <c r="U431" i="1" s="1"/>
  <c r="T656" i="1" a="1"/>
  <c r="T656" i="1" s="1"/>
  <c r="U656" i="1" s="1" a="1"/>
  <c r="U656" i="1" s="1"/>
  <c r="T14" i="1" a="1"/>
  <c r="T14" i="1" s="1"/>
  <c r="U14" i="1" s="1" a="1"/>
  <c r="U14" i="1" s="1"/>
  <c r="T532" i="1" a="1"/>
  <c r="T532" i="1" s="1"/>
  <c r="U532" i="1" s="1" a="1"/>
  <c r="U532" i="1" s="1"/>
  <c r="T210" i="1" a="1"/>
  <c r="T210" i="1" s="1"/>
  <c r="U210" i="1" s="1" a="1"/>
  <c r="U210" i="1" s="1"/>
  <c r="T399" i="1" a="1"/>
  <c r="T399" i="1" s="1"/>
  <c r="U399" i="1" s="1" a="1"/>
  <c r="U399" i="1" s="1"/>
  <c r="T680" i="1" a="1"/>
  <c r="T680" i="1" s="1"/>
  <c r="U680" i="1" s="1" a="1"/>
  <c r="U680" i="1" s="1"/>
  <c r="T400" i="1" a="1"/>
  <c r="T400" i="1" s="1"/>
  <c r="U400" i="1" s="1" a="1"/>
  <c r="U400" i="1" s="1"/>
  <c r="T334" i="1" a="1"/>
  <c r="T334" i="1" s="1"/>
  <c r="U334" i="1" s="1" a="1"/>
  <c r="U334" i="1" s="1"/>
  <c r="T599" i="1" a="1"/>
  <c r="T599" i="1" s="1"/>
  <c r="U599" i="1" s="1" a="1"/>
  <c r="U599" i="1" s="1"/>
  <c r="T429" i="1" a="1"/>
  <c r="T429" i="1" s="1"/>
  <c r="U429" i="1" s="1" a="1"/>
  <c r="U429" i="1" s="1"/>
  <c r="T152" i="1" a="1"/>
  <c r="T152" i="1" s="1"/>
  <c r="U152" i="1" s="1" a="1"/>
  <c r="U152" i="1" s="1"/>
  <c r="T168" i="1" a="1"/>
  <c r="T168" i="1" s="1"/>
  <c r="U168" i="1" s="1" a="1"/>
  <c r="U168" i="1" s="1"/>
  <c r="T61" i="1" a="1"/>
  <c r="T61" i="1" s="1"/>
  <c r="U61" i="1" s="1" a="1"/>
  <c r="U61" i="1" s="1"/>
  <c r="T310" i="1" a="1"/>
  <c r="T310" i="1" s="1"/>
  <c r="U310" i="1" s="1" a="1"/>
  <c r="U310" i="1" s="1"/>
  <c r="T401" i="1" a="1"/>
  <c r="T401" i="1" s="1"/>
  <c r="U401" i="1" s="1" a="1"/>
  <c r="U401" i="1" s="1"/>
  <c r="T21" i="1" a="1"/>
  <c r="T21" i="1" s="1"/>
  <c r="U21" i="1" s="1" a="1"/>
  <c r="U21" i="1" s="1"/>
  <c r="T755" i="1" a="1"/>
  <c r="T755" i="1" s="1"/>
  <c r="U755" i="1" s="1" a="1"/>
  <c r="U755" i="1" s="1"/>
  <c r="T701" i="1" a="1"/>
  <c r="T701" i="1" s="1"/>
  <c r="U701" i="1" s="1" a="1"/>
  <c r="U701" i="1" s="1"/>
  <c r="T478" i="1" a="1"/>
  <c r="T478" i="1" s="1"/>
  <c r="U478" i="1" s="1" a="1"/>
  <c r="U478" i="1" s="1"/>
  <c r="T502" i="1" a="1"/>
  <c r="T502" i="1" s="1"/>
  <c r="U502" i="1" s="1" a="1"/>
  <c r="U502" i="1" s="1"/>
  <c r="T623" i="1" a="1"/>
  <c r="T623" i="1" s="1"/>
  <c r="U623" i="1" s="1" a="1"/>
  <c r="U623" i="1" s="1"/>
  <c r="T16" i="1" a="1"/>
  <c r="T16" i="1" s="1"/>
  <c r="U16" i="1" s="1" a="1"/>
  <c r="U16" i="1" s="1"/>
  <c r="T714" i="1" a="1"/>
  <c r="T714" i="1" s="1"/>
  <c r="U714" i="1" s="1" a="1"/>
  <c r="U714" i="1" s="1"/>
  <c r="T164" i="1" a="1"/>
  <c r="T164" i="1" s="1"/>
  <c r="U164" i="1" s="1" a="1"/>
  <c r="U164" i="1" s="1"/>
  <c r="T381" i="1" a="1"/>
  <c r="T381" i="1" s="1"/>
  <c r="U381" i="1" s="1" a="1"/>
  <c r="U381" i="1" s="1"/>
  <c r="T503" i="1" a="1"/>
  <c r="T503" i="1" s="1"/>
  <c r="U503" i="1" s="1" a="1"/>
  <c r="U503" i="1" s="1"/>
  <c r="T626" i="1" a="1"/>
  <c r="T626" i="1" s="1"/>
  <c r="U626" i="1" s="1" a="1"/>
  <c r="U626" i="1" s="1"/>
  <c r="T121" i="1" a="1"/>
  <c r="T121" i="1" s="1"/>
  <c r="U121" i="1" s="1" a="1"/>
  <c r="U121" i="1" s="1"/>
  <c r="T549" i="1" a="1"/>
  <c r="T549" i="1" s="1"/>
  <c r="U549" i="1" s="1" a="1"/>
  <c r="U549" i="1" s="1"/>
  <c r="T253" i="1" a="1"/>
  <c r="T253" i="1" s="1"/>
  <c r="U253" i="1" s="1" a="1"/>
  <c r="U253" i="1" s="1"/>
  <c r="T185" i="1" a="1"/>
  <c r="T185" i="1" s="1"/>
  <c r="U185" i="1" s="1" a="1"/>
  <c r="U185" i="1" s="1"/>
  <c r="T34" i="1" a="1"/>
  <c r="T34" i="1" s="1"/>
  <c r="U34" i="1" s="1" a="1"/>
  <c r="U34" i="1" s="1"/>
  <c r="T88" i="1" a="1"/>
  <c r="T88" i="1" s="1"/>
  <c r="U88" i="1" s="1" a="1"/>
  <c r="U88" i="1" s="1"/>
  <c r="T591" i="1" a="1"/>
  <c r="T591" i="1" s="1"/>
  <c r="U591" i="1" s="1" a="1"/>
  <c r="U591" i="1" s="1"/>
  <c r="T66" i="1" a="1"/>
  <c r="T66" i="1" s="1"/>
  <c r="U66" i="1" s="1" a="1"/>
  <c r="U66" i="1" s="1"/>
  <c r="T188" i="1" a="1"/>
  <c r="T188" i="1" s="1"/>
  <c r="U188" i="1" s="1" a="1"/>
  <c r="U188" i="1" s="1"/>
  <c r="T111" i="1" a="1"/>
  <c r="T111" i="1" s="1"/>
  <c r="U111" i="1" s="1" a="1"/>
  <c r="U111" i="1" s="1"/>
  <c r="T698" i="1" a="1"/>
  <c r="T698" i="1" s="1"/>
  <c r="U698" i="1" s="1" a="1"/>
  <c r="U698" i="1" s="1"/>
  <c r="T451" i="1" a="1"/>
  <c r="T451" i="1" s="1"/>
  <c r="U451" i="1" s="1" a="1"/>
  <c r="U451" i="1" s="1"/>
  <c r="T664" i="1" a="1"/>
  <c r="T664" i="1" s="1"/>
  <c r="U664" i="1" s="1" a="1"/>
  <c r="U664" i="1" s="1"/>
  <c r="T133" i="1" a="1"/>
  <c r="T133" i="1" s="1"/>
  <c r="U133" i="1" s="1" a="1"/>
  <c r="U133" i="1" s="1"/>
  <c r="T86" i="1" a="1"/>
  <c r="T86" i="1" s="1"/>
  <c r="U86" i="1" s="1" a="1"/>
  <c r="U86" i="1" s="1"/>
  <c r="T53" i="1" a="1"/>
  <c r="T53" i="1" s="1"/>
  <c r="U53" i="1" s="1" a="1"/>
  <c r="U53" i="1" s="1"/>
  <c r="T479" i="1" a="1"/>
  <c r="T479" i="1" s="1"/>
  <c r="U479" i="1" s="1" a="1"/>
  <c r="U479" i="1" s="1"/>
  <c r="T721" i="1" a="1"/>
  <c r="T721" i="1" s="1"/>
  <c r="U721" i="1" s="1" a="1"/>
  <c r="U721" i="1" s="1"/>
  <c r="T250" i="1" a="1"/>
  <c r="T250" i="1" s="1"/>
  <c r="U250" i="1" s="1" a="1"/>
  <c r="U250" i="1" s="1"/>
  <c r="T254" i="1" a="1"/>
  <c r="T254" i="1" s="1"/>
  <c r="U254" i="1" s="1" a="1"/>
  <c r="U254" i="1" s="1"/>
  <c r="T718" i="1" a="1"/>
  <c r="T718" i="1" s="1"/>
  <c r="U718" i="1" s="1" a="1"/>
  <c r="U718" i="1" s="1"/>
  <c r="T42" i="1" a="1"/>
  <c r="T42" i="1" s="1"/>
  <c r="U42" i="1" s="1" a="1"/>
  <c r="U42" i="1" s="1"/>
  <c r="T616" i="1" a="1"/>
  <c r="T616" i="1" s="1"/>
  <c r="U616" i="1" s="1" a="1"/>
  <c r="U616" i="1" s="1"/>
  <c r="T99" i="1" a="1"/>
  <c r="T99" i="1" s="1"/>
  <c r="U99" i="1" s="1" a="1"/>
  <c r="U99" i="1" s="1"/>
  <c r="T646" i="1" a="1"/>
  <c r="T646" i="1" s="1"/>
  <c r="U646" i="1" s="1" a="1"/>
  <c r="U646" i="1" s="1"/>
  <c r="T695" i="1" a="1"/>
  <c r="T695" i="1" s="1"/>
  <c r="U695" i="1" s="1" a="1"/>
  <c r="U695" i="1" s="1"/>
  <c r="T506" i="1" a="1"/>
  <c r="T506" i="1" s="1"/>
  <c r="U506" i="1" s="1" a="1"/>
  <c r="U506" i="1" s="1"/>
  <c r="T681" i="1" a="1"/>
  <c r="T681" i="1" s="1"/>
  <c r="U681" i="1" s="1" a="1"/>
  <c r="U681" i="1" s="1"/>
  <c r="T578" i="1" a="1"/>
  <c r="T578" i="1" s="1"/>
  <c r="U578" i="1" s="1" a="1"/>
  <c r="U578" i="1" s="1"/>
  <c r="T238" i="1" a="1"/>
  <c r="T238" i="1" s="1"/>
  <c r="U238" i="1" s="1" a="1"/>
  <c r="U238" i="1" s="1"/>
  <c r="T449" i="1" a="1"/>
  <c r="T449" i="1" s="1"/>
  <c r="U449" i="1" s="1" a="1"/>
  <c r="U449" i="1" s="1"/>
  <c r="T112" i="1" a="1"/>
  <c r="T112" i="1" s="1"/>
  <c r="U112" i="1" s="1" a="1"/>
  <c r="U112" i="1" s="1"/>
  <c r="T78" i="1" a="1"/>
  <c r="T78" i="1" s="1"/>
  <c r="U78" i="1" s="1" a="1"/>
  <c r="U78" i="1" s="1"/>
  <c r="T195" i="1" a="1"/>
  <c r="T195" i="1" s="1"/>
  <c r="U195" i="1" s="1" a="1"/>
  <c r="U195" i="1" s="1"/>
  <c r="T232" i="1" a="1"/>
  <c r="T232" i="1" s="1"/>
  <c r="U232" i="1" s="1" a="1"/>
  <c r="U232" i="1" s="1"/>
  <c r="T268" i="1" a="1"/>
  <c r="T268" i="1" s="1"/>
  <c r="U268" i="1" s="1" a="1"/>
  <c r="U268" i="1" s="1"/>
  <c r="T557" i="1" a="1"/>
  <c r="T557" i="1" s="1"/>
  <c r="U557" i="1" s="1" a="1"/>
  <c r="U557" i="1" s="1"/>
  <c r="T710" i="1" a="1"/>
  <c r="T710" i="1" s="1"/>
  <c r="U710" i="1" s="1" a="1"/>
  <c r="U710" i="1" s="1"/>
  <c r="T364" i="1" a="1"/>
  <c r="T364" i="1" s="1"/>
  <c r="U364" i="1" s="1" a="1"/>
  <c r="U364" i="1" s="1"/>
  <c r="T521" i="1" a="1"/>
  <c r="T521" i="1" s="1"/>
  <c r="U521" i="1" s="1" a="1"/>
  <c r="U521" i="1" s="1"/>
  <c r="T452" i="1" a="1"/>
  <c r="T452" i="1" s="1"/>
  <c r="U452" i="1" s="1" a="1"/>
  <c r="U452" i="1" s="1"/>
  <c r="T44" i="1" a="1"/>
  <c r="T44" i="1" s="1"/>
  <c r="U44" i="1" s="1" a="1"/>
  <c r="U44" i="1" s="1"/>
  <c r="T559" i="1" a="1"/>
  <c r="T559" i="1" s="1"/>
  <c r="U559" i="1" s="1" a="1"/>
  <c r="U559" i="1" s="1"/>
  <c r="T398" i="1" a="1"/>
  <c r="T398" i="1" s="1"/>
  <c r="U398" i="1" s="1" a="1"/>
  <c r="U398" i="1" s="1"/>
  <c r="T412" i="1" a="1"/>
  <c r="T412" i="1" s="1"/>
  <c r="U412" i="1" s="1" a="1"/>
  <c r="U412" i="1" s="1"/>
  <c r="T650" i="1" a="1"/>
  <c r="T650" i="1" s="1"/>
  <c r="U650" i="1" s="1" a="1"/>
  <c r="U650" i="1" s="1"/>
  <c r="T266" i="1" a="1"/>
  <c r="T266" i="1" s="1"/>
  <c r="U266" i="1" s="1" a="1"/>
  <c r="U266" i="1" s="1"/>
  <c r="T300" i="1" a="1"/>
  <c r="T300" i="1" s="1"/>
  <c r="U300" i="1" s="1" a="1"/>
  <c r="U300" i="1" s="1"/>
  <c r="T298" i="1" a="1"/>
  <c r="T298" i="1" s="1"/>
  <c r="U298" i="1" s="1" a="1"/>
  <c r="U298" i="1" s="1"/>
  <c r="T325" i="1" a="1"/>
  <c r="T325" i="1" s="1"/>
  <c r="U325" i="1" s="1" a="1"/>
  <c r="U325" i="1" s="1"/>
  <c r="T19" i="1" a="1"/>
  <c r="T19" i="1" s="1"/>
  <c r="U19" i="1" s="1" a="1"/>
  <c r="U19" i="1" s="1"/>
  <c r="T59" i="1" a="1"/>
  <c r="T59" i="1" s="1"/>
  <c r="U59" i="1" s="1" a="1"/>
  <c r="U59" i="1" s="1"/>
  <c r="T273" i="1" a="1"/>
  <c r="T273" i="1" s="1"/>
  <c r="U273" i="1" s="1" a="1"/>
  <c r="U273" i="1" s="1"/>
  <c r="T561" i="1" a="1"/>
  <c r="T561" i="1" s="1"/>
  <c r="U561" i="1" s="1" a="1"/>
  <c r="U561" i="1" s="1"/>
  <c r="T547" i="1" a="1"/>
  <c r="T547" i="1" s="1"/>
  <c r="U547" i="1" s="1" a="1"/>
  <c r="U547" i="1" s="1"/>
  <c r="T283" i="1" a="1"/>
  <c r="T283" i="1" s="1"/>
  <c r="U283" i="1" s="1" a="1"/>
  <c r="U283" i="1" s="1"/>
  <c r="T139" i="1" a="1"/>
  <c r="T139" i="1" s="1"/>
  <c r="U139" i="1" s="1" a="1"/>
  <c r="U139" i="1" s="1"/>
  <c r="T666" i="1" a="1"/>
  <c r="T666" i="1" s="1"/>
  <c r="U666" i="1" s="1" a="1"/>
  <c r="U666" i="1" s="1"/>
  <c r="T762" i="1" a="1"/>
  <c r="T762" i="1" s="1"/>
  <c r="U762" i="1" s="1" a="1"/>
  <c r="U762" i="1" s="1"/>
  <c r="T467" i="1" a="1"/>
  <c r="T467" i="1" s="1"/>
  <c r="U467" i="1" s="1" a="1"/>
  <c r="U467" i="1" s="1"/>
  <c r="T391" i="1" a="1"/>
  <c r="T391" i="1" s="1"/>
  <c r="U391" i="1" s="1" a="1"/>
  <c r="U391" i="1" s="1"/>
  <c r="T241" i="1" a="1"/>
  <c r="T241" i="1" s="1"/>
  <c r="U241" i="1" s="1" a="1"/>
  <c r="U241" i="1" s="1"/>
  <c r="T693" i="1" a="1"/>
  <c r="T693" i="1" s="1"/>
  <c r="U693" i="1" s="1" a="1"/>
  <c r="U693" i="1" s="1"/>
  <c r="T696" i="1" a="1"/>
  <c r="T696" i="1" s="1"/>
  <c r="U696" i="1" s="1" a="1"/>
  <c r="U696" i="1" s="1"/>
  <c r="T445" i="1" a="1"/>
  <c r="T445" i="1" s="1"/>
  <c r="U445" i="1" s="1" a="1"/>
  <c r="U445" i="1" s="1"/>
  <c r="T165" i="1" a="1"/>
  <c r="T165" i="1" s="1"/>
  <c r="U165" i="1" s="1" a="1"/>
  <c r="U165" i="1" s="1"/>
  <c r="T302" i="1" a="1"/>
  <c r="T302" i="1" s="1"/>
  <c r="U302" i="1" s="1" a="1"/>
  <c r="U302" i="1" s="1"/>
  <c r="T354" i="1" a="1"/>
  <c r="T354" i="1" s="1"/>
  <c r="U354" i="1" s="1" a="1"/>
  <c r="U354" i="1" s="1"/>
  <c r="T677" i="1" a="1"/>
  <c r="T677" i="1" s="1"/>
  <c r="U677" i="1" s="1" a="1"/>
  <c r="U677" i="1" s="1"/>
  <c r="T531" i="1" a="1"/>
  <c r="T531" i="1" s="1"/>
  <c r="U531" i="1" s="1" a="1"/>
  <c r="U531" i="1" s="1"/>
  <c r="T520" i="1" a="1"/>
  <c r="T520" i="1" s="1"/>
  <c r="U520" i="1" s="1" a="1"/>
  <c r="U520" i="1" s="1"/>
  <c r="T738" i="1" a="1"/>
  <c r="T738" i="1" s="1"/>
  <c r="U738" i="1" s="1" a="1"/>
  <c r="U738" i="1" s="1"/>
  <c r="T93" i="1" a="1"/>
  <c r="T93" i="1" s="1"/>
  <c r="U93" i="1" s="1" a="1"/>
  <c r="U93" i="1" s="1"/>
  <c r="T55" i="1" a="1"/>
  <c r="T55" i="1" s="1"/>
  <c r="U55" i="1" s="1" a="1"/>
  <c r="U55" i="1" s="1"/>
  <c r="T378" i="1" a="1"/>
  <c r="T378" i="1" s="1"/>
  <c r="U378" i="1" s="1" a="1"/>
  <c r="U378" i="1" s="1"/>
  <c r="T264" i="1" a="1"/>
  <c r="T264" i="1" s="1"/>
  <c r="U264" i="1" s="1" a="1"/>
  <c r="U264" i="1" s="1"/>
  <c r="T198" i="1" a="1"/>
  <c r="T198" i="1" s="1"/>
  <c r="U198" i="1" s="1" a="1"/>
  <c r="U198" i="1" s="1"/>
  <c r="T159" i="1" a="1"/>
  <c r="T159" i="1" s="1"/>
  <c r="U159" i="1" s="1" a="1"/>
  <c r="U159" i="1" s="1"/>
  <c r="T28" i="1" a="1"/>
  <c r="T28" i="1" s="1"/>
  <c r="U28" i="1" s="1" a="1"/>
  <c r="U28" i="1" s="1"/>
  <c r="T337" i="1" a="1"/>
  <c r="T337" i="1" s="1"/>
  <c r="U337" i="1" s="1" a="1"/>
  <c r="U337" i="1" s="1"/>
  <c r="T493" i="1" a="1"/>
  <c r="T493" i="1" s="1"/>
  <c r="U493" i="1" s="1" a="1"/>
  <c r="U493" i="1" s="1"/>
  <c r="T562" i="1" a="1"/>
  <c r="T562" i="1" s="1"/>
  <c r="U562" i="1" s="1" a="1"/>
  <c r="U562" i="1" s="1"/>
  <c r="T746" i="1" a="1"/>
  <c r="T746" i="1" s="1"/>
  <c r="U746" i="1" s="1" a="1"/>
  <c r="U746" i="1" s="1"/>
  <c r="T490" i="1" a="1"/>
  <c r="T490" i="1" s="1"/>
  <c r="U490" i="1" s="1" a="1"/>
  <c r="U490" i="1" s="1"/>
  <c r="T566" i="1" a="1"/>
  <c r="T566" i="1" s="1"/>
  <c r="U566" i="1" s="1" a="1"/>
  <c r="U566" i="1" s="1"/>
  <c r="T56" i="1" a="1"/>
  <c r="T56" i="1" s="1"/>
  <c r="U56" i="1" s="1" a="1"/>
  <c r="U56" i="1" s="1"/>
  <c r="T134" i="1" a="1"/>
  <c r="T134" i="1" s="1"/>
  <c r="U134" i="1" s="1" a="1"/>
  <c r="U134" i="1" s="1"/>
  <c r="T684" i="1" a="1"/>
  <c r="T684" i="1" s="1"/>
  <c r="U684" i="1" s="1" a="1"/>
  <c r="U684" i="1" s="1"/>
  <c r="T233" i="1" a="1"/>
  <c r="T233" i="1" s="1"/>
  <c r="U233" i="1" s="1" a="1"/>
  <c r="U233" i="1" s="1"/>
  <c r="T265" i="1" a="1"/>
  <c r="T265" i="1" s="1"/>
  <c r="U265" i="1" s="1" a="1"/>
  <c r="U265" i="1" s="1"/>
  <c r="T659" i="1" a="1"/>
  <c r="T659" i="1" s="1"/>
  <c r="U659" i="1" s="1" a="1"/>
  <c r="U659" i="1" s="1"/>
  <c r="T606" i="1" a="1"/>
  <c r="T606" i="1" s="1"/>
  <c r="U606" i="1" s="1" a="1"/>
  <c r="U606" i="1" s="1"/>
  <c r="T657" i="1" a="1"/>
  <c r="T657" i="1" s="1"/>
  <c r="U657" i="1" s="1" a="1"/>
  <c r="U657" i="1" s="1"/>
  <c r="T759" i="1" a="1"/>
  <c r="T759" i="1" s="1"/>
  <c r="U759" i="1" s="1" a="1"/>
  <c r="U759" i="1" s="1"/>
  <c r="T150" i="1" a="1"/>
  <c r="T150" i="1" s="1"/>
  <c r="U150" i="1" s="1" a="1"/>
  <c r="U150" i="1" s="1"/>
  <c r="T127" i="1" a="1"/>
  <c r="T127" i="1" s="1"/>
  <c r="U127" i="1" s="1" a="1"/>
  <c r="U127" i="1" s="1"/>
  <c r="T263" i="1" a="1"/>
  <c r="T263" i="1" s="1"/>
  <c r="U263" i="1" s="1" a="1"/>
  <c r="U263" i="1" s="1"/>
  <c r="T64" i="1" a="1"/>
  <c r="T64" i="1" s="1"/>
  <c r="U64" i="1" s="1" a="1"/>
  <c r="U64" i="1" s="1"/>
  <c r="T120" i="1" a="1"/>
  <c r="T120" i="1" s="1"/>
  <c r="U120" i="1" s="1" a="1"/>
  <c r="U120" i="1" s="1"/>
  <c r="T295" i="1" a="1"/>
  <c r="T295" i="1" s="1"/>
  <c r="U295" i="1" s="1" a="1"/>
  <c r="U295" i="1" s="1"/>
  <c r="T409" i="1" a="1"/>
  <c r="T409" i="1" s="1"/>
  <c r="U409" i="1" s="1" a="1"/>
  <c r="U409" i="1" s="1"/>
  <c r="T125" i="1" a="1"/>
  <c r="T125" i="1" s="1"/>
  <c r="U125" i="1" s="1" a="1"/>
  <c r="U125" i="1" s="1"/>
  <c r="T633" i="1" a="1"/>
  <c r="T633" i="1" s="1"/>
  <c r="U633" i="1" s="1" a="1"/>
  <c r="U633" i="1" s="1"/>
  <c r="T526" i="1" a="1"/>
  <c r="T526" i="1" s="1"/>
  <c r="U526" i="1" s="1" a="1"/>
  <c r="U526" i="1" s="1"/>
  <c r="T289" i="1" a="1"/>
  <c r="T289" i="1" s="1"/>
  <c r="U289" i="1" s="1" a="1"/>
  <c r="U289" i="1" s="1"/>
  <c r="T536" i="1" a="1"/>
  <c r="T536" i="1" s="1"/>
  <c r="U536" i="1" s="1" a="1"/>
  <c r="U536" i="1" s="1"/>
  <c r="T443" i="1" a="1"/>
  <c r="T443" i="1" s="1"/>
  <c r="U443" i="1" s="1" a="1"/>
  <c r="U443" i="1" s="1"/>
  <c r="T410" i="1" a="1"/>
  <c r="T410" i="1" s="1"/>
  <c r="U410" i="1" s="1" a="1"/>
  <c r="U410" i="1" s="1"/>
  <c r="T416" i="1" a="1"/>
  <c r="T416" i="1" s="1"/>
  <c r="U416" i="1" s="1" a="1"/>
  <c r="U416" i="1" s="1"/>
  <c r="T627" i="1" a="1"/>
  <c r="T627" i="1" s="1"/>
  <c r="U627" i="1" s="1" a="1"/>
  <c r="U627" i="1" s="1"/>
  <c r="T469" i="1" a="1"/>
  <c r="T469" i="1" s="1"/>
  <c r="U469" i="1" s="1" a="1"/>
  <c r="U469" i="1" s="1"/>
  <c r="T539" i="1" a="1"/>
  <c r="T539" i="1" s="1"/>
  <c r="U539" i="1" s="1" a="1"/>
  <c r="U539" i="1" s="1"/>
  <c r="T18" i="1" a="1"/>
  <c r="T18" i="1" s="1"/>
  <c r="U18" i="1" s="1" a="1"/>
  <c r="U18" i="1" s="1"/>
  <c r="T330" i="1" a="1"/>
  <c r="T330" i="1" s="1"/>
  <c r="U330" i="1" s="1" a="1"/>
  <c r="U330" i="1" s="1"/>
  <c r="T703" i="1" a="1"/>
  <c r="T703" i="1" s="1"/>
  <c r="U703" i="1" s="1" a="1"/>
  <c r="U703" i="1" s="1"/>
  <c r="T618" i="1" a="1"/>
  <c r="T618" i="1" s="1"/>
  <c r="U618" i="1" s="1" a="1"/>
  <c r="U618" i="1" s="1"/>
  <c r="T369" i="1" a="1"/>
  <c r="T369" i="1" s="1"/>
  <c r="U369" i="1" s="1" a="1"/>
  <c r="U369" i="1" s="1"/>
  <c r="T733" i="1" a="1"/>
  <c r="T733" i="1" s="1"/>
  <c r="U733" i="1" s="1" a="1"/>
  <c r="U733" i="1" s="1"/>
  <c r="T171" i="1" a="1"/>
  <c r="T171" i="1" s="1"/>
  <c r="U171" i="1" s="1" a="1"/>
  <c r="U171" i="1" s="1"/>
  <c r="T116" i="1" a="1"/>
  <c r="T116" i="1" s="1"/>
  <c r="U116" i="1" s="1" a="1"/>
  <c r="U116" i="1" s="1"/>
  <c r="T724" i="1" a="1"/>
  <c r="T724" i="1" s="1"/>
  <c r="U724" i="1" s="1" a="1"/>
  <c r="U724" i="1" s="1"/>
  <c r="T136" i="1" a="1"/>
  <c r="T136" i="1" s="1"/>
  <c r="U136" i="1" s="1" a="1"/>
  <c r="U136" i="1" s="1"/>
  <c r="T600" i="1" a="1"/>
  <c r="T600" i="1" s="1"/>
  <c r="U600" i="1" s="1" a="1"/>
  <c r="U600" i="1" s="1"/>
  <c r="T285" i="1" a="1"/>
  <c r="T285" i="1" s="1"/>
  <c r="U285" i="1" s="1" a="1"/>
  <c r="U285" i="1" s="1"/>
  <c r="T154" i="1" a="1"/>
  <c r="T154" i="1" s="1"/>
  <c r="U154" i="1" s="1" a="1"/>
  <c r="U154" i="1" s="1"/>
  <c r="T47" i="1" a="1"/>
  <c r="T47" i="1" s="1"/>
  <c r="U47" i="1" s="1" a="1"/>
  <c r="U47" i="1" s="1"/>
  <c r="T726" i="1" a="1"/>
  <c r="T726" i="1" s="1"/>
  <c r="U726" i="1" s="1" a="1"/>
  <c r="U726" i="1" s="1"/>
  <c r="T220" i="1" a="1"/>
  <c r="T220" i="1" s="1"/>
  <c r="U220" i="1" s="1" a="1"/>
  <c r="U220" i="1" s="1"/>
  <c r="T480" i="1" a="1"/>
  <c r="T480" i="1" s="1"/>
  <c r="U480" i="1" s="1" a="1"/>
  <c r="U480" i="1" s="1"/>
  <c r="T497" i="1" a="1"/>
  <c r="T497" i="1" s="1"/>
  <c r="U497" i="1" s="1" a="1"/>
  <c r="U497" i="1" s="1"/>
  <c r="T481" i="1" a="1"/>
  <c r="T481" i="1" s="1"/>
  <c r="U481" i="1" s="1" a="1"/>
  <c r="U481" i="1" s="1"/>
  <c r="T417" i="1" a="1"/>
  <c r="T417" i="1" s="1"/>
  <c r="U417" i="1" s="1" a="1"/>
  <c r="U417" i="1" s="1"/>
  <c r="T17" i="1" a="1"/>
  <c r="T17" i="1" s="1"/>
  <c r="U17" i="1" s="1" a="1"/>
  <c r="U17" i="1" s="1"/>
  <c r="T284" i="1" a="1"/>
  <c r="T284" i="1" s="1"/>
  <c r="U284" i="1" s="1" a="1"/>
  <c r="U284" i="1" s="1"/>
  <c r="T375" i="1" a="1"/>
  <c r="T375" i="1" s="1"/>
  <c r="U375" i="1" s="1" a="1"/>
  <c r="U375" i="1" s="1"/>
  <c r="T193" i="1" a="1"/>
  <c r="T193" i="1" s="1"/>
  <c r="U193" i="1" s="1" a="1"/>
  <c r="U193" i="1" s="1"/>
  <c r="T402" i="1" a="1"/>
  <c r="T402" i="1" s="1"/>
  <c r="U402" i="1" s="1" a="1"/>
  <c r="U402" i="1" s="1"/>
  <c r="T766" i="1" a="1"/>
  <c r="T766" i="1" s="1"/>
  <c r="U766" i="1" s="1" a="1"/>
  <c r="U766" i="1" s="1"/>
  <c r="T495" i="1" a="1"/>
  <c r="T495" i="1" s="1"/>
  <c r="U495" i="1" s="1" a="1"/>
  <c r="U495" i="1" s="1"/>
  <c r="T288" i="1" a="1"/>
  <c r="T288" i="1" s="1"/>
  <c r="U288" i="1" s="1" a="1"/>
  <c r="U288" i="1" s="1"/>
  <c r="T512" i="1" a="1"/>
  <c r="T512" i="1" s="1"/>
  <c r="U512" i="1" s="1" a="1"/>
  <c r="U512" i="1" s="1"/>
  <c r="T351" i="1" a="1"/>
  <c r="T351" i="1" s="1"/>
  <c r="U351" i="1" s="1" a="1"/>
  <c r="U351" i="1" s="1"/>
  <c r="T749" i="1" a="1"/>
  <c r="T749" i="1" s="1"/>
  <c r="U749" i="1" s="1" a="1"/>
  <c r="U749" i="1" s="1"/>
  <c r="T226" i="1" a="1"/>
  <c r="T226" i="1" s="1"/>
  <c r="U226" i="1" s="1" a="1"/>
  <c r="U226" i="1" s="1"/>
  <c r="T161" i="1" a="1"/>
  <c r="T161" i="1" s="1"/>
  <c r="U161" i="1" s="1" a="1"/>
  <c r="U161" i="1" s="1"/>
  <c r="T661" i="1" a="1"/>
  <c r="T661" i="1" s="1"/>
  <c r="U661" i="1" s="1" a="1"/>
  <c r="U661" i="1" s="1"/>
  <c r="T403" i="1" a="1"/>
  <c r="T403" i="1" s="1"/>
  <c r="U403" i="1" s="1" a="1"/>
  <c r="U403" i="1" s="1"/>
  <c r="T184" i="1" a="1"/>
  <c r="T184" i="1" s="1"/>
  <c r="U184" i="1" s="1" a="1"/>
  <c r="U184" i="1" s="1"/>
  <c r="T151" i="1" a="1"/>
  <c r="T151" i="1" s="1"/>
  <c r="U151" i="1" s="1" a="1"/>
  <c r="U151" i="1" s="1"/>
  <c r="T764" i="1" a="1"/>
  <c r="T764" i="1" s="1"/>
  <c r="U764" i="1" s="1" a="1"/>
  <c r="U764" i="1" s="1"/>
  <c r="T488" i="1" a="1"/>
  <c r="T488" i="1" s="1"/>
  <c r="U488" i="1" s="1" a="1"/>
  <c r="U488" i="1" s="1"/>
  <c r="T395" i="1" a="1"/>
  <c r="T395" i="1" s="1"/>
  <c r="U395" i="1" s="1" a="1"/>
  <c r="U395" i="1" s="1"/>
  <c r="T245" i="1" a="1"/>
  <c r="T245" i="1" s="1"/>
  <c r="U245" i="1" s="1" a="1"/>
  <c r="U245" i="1" s="1"/>
  <c r="T235" i="1" a="1"/>
  <c r="T235" i="1" s="1"/>
  <c r="U235" i="1" s="1" a="1"/>
  <c r="U235" i="1" s="1"/>
  <c r="T662" i="1" a="1"/>
  <c r="T662" i="1" s="1"/>
  <c r="U662" i="1" s="1" a="1"/>
  <c r="U662" i="1" s="1"/>
  <c r="T186" i="1" a="1"/>
  <c r="T186" i="1" s="1"/>
  <c r="U186" i="1" s="1" a="1"/>
  <c r="U186" i="1" s="1"/>
  <c r="T465" i="1" a="1"/>
  <c r="T465" i="1" s="1"/>
  <c r="U465" i="1" s="1" a="1"/>
  <c r="U465" i="1" s="1"/>
  <c r="T634" i="1" a="1"/>
  <c r="T634" i="1" s="1"/>
  <c r="U634" i="1" s="1" a="1"/>
  <c r="U634" i="1" s="1"/>
  <c r="T708" i="1" a="1"/>
  <c r="T708" i="1" s="1"/>
  <c r="U708" i="1" s="1" a="1"/>
  <c r="U708" i="1" s="1"/>
  <c r="T663" i="1" a="1"/>
  <c r="T663" i="1" s="1"/>
  <c r="U663" i="1" s="1" a="1"/>
  <c r="U663" i="1" s="1"/>
  <c r="T345" i="1" a="1"/>
  <c r="T345" i="1" s="1"/>
  <c r="U345" i="1" s="1" a="1"/>
  <c r="U345" i="1" s="1"/>
  <c r="T653" i="1" a="1"/>
  <c r="T653" i="1" s="1"/>
  <c r="U653" i="1" s="1" a="1"/>
  <c r="U653" i="1" s="1"/>
  <c r="T206" i="1" a="1"/>
  <c r="T206" i="1" s="1"/>
  <c r="U206" i="1" s="1" a="1"/>
  <c r="U206" i="1" s="1"/>
  <c r="T637" i="1" a="1"/>
  <c r="T637" i="1" s="1"/>
  <c r="U637" i="1" s="1" a="1"/>
  <c r="U637" i="1" s="1"/>
  <c r="T269" i="1" a="1"/>
  <c r="T269" i="1" s="1"/>
  <c r="U269" i="1" s="1" a="1"/>
  <c r="U269" i="1" s="1"/>
  <c r="T678" i="1" a="1"/>
  <c r="T678" i="1" s="1"/>
  <c r="U678" i="1" s="1" a="1"/>
  <c r="U678" i="1" s="1"/>
  <c r="T602" i="1" a="1"/>
  <c r="T602" i="1" s="1"/>
  <c r="U602" i="1" s="1" a="1"/>
  <c r="U602" i="1" s="1"/>
  <c r="T533" i="1" a="1"/>
  <c r="T533" i="1" s="1"/>
  <c r="U533" i="1" s="1" a="1"/>
  <c r="U533" i="1" s="1"/>
  <c r="T104" i="1" a="1"/>
  <c r="T104" i="1" s="1"/>
  <c r="U104" i="1" s="1" a="1"/>
  <c r="U104" i="1" s="1"/>
  <c r="T394" i="1" a="1"/>
  <c r="T394" i="1" s="1"/>
  <c r="U394" i="1" s="1" a="1"/>
  <c r="U394" i="1" s="1"/>
  <c r="T240" i="1" a="1"/>
  <c r="T240" i="1" s="1"/>
  <c r="U240" i="1" s="1" a="1"/>
  <c r="U240" i="1" s="1"/>
  <c r="T570" i="1" a="1"/>
  <c r="T570" i="1" s="1"/>
  <c r="U570" i="1" s="1" a="1"/>
  <c r="U570" i="1" s="1"/>
  <c r="T716" i="1" a="1"/>
  <c r="T716" i="1" s="1"/>
  <c r="U716" i="1" s="1" a="1"/>
  <c r="U716" i="1" s="1"/>
  <c r="T550" i="1" a="1"/>
  <c r="T550" i="1" s="1"/>
  <c r="U550" i="1" s="1" a="1"/>
  <c r="U550" i="1" s="1"/>
  <c r="T155" i="1" a="1"/>
  <c r="T155" i="1" s="1"/>
  <c r="U155" i="1" s="1" a="1"/>
  <c r="U155" i="1" s="1"/>
  <c r="T613" i="1" a="1"/>
  <c r="T613" i="1" s="1"/>
  <c r="U613" i="1" s="1" a="1"/>
  <c r="U613" i="1" s="1"/>
  <c r="T553" i="1" a="1"/>
  <c r="T553" i="1" s="1"/>
  <c r="U553" i="1" s="1" a="1"/>
  <c r="U553" i="1" s="1"/>
  <c r="T338" i="1" a="1"/>
  <c r="T338" i="1" s="1"/>
  <c r="U338" i="1" s="1" a="1"/>
  <c r="U338" i="1" s="1"/>
  <c r="T489" i="1" a="1"/>
  <c r="T489" i="1" s="1"/>
  <c r="U489" i="1" s="1" a="1"/>
  <c r="U489" i="1" s="1"/>
  <c r="T331" i="1" a="1"/>
  <c r="T331" i="1" s="1"/>
  <c r="U331" i="1" s="1" a="1"/>
  <c r="U331" i="1" s="1"/>
  <c r="T166" i="1" a="1"/>
  <c r="T166" i="1" s="1"/>
  <c r="U166" i="1" s="1" a="1"/>
  <c r="U166" i="1" s="1"/>
  <c r="T625" i="1" a="1"/>
  <c r="T625" i="1" s="1"/>
  <c r="U625" i="1" s="1" a="1"/>
  <c r="U625" i="1" s="1"/>
  <c r="T470" i="1" a="1"/>
  <c r="T470" i="1" s="1"/>
  <c r="U470" i="1" s="1" a="1"/>
  <c r="U470" i="1" s="1"/>
  <c r="T212" i="1" a="1"/>
  <c r="T212" i="1" s="1"/>
  <c r="U212" i="1" s="1" a="1"/>
  <c r="U212" i="1" s="1"/>
  <c r="T556" i="1" a="1"/>
  <c r="T556" i="1" s="1"/>
  <c r="U556" i="1" s="1" a="1"/>
  <c r="U556" i="1" s="1"/>
  <c r="T177" i="1" a="1"/>
  <c r="T177" i="1" s="1"/>
  <c r="U177" i="1" s="1" a="1"/>
  <c r="U177" i="1" s="1"/>
  <c r="T516" i="1" a="1"/>
  <c r="T516" i="1" s="1"/>
  <c r="U516" i="1" s="1" a="1"/>
  <c r="U516" i="1" s="1"/>
  <c r="T485" i="1" a="1"/>
  <c r="T485" i="1" s="1"/>
  <c r="U485" i="1" s="1" a="1"/>
  <c r="U485" i="1" s="1"/>
  <c r="T732" i="1" a="1"/>
  <c r="T732" i="1" s="1"/>
  <c r="U732" i="1" s="1" a="1"/>
  <c r="U732" i="1" s="1"/>
  <c r="T639" i="1" a="1"/>
  <c r="T639" i="1" s="1"/>
  <c r="U639" i="1" s="1" a="1"/>
  <c r="U639" i="1" s="1"/>
  <c r="T140" i="1" a="1"/>
  <c r="T140" i="1" s="1"/>
  <c r="U140" i="1" s="1" a="1"/>
  <c r="U140" i="1" s="1"/>
  <c r="T182" i="1" a="1"/>
  <c r="T182" i="1" s="1"/>
  <c r="U182" i="1" s="1" a="1"/>
  <c r="U182" i="1" s="1"/>
  <c r="T414" i="1" a="1"/>
  <c r="T414" i="1" s="1"/>
  <c r="U414" i="1" s="1" a="1"/>
  <c r="U414" i="1" s="1"/>
  <c r="T546" i="1" a="1"/>
  <c r="T546" i="1" s="1"/>
  <c r="U546" i="1" s="1" a="1"/>
  <c r="U546" i="1" s="1"/>
  <c r="T760" i="1" a="1"/>
  <c r="T760" i="1" s="1"/>
  <c r="U760" i="1" s="1" a="1"/>
  <c r="U760" i="1" s="1"/>
  <c r="T736" i="1" a="1"/>
  <c r="T736" i="1" s="1"/>
  <c r="U736" i="1" s="1" a="1"/>
  <c r="U736" i="1" s="1"/>
  <c r="T642" i="1" a="1"/>
  <c r="T642" i="1" s="1"/>
  <c r="U642" i="1" s="1" a="1"/>
  <c r="U642" i="1" s="1"/>
  <c r="T631" i="1" a="1"/>
  <c r="T631" i="1" s="1"/>
  <c r="U631" i="1" s="1" a="1"/>
  <c r="U631" i="1" s="1"/>
  <c r="T215" i="1" a="1"/>
  <c r="T215" i="1" s="1"/>
  <c r="U215" i="1" s="1" a="1"/>
  <c r="U215" i="1" s="1"/>
  <c r="T374" i="1" a="1"/>
  <c r="T374" i="1" s="1"/>
  <c r="U374" i="1" s="1" a="1"/>
  <c r="U374" i="1" s="1"/>
  <c r="T702" i="1" a="1"/>
  <c r="T702" i="1" s="1"/>
  <c r="U702" i="1" s="1" a="1"/>
  <c r="U702" i="1" s="1"/>
  <c r="T699" i="1" a="1"/>
  <c r="T699" i="1" s="1"/>
  <c r="U699" i="1" s="1" a="1"/>
  <c r="U699" i="1" s="1"/>
  <c r="T389" i="1" a="1"/>
  <c r="T389" i="1" s="1"/>
  <c r="U389" i="1" s="1" a="1"/>
  <c r="U389" i="1" s="1"/>
  <c r="T81" i="1" a="1"/>
  <c r="T81" i="1" s="1"/>
  <c r="U81" i="1" s="1" a="1"/>
  <c r="U81" i="1" s="1"/>
  <c r="T522" i="1" a="1"/>
  <c r="T522" i="1" s="1"/>
  <c r="U522" i="1" s="1" a="1"/>
  <c r="U522" i="1" s="1"/>
  <c r="T326" i="1" a="1"/>
  <c r="T326" i="1" s="1"/>
  <c r="U326" i="1" s="1" a="1"/>
  <c r="U326" i="1" s="1"/>
  <c r="T594" i="1" a="1"/>
  <c r="T594" i="1" s="1"/>
  <c r="U594" i="1" s="1" a="1"/>
  <c r="U594" i="1" s="1"/>
  <c r="T358" i="1" a="1"/>
  <c r="T358" i="1" s="1"/>
  <c r="U358" i="1" s="1" a="1"/>
  <c r="U358" i="1" s="1"/>
  <c r="T8" i="1" a="1"/>
  <c r="T8" i="1" s="1"/>
  <c r="U8" i="1" s="1" a="1"/>
  <c r="U8" i="1" s="1"/>
  <c r="T767" i="1" a="1"/>
  <c r="T767" i="1" s="1"/>
  <c r="U767" i="1" s="1" a="1"/>
  <c r="U767" i="1" s="1"/>
  <c r="T80" i="1" a="1"/>
  <c r="T80" i="1" s="1"/>
  <c r="U80" i="1" s="1" a="1"/>
  <c r="U80" i="1" s="1"/>
  <c r="T160" i="1" a="1"/>
  <c r="T160" i="1" s="1"/>
  <c r="U160" i="1" s="1" a="1"/>
  <c r="U160" i="1" s="1"/>
  <c r="T172" i="1" a="1"/>
  <c r="T172" i="1" s="1"/>
  <c r="U172" i="1" s="1" a="1"/>
  <c r="U172" i="1" s="1"/>
  <c r="T23" i="1" a="1"/>
  <c r="T23" i="1" s="1"/>
  <c r="U23" i="1" s="1" a="1"/>
  <c r="U23" i="1" s="1"/>
  <c r="T643" i="1" a="1"/>
  <c r="T643" i="1" s="1"/>
  <c r="U643" i="1" s="1" a="1"/>
  <c r="U643" i="1" s="1"/>
  <c r="T341" i="1" a="1"/>
  <c r="T341" i="1" s="1"/>
  <c r="U341" i="1" s="1" a="1"/>
  <c r="U341" i="1" s="1"/>
  <c r="T98" i="1" a="1"/>
  <c r="T98" i="1" s="1"/>
  <c r="U98" i="1" s="1" a="1"/>
  <c r="U98" i="1" s="1"/>
  <c r="T735" i="1" a="1"/>
  <c r="T735" i="1" s="1"/>
  <c r="U735" i="1" s="1" a="1"/>
  <c r="U735" i="1" s="1"/>
  <c r="T281" i="1" a="1"/>
  <c r="T281" i="1" s="1"/>
  <c r="U281" i="1" s="1" a="1"/>
  <c r="U281" i="1" s="1"/>
  <c r="T404" i="1" a="1"/>
  <c r="T404" i="1" s="1"/>
  <c r="U404" i="1" s="1" a="1"/>
  <c r="U404" i="1" s="1"/>
  <c r="T31" i="1" a="1"/>
  <c r="T31" i="1" s="1"/>
  <c r="U31" i="1" s="1" a="1"/>
  <c r="U31" i="1" s="1"/>
  <c r="T690" i="1" a="1"/>
  <c r="T690" i="1" s="1"/>
  <c r="U690" i="1" s="1" a="1"/>
  <c r="U690" i="1" s="1"/>
  <c r="T219" i="1" a="1"/>
  <c r="T219" i="1" s="1"/>
  <c r="U219" i="1" s="1" a="1"/>
  <c r="U219" i="1" s="1"/>
  <c r="T723" i="1" a="1"/>
  <c r="T723" i="1" s="1"/>
  <c r="U723" i="1" s="1" a="1"/>
  <c r="U723" i="1" s="1"/>
  <c r="T612" i="1" a="1"/>
  <c r="T612" i="1" s="1"/>
  <c r="U612" i="1" s="1" a="1"/>
  <c r="U612" i="1" s="1"/>
  <c r="T355" i="1" a="1"/>
  <c r="T355" i="1" s="1"/>
  <c r="U355" i="1" s="1" a="1"/>
  <c r="U355" i="1" s="1"/>
  <c r="T717" i="1" a="1"/>
  <c r="T717" i="1" s="1"/>
  <c r="U717" i="1" s="1" a="1"/>
  <c r="U717" i="1" s="1"/>
  <c r="T368" i="1" a="1"/>
  <c r="T368" i="1" s="1"/>
  <c r="U368" i="1" s="1" a="1"/>
  <c r="U368" i="1" s="1"/>
  <c r="T96" i="1" a="1"/>
  <c r="T96" i="1" s="1"/>
  <c r="U96" i="1" s="1" a="1"/>
  <c r="U96" i="1" s="1"/>
  <c r="T397" i="1" a="1"/>
  <c r="T397" i="1" s="1"/>
  <c r="U397" i="1" s="1" a="1"/>
  <c r="U397" i="1" s="1"/>
  <c r="T201" i="1" a="1"/>
  <c r="T201" i="1" s="1"/>
  <c r="U201" i="1" s="1" a="1"/>
  <c r="U201" i="1" s="1"/>
  <c r="T190" i="1" a="1"/>
  <c r="T190" i="1" s="1"/>
  <c r="U190" i="1" s="1" a="1"/>
  <c r="U190" i="1" s="1"/>
  <c r="T270" i="1" a="1"/>
  <c r="T270" i="1" s="1"/>
  <c r="U270" i="1" s="1" a="1"/>
  <c r="U270" i="1" s="1"/>
  <c r="T687" i="1" a="1"/>
  <c r="T687" i="1" s="1"/>
  <c r="U687" i="1" s="1" a="1"/>
  <c r="U687" i="1" s="1"/>
  <c r="T181" i="1" a="1"/>
  <c r="T181" i="1" s="1"/>
  <c r="U181" i="1" s="1" a="1"/>
  <c r="U181" i="1" s="1"/>
  <c r="T555" i="1" a="1"/>
  <c r="T555" i="1" s="1"/>
  <c r="U555" i="1" s="1" a="1"/>
  <c r="U555" i="1" s="1"/>
  <c r="T571" i="1" a="1"/>
  <c r="T571" i="1" s="1"/>
  <c r="U571" i="1" s="1" a="1"/>
  <c r="U571" i="1" s="1"/>
  <c r="T385" i="1" a="1"/>
  <c r="T385" i="1" s="1"/>
  <c r="U385" i="1" s="1" a="1"/>
  <c r="U385" i="1" s="1"/>
  <c r="T534" i="1" a="1"/>
  <c r="T534" i="1" s="1"/>
  <c r="U534" i="1" s="1" a="1"/>
  <c r="U534" i="1" s="1"/>
  <c r="T320" i="1" a="1"/>
  <c r="T320" i="1" s="1"/>
  <c r="U320" i="1" s="1" a="1"/>
  <c r="U320" i="1" s="1"/>
  <c r="T315" i="1" a="1"/>
  <c r="T315" i="1" s="1"/>
  <c r="U315" i="1" s="1" a="1"/>
  <c r="U315" i="1" s="1"/>
  <c r="T615" i="1" a="1"/>
  <c r="T615" i="1" s="1"/>
  <c r="U615" i="1" s="1" a="1"/>
  <c r="U615" i="1" s="1"/>
  <c r="T85" i="1" a="1"/>
  <c r="T85" i="1" s="1"/>
  <c r="U85" i="1" s="1" a="1"/>
  <c r="U85" i="1" s="1"/>
  <c r="T282" i="1" a="1"/>
  <c r="T282" i="1" s="1"/>
  <c r="U282" i="1" s="1" a="1"/>
  <c r="U282" i="1" s="1"/>
  <c r="T82" i="1" a="1"/>
  <c r="T82" i="1" s="1"/>
  <c r="U82" i="1" s="1" a="1"/>
  <c r="U82" i="1" s="1"/>
  <c r="T346" i="1" a="1"/>
  <c r="T346" i="1" s="1"/>
  <c r="U346" i="1" s="1" a="1"/>
  <c r="U346" i="1" s="1"/>
  <c r="T392" i="1" a="1"/>
  <c r="T392" i="1" s="1"/>
  <c r="U392" i="1" s="1" a="1"/>
  <c r="U392" i="1" s="1"/>
  <c r="T373" i="1" a="1"/>
  <c r="T373" i="1" s="1"/>
  <c r="U373" i="1" s="1" a="1"/>
  <c r="U373" i="1" s="1"/>
  <c r="T162" i="1" a="1"/>
  <c r="T162" i="1" s="1"/>
  <c r="U162" i="1" s="1" a="1"/>
  <c r="U162" i="1" s="1"/>
  <c r="T180" i="1" a="1"/>
  <c r="T180" i="1" s="1"/>
  <c r="U180" i="1" s="1" a="1"/>
  <c r="U180" i="1" s="1"/>
  <c r="T248" i="1" a="1"/>
  <c r="T248" i="1" s="1"/>
  <c r="U248" i="1" s="1" a="1"/>
  <c r="U248" i="1" s="1"/>
  <c r="T175" i="1" a="1"/>
  <c r="T175" i="1" s="1"/>
  <c r="U175" i="1" s="1" a="1"/>
  <c r="U175" i="1" s="1"/>
  <c r="T482" i="1" a="1"/>
  <c r="T482" i="1" s="1"/>
  <c r="U482" i="1" s="1" a="1"/>
  <c r="U482" i="1" s="1"/>
  <c r="T430" i="1" a="1"/>
  <c r="T430" i="1" s="1"/>
  <c r="U430" i="1" s="1" a="1"/>
  <c r="U430" i="1" s="1"/>
  <c r="T588" i="1" a="1"/>
  <c r="T588" i="1" s="1"/>
  <c r="U588" i="1" s="1" a="1"/>
  <c r="U588" i="1" s="1"/>
  <c r="T79" i="1" a="1"/>
  <c r="T79" i="1" s="1"/>
  <c r="U79" i="1" s="1" a="1"/>
  <c r="U79" i="1" s="1"/>
  <c r="T386" i="1" a="1"/>
  <c r="T386" i="1" s="1"/>
  <c r="U386" i="1" s="1" a="1"/>
  <c r="U386" i="1" s="1"/>
  <c r="T91" i="1" a="1"/>
  <c r="T91" i="1" s="1"/>
  <c r="U91" i="1" s="1" a="1"/>
  <c r="U91" i="1" s="1"/>
  <c r="T387" i="1" a="1"/>
  <c r="T387" i="1" s="1"/>
  <c r="U387" i="1" s="1" a="1"/>
  <c r="U387" i="1" s="1"/>
  <c r="T527" i="1" a="1"/>
  <c r="T527" i="1" s="1"/>
  <c r="U527" i="1" s="1" a="1"/>
  <c r="U527" i="1" s="1"/>
  <c r="T207" i="1" a="1"/>
  <c r="T207" i="1" s="1"/>
  <c r="U207" i="1" s="1" a="1"/>
  <c r="U207" i="1" s="1"/>
  <c r="T272" i="1" a="1"/>
  <c r="T272" i="1" s="1"/>
  <c r="U272" i="1" s="1" a="1"/>
  <c r="U272" i="1" s="1"/>
  <c r="T439" i="1" a="1"/>
  <c r="T439" i="1" s="1"/>
  <c r="U439" i="1" s="1" a="1"/>
  <c r="U439" i="1" s="1"/>
  <c r="T513" i="1" a="1"/>
  <c r="T513" i="1" s="1"/>
  <c r="U513" i="1" s="1" a="1"/>
  <c r="U513" i="1" s="1"/>
  <c r="T461" i="1" a="1"/>
  <c r="T461" i="1" s="1"/>
  <c r="U461" i="1" s="1" a="1"/>
  <c r="U461" i="1" s="1"/>
  <c r="T311" i="1" a="1"/>
  <c r="T311" i="1" s="1"/>
  <c r="U311" i="1" s="1" a="1"/>
  <c r="U311" i="1" s="1"/>
  <c r="T360" i="1" a="1"/>
  <c r="T360" i="1" s="1"/>
  <c r="U360" i="1" s="1" a="1"/>
  <c r="U360" i="1" s="1"/>
  <c r="T491" i="1" a="1"/>
  <c r="T491" i="1" s="1"/>
  <c r="U491" i="1" s="1" a="1"/>
  <c r="U491" i="1" s="1"/>
  <c r="T523" i="1" a="1"/>
  <c r="T523" i="1" s="1"/>
  <c r="U523" i="1" s="1" a="1"/>
  <c r="U523" i="1" s="1"/>
  <c r="T564" i="1" a="1"/>
  <c r="T564" i="1" s="1"/>
  <c r="U564" i="1" s="1" a="1"/>
  <c r="U564" i="1" s="1"/>
  <c r="T26" i="1" a="1"/>
  <c r="T26" i="1" s="1"/>
  <c r="U26" i="1" s="1" a="1"/>
  <c r="U26" i="1" s="1"/>
  <c r="T581" i="1" a="1"/>
  <c r="T581" i="1" s="1"/>
  <c r="U581" i="1" s="1" a="1"/>
  <c r="U581" i="1" s="1"/>
  <c r="T660" i="1" a="1"/>
  <c r="T660" i="1" s="1"/>
  <c r="U660" i="1" s="1" a="1"/>
  <c r="U660" i="1" s="1"/>
  <c r="T144" i="1" a="1"/>
  <c r="T144" i="1" s="1"/>
  <c r="U144" i="1" s="1" a="1"/>
  <c r="U144" i="1" s="1"/>
  <c r="T234" i="1" a="1"/>
  <c r="T234" i="1" s="1"/>
  <c r="U234" i="1" s="1" a="1"/>
  <c r="U234" i="1" s="1"/>
  <c r="T464" i="1" a="1"/>
  <c r="T464" i="1" s="1"/>
  <c r="U464" i="1" s="1" a="1"/>
  <c r="U464" i="1" s="1"/>
  <c r="T632" i="1" a="1"/>
  <c r="T632" i="1" s="1"/>
  <c r="U632" i="1" s="1" a="1"/>
  <c r="U632" i="1" s="1"/>
  <c r="T157" i="1" a="1"/>
  <c r="T157" i="1" s="1"/>
  <c r="U157" i="1" s="1" a="1"/>
  <c r="U157" i="1" s="1"/>
  <c r="T686" i="1" a="1"/>
  <c r="T686" i="1" s="1"/>
  <c r="U686" i="1" s="1" a="1"/>
  <c r="U686" i="1" s="1"/>
  <c r="T153" i="1" a="1"/>
  <c r="T153" i="1" s="1"/>
  <c r="U153" i="1" s="1" a="1"/>
  <c r="U153" i="1" s="1"/>
  <c r="T366" i="1" a="1"/>
  <c r="T366" i="1" s="1"/>
  <c r="U366" i="1" s="1" a="1"/>
  <c r="U366" i="1" s="1"/>
  <c r="T758" i="1" a="1"/>
  <c r="T758" i="1" s="1"/>
  <c r="U758" i="1" s="1" a="1"/>
  <c r="U758" i="1" s="1"/>
  <c r="T688" i="1" a="1"/>
  <c r="T688" i="1" s="1"/>
  <c r="U688" i="1" s="1" a="1"/>
  <c r="U688" i="1" s="1"/>
  <c r="T94" i="1" a="1"/>
  <c r="T94" i="1" s="1"/>
  <c r="U94" i="1" s="1" a="1"/>
  <c r="U94" i="1" s="1"/>
  <c r="T218" i="1" a="1"/>
  <c r="T218" i="1" s="1"/>
  <c r="U218" i="1" s="1" a="1"/>
  <c r="U218" i="1" s="1"/>
  <c r="T575" i="1" a="1"/>
  <c r="T575" i="1" s="1"/>
  <c r="U575" i="1" s="1" a="1"/>
  <c r="U575" i="1" s="1"/>
  <c r="T712" i="1" a="1"/>
  <c r="T712" i="1" s="1"/>
  <c r="U712" i="1" s="1" a="1"/>
  <c r="U712" i="1" s="1"/>
  <c r="T100" i="1" a="1"/>
  <c r="T100" i="1" s="1"/>
  <c r="U100" i="1" s="1" a="1"/>
  <c r="U100" i="1" s="1"/>
  <c r="T475" i="1" a="1"/>
  <c r="T475" i="1" s="1"/>
  <c r="U475" i="1" s="1" a="1"/>
  <c r="U475" i="1" s="1"/>
  <c r="T611" i="1" a="1"/>
  <c r="T611" i="1" s="1"/>
  <c r="U611" i="1" s="1" a="1"/>
  <c r="U611" i="1" s="1"/>
  <c r="T679" i="1" a="1"/>
  <c r="T679" i="1" s="1"/>
  <c r="U679" i="1" s="1" a="1"/>
  <c r="U679" i="1" s="1"/>
  <c r="T145" i="1" a="1"/>
  <c r="T145" i="1" s="1"/>
  <c r="U145" i="1" s="1" a="1"/>
  <c r="U145" i="1" s="1"/>
  <c r="T458" i="1" a="1"/>
  <c r="T458" i="1" s="1"/>
  <c r="U458" i="1" s="1" a="1"/>
  <c r="U458" i="1" s="1"/>
  <c r="T597" i="1" a="1"/>
  <c r="T597" i="1" s="1"/>
  <c r="U597" i="1" s="1" a="1"/>
  <c r="U597" i="1" s="1"/>
  <c r="T228" i="1" a="1"/>
  <c r="T228" i="1" s="1"/>
  <c r="U228" i="1" s="1" a="1"/>
  <c r="U228" i="1" s="1"/>
  <c r="T73" i="1" a="1"/>
  <c r="T73" i="1" s="1"/>
  <c r="U73" i="1" s="1" a="1"/>
  <c r="U73" i="1" s="1"/>
  <c r="T130" i="1" a="1"/>
  <c r="T130" i="1" s="1"/>
  <c r="U130" i="1" s="1" a="1"/>
  <c r="U130" i="1" s="1"/>
  <c r="T294" i="1" a="1"/>
  <c r="T294" i="1" s="1"/>
  <c r="U294" i="1" s="1" a="1"/>
  <c r="U294" i="1" s="1"/>
  <c r="T361" i="1" a="1"/>
  <c r="T361" i="1" s="1"/>
  <c r="U361" i="1" s="1" a="1"/>
  <c r="U361" i="1" s="1"/>
  <c r="T589" i="1" a="1"/>
  <c r="T589" i="1" s="1"/>
  <c r="U589" i="1" s="1" a="1"/>
  <c r="U589" i="1" s="1"/>
  <c r="T529" i="1" a="1"/>
  <c r="T529" i="1" s="1"/>
  <c r="U529" i="1" s="1" a="1"/>
  <c r="U529" i="1" s="1"/>
  <c r="T342" i="1" a="1"/>
  <c r="T342" i="1" s="1"/>
  <c r="U342" i="1" s="1" a="1"/>
  <c r="U342" i="1" s="1"/>
  <c r="T393" i="1" a="1"/>
  <c r="T393" i="1" s="1"/>
  <c r="U393" i="1" s="1" a="1"/>
  <c r="U393" i="1" s="1"/>
  <c r="T143" i="1" a="1"/>
  <c r="T143" i="1" s="1"/>
  <c r="U143" i="1" s="1" a="1"/>
  <c r="U143" i="1" s="1"/>
  <c r="T425" i="1" a="1"/>
  <c r="T425" i="1" s="1"/>
  <c r="U425" i="1" s="1" a="1"/>
  <c r="U425" i="1" s="1"/>
  <c r="T442" i="1" a="1"/>
  <c r="T442" i="1" s="1"/>
  <c r="U442" i="1" s="1" a="1"/>
  <c r="U442" i="1" s="1"/>
  <c r="T648" i="1" a="1"/>
  <c r="T648" i="1" s="1"/>
  <c r="U648" i="1" s="1" a="1"/>
  <c r="U648" i="1" s="1"/>
  <c r="T706" i="1" a="1"/>
  <c r="T706" i="1" s="1"/>
  <c r="U706" i="1" s="1" a="1"/>
  <c r="U706" i="1" s="1"/>
  <c r="T603" i="1" a="1"/>
  <c r="T603" i="1" s="1"/>
  <c r="U603" i="1" s="1" a="1"/>
  <c r="U603" i="1" s="1"/>
  <c r="T757" i="1" a="1"/>
  <c r="T757" i="1" s="1"/>
  <c r="U757" i="1" s="1" a="1"/>
  <c r="U757" i="1" s="1"/>
  <c r="T141" i="1" a="1"/>
  <c r="T141" i="1" s="1"/>
  <c r="U141" i="1" s="1" a="1"/>
  <c r="U141" i="1" s="1"/>
  <c r="T149" i="1" a="1"/>
  <c r="T149" i="1" s="1"/>
  <c r="U149" i="1" s="1" a="1"/>
  <c r="U149" i="1" s="1"/>
  <c r="T211" i="1" a="1"/>
  <c r="T211" i="1" s="1"/>
  <c r="U211" i="1" s="1" a="1"/>
  <c r="U211" i="1" s="1"/>
  <c r="T57" i="1" a="1"/>
  <c r="T57" i="1" s="1"/>
  <c r="U57" i="1" s="1" a="1"/>
  <c r="U57" i="1" s="1"/>
  <c r="T499" i="1" a="1"/>
  <c r="T499" i="1" s="1"/>
  <c r="U499" i="1" s="1" a="1"/>
  <c r="U499" i="1" s="1"/>
  <c r="T87" i="1" a="1"/>
  <c r="T87" i="1" s="1"/>
  <c r="U87" i="1" s="1" a="1"/>
  <c r="U87" i="1" s="1"/>
  <c r="T426" i="1" a="1"/>
  <c r="T426" i="1" s="1"/>
  <c r="U426" i="1" s="1" a="1"/>
  <c r="U426" i="1" s="1"/>
  <c r="T728" i="1" a="1"/>
  <c r="T728" i="1" s="1"/>
  <c r="U728" i="1" s="1" a="1"/>
  <c r="U728" i="1" s="1"/>
  <c r="T621" i="1" a="1"/>
  <c r="T621" i="1" s="1"/>
  <c r="U621" i="1" s="1" a="1"/>
  <c r="U621" i="1" s="1"/>
  <c r="T371" i="1" a="1"/>
  <c r="T371" i="1" s="1"/>
  <c r="U371" i="1" s="1" a="1"/>
  <c r="U371" i="1" s="1"/>
  <c r="T456" i="1" a="1"/>
  <c r="T456" i="1" s="1"/>
  <c r="U456" i="1" s="1" a="1"/>
  <c r="U456" i="1" s="1"/>
  <c r="T437" i="1" a="1"/>
  <c r="T437" i="1" s="1"/>
  <c r="U437" i="1" s="1" a="1"/>
  <c r="U437" i="1" s="1"/>
  <c r="T649" i="1" a="1"/>
  <c r="T649" i="1" s="1"/>
  <c r="U649" i="1" s="1" a="1"/>
  <c r="U649" i="1" s="1"/>
  <c r="T725" i="1" a="1"/>
  <c r="T725" i="1" s="1"/>
  <c r="U725" i="1" s="1" a="1"/>
  <c r="U725" i="1" s="1"/>
  <c r="T511" i="1" a="1"/>
  <c r="T511" i="1" s="1"/>
  <c r="U511" i="1" s="1" a="1"/>
  <c r="U511" i="1" s="1"/>
  <c r="T137" i="1" a="1"/>
  <c r="T137" i="1" s="1"/>
  <c r="U137" i="1" s="1" a="1"/>
  <c r="U137" i="1" s="1"/>
  <c r="T122" i="1" a="1"/>
  <c r="T122" i="1" s="1"/>
  <c r="U122" i="1" s="1" a="1"/>
  <c r="U122" i="1" s="1"/>
  <c r="T356" i="1" a="1"/>
  <c r="T356" i="1" s="1"/>
  <c r="U356" i="1" s="1" a="1"/>
  <c r="U356" i="1" s="1"/>
  <c r="T753" i="1" a="1"/>
  <c r="T753" i="1" s="1"/>
  <c r="U753" i="1" s="1" a="1"/>
  <c r="U753" i="1" s="1"/>
  <c r="T74" i="1" a="1"/>
  <c r="T74" i="1" s="1"/>
  <c r="U74" i="1" s="1" a="1"/>
  <c r="U74" i="1" s="1"/>
  <c r="T347" i="1" a="1"/>
  <c r="T347" i="1" s="1"/>
  <c r="U347" i="1" s="1" a="1"/>
  <c r="U347" i="1" s="1"/>
  <c r="T665" i="1" a="1"/>
  <c r="T665" i="1" s="1"/>
  <c r="U665" i="1" s="1" a="1"/>
  <c r="U665" i="1" s="1"/>
  <c r="T332" i="1" a="1"/>
  <c r="T332" i="1" s="1"/>
  <c r="U332" i="1" s="1" a="1"/>
  <c r="U332" i="1" s="1"/>
  <c r="T743" i="1" a="1"/>
  <c r="T743" i="1" s="1"/>
  <c r="U743" i="1" s="1" a="1"/>
  <c r="U743" i="1" s="1"/>
  <c r="T428" i="1" a="1"/>
  <c r="T428" i="1" s="1"/>
  <c r="U428" i="1" s="1" a="1"/>
  <c r="U428" i="1" s="1"/>
  <c r="T317" i="1" a="1"/>
  <c r="T317" i="1" s="1"/>
  <c r="U317" i="1" s="1" a="1"/>
  <c r="U317" i="1" s="1"/>
  <c r="T68" i="1" a="1"/>
  <c r="T68" i="1" s="1"/>
  <c r="U68" i="1" s="1" a="1"/>
  <c r="U68" i="1" s="1"/>
  <c r="T544" i="1" a="1"/>
  <c r="T544" i="1" s="1"/>
  <c r="U544" i="1" s="1" a="1"/>
  <c r="U544" i="1" s="1"/>
  <c r="T76" i="1" a="1"/>
  <c r="T76" i="1" s="1"/>
  <c r="U76" i="1" s="1" a="1"/>
  <c r="U76" i="1" s="1"/>
  <c r="T170" i="1" a="1"/>
  <c r="T170" i="1" s="1"/>
  <c r="U170" i="1" s="1" a="1"/>
  <c r="U170" i="1" s="1"/>
  <c r="T101" i="1" a="1"/>
  <c r="T101" i="1" s="1"/>
  <c r="U101" i="1" s="1" a="1"/>
  <c r="U101" i="1" s="1"/>
  <c r="T711" i="1" a="1"/>
  <c r="T711" i="1" s="1"/>
  <c r="U711" i="1" s="1" a="1"/>
  <c r="U711" i="1" s="1"/>
  <c r="T540" i="1" a="1"/>
  <c r="T540" i="1" s="1"/>
  <c r="U540" i="1" s="1" a="1"/>
  <c r="U540" i="1" s="1"/>
  <c r="T89" i="1" a="1"/>
  <c r="T89" i="1" s="1"/>
  <c r="U89" i="1" s="1" a="1"/>
  <c r="U89" i="1" s="1"/>
  <c r="T274" i="1" a="1"/>
  <c r="T274" i="1" s="1"/>
  <c r="U274" i="1" s="1" a="1"/>
  <c r="U274" i="1" s="1"/>
  <c r="T189" i="1" a="1"/>
  <c r="T189" i="1" s="1"/>
  <c r="U189" i="1" s="1" a="1"/>
  <c r="U189" i="1" s="1"/>
  <c r="T563" i="1" a="1"/>
  <c r="T563" i="1" s="1"/>
  <c r="U563" i="1" s="1" a="1"/>
  <c r="U563" i="1" s="1"/>
  <c r="T730" i="1" a="1"/>
  <c r="T730" i="1" s="1"/>
  <c r="U730" i="1" s="1" a="1"/>
  <c r="U730" i="1" s="1"/>
  <c r="T682" i="1" a="1"/>
  <c r="T682" i="1" s="1"/>
  <c r="U682" i="1" s="1" a="1"/>
  <c r="U682" i="1" s="1"/>
  <c r="T146" i="1" a="1"/>
  <c r="T146" i="1" s="1"/>
  <c r="U146" i="1" s="1" a="1"/>
  <c r="U146" i="1" s="1"/>
  <c r="T635" i="1" a="1"/>
  <c r="T635" i="1" s="1"/>
  <c r="U635" i="1" s="1" a="1"/>
  <c r="U635" i="1" s="1"/>
  <c r="T573" i="1" a="1"/>
  <c r="T573" i="1" s="1"/>
  <c r="U573" i="1" s="1" a="1"/>
  <c r="U573" i="1" s="1"/>
  <c r="T51" i="1" a="1"/>
  <c r="T51" i="1" s="1"/>
  <c r="U51" i="1" s="1" a="1"/>
  <c r="U51" i="1" s="1"/>
  <c r="T542" i="1" a="1"/>
  <c r="T542" i="1" s="1"/>
  <c r="U542" i="1" s="1" a="1"/>
  <c r="U542" i="1" s="1"/>
  <c r="T515" i="1" a="1"/>
  <c r="T515" i="1" s="1"/>
  <c r="U515" i="1" s="1" a="1"/>
  <c r="U515" i="1" s="1"/>
  <c r="T45" i="1" a="1"/>
  <c r="T45" i="1" s="1"/>
  <c r="U45" i="1" s="1" a="1"/>
  <c r="U45" i="1" s="1"/>
  <c r="T301" i="1" a="1"/>
  <c r="T301" i="1" s="1"/>
  <c r="U301" i="1" s="1" a="1"/>
  <c r="U301" i="1" s="1"/>
  <c r="T421" i="1" a="1"/>
  <c r="T421" i="1" s="1"/>
  <c r="U421" i="1" s="1" a="1"/>
  <c r="U421" i="1" s="1"/>
  <c r="T405" i="1" a="1"/>
  <c r="T405" i="1" s="1"/>
  <c r="U405" i="1" s="1" a="1"/>
  <c r="U405" i="1" s="1"/>
  <c r="T71" i="1" a="1"/>
  <c r="T71" i="1" s="1"/>
  <c r="U71" i="1" s="1" a="1"/>
  <c r="U71" i="1" s="1"/>
  <c r="T436" i="1" a="1"/>
  <c r="T436" i="1" s="1"/>
  <c r="U436" i="1" s="1" a="1"/>
  <c r="U436" i="1" s="1"/>
  <c r="T217" i="1" a="1"/>
  <c r="T217" i="1" s="1"/>
  <c r="U217" i="1" s="1" a="1"/>
  <c r="U217" i="1" s="1"/>
  <c r="T97" i="1" a="1"/>
  <c r="T97" i="1" s="1"/>
  <c r="U97" i="1" s="1" a="1"/>
  <c r="U97" i="1" s="1"/>
  <c r="T54" i="1" a="1"/>
  <c r="T54" i="1" s="1"/>
  <c r="U54" i="1" s="1" a="1"/>
  <c r="U54" i="1" s="1"/>
  <c r="T598" i="1" a="1"/>
  <c r="T598" i="1" s="1"/>
  <c r="U598" i="1" s="1" a="1"/>
  <c r="U598" i="1" s="1"/>
  <c r="T362" i="1" a="1"/>
  <c r="T362" i="1" s="1"/>
  <c r="U362" i="1" s="1" a="1"/>
  <c r="U362" i="1" s="1"/>
  <c r="T10" i="1" a="1"/>
  <c r="T10" i="1" s="1"/>
  <c r="U10" i="1" s="1" a="1"/>
  <c r="U10" i="1" s="1"/>
  <c r="T487" i="1" a="1"/>
  <c r="T487" i="1" s="1"/>
  <c r="U487" i="1" s="1" a="1"/>
  <c r="U487" i="1" s="1"/>
  <c r="T468" i="1" a="1"/>
  <c r="T468" i="1" s="1"/>
  <c r="U468" i="1" s="1" a="1"/>
  <c r="U468" i="1" s="1"/>
  <c r="T407" i="1" a="1"/>
  <c r="T407" i="1" s="1"/>
  <c r="U407" i="1" s="1" a="1"/>
  <c r="U407" i="1" s="1"/>
  <c r="T601" i="1" a="1"/>
  <c r="T601" i="1" s="1"/>
  <c r="U601" i="1" s="1" a="1"/>
  <c r="U601" i="1" s="1"/>
  <c r="T297" i="1" a="1"/>
  <c r="T297" i="1" s="1"/>
  <c r="U297" i="1" s="1" a="1"/>
  <c r="U297" i="1" s="1"/>
  <c r="T641" i="1" a="1"/>
  <c r="T641" i="1" s="1"/>
  <c r="U641" i="1" s="1" a="1"/>
  <c r="U641" i="1" s="1"/>
  <c r="T43" i="1" a="1"/>
  <c r="T43" i="1" s="1"/>
  <c r="U43" i="1" s="1" a="1"/>
  <c r="U43" i="1" s="1"/>
  <c r="T359" i="1" a="1"/>
  <c r="T359" i="1" s="1"/>
  <c r="U359" i="1" s="1" a="1"/>
  <c r="U359" i="1" s="1"/>
  <c r="T158" i="1" a="1"/>
  <c r="T158" i="1" s="1"/>
  <c r="U158" i="1" s="1" a="1"/>
  <c r="U158" i="1" s="1"/>
  <c r="T214" i="1" a="1"/>
  <c r="T214" i="1" s="1"/>
  <c r="U214" i="1" s="1" a="1"/>
  <c r="U214" i="1" s="1"/>
  <c r="T119" i="1" a="1"/>
  <c r="T119" i="1" s="1"/>
  <c r="U119" i="1" s="1" a="1"/>
  <c r="U119" i="1" s="1"/>
  <c r="T259" i="1" a="1"/>
  <c r="T259" i="1" s="1"/>
  <c r="U259" i="1" s="1" a="1"/>
  <c r="U259" i="1" s="1"/>
  <c r="T673" i="1" a="1"/>
  <c r="T673" i="1" s="1"/>
  <c r="U673" i="1" s="1" a="1"/>
  <c r="U673" i="1" s="1"/>
  <c r="T328" i="1" a="1"/>
  <c r="T328" i="1" s="1"/>
  <c r="U328" i="1" s="1" a="1"/>
  <c r="U328" i="1" s="1"/>
  <c r="T237" i="1" a="1"/>
  <c r="T237" i="1" s="1"/>
  <c r="U237" i="1" s="1" a="1"/>
  <c r="U237" i="1" s="1"/>
  <c r="T754" i="1" a="1"/>
  <c r="T754" i="1" s="1"/>
  <c r="U754" i="1" s="1" a="1"/>
  <c r="U754" i="1" s="1"/>
  <c r="T246" i="1" a="1"/>
  <c r="T246" i="1" s="1"/>
  <c r="U246" i="1" s="1" a="1"/>
  <c r="U246" i="1" s="1"/>
  <c r="T200" i="1" a="1"/>
  <c r="T200" i="1" s="1"/>
  <c r="U200" i="1" s="1" a="1"/>
  <c r="U200" i="1" s="1"/>
  <c r="T314" i="1" a="1"/>
  <c r="T314" i="1" s="1"/>
  <c r="U314" i="1" s="1" a="1"/>
  <c r="U314" i="1" s="1"/>
  <c r="T255" i="1" a="1"/>
  <c r="T255" i="1" s="1"/>
  <c r="U255" i="1" s="1" a="1"/>
  <c r="U255" i="1" s="1"/>
  <c r="T608" i="1" a="1"/>
  <c r="T608" i="1" s="1"/>
  <c r="U608" i="1" s="1" a="1"/>
  <c r="U608" i="1" s="1"/>
  <c r="T110" i="1" a="1"/>
  <c r="T110" i="1" s="1"/>
  <c r="U110" i="1" s="1" a="1"/>
  <c r="U110" i="1" s="1"/>
  <c r="T41" i="1" a="1"/>
  <c r="T41" i="1" s="1"/>
  <c r="U41" i="1" s="1" a="1"/>
  <c r="U41" i="1" s="1"/>
  <c r="T24" i="1" a="1"/>
  <c r="T24" i="1" s="1"/>
  <c r="U24" i="1" s="1" a="1"/>
  <c r="U24" i="1" s="1"/>
  <c r="T411" i="1" a="1"/>
  <c r="T411" i="1" s="1"/>
  <c r="U411" i="1" s="1" a="1"/>
  <c r="U411" i="1" s="1"/>
  <c r="T460" i="1" a="1"/>
  <c r="T460" i="1" s="1"/>
  <c r="U460" i="1" s="1" a="1"/>
  <c r="U460" i="1" s="1"/>
  <c r="T38" i="1" a="1"/>
  <c r="T38" i="1" s="1"/>
  <c r="U38" i="1" s="1" a="1"/>
  <c r="U38" i="1" s="1"/>
  <c r="T291" i="1" a="1"/>
  <c r="T291" i="1" s="1"/>
  <c r="U291" i="1" s="1" a="1"/>
  <c r="U291" i="1" s="1"/>
  <c r="T376" i="1" a="1"/>
  <c r="T376" i="1" s="1"/>
  <c r="U376" i="1" s="1" a="1"/>
  <c r="U376" i="1" s="1"/>
  <c r="T644" i="1" a="1"/>
  <c r="T644" i="1" s="1"/>
  <c r="U644" i="1" s="1" a="1"/>
  <c r="U644" i="1" s="1"/>
  <c r="T438" i="1" a="1"/>
  <c r="T438" i="1" s="1"/>
  <c r="U438" i="1" s="1" a="1"/>
  <c r="U438" i="1" s="1"/>
  <c r="T576" i="1" a="1"/>
  <c r="T576" i="1" s="1"/>
  <c r="U576" i="1" s="1" a="1"/>
  <c r="U576" i="1" s="1"/>
  <c r="T40" i="1" a="1"/>
  <c r="T40" i="1" s="1"/>
  <c r="U40" i="1" s="1" a="1"/>
  <c r="U40" i="1" s="1"/>
  <c r="T319" i="1" a="1"/>
  <c r="T319" i="1" s="1"/>
  <c r="U319" i="1" s="1" a="1"/>
  <c r="U319" i="1" s="1"/>
  <c r="T447" i="1" a="1"/>
  <c r="T447" i="1" s="1"/>
  <c r="U447" i="1" s="1" a="1"/>
  <c r="U447" i="1" s="1"/>
  <c r="T579" i="1" a="1"/>
  <c r="T579" i="1" s="1"/>
  <c r="U579" i="1" s="1" a="1"/>
  <c r="U579" i="1" s="1"/>
  <c r="T293" i="1" a="1"/>
  <c r="T293" i="1" s="1"/>
  <c r="U293" i="1" s="1" a="1"/>
  <c r="U293" i="1" s="1"/>
  <c r="T645" i="1" a="1"/>
  <c r="T645" i="1" s="1"/>
  <c r="U645" i="1" s="1" a="1"/>
  <c r="U645" i="1" s="1"/>
  <c r="T700" i="1" a="1"/>
  <c r="T700" i="1" s="1"/>
  <c r="U700" i="1" s="1" a="1"/>
  <c r="U700" i="1" s="1"/>
  <c r="T118" i="1" a="1"/>
  <c r="T118" i="1" s="1"/>
  <c r="U118" i="1" s="1" a="1"/>
  <c r="U118" i="1" s="1"/>
  <c r="T348" i="1" a="1"/>
  <c r="T348" i="1" s="1"/>
  <c r="U348" i="1" s="1" a="1"/>
  <c r="U348" i="1" s="1"/>
  <c r="T509" i="1" a="1"/>
  <c r="T509" i="1" s="1"/>
  <c r="U509" i="1" s="1" a="1"/>
  <c r="U509" i="1" s="1"/>
  <c r="T128" i="1" a="1"/>
  <c r="T128" i="1" s="1"/>
  <c r="U128" i="1" s="1" a="1"/>
  <c r="U128" i="1" s="1"/>
  <c r="T636" i="1" a="1"/>
  <c r="T636" i="1" s="1"/>
  <c r="U636" i="1" s="1" a="1"/>
  <c r="U636" i="1" s="1"/>
  <c r="T37" i="1" a="1"/>
  <c r="T37" i="1" s="1"/>
  <c r="U37" i="1" s="1" a="1"/>
  <c r="U37" i="1" s="1"/>
  <c r="T329" i="1" a="1"/>
  <c r="T329" i="1" s="1"/>
  <c r="U329" i="1" s="1" a="1"/>
  <c r="U329" i="1" s="1"/>
  <c r="T689" i="1" a="1"/>
  <c r="T689" i="1" s="1"/>
  <c r="U689" i="1" s="1" a="1"/>
  <c r="U689" i="1" s="1"/>
  <c r="T505" i="1" a="1"/>
  <c r="T505" i="1" s="1"/>
  <c r="U505" i="1" s="1" a="1"/>
  <c r="U505" i="1" s="1"/>
  <c r="T750" i="1" a="1"/>
  <c r="T750" i="1" s="1"/>
  <c r="U750" i="1" s="1" a="1"/>
  <c r="U750" i="1" s="1"/>
  <c r="T49" i="1" a="1"/>
  <c r="T49" i="1" s="1"/>
  <c r="U49" i="1" s="1" a="1"/>
  <c r="U49" i="1" s="1"/>
  <c r="T672" i="1" a="1"/>
  <c r="T672" i="1" s="1"/>
  <c r="U672" i="1" s="1" a="1"/>
  <c r="U672" i="1" s="1"/>
  <c r="T77" i="1" a="1"/>
  <c r="T77" i="1" s="1"/>
  <c r="U77" i="1" s="1" a="1"/>
  <c r="U77" i="1" s="1"/>
  <c r="T419" i="1" a="1"/>
  <c r="T419" i="1" s="1"/>
  <c r="U419" i="1" s="1" a="1"/>
  <c r="U419" i="1" s="1"/>
  <c r="T720" i="1" a="1"/>
  <c r="T720" i="1" s="1"/>
  <c r="U720" i="1" s="1" a="1"/>
  <c r="U720" i="1" s="1"/>
  <c r="T209" i="1" a="1"/>
  <c r="T209" i="1" s="1"/>
  <c r="U209" i="1" s="1" a="1"/>
  <c r="U209" i="1" s="1"/>
  <c r="T203" i="1" a="1"/>
  <c r="T203" i="1" s="1"/>
  <c r="U203" i="1" s="1" a="1"/>
  <c r="U203" i="1" s="1"/>
  <c r="T525" i="1" a="1"/>
  <c r="T525" i="1" s="1"/>
  <c r="U525" i="1" s="1" a="1"/>
  <c r="U525" i="1" s="1"/>
  <c r="T440" i="1" a="1"/>
  <c r="T440" i="1" s="1"/>
  <c r="U440" i="1" s="1" a="1"/>
  <c r="U440" i="1" s="1"/>
  <c r="T277" i="1" a="1"/>
  <c r="T277" i="1" s="1"/>
  <c r="U277" i="1" s="1" a="1"/>
  <c r="U277" i="1" s="1"/>
  <c r="T290" i="1" a="1"/>
  <c r="T290" i="1" s="1"/>
  <c r="U290" i="1" s="1" a="1"/>
  <c r="U290" i="1" s="1"/>
  <c r="T230" i="1" a="1"/>
  <c r="T230" i="1" s="1"/>
  <c r="U230" i="1" s="1" a="1"/>
  <c r="U230" i="1" s="1"/>
  <c r="T309" i="1" a="1"/>
  <c r="T309" i="1" s="1"/>
  <c r="U309" i="1" s="1" a="1"/>
  <c r="U309" i="1" s="1"/>
  <c r="T316" i="1" a="1"/>
  <c r="T316" i="1" s="1"/>
  <c r="U316" i="1" s="1" a="1"/>
  <c r="U316" i="1" s="1"/>
  <c r="T327" i="1" a="1"/>
  <c r="T327" i="1" s="1"/>
  <c r="U327" i="1" s="1" a="1"/>
  <c r="U327" i="1" s="1"/>
  <c r="T734" i="1" a="1"/>
  <c r="T734" i="1" s="1"/>
  <c r="U734" i="1" s="1" a="1"/>
  <c r="U734" i="1" s="1"/>
  <c r="T441" i="1" a="1"/>
  <c r="T441" i="1" s="1"/>
  <c r="U441" i="1" s="1" a="1"/>
  <c r="U441" i="1" s="1"/>
  <c r="T350" i="1" a="1"/>
  <c r="T350" i="1" s="1"/>
  <c r="U350" i="1" s="1" a="1"/>
  <c r="U350" i="1" s="1"/>
  <c r="T624" i="1" a="1"/>
  <c r="T624" i="1" s="1"/>
  <c r="U624" i="1" s="1" a="1"/>
  <c r="U624" i="1" s="1"/>
  <c r="T654" i="1" a="1"/>
  <c r="T654" i="1" s="1"/>
  <c r="U654" i="1" s="1" a="1"/>
  <c r="U654" i="1" s="1"/>
  <c r="T252" i="1" a="1"/>
  <c r="T252" i="1" s="1"/>
  <c r="U252" i="1" s="1" a="1"/>
  <c r="U252" i="1" s="1"/>
  <c r="T249" i="1" a="1"/>
  <c r="T249" i="1" s="1"/>
  <c r="U249" i="1" s="1" a="1"/>
  <c r="U249" i="1" s="1"/>
  <c r="T669" i="1" a="1"/>
  <c r="T669" i="1" s="1"/>
  <c r="U669" i="1" s="1" a="1"/>
  <c r="U669" i="1" s="1"/>
  <c r="T22" i="1" a="1"/>
  <c r="T22" i="1" s="1"/>
  <c r="U22" i="1" s="1" a="1"/>
  <c r="U22" i="1" s="1"/>
  <c r="T9" i="1" a="1"/>
  <c r="T9" i="1" s="1"/>
  <c r="U9" i="1" s="1" a="1"/>
  <c r="U9" i="1" s="1"/>
  <c r="T179" i="1" a="1"/>
  <c r="T179" i="1" s="1"/>
  <c r="U179" i="1" s="1" a="1"/>
  <c r="U179" i="1" s="1"/>
  <c r="T420" i="1" a="1"/>
  <c r="T420" i="1" s="1"/>
  <c r="U420" i="1" s="1" a="1"/>
  <c r="U420" i="1" s="1"/>
  <c r="T299" i="1" a="1"/>
  <c r="T299" i="1" s="1"/>
  <c r="U299" i="1" s="1" a="1"/>
  <c r="U299" i="1" s="1"/>
  <c r="T2" i="1" a="1"/>
  <c r="T2" i="1" s="1"/>
  <c r="U2" i="1" s="1" a="1"/>
  <c r="U2" i="1" s="1"/>
  <c r="T590" i="1" a="1"/>
  <c r="T590" i="1" s="1"/>
  <c r="U590" i="1" s="1" a="1"/>
  <c r="U590" i="1" s="1"/>
  <c r="T422" i="1" a="1"/>
  <c r="T422" i="1" s="1"/>
  <c r="U422" i="1" s="1" a="1"/>
  <c r="U422" i="1" s="1"/>
  <c r="T675" i="1" a="1"/>
  <c r="T675" i="1" s="1"/>
  <c r="U675" i="1" s="1" a="1"/>
  <c r="U675" i="1" s="1"/>
  <c r="T92" i="1" a="1"/>
  <c r="T92" i="1" s="1"/>
  <c r="U92" i="1" s="1" a="1"/>
  <c r="U92" i="1" s="1"/>
  <c r="T614" i="1" a="1"/>
  <c r="T614" i="1" s="1"/>
  <c r="U614" i="1" s="1" a="1"/>
  <c r="U614" i="1" s="1"/>
  <c r="T707" i="1" a="1"/>
  <c r="T707" i="1" s="1"/>
  <c r="U707" i="1" s="1" a="1"/>
  <c r="U707" i="1" s="1"/>
  <c r="T261" i="1" a="1"/>
  <c r="T261" i="1" s="1"/>
  <c r="U261" i="1" s="1" a="1"/>
  <c r="U261" i="1" s="1"/>
  <c r="T528" i="1" a="1"/>
  <c r="T528" i="1" s="1"/>
  <c r="U528" i="1" s="1" a="1"/>
  <c r="U528" i="1" s="1"/>
  <c r="T507" i="1" a="1"/>
  <c r="T507" i="1" s="1"/>
  <c r="U507" i="1" s="1" a="1"/>
  <c r="U507" i="1" s="1"/>
  <c r="T20" i="1" a="1"/>
  <c r="T20" i="1" s="1"/>
  <c r="U20" i="1" s="1" a="1"/>
  <c r="U20" i="1" s="1"/>
  <c r="T748" i="1" a="1"/>
  <c r="T748" i="1" s="1"/>
  <c r="U748" i="1" s="1" a="1"/>
  <c r="U748" i="1" s="1"/>
  <c r="T205" i="1" a="1"/>
  <c r="T205" i="1" s="1"/>
  <c r="U205" i="1" s="1" a="1"/>
  <c r="U205" i="1" s="1"/>
  <c r="T221" i="1" a="1"/>
  <c r="T221" i="1" s="1"/>
  <c r="U221" i="1" s="1" a="1"/>
  <c r="U221" i="1" s="1"/>
  <c r="T705" i="1" a="1"/>
  <c r="T705" i="1" s="1"/>
  <c r="U705" i="1" s="1" a="1"/>
  <c r="U705" i="1" s="1"/>
  <c r="T647" i="1" a="1"/>
  <c r="T647" i="1" s="1"/>
  <c r="U647" i="1" s="1" a="1"/>
  <c r="U647" i="1" s="1"/>
  <c r="T167" i="1" a="1"/>
  <c r="T167" i="1" s="1"/>
  <c r="U167" i="1" s="1" a="1"/>
  <c r="U167" i="1" s="1"/>
  <c r="T713" i="1" a="1"/>
  <c r="T713" i="1" s="1"/>
  <c r="U713" i="1" s="1" a="1"/>
  <c r="U713" i="1" s="1"/>
  <c r="T704" i="1" a="1"/>
  <c r="T704" i="1" s="1"/>
  <c r="U704" i="1" s="1" a="1"/>
  <c r="U704" i="1" s="1"/>
  <c r="T199" i="1" a="1"/>
  <c r="T199" i="1" s="1"/>
  <c r="U199" i="1" s="1" a="1"/>
  <c r="U199" i="1" s="1"/>
  <c r="T251" i="1" a="1"/>
  <c r="T251" i="1" s="1"/>
  <c r="U251" i="1" s="1" a="1"/>
  <c r="U251" i="1" s="1"/>
  <c r="T472" i="1" a="1"/>
  <c r="T472" i="1" s="1"/>
  <c r="U472" i="1" s="1" a="1"/>
  <c r="U472" i="1" s="1"/>
  <c r="T668" i="1" a="1"/>
  <c r="T668" i="1" s="1"/>
  <c r="U668" i="1" s="1" a="1"/>
  <c r="U668" i="1" s="1"/>
  <c r="T333" i="1" a="1"/>
  <c r="T333" i="1" s="1"/>
  <c r="U333" i="1" s="1" a="1"/>
  <c r="U333" i="1" s="1"/>
  <c r="T709" i="1" a="1"/>
  <c r="T709" i="1" s="1"/>
  <c r="U709" i="1" s="1" a="1"/>
  <c r="U709" i="1" s="1"/>
  <c r="T257" i="1" a="1"/>
  <c r="T257" i="1" s="1"/>
  <c r="U257" i="1" s="1" a="1"/>
  <c r="U257" i="1" s="1"/>
  <c r="T380" i="1" a="1"/>
  <c r="T380" i="1" s="1"/>
  <c r="U380" i="1" s="1" a="1"/>
  <c r="U380" i="1" s="1"/>
  <c r="T114" i="1" a="1"/>
  <c r="T114" i="1" s="1"/>
  <c r="U114" i="1" s="1" a="1"/>
  <c r="U114" i="1" s="1"/>
  <c r="T697" i="1" a="1"/>
  <c r="T697" i="1" s="1"/>
  <c r="U697" i="1" s="1" a="1"/>
  <c r="U697" i="1" s="1"/>
  <c r="T196" i="1" a="1"/>
  <c r="T196" i="1" s="1"/>
  <c r="U196" i="1" s="1" a="1"/>
  <c r="U196" i="1" s="1"/>
  <c r="T572" i="1" a="1"/>
  <c r="T572" i="1" s="1"/>
  <c r="U572" i="1" s="1" a="1"/>
  <c r="U572" i="1" s="1"/>
  <c r="T605" i="1" a="1"/>
  <c r="T605" i="1" s="1"/>
  <c r="U605" i="1" s="1" a="1"/>
  <c r="U605" i="1" s="1"/>
  <c r="T239" i="1" a="1"/>
  <c r="T239" i="1" s="1"/>
  <c r="U239" i="1" s="1" a="1"/>
  <c r="U239" i="1" s="1"/>
  <c r="T258" i="1" a="1"/>
  <c r="T258" i="1" s="1"/>
  <c r="U258" i="1" s="1" a="1"/>
  <c r="U258" i="1" s="1"/>
  <c r="T560" i="1" a="1"/>
  <c r="T560" i="1" s="1"/>
  <c r="U560" i="1" s="1" a="1"/>
  <c r="U560" i="1" s="1"/>
  <c r="T271" i="1" a="1"/>
  <c r="T271" i="1" s="1"/>
  <c r="U271" i="1" s="1" a="1"/>
  <c r="U271" i="1" s="1"/>
  <c r="T580" i="1" a="1"/>
  <c r="T580" i="1" s="1"/>
  <c r="U580" i="1" s="1" a="1"/>
  <c r="U580" i="1" s="1"/>
  <c r="T667" i="1" a="1"/>
  <c r="T667" i="1" s="1"/>
  <c r="U667" i="1" s="1" a="1"/>
  <c r="U667" i="1" s="1"/>
  <c r="T719" i="1" a="1"/>
  <c r="T719" i="1" s="1"/>
  <c r="U719" i="1" s="1" a="1"/>
  <c r="U719" i="1" s="1"/>
  <c r="T307" i="1" a="1"/>
  <c r="T307" i="1" s="1"/>
  <c r="U307" i="1" s="1" a="1"/>
  <c r="U307" i="1" s="1"/>
  <c r="T446" i="1" a="1"/>
  <c r="T446" i="1" s="1"/>
  <c r="U446" i="1" s="1" a="1"/>
  <c r="U446" i="1" s="1"/>
  <c r="T123" i="1" a="1"/>
  <c r="T123" i="1" s="1"/>
  <c r="U123" i="1" s="1" a="1"/>
  <c r="U123" i="1" s="1"/>
  <c r="T622" i="1" a="1"/>
  <c r="T622" i="1" s="1"/>
  <c r="U622" i="1" s="1" a="1"/>
  <c r="U622" i="1" s="1"/>
  <c r="T628" i="1" a="1"/>
  <c r="T628" i="1" s="1"/>
  <c r="U628" i="1" s="1" a="1"/>
  <c r="U628" i="1" s="1"/>
  <c r="T278" i="1" a="1"/>
  <c r="T278" i="1" s="1"/>
  <c r="U278" i="1" s="1" a="1"/>
  <c r="U278" i="1" s="1"/>
  <c r="T583" i="1" a="1"/>
  <c r="T583" i="1" s="1"/>
  <c r="U583" i="1" s="1" a="1"/>
  <c r="U583" i="1" s="1"/>
  <c r="T494" i="1" a="1"/>
  <c r="T494" i="1" s="1"/>
  <c r="U494" i="1" s="1" a="1"/>
  <c r="U494" i="1" s="1"/>
  <c r="T683" i="1" a="1"/>
  <c r="T683" i="1" s="1"/>
  <c r="U683" i="1" s="1" a="1"/>
  <c r="U683" i="1" s="1"/>
  <c r="T473" i="1" a="1"/>
  <c r="T473" i="1" s="1"/>
  <c r="U473" i="1" s="1" a="1"/>
  <c r="U473" i="1" s="1"/>
  <c r="T30" i="1" a="1"/>
  <c r="T30" i="1" s="1"/>
  <c r="U30" i="1" s="1" a="1"/>
  <c r="U30" i="1" s="1"/>
  <c r="T765" i="1" a="1"/>
  <c r="T765" i="1" s="1"/>
  <c r="U765" i="1" s="1" a="1"/>
  <c r="U765" i="1" s="1"/>
  <c r="T129" i="1" a="1"/>
  <c r="T129" i="1" s="1"/>
  <c r="U129" i="1" s="1" a="1"/>
  <c r="U129" i="1" s="1"/>
  <c r="T292" i="1" a="1"/>
  <c r="T292" i="1" s="1"/>
  <c r="U292" i="1" s="1" a="1"/>
  <c r="U292" i="1" s="1"/>
  <c r="T313" i="1" a="1"/>
  <c r="T313" i="1" s="1"/>
  <c r="U313" i="1" s="1" a="1"/>
  <c r="U313" i="1" s="1"/>
  <c r="T343" i="1" a="1"/>
  <c r="T343" i="1" s="1"/>
  <c r="U343" i="1" s="1" a="1"/>
  <c r="U343" i="1" s="1"/>
  <c r="T744" i="1" a="1"/>
  <c r="T744" i="1" s="1"/>
  <c r="U744" i="1" s="1" a="1"/>
  <c r="U744" i="1" s="1"/>
  <c r="T715" i="1" a="1"/>
  <c r="T715" i="1" s="1"/>
  <c r="U715" i="1" s="1" a="1"/>
  <c r="U715" i="1" s="1"/>
  <c r="T339" i="1" a="1"/>
  <c r="T339" i="1" s="1"/>
  <c r="U339" i="1" s="1" a="1"/>
  <c r="U339" i="1" s="1"/>
  <c r="T322" i="1" a="1"/>
  <c r="T322" i="1" s="1"/>
  <c r="U322" i="1" s="1" a="1"/>
  <c r="U322" i="1" s="1"/>
  <c r="T72" i="1" a="1"/>
  <c r="T72" i="1" s="1"/>
  <c r="U72" i="1" s="1" a="1"/>
  <c r="U72" i="1" s="1"/>
  <c r="T476" i="1" a="1"/>
  <c r="T476" i="1" s="1"/>
  <c r="U476" i="1" s="1" a="1"/>
  <c r="U476" i="1" s="1"/>
  <c r="T587" i="1" a="1"/>
  <c r="T587" i="1" s="1"/>
  <c r="U587" i="1" s="1" a="1"/>
  <c r="U587" i="1" s="1"/>
  <c r="T595" i="1" a="1"/>
  <c r="T595" i="1" s="1"/>
  <c r="U595" i="1" s="1" a="1"/>
  <c r="U595" i="1" s="1"/>
  <c r="T11" i="1" a="1"/>
  <c r="T11" i="1" s="1"/>
  <c r="U11" i="1" s="1" a="1"/>
  <c r="U11" i="1" s="1"/>
  <c r="T471" i="1" a="1"/>
  <c r="T471" i="1" s="1"/>
  <c r="U471" i="1" s="1" a="1"/>
  <c r="U471" i="1" s="1"/>
  <c r="T15" i="1" a="1"/>
  <c r="T15" i="1" s="1"/>
  <c r="U15" i="1" s="1" a="1"/>
  <c r="U15" i="1" s="1"/>
  <c r="T652" i="1" a="1"/>
  <c r="T652" i="1" s="1"/>
  <c r="U652" i="1" s="1" a="1"/>
  <c r="U652" i="1" s="1"/>
  <c r="T741" i="1" a="1"/>
  <c r="T741" i="1" s="1"/>
  <c r="U741" i="1" s="1" a="1"/>
  <c r="U741" i="1" s="1"/>
  <c r="T691" i="1" a="1"/>
  <c r="T691" i="1" s="1"/>
  <c r="U691" i="1" s="1" a="1"/>
  <c r="U691" i="1" s="1"/>
  <c r="T739" i="1" a="1"/>
  <c r="T739" i="1" s="1"/>
  <c r="U739" i="1" s="1" a="1"/>
  <c r="U739" i="1" s="1"/>
  <c r="T694" i="1" a="1"/>
  <c r="T694" i="1" s="1"/>
  <c r="U694" i="1" s="1" a="1"/>
  <c r="U694" i="1" s="1"/>
  <c r="T35" i="1" a="1"/>
  <c r="T35" i="1" s="1"/>
  <c r="U35" i="1" s="1" a="1"/>
  <c r="U35" i="1" s="1"/>
  <c r="T13" i="1" a="1"/>
  <c r="T13" i="1" s="1"/>
  <c r="U13" i="1" s="1" a="1"/>
  <c r="U13" i="1" s="1"/>
  <c r="T176" i="1" a="1"/>
  <c r="T176" i="1" s="1"/>
  <c r="U176" i="1" s="1" a="1"/>
  <c r="U176" i="1" s="1"/>
  <c r="T336" i="1" a="1"/>
  <c r="T336" i="1" s="1"/>
  <c r="U336" i="1" s="1" a="1"/>
  <c r="U336" i="1" s="1"/>
  <c r="T105" i="1" a="1"/>
  <c r="T105" i="1" s="1"/>
  <c r="U105" i="1" s="1" a="1"/>
  <c r="U105" i="1" s="1"/>
  <c r="T742" i="1" a="1"/>
  <c r="T742" i="1" s="1"/>
  <c r="U742" i="1" s="1" a="1"/>
  <c r="U742" i="1" s="1"/>
  <c r="T498" i="1" a="1"/>
  <c r="T498" i="1" s="1"/>
  <c r="U498" i="1" s="1" a="1"/>
  <c r="U498" i="1" s="1"/>
  <c r="T187" i="1" a="1"/>
  <c r="T187" i="1" s="1"/>
  <c r="U187" i="1" s="1" a="1"/>
  <c r="U187" i="1" s="1"/>
  <c r="T32" i="1" a="1"/>
  <c r="T32" i="1" s="1"/>
  <c r="U32" i="1" s="1" a="1"/>
  <c r="U32" i="1" s="1"/>
  <c r="T243" i="1" a="1"/>
  <c r="T243" i="1" s="1"/>
  <c r="U243" i="1" s="1" a="1"/>
  <c r="U243" i="1" s="1"/>
  <c r="T756" i="1" a="1"/>
  <c r="T756" i="1" s="1"/>
  <c r="U756" i="1" s="1" a="1"/>
  <c r="U756" i="1" s="1"/>
  <c r="T323" i="1" a="1"/>
  <c r="T323" i="1" s="1"/>
  <c r="U323" i="1" s="1" a="1"/>
  <c r="U323" i="1" s="1"/>
  <c r="T192" i="1" a="1"/>
  <c r="T192" i="1" s="1"/>
  <c r="U192" i="1" s="1" a="1"/>
  <c r="U192" i="1" s="1"/>
  <c r="T423" i="1" a="1"/>
  <c r="T423" i="1" s="1"/>
  <c r="U423" i="1" s="1" a="1"/>
  <c r="U423" i="1" s="1"/>
  <c r="T496" i="1" a="1"/>
  <c r="T496" i="1" s="1"/>
  <c r="U496" i="1" s="1" a="1"/>
  <c r="U496" i="1" s="1"/>
  <c r="T90" i="1" a="1"/>
  <c r="T90" i="1" s="1"/>
  <c r="U90" i="1" s="1" a="1"/>
  <c r="U90" i="1" s="1"/>
  <c r="T174" i="1" a="1"/>
  <c r="T174" i="1" s="1"/>
  <c r="U174" i="1" s="1" a="1"/>
  <c r="U174" i="1" s="1"/>
  <c r="T433" i="1" a="1"/>
  <c r="T433" i="1" s="1"/>
  <c r="U433" i="1" s="1" a="1"/>
  <c r="U433" i="1" s="1"/>
  <c r="T62" i="1" a="1"/>
  <c r="T62" i="1" s="1"/>
  <c r="U62" i="1" s="1" a="1"/>
  <c r="U62" i="1" s="1"/>
  <c r="T434" i="1" a="1"/>
  <c r="T434" i="1" s="1"/>
  <c r="U434" i="1" s="1" a="1"/>
  <c r="U434" i="1" s="1"/>
  <c r="T551" i="1" a="1"/>
  <c r="T551" i="1" s="1"/>
  <c r="U551" i="1" s="1" a="1"/>
  <c r="U551" i="1" s="1"/>
  <c r="T306" i="1" a="1"/>
  <c r="T306" i="1" s="1"/>
  <c r="U306" i="1" s="1" a="1"/>
  <c r="U306" i="1" s="1"/>
  <c r="T455" i="1" a="1"/>
  <c r="T455" i="1" s="1"/>
  <c r="U455" i="1" s="1" a="1"/>
  <c r="U455" i="1" s="1"/>
  <c r="T658" i="1" a="1"/>
  <c r="T658" i="1" s="1"/>
  <c r="U658" i="1" s="1" a="1"/>
  <c r="U658" i="1" s="1"/>
  <c r="T383" i="1" a="1"/>
  <c r="T383" i="1" s="1"/>
  <c r="U383" i="1" s="1" a="1"/>
  <c r="U383" i="1" s="1"/>
  <c r="T692" i="1" a="1"/>
  <c r="T692" i="1" s="1"/>
  <c r="U692" i="1" s="1" a="1"/>
  <c r="U692" i="1" s="1"/>
  <c r="T224" i="1" a="1"/>
  <c r="T224" i="1" s="1"/>
  <c r="U224" i="1" s="1" a="1"/>
  <c r="U224" i="1" s="1"/>
  <c r="T286" i="1" a="1"/>
  <c r="T286" i="1" s="1"/>
  <c r="U286" i="1" s="1" a="1"/>
  <c r="U286" i="1" s="1"/>
  <c r="T169" i="1" a="1"/>
  <c r="T169" i="1" s="1"/>
  <c r="U169" i="1" s="1" a="1"/>
  <c r="U169" i="1" s="1"/>
  <c r="T377" i="1" a="1"/>
  <c r="T377" i="1" s="1"/>
  <c r="U377" i="1" s="1" a="1"/>
  <c r="U377" i="1" s="1"/>
  <c r="T432" i="1" a="1"/>
  <c r="T432" i="1" s="1"/>
  <c r="U432" i="1" s="1" a="1"/>
  <c r="U432" i="1" s="1"/>
  <c r="T415" i="1" a="1"/>
  <c r="T415" i="1" s="1"/>
  <c r="U415" i="1" s="1" a="1"/>
  <c r="U415" i="1" s="1"/>
  <c r="T236" i="1" a="1"/>
  <c r="T236" i="1" s="1"/>
  <c r="U236" i="1" s="1" a="1"/>
  <c r="U236" i="1" s="1"/>
  <c r="T242" i="1" a="1"/>
  <c r="T242" i="1" s="1"/>
  <c r="U242" i="1" s="1" a="1"/>
  <c r="U242" i="1" s="1"/>
  <c r="T413" i="1" a="1"/>
  <c r="T413" i="1" s="1"/>
  <c r="U413" i="1" s="1" a="1"/>
  <c r="U413" i="1" s="1"/>
  <c r="T260" i="1" a="1"/>
  <c r="T260" i="1" s="1"/>
  <c r="U260" i="1" s="1" a="1"/>
  <c r="U260" i="1" s="1"/>
  <c r="T483" i="1" a="1"/>
  <c r="T483" i="1" s="1"/>
  <c r="U483" i="1" s="1" a="1"/>
  <c r="U483" i="1" s="1"/>
  <c r="T514" i="1" a="1"/>
  <c r="T514" i="1" s="1"/>
  <c r="U514" i="1" s="1" a="1"/>
  <c r="U514" i="1" s="1"/>
  <c r="T609" i="1" a="1"/>
  <c r="T609" i="1" s="1"/>
  <c r="U609" i="1" s="1" a="1"/>
  <c r="U609" i="1" s="1"/>
  <c r="T225" i="1" a="1"/>
  <c r="T225" i="1" s="1"/>
  <c r="U225" i="1" s="1" a="1"/>
  <c r="U225" i="1" s="1"/>
  <c r="T388" i="1" a="1"/>
  <c r="T388" i="1" s="1"/>
  <c r="U388" i="1" s="1" a="1"/>
  <c r="U388" i="1" s="1"/>
  <c r="T113" i="1" a="1"/>
  <c r="T113" i="1" s="1"/>
  <c r="U113" i="1" s="1" a="1"/>
  <c r="U113" i="1" s="1"/>
  <c r="T510" i="1" a="1"/>
  <c r="T510" i="1" s="1"/>
  <c r="U510" i="1" s="1" a="1"/>
  <c r="U510" i="1" s="1"/>
  <c r="T567" i="1" a="1"/>
  <c r="T567" i="1" s="1"/>
  <c r="U567" i="1" s="1" a="1"/>
  <c r="U567" i="1" s="1"/>
  <c r="T244" i="1" a="1"/>
  <c r="T244" i="1" s="1"/>
  <c r="U244" i="1" s="1" a="1"/>
  <c r="U244" i="1" s="1"/>
  <c r="T450" i="1" a="1"/>
  <c r="T450" i="1" s="1"/>
  <c r="U450" i="1" s="1" a="1"/>
  <c r="U450" i="1" s="1"/>
  <c r="T484" i="1" a="1"/>
  <c r="T484" i="1" s="1"/>
  <c r="U484" i="1" s="1" a="1"/>
  <c r="U484" i="1" s="1"/>
  <c r="T610" i="1" a="1"/>
  <c r="T610" i="1" s="1"/>
  <c r="U610" i="1" s="1" a="1"/>
  <c r="U610" i="1" s="1"/>
  <c r="T357" i="1" a="1"/>
  <c r="T357" i="1" s="1"/>
  <c r="U357" i="1" s="1" a="1"/>
  <c r="U357" i="1" s="1"/>
  <c r="T4" i="1" a="1"/>
  <c r="T4" i="1" s="1"/>
  <c r="U4" i="1" s="1" a="1"/>
  <c r="U4" i="1" s="1"/>
  <c r="T370" i="1" a="1"/>
  <c r="T370" i="1" s="1"/>
  <c r="U370" i="1" s="1" a="1"/>
  <c r="U370" i="1" s="1"/>
  <c r="T208" i="1" a="1"/>
  <c r="T208" i="1" s="1"/>
  <c r="U208" i="1" s="1" a="1"/>
  <c r="U208" i="1" s="1"/>
  <c r="T247" i="1" a="1"/>
  <c r="T247" i="1" s="1"/>
  <c r="U247" i="1" s="1" a="1"/>
  <c r="U247" i="1" s="1"/>
  <c r="T63" i="1" a="1"/>
  <c r="T63" i="1" s="1"/>
  <c r="U63" i="1" s="1" a="1"/>
  <c r="U63" i="1" s="1"/>
  <c r="T29" i="1" a="1"/>
  <c r="T29" i="1" s="1"/>
  <c r="U29" i="1" s="1" a="1"/>
  <c r="U29" i="1" s="1"/>
  <c r="T629" i="1" a="1"/>
  <c r="T629" i="1" s="1"/>
  <c r="U629" i="1" s="1" a="1"/>
  <c r="U629" i="1" s="1"/>
  <c r="T75" i="1" a="1"/>
  <c r="T75" i="1" s="1"/>
  <c r="U75" i="1" s="1" a="1"/>
  <c r="U75" i="1" s="1"/>
  <c r="T103" i="1" a="1"/>
  <c r="T103" i="1" s="1"/>
  <c r="U103" i="1" s="1" a="1"/>
  <c r="U103" i="1" s="1"/>
  <c r="T508" i="1" a="1"/>
  <c r="T508" i="1" s="1"/>
  <c r="U508" i="1" s="1" a="1"/>
  <c r="U508" i="1" s="1"/>
  <c r="T48" i="1" a="1"/>
  <c r="T48" i="1" s="1"/>
  <c r="U48" i="1" s="1" a="1"/>
  <c r="U48" i="1" s="1"/>
  <c r="T67" i="1" a="1"/>
  <c r="T67" i="1" s="1"/>
  <c r="U67" i="1" s="1" a="1"/>
  <c r="U67" i="1" s="1"/>
  <c r="T582" i="1" a="1"/>
  <c r="T582" i="1" s="1"/>
  <c r="U582" i="1" s="1" a="1"/>
  <c r="U582" i="1" s="1"/>
  <c r="T27" i="1" a="1"/>
  <c r="T27" i="1" s="1"/>
  <c r="U27" i="1" s="1" a="1"/>
  <c r="U27" i="1" s="1"/>
  <c r="T630" i="1" a="1"/>
  <c r="T630" i="1" s="1"/>
  <c r="U630" i="1" s="1" a="1"/>
  <c r="U630" i="1" s="1"/>
  <c r="T318" i="1" a="1"/>
  <c r="T318" i="1" s="1"/>
  <c r="U318" i="1" s="1" a="1"/>
  <c r="U318" i="1" s="1"/>
  <c r="T737" i="1" a="1"/>
  <c r="T737" i="1" s="1"/>
  <c r="U737" i="1" s="1" a="1"/>
  <c r="U737" i="1" s="1"/>
  <c r="T752" i="1" a="1"/>
  <c r="T752" i="1" s="1"/>
  <c r="U752" i="1" s="1" a="1"/>
  <c r="U752" i="1" s="1"/>
  <c r="T222" i="1" a="1"/>
  <c r="T222" i="1" s="1"/>
  <c r="U222" i="1" s="1" a="1"/>
  <c r="U222" i="1" s="1"/>
  <c r="T83" i="1" a="1"/>
  <c r="T83" i="1" s="1"/>
  <c r="U83" i="1" s="1" a="1"/>
  <c r="U83" i="1" s="1"/>
  <c r="T671" i="1" a="1"/>
  <c r="T671" i="1" s="1"/>
  <c r="U671" i="1" s="1" a="1"/>
  <c r="U671" i="1" s="1"/>
  <c r="T435" i="1" a="1"/>
  <c r="T435" i="1" s="1"/>
  <c r="U435" i="1" s="1" a="1"/>
  <c r="U435" i="1" s="1"/>
  <c r="T363" i="1" a="1"/>
  <c r="T363" i="1" s="1"/>
  <c r="U363" i="1" s="1" a="1"/>
  <c r="U363" i="1" s="1"/>
  <c r="T84" i="1" a="1"/>
  <c r="T84" i="1" s="1"/>
  <c r="U84" i="1" s="1" a="1"/>
  <c r="U84" i="1" s="1"/>
  <c r="T304" i="1" a="1"/>
  <c r="T304" i="1" s="1"/>
  <c r="U304" i="1" s="1" a="1"/>
  <c r="U304" i="1" s="1"/>
  <c r="T12" i="1" a="1"/>
  <c r="T12" i="1" s="1"/>
  <c r="U12" i="1" s="1" a="1"/>
  <c r="U12" i="1" s="1"/>
  <c r="T126" i="1" a="1"/>
  <c r="T126" i="1" s="1"/>
  <c r="U126" i="1" s="1" a="1"/>
  <c r="U126" i="1" s="1"/>
  <c r="T106" i="1" a="1"/>
  <c r="T106" i="1" s="1"/>
  <c r="U106" i="1" s="1" a="1"/>
  <c r="U106" i="1" s="1"/>
  <c r="T213" i="1" a="1"/>
  <c r="T213" i="1" s="1"/>
  <c r="U213" i="1" s="1" a="1"/>
  <c r="U213" i="1" s="1"/>
  <c r="T747" i="1" a="1"/>
  <c r="T747" i="1" s="1"/>
  <c r="U747" i="1" s="1" a="1"/>
  <c r="U747" i="1" s="1"/>
  <c r="T474" i="1" a="1"/>
  <c r="T474" i="1" s="1"/>
  <c r="U474" i="1" s="1" a="1"/>
  <c r="U474" i="1" s="1"/>
  <c r="T477" i="1" a="1"/>
  <c r="T477" i="1" s="1"/>
  <c r="U477" i="1" s="1" a="1"/>
  <c r="U477" i="1" s="1"/>
  <c r="T457" i="1" a="1"/>
  <c r="T457" i="1" s="1"/>
  <c r="U457" i="1" s="1" a="1"/>
  <c r="U457" i="1" s="1"/>
  <c r="T655" i="1" a="1"/>
  <c r="T655" i="1" s="1"/>
  <c r="U655" i="1" s="1" a="1"/>
  <c r="U655" i="1" s="1"/>
  <c r="T52" i="1" a="1"/>
  <c r="T52" i="1" s="1"/>
  <c r="U52" i="1" s="1" a="1"/>
  <c r="U52" i="1" s="1"/>
  <c r="T95" i="1" a="1"/>
  <c r="T95" i="1" s="1"/>
  <c r="U95" i="1" s="1" a="1"/>
  <c r="U95" i="1" s="1"/>
  <c r="T335" i="1" a="1"/>
  <c r="T335" i="1" s="1"/>
  <c r="U335" i="1" s="1" a="1"/>
  <c r="U335" i="1" s="1"/>
  <c r="T745" i="1" a="1"/>
  <c r="T745" i="1" s="1"/>
  <c r="U745" i="1" s="1" a="1"/>
  <c r="U745" i="1" s="1"/>
  <c r="T727" i="1" a="1"/>
  <c r="T727" i="1" s="1"/>
  <c r="U727" i="1" s="1" a="1"/>
  <c r="U727" i="1" s="1"/>
  <c r="T280" i="1" a="1"/>
  <c r="T280" i="1" s="1"/>
  <c r="U280" i="1" s="1" a="1"/>
  <c r="U280" i="1" s="1"/>
  <c r="T651" i="1" a="1"/>
  <c r="T651" i="1" s="1"/>
  <c r="U651" i="1" s="1" a="1"/>
  <c r="U651" i="1" s="1"/>
  <c r="T768" i="1" a="1"/>
  <c r="T768" i="1" s="1"/>
  <c r="U768" i="1" s="1" a="1"/>
  <c r="U768" i="1" s="1"/>
  <c r="T685" i="1" a="1"/>
  <c r="T685" i="1" s="1"/>
  <c r="U685" i="1" s="1" a="1"/>
  <c r="U685" i="1" s="1"/>
  <c r="T39" i="1" a="1"/>
  <c r="T39" i="1" s="1"/>
  <c r="U39" i="1" s="1" a="1"/>
  <c r="U39" i="1" s="1"/>
  <c r="T530" i="1" a="1"/>
  <c r="T530" i="1" s="1"/>
  <c r="U530" i="1" s="1" a="1"/>
  <c r="U530" i="1" s="1"/>
  <c r="T352" i="1" a="1"/>
  <c r="T352" i="1" s="1"/>
  <c r="U352" i="1" s="1" a="1"/>
  <c r="U352" i="1" s="1"/>
  <c r="T102" i="1" a="1"/>
  <c r="T102" i="1" s="1"/>
  <c r="U102" i="1" s="1" a="1"/>
  <c r="U102" i="1" s="1"/>
  <c r="T535" i="1" a="1"/>
  <c r="T535" i="1" s="1"/>
  <c r="U535" i="1" s="1" a="1"/>
  <c r="U535" i="1" s="1"/>
  <c r="T308" i="1" a="1"/>
  <c r="T308" i="1" s="1"/>
  <c r="U308" i="1" s="1" a="1"/>
  <c r="U308" i="1" s="1"/>
  <c r="T604" i="1" a="1"/>
  <c r="T604" i="1" s="1"/>
  <c r="U604" i="1" s="1" a="1"/>
  <c r="U604" i="1" s="1"/>
  <c r="T538" i="1" a="1"/>
  <c r="T538" i="1" s="1"/>
  <c r="U538" i="1" s="1" a="1"/>
  <c r="U538" i="1" s="1"/>
  <c r="T183" i="1" a="1"/>
  <c r="T183" i="1" s="1"/>
  <c r="U183" i="1" s="1" a="1"/>
  <c r="U183" i="1" s="1"/>
  <c r="T46" i="1" a="1"/>
  <c r="T46" i="1" s="1"/>
  <c r="U46" i="1" s="1" a="1"/>
  <c r="U46" i="1" s="1"/>
  <c r="T229" i="1" a="1"/>
  <c r="T229" i="1" s="1"/>
  <c r="U229" i="1" s="1" a="1"/>
  <c r="U229" i="1" s="1"/>
  <c r="T287" i="1" a="1"/>
  <c r="T287" i="1" s="1"/>
  <c r="U287" i="1" s="1" a="1"/>
  <c r="U287" i="1" s="1"/>
  <c r="T163" i="1" a="1"/>
  <c r="T163" i="1" s="1"/>
  <c r="U163" i="1" s="1" a="1"/>
  <c r="U163" i="1" s="1"/>
  <c r="T138" i="1" a="1"/>
  <c r="T138" i="1" s="1"/>
  <c r="U138" i="1" s="1" a="1"/>
  <c r="U138" i="1" s="1"/>
  <c r="T173" i="1" a="1"/>
  <c r="T173" i="1" s="1"/>
  <c r="U173" i="1" s="1" a="1"/>
  <c r="U173" i="1" s="1"/>
  <c r="T740" i="1" a="1"/>
  <c r="T740" i="1" s="1"/>
  <c r="U740" i="1" s="1" a="1"/>
  <c r="U740" i="1" s="1"/>
  <c r="T131" i="1" a="1"/>
  <c r="T131" i="1" s="1"/>
  <c r="U131" i="1" s="1" a="1"/>
  <c r="U131" i="1" s="1"/>
  <c r="T463" i="1" a="1"/>
  <c r="T463" i="1" s="1"/>
  <c r="U463" i="1" s="1" a="1"/>
  <c r="U463" i="1" s="1"/>
  <c r="T256" i="1" a="1"/>
  <c r="T256" i="1" s="1"/>
  <c r="U256" i="1" s="1" a="1"/>
  <c r="U256" i="1" s="1"/>
  <c r="T545" i="1" a="1"/>
  <c r="T545" i="1" s="1"/>
  <c r="U545" i="1" s="1" a="1"/>
  <c r="U545" i="1" s="1"/>
  <c r="T7" i="1" a="1"/>
  <c r="T7" i="1" s="1"/>
  <c r="U7" i="1" s="1" a="1"/>
  <c r="U7" i="1" s="1"/>
  <c r="T384" i="1" a="1"/>
  <c r="T384" i="1" s="1"/>
  <c r="U384" i="1" s="1" a="1"/>
  <c r="U384" i="1" s="1"/>
  <c r="T761" i="1" a="1"/>
  <c r="T761" i="1" s="1"/>
  <c r="U761" i="1" s="1" a="1"/>
  <c r="U761" i="1" s="1"/>
  <c r="T303" i="1" a="1"/>
  <c r="T303" i="1" s="1"/>
  <c r="U303" i="1" s="1" a="1"/>
  <c r="U303" i="1" s="1"/>
  <c r="T524" i="1" a="1"/>
  <c r="T524" i="1" s="1"/>
  <c r="U524" i="1" s="1" a="1"/>
  <c r="U524" i="1" s="1"/>
  <c r="T142" i="1" a="1"/>
  <c r="T142" i="1" s="1"/>
  <c r="U142" i="1" s="1" a="1"/>
  <c r="U142" i="1" s="1"/>
  <c r="T202" i="1" a="1"/>
  <c r="T202" i="1" s="1"/>
  <c r="U202" i="1" s="1" a="1"/>
  <c r="U202" i="1" s="1"/>
  <c r="T396" i="1" a="1"/>
  <c r="T396" i="1" s="1"/>
  <c r="U396" i="1" s="1" a="1"/>
  <c r="U396" i="1" s="1"/>
  <c r="T353" i="1" a="1"/>
  <c r="T353" i="1" s="1"/>
  <c r="U353" i="1" s="1" a="1"/>
  <c r="U353" i="1" s="1"/>
  <c r="K1266" i="6"/>
  <c r="K1171" i="6"/>
  <c r="K1880" i="6"/>
  <c r="K357" i="6"/>
  <c r="K1373" i="6"/>
  <c r="K1804" i="6"/>
  <c r="K489" i="6"/>
  <c r="K1819" i="6"/>
  <c r="K948" i="6"/>
  <c r="K1838" i="6"/>
  <c r="K1837" i="6"/>
  <c r="K850" i="6"/>
  <c r="K1494" i="6"/>
  <c r="K1343" i="6"/>
  <c r="K1736" i="6"/>
  <c r="K732" i="6"/>
  <c r="K422" i="6"/>
  <c r="K274" i="6"/>
  <c r="K1613" i="6"/>
  <c r="K1675" i="6"/>
  <c r="K577" i="6"/>
  <c r="K1331" i="6"/>
  <c r="K834" i="6"/>
  <c r="K218" i="6"/>
  <c r="K268" i="6"/>
  <c r="K68" i="6"/>
  <c r="K763" i="6"/>
  <c r="K762" i="6"/>
  <c r="K151" i="6"/>
  <c r="K982" i="6"/>
  <c r="K1057" i="6"/>
  <c r="K121" i="6"/>
  <c r="K1755" i="6"/>
  <c r="K1888" i="6"/>
  <c r="K761" i="6"/>
  <c r="K1011" i="6"/>
  <c r="K1443" i="6"/>
  <c r="K913" i="6"/>
  <c r="K810" i="6"/>
  <c r="K198" i="6"/>
  <c r="K170" i="6"/>
  <c r="K790" i="6"/>
  <c r="K1205" i="6"/>
  <c r="K1204" i="6"/>
  <c r="K1808" i="6"/>
  <c r="K197" i="6"/>
  <c r="K123" i="6"/>
  <c r="K1029" i="6"/>
  <c r="K853" i="6"/>
  <c r="K799" i="6"/>
  <c r="K76" i="6"/>
  <c r="K727" i="6"/>
  <c r="K1760" i="6"/>
  <c r="K355" i="6"/>
  <c r="K1759" i="6"/>
  <c r="K725" i="6"/>
  <c r="K1635" i="6"/>
  <c r="K1415" i="6"/>
  <c r="K696" i="6"/>
  <c r="K960" i="6"/>
  <c r="K1292" i="6"/>
  <c r="K1503" i="6"/>
  <c r="K204" i="6"/>
  <c r="K1767" i="6"/>
  <c r="K1619" i="6"/>
  <c r="K1336" i="6"/>
  <c r="K1622" i="6"/>
  <c r="K1841" i="6"/>
  <c r="K1283" i="6"/>
  <c r="K475" i="6"/>
  <c r="K69" i="6"/>
  <c r="K217" i="6"/>
  <c r="K1757" i="6"/>
  <c r="K237" i="6"/>
  <c r="K392" i="6"/>
  <c r="K1282" i="6"/>
  <c r="K962" i="6"/>
  <c r="K869" i="6"/>
  <c r="K1323" i="6"/>
  <c r="K1262" i="6"/>
  <c r="K1428" i="6"/>
  <c r="K472" i="6"/>
  <c r="K267" i="6"/>
  <c r="K1168" i="6"/>
  <c r="K562" i="6"/>
  <c r="K440" i="6"/>
  <c r="K116" i="6"/>
  <c r="K1459" i="6"/>
  <c r="K605" i="6"/>
  <c r="K1030" i="6"/>
  <c r="K1053" i="6"/>
  <c r="K1652" i="6"/>
  <c r="K1897" i="6"/>
  <c r="K1091" i="6"/>
  <c r="K910" i="6"/>
  <c r="K421" i="6"/>
  <c r="K1560" i="6"/>
  <c r="K1154" i="6"/>
  <c r="K536" i="6"/>
  <c r="K523" i="6"/>
  <c r="K35" i="6"/>
  <c r="K1628" i="6"/>
  <c r="K1830" i="6"/>
  <c r="K1288" i="6"/>
  <c r="K479" i="6"/>
  <c r="K1555" i="6"/>
  <c r="K890" i="6"/>
  <c r="K937" i="6"/>
  <c r="K929" i="6"/>
  <c r="K1090" i="6"/>
  <c r="K57" i="6"/>
  <c r="K875" i="6"/>
  <c r="K1105" i="6"/>
  <c r="K56" i="6"/>
  <c r="K874" i="6"/>
  <c r="K1401" i="6"/>
  <c r="K1098" i="6"/>
  <c r="K89" i="6"/>
  <c r="K529" i="6"/>
  <c r="K43" i="6"/>
  <c r="K991" i="6"/>
  <c r="K1046" i="6"/>
  <c r="K1295" i="6"/>
  <c r="K1660" i="6"/>
  <c r="K1418" i="6"/>
  <c r="K1890" i="6"/>
  <c r="K40" i="6"/>
  <c r="K96" i="6"/>
  <c r="K1047" i="6"/>
  <c r="K1620" i="6"/>
  <c r="K1492" i="6"/>
  <c r="K880" i="6"/>
  <c r="K441" i="6"/>
  <c r="K1144" i="6"/>
  <c r="K269" i="6"/>
  <c r="K181" i="6"/>
  <c r="K1328" i="6"/>
  <c r="K379" i="6"/>
  <c r="K195" i="6"/>
  <c r="K236" i="6"/>
  <c r="K1056" i="6"/>
  <c r="K1457" i="6"/>
  <c r="K1052" i="6"/>
  <c r="K420" i="6"/>
  <c r="K738" i="6"/>
  <c r="K1152" i="6"/>
  <c r="K1419" i="6"/>
  <c r="K1033" i="6"/>
  <c r="K1545" i="6"/>
  <c r="K590" i="6"/>
  <c r="K713" i="6"/>
  <c r="K1536" i="6"/>
  <c r="K1522" i="6"/>
  <c r="K9" i="6"/>
  <c r="K148" i="6"/>
  <c r="K1636" i="6"/>
  <c r="K1840" i="6"/>
  <c r="K7" i="6"/>
  <c r="K950" i="6"/>
  <c r="K949" i="6"/>
  <c r="K146" i="6"/>
  <c r="K456" i="6"/>
  <c r="K145" i="6"/>
  <c r="K1657" i="6"/>
  <c r="K275" i="6"/>
  <c r="K1730" i="6"/>
  <c r="K130" i="6"/>
  <c r="K1624" i="6"/>
  <c r="K226" i="6"/>
  <c r="K1146" i="6"/>
  <c r="K1842" i="6"/>
  <c r="K957" i="6"/>
  <c r="K1334" i="6"/>
  <c r="K200" i="6"/>
  <c r="K1250" i="6"/>
  <c r="K336" i="6"/>
  <c r="K669" i="6"/>
  <c r="K393" i="6"/>
  <c r="K396" i="6"/>
  <c r="K1429" i="6"/>
  <c r="K380" i="6"/>
  <c r="K391" i="6"/>
  <c r="K1467" i="6"/>
  <c r="K819" i="6"/>
  <c r="K67" i="6"/>
  <c r="K378" i="6"/>
  <c r="K120" i="6"/>
  <c r="K1197" i="6"/>
  <c r="K941" i="6"/>
  <c r="K208" i="6"/>
  <c r="K1206" i="6"/>
  <c r="K321" i="6"/>
  <c r="K1020" i="6"/>
  <c r="K1899" i="6"/>
  <c r="K16" i="6"/>
  <c r="K1821" i="6"/>
  <c r="K1820" i="6"/>
  <c r="K1018" i="6"/>
  <c r="K1442" i="6"/>
  <c r="K1651" i="6"/>
  <c r="K926" i="6"/>
  <c r="K1290" i="6"/>
  <c r="K326" i="6"/>
  <c r="K1471" i="6"/>
  <c r="K1781" i="6"/>
  <c r="K522" i="6"/>
  <c r="K521" i="6"/>
  <c r="K1469" i="6"/>
  <c r="K1829" i="6"/>
  <c r="K1602" i="6"/>
  <c r="K343" i="6"/>
  <c r="K33" i="6"/>
  <c r="K221" i="6"/>
  <c r="K1317" i="6"/>
  <c r="K470" i="6"/>
  <c r="K1827" i="6"/>
  <c r="K1708" i="6"/>
  <c r="K1715" i="6"/>
  <c r="K724" i="6"/>
  <c r="K1402" i="6"/>
  <c r="K1746" i="6"/>
  <c r="K1705" i="6"/>
  <c r="K1089" i="6"/>
  <c r="K1836" i="6"/>
  <c r="K837" i="6"/>
  <c r="K1568" i="6"/>
  <c r="K425" i="6"/>
  <c r="K687" i="6"/>
  <c r="K1673" i="6"/>
  <c r="K78" i="6"/>
  <c r="K1369" i="6"/>
  <c r="K750" i="6"/>
  <c r="K1604" i="6"/>
  <c r="K861" i="6"/>
  <c r="K26" i="6"/>
  <c r="K749" i="6"/>
  <c r="K550" i="6"/>
  <c r="K1043" i="6"/>
  <c r="K1024" i="6"/>
  <c r="K1608" i="6"/>
  <c r="K1183" i="6"/>
  <c r="K1791" i="6"/>
  <c r="K317" i="6"/>
  <c r="K1607" i="6"/>
  <c r="K951" i="6"/>
  <c r="K92" i="6"/>
  <c r="K1309" i="6"/>
  <c r="K565" i="6"/>
  <c r="K364" i="6"/>
  <c r="K607" i="6"/>
  <c r="K1872" i="6"/>
  <c r="K1356" i="6"/>
  <c r="K1391" i="6"/>
  <c r="K134" i="6"/>
  <c r="K1609" i="6"/>
  <c r="K54" i="6"/>
  <c r="K1063" i="6"/>
  <c r="K66" i="6"/>
  <c r="K661" i="6"/>
  <c r="K659" i="6"/>
  <c r="K339" i="6"/>
  <c r="K1891" i="6"/>
  <c r="K1658" i="6"/>
  <c r="K532" i="6"/>
  <c r="K1818" i="6"/>
  <c r="K1893" i="6"/>
  <c r="K1677" i="6"/>
  <c r="K1843" i="6"/>
  <c r="K1614" i="6"/>
  <c r="K1729" i="6"/>
  <c r="K985" i="6"/>
  <c r="K961" i="6"/>
  <c r="K397" i="6"/>
  <c r="K122" i="6"/>
  <c r="K179" i="6"/>
  <c r="K1263" i="6"/>
  <c r="K1889" i="6"/>
  <c r="K1261" i="6"/>
  <c r="K171" i="6"/>
  <c r="K940" i="6"/>
  <c r="K912" i="6"/>
  <c r="K207" i="6"/>
  <c r="K911" i="6"/>
  <c r="K1093" i="6"/>
  <c r="K1549" i="6"/>
  <c r="K584" i="6"/>
  <c r="K561" i="6"/>
  <c r="K583" i="6"/>
  <c r="K572" i="6"/>
  <c r="K1095" i="6"/>
  <c r="K256" i="6"/>
  <c r="K1603" i="6"/>
  <c r="K222" i="6"/>
  <c r="K139" i="6"/>
  <c r="K1648" i="6"/>
  <c r="K1010" i="6"/>
  <c r="K255" i="6"/>
  <c r="K1584" i="6"/>
  <c r="K1203" i="6"/>
  <c r="K225" i="6"/>
  <c r="K1316" i="6"/>
  <c r="K1630" i="6"/>
  <c r="K283" i="6"/>
  <c r="K1714" i="6"/>
  <c r="K1400" i="6"/>
  <c r="K730" i="6"/>
  <c r="K785" i="6"/>
  <c r="K1544" i="6"/>
  <c r="K376" i="6"/>
  <c r="K1294" i="6"/>
  <c r="K1293" i="6"/>
  <c r="K1327" i="6"/>
  <c r="K783" i="6"/>
  <c r="K835" i="6"/>
  <c r="K1816" i="6"/>
  <c r="K1815" i="6"/>
  <c r="K1576" i="6"/>
  <c r="K800" i="6"/>
  <c r="K946" i="6"/>
  <c r="K1535" i="6"/>
  <c r="K278" i="6"/>
  <c r="K614" i="6"/>
  <c r="K1738" i="6"/>
  <c r="K1180" i="6"/>
  <c r="K276" i="6"/>
  <c r="K91" i="6"/>
  <c r="K944" i="6"/>
  <c r="K840" i="6"/>
  <c r="K1771" i="6"/>
  <c r="K943" i="6"/>
  <c r="K1770" i="6"/>
  <c r="K1775" i="6"/>
  <c r="K609" i="6"/>
  <c r="K1581" i="6"/>
  <c r="K449" i="6"/>
  <c r="K369" i="6"/>
  <c r="K1287" i="6"/>
  <c r="K891" i="6"/>
  <c r="K1470" i="6"/>
  <c r="K140" i="6"/>
  <c r="K571" i="6"/>
  <c r="K480" i="6"/>
  <c r="K1626" i="6"/>
  <c r="K922" i="6"/>
  <c r="K1601" i="6"/>
  <c r="K921" i="6"/>
  <c r="K1318" i="6"/>
  <c r="K1035" i="6"/>
  <c r="K1161" i="6"/>
  <c r="K928" i="6"/>
  <c r="K1034" i="6"/>
  <c r="K1201" i="6"/>
  <c r="K90" i="6"/>
  <c r="K935" i="6"/>
  <c r="K1583" i="6"/>
  <c r="K1160" i="6"/>
  <c r="K704" i="6"/>
  <c r="K803" i="6"/>
  <c r="K591" i="6"/>
  <c r="K1017" i="6"/>
  <c r="K1813" i="6"/>
  <c r="K42" i="6"/>
  <c r="K1164" i="6"/>
  <c r="K771" i="6"/>
  <c r="K862" i="6"/>
  <c r="K29" i="6"/>
  <c r="K280" i="6"/>
  <c r="K802" i="6"/>
  <c r="K1014" i="6"/>
  <c r="K374" i="6"/>
  <c r="K1566" i="6"/>
  <c r="K770" i="6"/>
  <c r="K588" i="6"/>
  <c r="K1484" i="6"/>
  <c r="K1740" i="6"/>
  <c r="K1172" i="6"/>
  <c r="K915" i="6"/>
  <c r="K1231" i="6"/>
  <c r="K412" i="6"/>
  <c r="K1606" i="6"/>
  <c r="K481" i="6"/>
  <c r="K1790" i="6"/>
  <c r="K1099" i="6"/>
  <c r="K1521" i="6"/>
  <c r="K640" i="6"/>
  <c r="K1644" i="6"/>
  <c r="K639" i="6"/>
  <c r="K1591" i="6"/>
  <c r="K663" i="6"/>
  <c r="K1485" i="6"/>
  <c r="K1407" i="6"/>
  <c r="K1590" i="6"/>
  <c r="K307" i="6"/>
  <c r="K436" i="6"/>
  <c r="K822" i="6"/>
  <c r="K249" i="6"/>
  <c r="K623" i="6"/>
  <c r="K637" i="6"/>
  <c r="K362" i="6"/>
  <c r="K1865" i="6"/>
  <c r="K452" i="6"/>
  <c r="K711" i="6"/>
  <c r="K1453" i="6"/>
  <c r="K1425" i="6"/>
  <c r="K404" i="6"/>
  <c r="K1476" i="6"/>
  <c r="K709" i="6"/>
  <c r="K238" i="6"/>
  <c r="K1382" i="6"/>
  <c r="K518" i="6"/>
  <c r="K1902" i="6"/>
  <c r="K1647" i="6"/>
  <c r="K1699" i="6"/>
  <c r="K165" i="6"/>
  <c r="K1695" i="6"/>
  <c r="K292" i="6"/>
  <c r="K655" i="6"/>
  <c r="K163" i="6"/>
  <c r="K291" i="6"/>
  <c r="K795" i="6"/>
  <c r="K1596" i="6"/>
  <c r="K1434" i="6"/>
  <c r="K818" i="6"/>
  <c r="K620" i="6"/>
  <c r="K787" i="6"/>
  <c r="K1392" i="6"/>
  <c r="K1437" i="6"/>
  <c r="K1682" i="6"/>
  <c r="K618" i="6"/>
  <c r="K1463" i="6"/>
  <c r="K1431" i="6"/>
  <c r="K1194" i="6"/>
  <c r="K537" i="6"/>
  <c r="K314" i="6"/>
  <c r="K433" i="6"/>
  <c r="K1777" i="6"/>
  <c r="K160" i="6"/>
  <c r="K159" i="6"/>
  <c r="K598" i="6"/>
  <c r="K1866" i="6"/>
  <c r="K188" i="6"/>
  <c r="K1753" i="6"/>
  <c r="K12" i="6"/>
  <c r="K657" i="6"/>
  <c r="K582" i="6"/>
  <c r="K14" i="6"/>
  <c r="K1302" i="6"/>
  <c r="K1241" i="6"/>
  <c r="K303" i="6"/>
  <c r="K1518" i="6"/>
  <c r="K1240" i="6"/>
  <c r="K1516" i="6"/>
  <c r="K347" i="6"/>
  <c r="K699" i="6"/>
  <c r="K1824" i="6"/>
  <c r="K39" i="6"/>
  <c r="K1588" i="6"/>
  <c r="K429" i="6"/>
  <c r="K758" i="6"/>
  <c r="K978" i="6"/>
  <c r="K1198" i="6"/>
  <c r="K241" i="6"/>
  <c r="K4" i="6"/>
  <c r="K678" i="6"/>
  <c r="K1570" i="6"/>
  <c r="K365" i="6"/>
  <c r="K65" i="6"/>
  <c r="K672" i="6"/>
  <c r="K1424" i="6"/>
  <c r="K1243" i="6"/>
  <c r="K1541" i="6"/>
  <c r="K64" i="6"/>
  <c r="K416" i="6"/>
  <c r="K703" i="6"/>
  <c r="K400" i="6"/>
  <c r="K493" i="6"/>
  <c r="K437" i="6"/>
  <c r="K969" i="6"/>
  <c r="K484" i="6"/>
  <c r="K1248" i="6"/>
  <c r="K1148" i="6"/>
  <c r="K1520" i="6"/>
  <c r="K1002" i="6"/>
  <c r="K1363" i="6"/>
  <c r="K1519" i="6"/>
  <c r="K1353" i="6"/>
  <c r="K706" i="6"/>
  <c r="K508" i="6"/>
  <c r="K1156" i="6"/>
  <c r="K1218" i="6"/>
  <c r="K458" i="6"/>
  <c r="K1886" i="6"/>
  <c r="K322" i="6"/>
  <c r="K300" i="6"/>
  <c r="K359" i="6"/>
  <c r="K298" i="6"/>
  <c r="K210" i="6"/>
  <c r="K173" i="6"/>
  <c r="K172" i="6"/>
  <c r="K1025" i="6"/>
  <c r="K375" i="6"/>
  <c r="K552" i="6"/>
  <c r="K1672" i="6"/>
  <c r="K1834" i="6"/>
  <c r="K782" i="6"/>
  <c r="K990" i="6"/>
  <c r="K279" i="6"/>
  <c r="K1368" i="6"/>
  <c r="K549" i="6"/>
  <c r="K873" i="6"/>
  <c r="K1173" i="6"/>
  <c r="K1067" i="6"/>
  <c r="K1066" i="6"/>
  <c r="K1483" i="6"/>
  <c r="K893" i="6"/>
  <c r="K1181" i="6"/>
  <c r="K1482" i="6"/>
  <c r="K316" i="6"/>
  <c r="K1737" i="6"/>
  <c r="K992" i="6"/>
  <c r="K1307" i="6"/>
  <c r="K498" i="6"/>
  <c r="K1134" i="6"/>
  <c r="K309" i="6"/>
  <c r="K906" i="6"/>
  <c r="K446" i="6"/>
  <c r="K859" i="6"/>
  <c r="K1355" i="6"/>
  <c r="K465" i="6"/>
  <c r="K253" i="6"/>
  <c r="K132" i="6"/>
  <c r="K1870" i="6"/>
  <c r="K131" i="6"/>
  <c r="K615" i="6"/>
  <c r="K622" i="6"/>
  <c r="K286" i="6"/>
  <c r="K867" i="6"/>
  <c r="K1799" i="6"/>
  <c r="K631" i="6"/>
  <c r="K1365" i="6"/>
  <c r="K462" i="6"/>
  <c r="K1477" i="6"/>
  <c r="K1041" i="6"/>
  <c r="K17" i="6"/>
  <c r="K1597" i="6"/>
  <c r="K1223" i="6"/>
  <c r="K370" i="6"/>
  <c r="K1761" i="6"/>
  <c r="K664" i="6"/>
  <c r="K1086" i="6"/>
  <c r="K1087" i="6"/>
  <c r="K797" i="6"/>
  <c r="K118" i="6"/>
  <c r="K97" i="6"/>
  <c r="K1645" i="6"/>
  <c r="K117" i="6"/>
  <c r="K1427" i="6"/>
  <c r="K1322" i="6"/>
  <c r="K1803" i="6"/>
  <c r="K1802" i="6"/>
  <c r="K1711" i="6"/>
  <c r="K46" i="6"/>
  <c r="K1120" i="6"/>
  <c r="K1421" i="6"/>
  <c r="K1594" i="6"/>
  <c r="K45" i="6"/>
  <c r="K1435" i="6"/>
  <c r="K1420" i="6"/>
  <c r="K986" i="6"/>
  <c r="K377" i="6"/>
  <c r="K313" i="6"/>
  <c r="K128" i="6"/>
  <c r="K825" i="6"/>
  <c r="K127" i="6"/>
  <c r="K1806" i="6"/>
  <c r="K311" i="6"/>
  <c r="K1115" i="6"/>
  <c r="K126" i="6"/>
  <c r="K1184" i="6"/>
  <c r="K1752" i="6"/>
  <c r="K650" i="6"/>
  <c r="K306" i="6"/>
  <c r="K1444" i="6"/>
  <c r="K349" i="6"/>
  <c r="K1080" i="6"/>
  <c r="K106" i="6"/>
  <c r="K1151" i="6"/>
  <c r="K685" i="6"/>
  <c r="K1267" i="6"/>
  <c r="K576" i="6"/>
  <c r="K1789" i="6"/>
  <c r="K1788" i="6"/>
  <c r="K1528" i="6"/>
  <c r="K1384" i="6"/>
  <c r="K716" i="6"/>
  <c r="K680" i="6"/>
  <c r="K974" i="6"/>
  <c r="K1857" i="6"/>
  <c r="K409" i="6"/>
  <c r="K399" i="6"/>
  <c r="K1380" i="6"/>
  <c r="K1638" i="6"/>
  <c r="K1882" i="6"/>
  <c r="K192" i="6"/>
  <c r="K1273" i="6"/>
  <c r="K495" i="6"/>
  <c r="K1405" i="6"/>
  <c r="K1236" i="6"/>
  <c r="K1404" i="6"/>
  <c r="K594" i="6"/>
  <c r="K176" i="6"/>
  <c r="K63" i="6"/>
  <c r="K415" i="6"/>
  <c r="K930" i="6"/>
  <c r="K414" i="6"/>
  <c r="K1234" i="6"/>
  <c r="K1028" i="6"/>
  <c r="K1271" i="6"/>
  <c r="K478" i="6"/>
  <c r="K752" i="6"/>
  <c r="K1361" i="6"/>
  <c r="K1278" i="6"/>
  <c r="K323" i="6"/>
  <c r="K476" i="6"/>
  <c r="K1107" i="6"/>
  <c r="K865" i="6"/>
  <c r="K1783" i="6"/>
  <c r="K1399" i="6"/>
  <c r="K85" i="6"/>
  <c r="K290" i="6"/>
  <c r="K299" i="6"/>
  <c r="K1633" i="6"/>
  <c r="K1632" i="6"/>
  <c r="K1875" i="6"/>
  <c r="K1451" i="6"/>
  <c r="K1523" i="6"/>
  <c r="K1210" i="6"/>
  <c r="K504" i="6"/>
  <c r="K266" i="6"/>
  <c r="K677" i="6"/>
  <c r="K896" i="6"/>
  <c r="K806" i="6"/>
  <c r="K1553" i="6"/>
  <c r="K265" i="6"/>
  <c r="K735" i="6"/>
  <c r="K340" i="6"/>
  <c r="K1722" i="6"/>
  <c r="K263" i="6"/>
  <c r="K1561" i="6"/>
  <c r="K103" i="6"/>
  <c r="K815" i="6"/>
  <c r="K1192" i="6"/>
  <c r="K1664" i="6"/>
  <c r="K1037" i="6"/>
  <c r="K1036" i="6"/>
  <c r="K813" i="6"/>
  <c r="K897" i="6"/>
  <c r="K567" i="6"/>
  <c r="K1228" i="6"/>
  <c r="K101" i="6"/>
  <c r="K270" i="6"/>
  <c r="K533" i="6"/>
  <c r="K1637" i="6"/>
  <c r="K1805" i="6"/>
  <c r="K1896" i="6"/>
  <c r="K356" i="6"/>
  <c r="K75" i="6"/>
  <c r="K1221" i="6"/>
  <c r="K665" i="6"/>
  <c r="K1233" i="6"/>
  <c r="K947" i="6"/>
  <c r="K231" i="6"/>
  <c r="K1676" i="6"/>
  <c r="K1709" i="6"/>
  <c r="K1265" i="6"/>
  <c r="K1768" i="6"/>
  <c r="K442" i="6"/>
  <c r="K1341" i="6"/>
  <c r="K879" i="6"/>
  <c r="K1612" i="6"/>
  <c r="K1727" i="6"/>
  <c r="K984" i="6"/>
  <c r="K337" i="6"/>
  <c r="K1330" i="6"/>
  <c r="K153" i="6"/>
  <c r="K1264" i="6"/>
  <c r="K180" i="6"/>
  <c r="K335" i="6"/>
  <c r="K1251" i="6"/>
  <c r="K833" i="6"/>
  <c r="K832" i="6"/>
  <c r="K868" i="6"/>
  <c r="K1138" i="6"/>
  <c r="K1137" i="6"/>
  <c r="K235" i="6"/>
  <c r="K113" i="6"/>
  <c r="K1031" i="6"/>
  <c r="K125" i="6"/>
  <c r="K124" i="6"/>
  <c r="K1900" i="6"/>
  <c r="K1019" i="6"/>
  <c r="K206" i="6"/>
  <c r="K809" i="6"/>
  <c r="K741" i="6"/>
  <c r="K808" i="6"/>
  <c r="K626" i="6"/>
  <c r="K789" i="6"/>
  <c r="K560" i="6"/>
  <c r="K345" i="6"/>
  <c r="K1472" i="6"/>
  <c r="K1559" i="6"/>
  <c r="K344" i="6"/>
  <c r="K1572" i="6"/>
  <c r="K1832" i="6"/>
  <c r="K1289" i="6"/>
  <c r="K1556" i="6"/>
  <c r="K963" i="6"/>
  <c r="K214" i="6"/>
  <c r="K418" i="6"/>
  <c r="K448" i="6"/>
  <c r="K59" i="6"/>
  <c r="K729" i="6"/>
  <c r="K989" i="6"/>
  <c r="K1202" i="6"/>
  <c r="K1749" i="6"/>
  <c r="K100" i="6"/>
  <c r="K1707" i="6"/>
  <c r="K1747" i="6"/>
  <c r="K1315" i="6"/>
  <c r="K1825" i="6"/>
  <c r="K1629" i="6"/>
  <c r="K1674" i="6"/>
  <c r="K31" i="6"/>
  <c r="K773" i="6"/>
  <c r="K282" i="6"/>
  <c r="K1015" i="6"/>
  <c r="K772" i="6"/>
  <c r="K107" i="6"/>
  <c r="K27" i="6"/>
  <c r="K1044" i="6"/>
  <c r="K1479" i="6"/>
  <c r="K589" i="6"/>
  <c r="K528" i="6"/>
  <c r="K1703" i="6"/>
  <c r="K1162" i="6"/>
  <c r="K257" i="6"/>
  <c r="K811" i="6"/>
  <c r="K1102" i="6"/>
  <c r="K566" i="6"/>
  <c r="K994" i="6"/>
  <c r="K1232" i="6"/>
  <c r="K553" i="6"/>
  <c r="K1135" i="6"/>
  <c r="K424" i="6"/>
  <c r="K1481" i="6"/>
  <c r="K1504" i="6"/>
  <c r="K892" i="6"/>
  <c r="K1101" i="6"/>
  <c r="K447" i="6"/>
  <c r="K907" i="6"/>
  <c r="K1610" i="6"/>
  <c r="K839" i="6"/>
  <c r="K55" i="6"/>
  <c r="K445" i="6"/>
  <c r="K882" i="6"/>
  <c r="K1792" i="6"/>
  <c r="K250" i="6"/>
  <c r="K1881" i="6"/>
  <c r="K1892" i="6"/>
  <c r="K1170" i="6"/>
  <c r="K1659" i="6"/>
  <c r="K1417" i="6"/>
  <c r="K1839" i="6"/>
  <c r="K6" i="6"/>
  <c r="K726" i="6"/>
  <c r="K1894" i="6"/>
  <c r="K851" i="6"/>
  <c r="K531" i="6"/>
  <c r="K74" i="6"/>
  <c r="K1514" i="6"/>
  <c r="K1412" i="6"/>
  <c r="K1615" i="6"/>
  <c r="K1623" i="6"/>
  <c r="K202" i="6"/>
  <c r="K575" i="6"/>
  <c r="K578" i="6"/>
  <c r="K1335" i="6"/>
  <c r="K1502" i="6"/>
  <c r="K394" i="6"/>
  <c r="K154" i="6"/>
  <c r="K1877" i="6"/>
  <c r="K1758" i="6"/>
  <c r="K1059" i="6"/>
  <c r="K152" i="6"/>
  <c r="K196" i="6"/>
  <c r="K1178" i="6"/>
  <c r="K668" i="6"/>
  <c r="K473" i="6"/>
  <c r="K831" i="6"/>
  <c r="K1068" i="6"/>
  <c r="K981" i="6"/>
  <c r="K114" i="6"/>
  <c r="K1860" i="6"/>
  <c r="K996" i="6"/>
  <c r="K1859" i="6"/>
  <c r="K1551" i="6"/>
  <c r="K1800" i="6"/>
  <c r="K939" i="6"/>
  <c r="K1458" i="6"/>
  <c r="K742" i="6"/>
  <c r="K604" i="6"/>
  <c r="K15" i="6"/>
  <c r="K1585" i="6"/>
  <c r="K319" i="6"/>
  <c r="K499" i="6"/>
  <c r="K330" i="6"/>
  <c r="K925" i="6"/>
  <c r="K1286" i="6"/>
  <c r="K329" i="6"/>
  <c r="K1557" i="6"/>
  <c r="K1649" i="6"/>
  <c r="K419" i="6"/>
  <c r="K923" i="6"/>
  <c r="K587" i="6"/>
  <c r="K1780" i="6"/>
  <c r="K328" i="6"/>
  <c r="K1852" i="6"/>
  <c r="K886" i="6"/>
  <c r="K569" i="6"/>
  <c r="K936" i="6"/>
  <c r="K927" i="6"/>
  <c r="K1083" i="6"/>
  <c r="K1403" i="6"/>
  <c r="K884" i="6"/>
  <c r="K883" i="6"/>
  <c r="K1032" i="6"/>
  <c r="K1582" i="6"/>
  <c r="K1445" i="6"/>
  <c r="K1490" i="6"/>
  <c r="K1835" i="6"/>
  <c r="K714" i="6"/>
  <c r="K1370" i="6"/>
  <c r="K956" i="6"/>
  <c r="K333" i="6"/>
  <c r="K30" i="6"/>
  <c r="K1812" i="6"/>
  <c r="K784" i="6"/>
  <c r="K1326" i="6"/>
  <c r="K551" i="6"/>
  <c r="K454" i="6"/>
  <c r="K1578" i="6"/>
  <c r="K1833" i="6"/>
  <c r="K77" i="6"/>
  <c r="K94" i="6"/>
  <c r="K1042" i="6"/>
  <c r="K554" i="6"/>
  <c r="K1742" i="6"/>
  <c r="K1182" i="6"/>
  <c r="K413" i="6"/>
  <c r="K277" i="6"/>
  <c r="K411" i="6"/>
  <c r="K1100" i="6"/>
  <c r="K1308" i="6"/>
  <c r="K564" i="6"/>
  <c r="K914" i="6"/>
  <c r="K1793" i="6"/>
  <c r="K860" i="6"/>
  <c r="K1487" i="6"/>
  <c r="K621" i="6"/>
  <c r="K1811" i="6"/>
  <c r="K308" i="6"/>
  <c r="K838" i="6"/>
  <c r="K1656" i="6"/>
  <c r="K53" i="6"/>
  <c r="K1774" i="6"/>
  <c r="K1390" i="6"/>
  <c r="K1389" i="6"/>
  <c r="K698" i="6"/>
  <c r="K1388" i="6"/>
  <c r="K1222" i="6"/>
  <c r="K1387" i="6"/>
  <c r="K1895" i="6"/>
  <c r="K697" i="6"/>
  <c r="K1416" i="6"/>
  <c r="K1879" i="6"/>
  <c r="K488" i="6"/>
  <c r="K1678" i="6"/>
  <c r="K1147" i="6"/>
  <c r="K959" i="6"/>
  <c r="K1493" i="6"/>
  <c r="K1491" i="6"/>
  <c r="K1489" i="6"/>
  <c r="K201" i="6"/>
  <c r="K203" i="6"/>
  <c r="K1766" i="6"/>
  <c r="K1145" i="6"/>
  <c r="K381" i="6"/>
  <c r="K1468" i="6"/>
  <c r="K1013" i="6"/>
  <c r="K1329" i="6"/>
  <c r="K871" i="6"/>
  <c r="K48" i="6"/>
  <c r="K1252" i="6"/>
  <c r="K1058" i="6"/>
  <c r="K820" i="6"/>
  <c r="K1756" i="6"/>
  <c r="K723" i="6"/>
  <c r="K1012" i="6"/>
  <c r="K715" i="6"/>
  <c r="K1465" i="6"/>
  <c r="K997" i="6"/>
  <c r="K606" i="6"/>
  <c r="K1822" i="6"/>
  <c r="K1167" i="6"/>
  <c r="K1550" i="6"/>
  <c r="K627" i="6"/>
  <c r="K743" i="6"/>
  <c r="K194" i="6"/>
  <c r="K585" i="6"/>
  <c r="K1898" i="6"/>
  <c r="K1460" i="6"/>
  <c r="K205" i="6"/>
  <c r="K193" i="6"/>
  <c r="K216" i="6"/>
  <c r="K527" i="6"/>
  <c r="K1153" i="6"/>
  <c r="K215" i="6"/>
  <c r="K924" i="6"/>
  <c r="K739" i="6"/>
  <c r="K1831" i="6"/>
  <c r="K570" i="6"/>
  <c r="K138" i="6"/>
  <c r="K1529" i="6"/>
  <c r="K254" i="6"/>
  <c r="K1625" i="6"/>
  <c r="K58" i="6"/>
  <c r="K23" i="6"/>
  <c r="K885" i="6"/>
  <c r="K731" i="6"/>
  <c r="K22" i="6"/>
  <c r="K1200" i="6"/>
  <c r="K1826" i="6"/>
  <c r="K223" i="6"/>
  <c r="K728" i="6"/>
  <c r="K1446" i="6"/>
  <c r="K1103" i="6"/>
  <c r="K1026" i="6"/>
  <c r="K1817" i="6"/>
  <c r="K688" i="6"/>
  <c r="K1016" i="6"/>
  <c r="K836" i="6"/>
  <c r="K281" i="6"/>
  <c r="K1543" i="6"/>
  <c r="K1605" i="6"/>
  <c r="K332" i="6"/>
  <c r="K1163" i="6"/>
  <c r="K331" i="6"/>
  <c r="K1704" i="6"/>
  <c r="K1567" i="6"/>
  <c r="K1577" i="6"/>
  <c r="K1702" i="6"/>
  <c r="K80" i="6"/>
  <c r="K995" i="6"/>
  <c r="K483" i="6"/>
  <c r="K1739" i="6"/>
  <c r="K1136" i="6"/>
  <c r="K93" i="6"/>
  <c r="K844" i="6"/>
  <c r="K1850" i="6"/>
  <c r="K872" i="6"/>
  <c r="K993" i="6"/>
  <c r="K79" i="6"/>
  <c r="K1533" i="6"/>
  <c r="K1589" i="6"/>
  <c r="K616" i="6"/>
  <c r="K647" i="6"/>
  <c r="K133" i="6"/>
  <c r="K1486" i="6"/>
  <c r="K1655" i="6"/>
  <c r="K1845" i="6"/>
  <c r="K1508" i="6"/>
  <c r="K1506" i="6"/>
  <c r="K469" i="6"/>
  <c r="K1448" i="6"/>
  <c r="K513" i="6"/>
  <c r="K817" i="6"/>
  <c r="K1125" i="6"/>
  <c r="K1807" i="6"/>
  <c r="K312" i="6"/>
  <c r="K973" i="6"/>
  <c r="K852" i="6"/>
  <c r="K1745" i="6"/>
  <c r="K8" i="6"/>
  <c r="K147" i="6"/>
  <c r="K1346" i="6"/>
  <c r="K1143" i="6"/>
  <c r="K354" i="6"/>
  <c r="K781" i="6"/>
  <c r="K1345" i="6"/>
  <c r="K1878" i="6"/>
  <c r="K1337" i="6"/>
  <c r="K423" i="6"/>
  <c r="K443" i="6"/>
  <c r="K958" i="6"/>
  <c r="K1411" i="6"/>
  <c r="K1342" i="6"/>
  <c r="K129" i="6"/>
  <c r="K1728" i="6"/>
  <c r="K1735" i="6"/>
  <c r="K718" i="6"/>
  <c r="K219" i="6"/>
  <c r="K1179" i="6"/>
  <c r="K821" i="6"/>
  <c r="K764" i="6"/>
  <c r="K474" i="6"/>
  <c r="K1876" i="6"/>
  <c r="K983" i="6"/>
  <c r="K870" i="6"/>
  <c r="K334" i="6"/>
  <c r="K1466" i="6"/>
  <c r="K115" i="6"/>
  <c r="K471" i="6"/>
  <c r="K395" i="6"/>
  <c r="K1281" i="6"/>
  <c r="K1653" i="6"/>
  <c r="K586" i="6"/>
  <c r="K1462" i="6"/>
  <c r="K744" i="6"/>
  <c r="K1461" i="6"/>
  <c r="K25" i="6"/>
  <c r="K320" i="6"/>
  <c r="K24" i="6"/>
  <c r="K220" i="6"/>
  <c r="K1092" i="6"/>
  <c r="K1456" i="6"/>
  <c r="K1858" i="6"/>
  <c r="K1782" i="6"/>
  <c r="K1650" i="6"/>
  <c r="K524" i="6"/>
  <c r="K1558" i="6"/>
  <c r="K36" i="6"/>
  <c r="K740" i="6"/>
  <c r="K535" i="6"/>
  <c r="K1627" i="6"/>
  <c r="K534" i="6"/>
  <c r="K34" i="6"/>
  <c r="K887" i="6"/>
  <c r="K213" i="6"/>
  <c r="K327" i="6"/>
  <c r="K1631" i="6"/>
  <c r="K1410" i="6"/>
  <c r="K705" i="6"/>
  <c r="K224" i="6"/>
  <c r="K1748" i="6"/>
  <c r="K1104" i="6"/>
  <c r="K1706" i="6"/>
  <c r="K21" i="6"/>
  <c r="K20" i="6"/>
  <c r="K1097" i="6"/>
  <c r="K934" i="6"/>
  <c r="K878" i="6"/>
  <c r="K1814" i="6"/>
  <c r="K455" i="6"/>
  <c r="K877" i="6"/>
  <c r="K41" i="6"/>
  <c r="K259" i="6"/>
  <c r="K1480" i="6"/>
  <c r="K1045" i="6"/>
  <c r="K258" i="6"/>
  <c r="K876" i="6"/>
  <c r="K28" i="6"/>
  <c r="K1325" i="6"/>
  <c r="K801" i="6"/>
  <c r="K1324" i="6"/>
  <c r="K1367" i="6"/>
  <c r="K1851" i="6"/>
  <c r="K894" i="6"/>
  <c r="K318" i="6"/>
  <c r="K916" i="6"/>
  <c r="K845" i="6"/>
  <c r="K1505" i="6"/>
  <c r="K482" i="6"/>
  <c r="K1534" i="6"/>
  <c r="K843" i="6"/>
  <c r="K842" i="6"/>
  <c r="K945" i="6"/>
  <c r="K410" i="6"/>
  <c r="K1488" i="6"/>
  <c r="K1772" i="6"/>
  <c r="K610" i="6"/>
  <c r="K1744" i="6"/>
  <c r="K662" i="6"/>
  <c r="K1810" i="6"/>
  <c r="K450" i="6"/>
  <c r="K823" i="6"/>
  <c r="K1871" i="6"/>
  <c r="K1654" i="6"/>
  <c r="K1809" i="6"/>
  <c r="K1869" i="6"/>
  <c r="K497" i="6"/>
  <c r="K1599" i="6"/>
  <c r="K492" i="6"/>
  <c r="K919" i="6"/>
  <c r="K405" i="6"/>
  <c r="K1225" i="6"/>
  <c r="K1864" i="6"/>
  <c r="K1055" i="6"/>
  <c r="K628" i="6"/>
  <c r="K1863" i="6"/>
  <c r="K1364" i="6"/>
  <c r="K1054" i="6"/>
  <c r="K1903" i="6"/>
  <c r="K1088" i="6"/>
  <c r="K468" i="6"/>
  <c r="K467" i="6"/>
  <c r="K542" i="6"/>
  <c r="K98" i="6"/>
  <c r="K1698" i="6"/>
  <c r="K1498" i="6"/>
  <c r="K1449" i="6"/>
  <c r="K1901" i="6"/>
  <c r="K401" i="6"/>
  <c r="K1306" i="6"/>
  <c r="K1340" i="6"/>
  <c r="K1712" i="6"/>
  <c r="K1595" i="6"/>
  <c r="K1721" i="6"/>
  <c r="K352" i="6"/>
  <c r="K1350" i="6"/>
  <c r="K1592" i="6"/>
  <c r="K1319" i="6"/>
  <c r="K1303" i="6"/>
  <c r="K1349" i="6"/>
  <c r="K828" i="6"/>
  <c r="K1731" i="6"/>
  <c r="K51" i="6"/>
  <c r="K112" i="6"/>
  <c r="K642" i="6"/>
  <c r="K1640" i="6"/>
  <c r="K1776" i="6"/>
  <c r="K111" i="6"/>
  <c r="K228" i="6"/>
  <c r="K109" i="6"/>
  <c r="K651" i="6"/>
  <c r="K595" i="6"/>
  <c r="K186" i="6"/>
  <c r="K262" i="6"/>
  <c r="K694" i="6"/>
  <c r="K304" i="6"/>
  <c r="K1049" i="6"/>
  <c r="K1006" i="6"/>
  <c r="K1079" i="6"/>
  <c r="K1517" i="6"/>
  <c r="K1078" i="6"/>
  <c r="K1048" i="6"/>
  <c r="K104" i="6"/>
  <c r="K1765" i="6"/>
  <c r="K1199" i="6"/>
  <c r="K1276" i="6"/>
  <c r="K1332" i="6"/>
  <c r="K301" i="6"/>
  <c r="K559" i="6"/>
  <c r="K855" i="6"/>
  <c r="K980" i="6"/>
  <c r="K38" i="6"/>
  <c r="K774" i="6"/>
  <c r="K426" i="6"/>
  <c r="K1569" i="6"/>
  <c r="K1530" i="6"/>
  <c r="K1750" i="6"/>
  <c r="K1244" i="6"/>
  <c r="K84" i="6"/>
  <c r="K1254" i="6"/>
  <c r="K932" i="6"/>
  <c r="K965" i="6"/>
  <c r="K526" i="6"/>
  <c r="K1347" i="6"/>
  <c r="K1716" i="6"/>
  <c r="K175" i="6"/>
  <c r="K702" i="6"/>
  <c r="K324" i="6"/>
  <c r="K1069" i="6"/>
  <c r="K968" i="6"/>
  <c r="K1219" i="6"/>
  <c r="K87" i="6"/>
  <c r="K1362" i="6"/>
  <c r="K1279" i="6"/>
  <c r="K1141" i="6"/>
  <c r="K1884" i="6"/>
  <c r="K1108" i="6"/>
  <c r="K952" i="6"/>
  <c r="K751" i="6"/>
  <c r="K1723" i="6"/>
  <c r="K1106" i="6"/>
  <c r="K70" i="6"/>
  <c r="K1849" i="6"/>
  <c r="K211" i="6"/>
  <c r="K1526" i="6"/>
  <c r="K1452" i="6"/>
  <c r="K1861" i="6"/>
  <c r="K1123" i="6"/>
  <c r="K1439" i="6"/>
  <c r="K1122" i="6"/>
  <c r="K209" i="6"/>
  <c r="K248" i="6"/>
  <c r="K635" i="6"/>
  <c r="K807" i="6"/>
  <c r="K341" i="6"/>
  <c r="K1547" i="6"/>
  <c r="K184" i="6"/>
  <c r="K555" i="6"/>
  <c r="K264" i="6"/>
  <c r="K1580" i="6"/>
  <c r="K167" i="6"/>
  <c r="K1073" i="6"/>
  <c r="K1855" i="6"/>
  <c r="K779" i="6"/>
  <c r="K904" i="6"/>
  <c r="K1743" i="6"/>
  <c r="K1773" i="6"/>
  <c r="K52" i="6"/>
  <c r="K1478" i="6"/>
  <c r="K1509" i="6"/>
  <c r="K755" i="6"/>
  <c r="K371" i="6"/>
  <c r="K710" i="6"/>
  <c r="K1798" i="6"/>
  <c r="K689" i="6"/>
  <c r="K360" i="6"/>
  <c r="K1598" i="6"/>
  <c r="K999" i="6"/>
  <c r="K719" i="6"/>
  <c r="K1696" i="6"/>
  <c r="K798" i="6"/>
  <c r="K1796" i="6"/>
  <c r="K389" i="6"/>
  <c r="K466" i="6"/>
  <c r="K1795" i="6"/>
  <c r="K1694" i="6"/>
  <c r="K1094" i="6"/>
  <c r="K1828" i="6"/>
  <c r="K1447" i="6"/>
  <c r="K1693" i="6"/>
  <c r="K47" i="6"/>
  <c r="K830" i="6"/>
  <c r="K1433" i="6"/>
  <c r="K1394" i="6"/>
  <c r="K1710" i="6"/>
  <c r="K1339" i="6"/>
  <c r="K1126" i="6"/>
  <c r="K1436" i="6"/>
  <c r="K617" i="6"/>
  <c r="K1195" i="6"/>
  <c r="K1150" i="6"/>
  <c r="K538" i="6"/>
  <c r="K827" i="6"/>
  <c r="K1868" i="6"/>
  <c r="K13" i="6"/>
  <c r="K432" i="6"/>
  <c r="K1116" i="6"/>
  <c r="K431" i="6"/>
  <c r="K1575" i="6"/>
  <c r="K189" i="6"/>
  <c r="K1185" i="6"/>
  <c r="K596" i="6"/>
  <c r="K1732" i="6"/>
  <c r="K49" i="6"/>
  <c r="K1344" i="6"/>
  <c r="K1050" i="6"/>
  <c r="K1779" i="6"/>
  <c r="K348" i="6"/>
  <c r="K1414" i="6"/>
  <c r="K406" i="6"/>
  <c r="K1378" i="6"/>
  <c r="K1668" i="6"/>
  <c r="K700" i="6"/>
  <c r="K1515" i="6"/>
  <c r="K792" i="6"/>
  <c r="K791" i="6"/>
  <c r="K1112" i="6"/>
  <c r="K856" i="6"/>
  <c r="K1274" i="6"/>
  <c r="K428" i="6"/>
  <c r="K757" i="6"/>
  <c r="K776" i="6"/>
  <c r="K1764" i="6"/>
  <c r="K398" i="6"/>
  <c r="K161" i="6"/>
  <c r="K1383" i="6"/>
  <c r="K673" i="6"/>
  <c r="K1697" i="6"/>
  <c r="K386" i="6"/>
  <c r="K1718" i="6"/>
  <c r="K1249" i="6"/>
  <c r="K671" i="6"/>
  <c r="K511" i="6"/>
  <c r="K438" i="6"/>
  <c r="K964" i="6"/>
  <c r="K1540" i="6"/>
  <c r="K1683" i="6"/>
  <c r="K190" i="6"/>
  <c r="K294" i="6"/>
  <c r="K1785" i="6"/>
  <c r="K841" i="6"/>
  <c r="K683" i="6"/>
  <c r="K1270" i="6"/>
  <c r="K1027" i="6"/>
  <c r="K1158" i="6"/>
  <c r="K302" i="6"/>
  <c r="K1157" i="6"/>
  <c r="K1064" i="6"/>
  <c r="K612" i="6"/>
  <c r="K459" i="6"/>
  <c r="K1291" i="6"/>
  <c r="K971" i="6"/>
  <c r="K1155" i="6"/>
  <c r="K1441" i="6"/>
  <c r="K1847" i="6"/>
  <c r="K1440" i="6"/>
  <c r="K288" i="6"/>
  <c r="K967" i="6"/>
  <c r="K1524" i="6"/>
  <c r="K1396" i="6"/>
  <c r="K573" i="6"/>
  <c r="K10" i="6"/>
  <c r="K73" i="6"/>
  <c r="K1548" i="6"/>
  <c r="K633" i="6"/>
  <c r="K72" i="6"/>
  <c r="K805" i="6"/>
  <c r="K169" i="6"/>
  <c r="K1689" i="6"/>
  <c r="K168" i="6"/>
  <c r="K1256" i="6"/>
  <c r="K1686" i="6"/>
  <c r="K733" i="6"/>
  <c r="K1618" i="6"/>
  <c r="K273" i="6"/>
  <c r="K977" i="6"/>
  <c r="K1191" i="6"/>
  <c r="K1617" i="6"/>
  <c r="K1298" i="6"/>
  <c r="K271" i="6"/>
  <c r="K563" i="6"/>
  <c r="K1537" i="6"/>
  <c r="K975" i="6"/>
  <c r="K1408" i="6"/>
  <c r="K251" i="6"/>
  <c r="K638" i="6"/>
  <c r="K905" i="6"/>
  <c r="K881" i="6"/>
  <c r="K645" i="6"/>
  <c r="K1643" i="6"/>
  <c r="K1769" i="6"/>
  <c r="K712" i="6"/>
  <c r="K1226" i="6"/>
  <c r="K463" i="6"/>
  <c r="K691" i="6"/>
  <c r="K1507" i="6"/>
  <c r="K491" i="6"/>
  <c r="K451" i="6"/>
  <c r="K514" i="6"/>
  <c r="K636" i="6"/>
  <c r="K544" i="6"/>
  <c r="K293" i="6"/>
  <c r="K1499" i="6"/>
  <c r="K1450" i="6"/>
  <c r="K1646" i="6"/>
  <c r="K1085" i="6"/>
  <c r="K1084" i="6"/>
  <c r="K653" i="6"/>
  <c r="K1713" i="6"/>
  <c r="K1374" i="6"/>
  <c r="K1432" i="6"/>
  <c r="K1464" i="6"/>
  <c r="K1008" i="6"/>
  <c r="K1007" i="6"/>
  <c r="K539" i="6"/>
  <c r="K1003" i="6"/>
  <c r="K44" i="6"/>
  <c r="K768" i="6"/>
  <c r="K1867" i="6"/>
  <c r="K156" i="6"/>
  <c r="K767" i="6"/>
  <c r="K766" i="6"/>
  <c r="K666" i="6"/>
  <c r="K1110" i="6"/>
  <c r="K1574" i="6"/>
  <c r="K1573" i="6"/>
  <c r="K1500" i="6"/>
  <c r="K1169" i="6"/>
  <c r="K581" i="6"/>
  <c r="K1268" i="6"/>
  <c r="K1215" i="6"/>
  <c r="K900" i="6"/>
  <c r="K136" i="6"/>
  <c r="K780" i="6"/>
  <c r="K1413" i="6"/>
  <c r="K260" i="6"/>
  <c r="K1376" i="6"/>
  <c r="K247" i="6"/>
  <c r="K760" i="6"/>
  <c r="K681" i="6"/>
  <c r="K759" i="6"/>
  <c r="K854" i="6"/>
  <c r="K368" i="6"/>
  <c r="K338" i="6"/>
  <c r="K679" i="6"/>
  <c r="K1381" i="6"/>
  <c r="K37" i="6"/>
  <c r="K141" i="6"/>
  <c r="K1379" i="6"/>
  <c r="K496" i="6"/>
  <c r="K512" i="6"/>
  <c r="K1719" i="6"/>
  <c r="K1684" i="6"/>
  <c r="K1022" i="6"/>
  <c r="K95" i="6"/>
  <c r="K485" i="6"/>
  <c r="K177" i="6"/>
  <c r="K769" i="6"/>
  <c r="K658" i="6"/>
  <c r="K1272" i="6"/>
  <c r="K82" i="6"/>
  <c r="K81" i="6"/>
  <c r="K1280" i="6"/>
  <c r="K88" i="6"/>
  <c r="K460" i="6"/>
  <c r="K1237" i="6"/>
  <c r="K509" i="6"/>
  <c r="K613" i="6"/>
  <c r="K1352" i="6"/>
  <c r="K1140" i="6"/>
  <c r="K86" i="6"/>
  <c r="K507" i="6"/>
  <c r="K373" i="6"/>
  <c r="K1217" i="6"/>
  <c r="K908" i="6"/>
  <c r="K682" i="6"/>
  <c r="K1398" i="6"/>
  <c r="K1430" i="6"/>
  <c r="K1397" i="6"/>
  <c r="K174" i="6"/>
  <c r="K748" i="6"/>
  <c r="K747" i="6"/>
  <c r="K1119" i="6"/>
  <c r="K501" i="6"/>
  <c r="K500" i="6"/>
  <c r="K32" i="6"/>
  <c r="K634" i="6"/>
  <c r="K601" i="6"/>
  <c r="K1691" i="6"/>
  <c r="K556" i="6"/>
  <c r="K1700" i="6"/>
  <c r="K1552" i="6"/>
  <c r="K1284" i="6"/>
  <c r="K1075" i="6"/>
  <c r="K1096" i="6"/>
  <c r="K674" i="6"/>
  <c r="K1513" i="6"/>
  <c r="K245" i="6"/>
  <c r="K244" i="6"/>
  <c r="K976" i="6"/>
  <c r="K814" i="6"/>
  <c r="K858" i="6"/>
  <c r="K1406" i="6"/>
  <c r="K252" i="6"/>
  <c r="K1062" i="6"/>
  <c r="K1642" i="6"/>
  <c r="K1600" i="6"/>
  <c r="K516" i="6"/>
  <c r="K756" i="6"/>
  <c r="K240" i="6"/>
  <c r="K1366" i="6"/>
  <c r="K630" i="6"/>
  <c r="K754" i="6"/>
  <c r="K285" i="6"/>
  <c r="K1224" i="6"/>
  <c r="K284" i="6"/>
  <c r="K1873" i="6"/>
  <c r="K461" i="6"/>
  <c r="K390" i="6"/>
  <c r="K435" i="6"/>
  <c r="K1209" i="6"/>
  <c r="K1372" i="6"/>
  <c r="K164" i="6"/>
  <c r="K692" i="6"/>
  <c r="K1208" i="6"/>
  <c r="K849" i="6"/>
  <c r="K1371" i="6"/>
  <c r="K847" i="6"/>
  <c r="K387" i="6"/>
  <c r="K1351" i="6"/>
  <c r="K1375" i="6"/>
  <c r="K1321" i="6"/>
  <c r="K1393" i="6"/>
  <c r="K1320" i="6"/>
  <c r="K540" i="6"/>
  <c r="K786" i="6"/>
  <c r="K1004" i="6"/>
  <c r="K351" i="6"/>
  <c r="K987" i="6"/>
  <c r="K1680" i="6"/>
  <c r="K1679" i="6"/>
  <c r="K667" i="6"/>
  <c r="K1187" i="6"/>
  <c r="K1778" i="6"/>
  <c r="K1260" i="6"/>
  <c r="K643" i="6"/>
  <c r="K229" i="6"/>
  <c r="K597" i="6"/>
  <c r="K430" i="6"/>
  <c r="K187" i="6"/>
  <c r="K1114" i="6"/>
  <c r="K1081" i="6"/>
  <c r="K1216" i="6"/>
  <c r="K903" i="6"/>
  <c r="K408" i="6"/>
  <c r="K580" i="6"/>
  <c r="K1188" i="6"/>
  <c r="K137" i="6"/>
  <c r="K1670" i="6"/>
  <c r="K684" i="6"/>
  <c r="K1377" i="6"/>
  <c r="K212" i="6"/>
  <c r="K1300" i="6"/>
  <c r="K1333" i="6"/>
  <c r="K246" i="6"/>
  <c r="K5" i="6"/>
  <c r="K717" i="6"/>
  <c r="K777" i="6"/>
  <c r="K1786" i="6"/>
  <c r="K1571" i="6"/>
  <c r="K427" i="6"/>
  <c r="K1253" i="6"/>
  <c r="K366" i="6"/>
  <c r="K1856" i="6"/>
  <c r="K1565" i="6"/>
  <c r="K417" i="6"/>
  <c r="K486" i="6"/>
  <c r="K1685" i="6"/>
  <c r="K1667" i="6"/>
  <c r="K494" i="6"/>
  <c r="K1666" i="6"/>
  <c r="K439" i="6"/>
  <c r="K1348" i="6"/>
  <c r="K670" i="6"/>
  <c r="K525" i="6"/>
  <c r="K1242" i="6"/>
  <c r="K1235" i="6"/>
  <c r="K62" i="6"/>
  <c r="K1149" i="6"/>
  <c r="K71" i="6"/>
  <c r="K1726" i="6"/>
  <c r="K1159" i="6"/>
  <c r="K477" i="6"/>
  <c r="K530" i="6"/>
  <c r="K1277" i="6"/>
  <c r="K1109" i="6"/>
  <c r="K1883" i="6"/>
  <c r="K1887" i="6"/>
  <c r="K1269" i="6"/>
  <c r="K1139" i="6"/>
  <c r="K863" i="6"/>
  <c r="K648" i="6"/>
  <c r="K1124" i="6"/>
  <c r="K1040" i="6"/>
  <c r="K1039" i="6"/>
  <c r="K1246" i="6"/>
  <c r="K505" i="6"/>
  <c r="K233" i="6"/>
  <c r="K746" i="6"/>
  <c r="K745" i="6"/>
  <c r="K1846" i="6"/>
  <c r="K1564" i="6"/>
  <c r="K602" i="6"/>
  <c r="K1692" i="6"/>
  <c r="K1259" i="6"/>
  <c r="K185" i="6"/>
  <c r="K1258" i="6"/>
  <c r="K1175" i="6"/>
  <c r="K1174" i="6"/>
  <c r="K1687" i="6"/>
  <c r="K1853" i="6"/>
  <c r="K506" i="6"/>
  <c r="K1313" i="6"/>
  <c r="K1539" i="6"/>
  <c r="K199" i="6"/>
  <c r="K909" i="6"/>
  <c r="K1357" i="6"/>
  <c r="K1214" i="6"/>
  <c r="K102" i="6"/>
  <c r="K1616" i="6"/>
  <c r="K546" i="6"/>
  <c r="K60" i="6"/>
  <c r="K1495" i="6"/>
  <c r="K1113" i="6"/>
  <c r="K624" i="6"/>
  <c r="K942" i="6"/>
  <c r="K1354" i="6"/>
  <c r="K920" i="6"/>
  <c r="K464" i="6"/>
  <c r="K722" i="6"/>
  <c r="K19" i="6"/>
  <c r="K1000" i="6"/>
  <c r="K361" i="6"/>
  <c r="K690" i="6"/>
  <c r="K239" i="6"/>
  <c r="K918" i="6"/>
  <c r="K1862" i="6"/>
  <c r="K720" i="6"/>
  <c r="K917" i="6"/>
  <c r="K346" i="6"/>
  <c r="K403" i="6"/>
  <c r="K1061" i="6"/>
  <c r="K543" i="6"/>
  <c r="K119" i="6"/>
  <c r="K656" i="6"/>
  <c r="K1060" i="6"/>
  <c r="K737" i="6"/>
  <c r="K1207" i="6"/>
  <c r="K541" i="6"/>
  <c r="K846" i="6"/>
  <c r="K788" i="6"/>
  <c r="K1127" i="6"/>
  <c r="K1305" i="6"/>
  <c r="K1304" i="6"/>
  <c r="K829" i="6"/>
  <c r="K1586" i="6"/>
  <c r="K619" i="6"/>
  <c r="K1801" i="6"/>
  <c r="K1741" i="6"/>
  <c r="K816" i="6"/>
  <c r="K1473" i="6"/>
  <c r="K1593" i="6"/>
  <c r="K652" i="6"/>
  <c r="K1111" i="6"/>
  <c r="K1734" i="6"/>
  <c r="K824" i="6"/>
  <c r="K230" i="6"/>
  <c r="K1733" i="6"/>
  <c r="K384" i="6"/>
  <c r="K310" i="6"/>
  <c r="K158" i="6"/>
  <c r="K603" i="6"/>
  <c r="K765" i="6"/>
  <c r="K1189" i="6"/>
  <c r="K889" i="6"/>
  <c r="K902" i="6"/>
  <c r="K407" i="6"/>
  <c r="K901" i="6"/>
  <c r="K1671" i="6"/>
  <c r="K1531" i="6"/>
  <c r="K105" i="6"/>
  <c r="K1239" i="6"/>
  <c r="K1005" i="6"/>
  <c r="K1082" i="6"/>
  <c r="K325" i="6"/>
  <c r="K1787" i="6"/>
  <c r="K1554" i="6"/>
  <c r="K162" i="6"/>
  <c r="K363" i="6"/>
  <c r="K1641" i="6"/>
  <c r="K1129" i="6"/>
  <c r="K367" i="6"/>
  <c r="K1128" i="6"/>
  <c r="K1763" i="6"/>
  <c r="K1762" i="6"/>
  <c r="K487" i="6"/>
  <c r="K933" i="6"/>
  <c r="K295" i="6"/>
  <c r="K1542" i="6"/>
  <c r="K1023" i="6"/>
  <c r="K385" i="6"/>
  <c r="K1072" i="6"/>
  <c r="K1611" i="6"/>
  <c r="K1071" i="6"/>
  <c r="K592" i="6"/>
  <c r="K191" i="6"/>
  <c r="K1070" i="6"/>
  <c r="K1021" i="6"/>
  <c r="K1665" i="6"/>
  <c r="K753" i="6"/>
  <c r="K1885" i="6"/>
  <c r="K1285" i="6"/>
  <c r="K1142" i="6"/>
  <c r="K625" i="6"/>
  <c r="K955" i="6"/>
  <c r="K1001" i="6"/>
  <c r="K1065" i="6"/>
  <c r="K1724" i="6"/>
  <c r="K1546" i="6"/>
  <c r="K1118" i="6"/>
  <c r="K1117" i="6"/>
  <c r="K649" i="6"/>
  <c r="K1701" i="6"/>
  <c r="K1848" i="6"/>
  <c r="K503" i="6"/>
  <c r="K289" i="6"/>
  <c r="K1211" i="6"/>
  <c r="K1525" i="6"/>
  <c r="K574" i="6"/>
  <c r="K358" i="6"/>
  <c r="K1245" i="6"/>
  <c r="K1438" i="6"/>
  <c r="K1076" i="6"/>
  <c r="K342" i="6"/>
  <c r="K1563" i="6"/>
  <c r="K557" i="6"/>
  <c r="K676" i="6"/>
  <c r="K183" i="6"/>
  <c r="K895" i="6"/>
  <c r="K1854" i="6"/>
  <c r="K804" i="6"/>
  <c r="K599" i="6"/>
  <c r="K1193" i="6"/>
  <c r="K1359" i="6"/>
  <c r="K61" i="6"/>
  <c r="K548" i="6"/>
  <c r="K1538" i="6"/>
  <c r="K1190" i="6"/>
  <c r="K1501" i="6"/>
  <c r="K1511" i="6"/>
  <c r="K242" i="6"/>
  <c r="K1409" i="6"/>
  <c r="K1130" i="6"/>
  <c r="K646" i="6"/>
  <c r="K857" i="6"/>
  <c r="K608" i="6"/>
  <c r="K644" i="6"/>
  <c r="K660" i="6"/>
  <c r="K517" i="6"/>
  <c r="K372" i="6"/>
  <c r="K515" i="6"/>
  <c r="K1844" i="6"/>
  <c r="K721" i="6"/>
  <c r="K18" i="6"/>
  <c r="K629" i="6"/>
  <c r="K1874" i="6"/>
  <c r="K866" i="6"/>
  <c r="K1797" i="6"/>
  <c r="K519" i="6"/>
  <c r="K490" i="6"/>
  <c r="K99" i="6"/>
  <c r="K3" i="6"/>
  <c r="K166" i="6"/>
  <c r="K402" i="6"/>
  <c r="K2" i="6"/>
  <c r="K388" i="6"/>
  <c r="K796" i="6"/>
  <c r="K654" i="6"/>
  <c r="K848" i="6"/>
  <c r="K434" i="6"/>
  <c r="K1621" i="6"/>
  <c r="K353" i="6"/>
  <c r="K988" i="6"/>
  <c r="K1121" i="6"/>
  <c r="K1009" i="6"/>
  <c r="K1422" i="6"/>
  <c r="K1475" i="6"/>
  <c r="K1720" i="6"/>
  <c r="K1474" i="6"/>
  <c r="K1681" i="6"/>
  <c r="K350" i="6"/>
  <c r="K1338" i="6"/>
  <c r="K1426" i="6"/>
  <c r="K1754" i="6"/>
  <c r="K826" i="6"/>
  <c r="K1794" i="6"/>
  <c r="K641" i="6"/>
  <c r="K155" i="6"/>
  <c r="K1186" i="6"/>
  <c r="K110" i="6"/>
  <c r="K227" i="6"/>
  <c r="K50" i="6"/>
  <c r="K157" i="6"/>
  <c r="K1751" i="6"/>
  <c r="K1051" i="6"/>
  <c r="K695" i="6"/>
  <c r="K305" i="6"/>
  <c r="K261" i="6"/>
  <c r="K686" i="6"/>
  <c r="K1532" i="6"/>
  <c r="K1301" i="6"/>
  <c r="K1669" i="6"/>
  <c r="K579" i="6"/>
  <c r="K135" i="6"/>
  <c r="K1077" i="6"/>
  <c r="K144" i="6"/>
  <c r="K1639" i="6"/>
  <c r="K1275" i="6"/>
  <c r="K143" i="6"/>
  <c r="K1823" i="6"/>
  <c r="K1255" i="6"/>
  <c r="K558" i="6"/>
  <c r="K142" i="6"/>
  <c r="K775" i="6"/>
  <c r="K1587" i="6"/>
  <c r="K1527" i="6"/>
  <c r="K296" i="6"/>
  <c r="K708" i="6"/>
  <c r="K1455" i="6"/>
  <c r="K1423" i="6"/>
  <c r="K1717" i="6"/>
  <c r="K178" i="6"/>
  <c r="K931" i="6"/>
  <c r="K707" i="6"/>
  <c r="K593" i="6"/>
  <c r="K83" i="6"/>
  <c r="K970" i="6"/>
  <c r="K979" i="6"/>
  <c r="K701" i="6"/>
  <c r="K1454" i="6"/>
  <c r="K510" i="6"/>
  <c r="K1784" i="6"/>
  <c r="K1238" i="6"/>
  <c r="K1386" i="6"/>
  <c r="K1725" i="6"/>
  <c r="K938" i="6"/>
  <c r="K954" i="6"/>
  <c r="K953" i="6"/>
  <c r="K1385" i="6"/>
  <c r="K1360" i="6"/>
  <c r="K864" i="6"/>
  <c r="K972" i="6"/>
  <c r="K457" i="6"/>
  <c r="K1634" i="6"/>
  <c r="K520" i="6"/>
  <c r="K693" i="6"/>
  <c r="K234" i="6"/>
  <c r="K1038" i="6"/>
  <c r="K502" i="6"/>
  <c r="K287" i="6"/>
  <c r="K297" i="6"/>
  <c r="K966" i="6"/>
  <c r="K794" i="6"/>
  <c r="K1247" i="6"/>
  <c r="K383" i="6"/>
  <c r="K1690" i="6"/>
  <c r="K600" i="6"/>
  <c r="K1257" i="6"/>
  <c r="K734" i="6"/>
  <c r="K793" i="6"/>
  <c r="K1074" i="6"/>
  <c r="K182" i="6"/>
  <c r="K1314" i="6"/>
  <c r="K1166" i="6"/>
  <c r="K1312" i="6"/>
  <c r="K272" i="6"/>
  <c r="K1358" i="6"/>
  <c r="K1299" i="6"/>
  <c r="K1663" i="6"/>
  <c r="K1213" i="6"/>
  <c r="K1296" i="6"/>
  <c r="K1661" i="6"/>
  <c r="K1227" i="6"/>
  <c r="K545" i="6"/>
  <c r="K11" i="6"/>
  <c r="K232" i="6"/>
  <c r="K1395" i="6"/>
  <c r="K1177" i="6"/>
  <c r="K736" i="6"/>
  <c r="K1196" i="6"/>
  <c r="K1220" i="6"/>
  <c r="K1562" i="6"/>
  <c r="K382" i="6"/>
  <c r="K1176" i="6"/>
  <c r="K632" i="6"/>
  <c r="K675" i="6"/>
  <c r="K998" i="6"/>
  <c r="K1579" i="6"/>
  <c r="K150" i="6"/>
  <c r="K898" i="6"/>
  <c r="K1497" i="6"/>
  <c r="K243" i="6"/>
  <c r="K1311" i="6"/>
  <c r="K1132" i="6"/>
  <c r="K1229" i="6"/>
  <c r="K1165" i="6"/>
  <c r="K778" i="6"/>
  <c r="K1510" i="6"/>
  <c r="K899" i="6"/>
  <c r="K1133" i="6"/>
  <c r="K1512" i="6"/>
  <c r="K547" i="6"/>
  <c r="K888" i="6"/>
  <c r="K568" i="6"/>
  <c r="K812" i="6"/>
  <c r="K1662" i="6"/>
  <c r="K1131" i="6"/>
  <c r="K1496" i="6"/>
  <c r="K1230" i="6"/>
  <c r="K1297" i="6"/>
  <c r="K1688" i="6"/>
  <c r="K1310" i="6"/>
  <c r="K149" i="6"/>
  <c r="K12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0A5B2E-BBB4-4EF9-BC08-1B9E3475C677}" keepAlive="1" name="Consulta - spaces_3iWczBNnn5rbfoUlE0Jd_uploads_git-blob-9864c7f811c613c3faab876659c6423 (2)" description="Conexión a la consulta 'spaces_3iWczBNnn5rbfoUlE0Jd_uploads_git-blob-9864c7f811c613c3faab876659c6423 (2)' en el libro." type="5" refreshedVersion="8" background="1" saveData="1">
    <dbPr connection="Provider=Microsoft.Mashup.OleDb.1;Data Source=$Workbook$;Location=&quot;spaces_3iWczBNnn5rbfoUlE0Jd_uploads_git-blob-9864c7f811c613c3faab876659c6423 (2)&quot;;Extended Properties=&quot;&quot;" command="SELECT * FROM [spaces_3iWczBNnn5rbfoUlE0Jd_uploads_git-blob-9864c7f811c613c3faab876659c6423 (2)]"/>
  </connection>
  <connection id="2" xr16:uid="{B4870745-32C9-4E52-944E-00AB1956E15F}" keepAlive="1" name="Consulta - spaces_3iWczBNnn5rbfoUlE0Jd_uploads_git-blob-9864c7f811c613c3faab876659c6423 (3)" description="Conexión a la consulta 'spaces_3iWczBNnn5rbfoUlE0Jd_uploads_git-blob-9864c7f811c613c3faab876659c6423 (3)' en el libro." type="5" refreshedVersion="8" background="1" saveData="1">
    <dbPr connection="Provider=Microsoft.Mashup.OleDb.1;Data Source=$Workbook$;Location=&quot;spaces_3iWczBNnn5rbfoUlE0Jd_uploads_git-blob-9864c7f811c613c3faab876659c6423 (3)&quot;;Extended Properties=&quot;&quot;" command="SELECT * FROM [spaces_3iWczBNnn5rbfoUlE0Jd_uploads_git-blob-9864c7f811c613c3faab876659c6423 (3)]"/>
  </connection>
  <connection id="3" xr16:uid="{444F4569-3EB8-4163-B9FD-6D1FFCE3115A}" keepAlive="1" name="Consulta - spaces_3iWczBNnn5rbfoUlE0Jd_uploads_git-blob-9864c7f811c613c3faab876659c6423 (4)" description="Conexión a la consulta 'spaces_3iWczBNnn5rbfoUlE0Jd_uploads_git-blob-9864c7f811c613c3faab876659c6423 (4)' en el libro." type="5" refreshedVersion="0" background="1">
    <dbPr connection="Provider=Microsoft.Mashup.OleDb.1;Data Source=$Workbook$;Location=&quot;spaces_3iWczBNnn5rbfoUlE0Jd_uploads_git-blob-9864c7f811c613c3faab876659c6423 (4)&quot;;Extended Properties=&quot;&quot;" command="SELECT * FROM [spaces_3iWczBNnn5rbfoUlE0Jd_uploads_git-blob-9864c7f811c613c3faab876659c6423 (4)]"/>
  </connection>
  <connection id="4" xr16:uid="{F6D9E07F-861E-48D7-B875-C851EF3AE513}" keepAlive="1" name="Consulta - spaces_3iWczBNnn5rbfoUlE0Jd_uploads_git-blob-9864c7f811c613c3faab876659c64235709" description="Conexión a la consulta 'spaces_3iWczBNnn5rbfoUlE0Jd_uploads_git-blob-9864c7f811c613c3faab876659c64235709' en el libro." type="5" refreshedVersion="0" background="1">
    <dbPr connection="Provider=Microsoft.Mashup.OleDb.1;Data Source=$Workbook$;Location=spaces_3iWczBNnn5rbfoUlE0Jd_uploads_git-blob-9864c7f811c613c3faab876659c64235709;Extended Properties=&quot;&quot;" command="SELECT * FROM [spaces_3iWczBNnn5rbfoUlE0Jd_uploads_git-blob-9864c7f811c613c3faab876659c64235709]"/>
  </connection>
  <connection id="5" xr16:uid="{A3EDE49D-4DA6-4E99-B261-A1E40A4BD0D9}" keepAlive="1" name="Consulta - spaces_3iWczBNnn5rbfoUlE0Jd_uploads_git-blob-d9e80ffbcef8a4adc6d29edd78618ad (2)" description="Conexión a la consulta 'spaces_3iWczBNnn5rbfoUlE0Jd_uploads_git-blob-d9e80ffbcef8a4adc6d29edd78618ad (2)' en el libro." type="5" refreshedVersion="8" background="1" saveData="1">
    <dbPr connection="Provider=Microsoft.Mashup.OleDb.1;Data Source=$Workbook$;Location=&quot;spaces_3iWczBNnn5rbfoUlE0Jd_uploads_git-blob-d9e80ffbcef8a4adc6d29edd78618ad (2)&quot;;Extended Properties=&quot;&quot;" command="SELECT * FROM [spaces_3iWczBNnn5rbfoUlE0Jd_uploads_git-blob-d9e80ffbcef8a4adc6d29edd78618ad (2)]"/>
  </connection>
  <connection id="6" xr16:uid="{02C29BA3-06C6-463C-9CC9-94386E0942C9}" keepAlive="1" name="Consulta - spaces_3iWczBNnn5rbfoUlE0Jd_uploads_git-blob-d9e80ffbcef8a4adc6d29edd78618add5df" description="Conexión a la consulta 'spaces_3iWczBNnn5rbfoUlE0Jd_uploads_git-blob-d9e80ffbcef8a4adc6d29edd78618add5df' en el libro." type="5" refreshedVersion="8" background="1" saveData="1">
    <dbPr connection="Provider=Microsoft.Mashup.OleDb.1;Data Source=$Workbook$;Location=spaces_3iWczBNnn5rbfoUlE0Jd_uploads_git-blob-d9e80ffbcef8a4adc6d29edd78618add5df;Extended Properties=&quot;&quot;" command="SELECT * FROM [spaces_3iWczBNnn5rbfoUlE0Jd_uploads_git-blob-d9e80ffbcef8a4adc6d29edd78618add5df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<sst xmlns="http://schemas.openxmlformats.org/spreadsheetml/2006/main" count="27228" uniqueCount="1869">
  <si>
    <t>N√∫mero de Orden</t>
  </si>
  <si>
    <t>N√∫mero de Mesa</t>
  </si>
  <si>
    <t>Nombre del Plato</t>
  </si>
  <si>
    <t>Descripci√≥n del Plato</t>
  </si>
  <si>
    <t>Costo Unitario</t>
  </si>
  <si>
    <t>Precio Unitario</t>
  </si>
  <si>
    <t>Cantidad Ordenada</t>
  </si>
  <si>
    <t>Tiempo de Preparaci√≥n</t>
  </si>
  <si>
    <t>Observaciones</t>
  </si>
  <si>
    <t>Plato_7</t>
  </si>
  <si>
    <t>Descripci√≥n del Plato_7</t>
  </si>
  <si>
    <t>Ninguna</t>
  </si>
  <si>
    <t>Plato_2</t>
  </si>
  <si>
    <t>Descripci√≥n del Plato_2</t>
  </si>
  <si>
    <t>Sin cebolla</t>
  </si>
  <si>
    <t>Plato_17</t>
  </si>
  <si>
    <t>Descripci√≥n del Plato_17</t>
  </si>
  <si>
    <t>Plato_6</t>
  </si>
  <si>
    <t>Descripci√≥n del Plato_6</t>
  </si>
  <si>
    <t>Plato_20</t>
  </si>
  <si>
    <t>Descripci√≥n del Plato_20</t>
  </si>
  <si>
    <t>Plato_19</t>
  </si>
  <si>
    <t>Descripci√≥n del Plato_19</t>
  </si>
  <si>
    <t>Plato_9</t>
  </si>
  <si>
    <t>Descripci√≥n del Plato_9</t>
  </si>
  <si>
    <t>Plato_11</t>
  </si>
  <si>
    <t>Descripci√≥n del Plato_11</t>
  </si>
  <si>
    <t>Plato_16</t>
  </si>
  <si>
    <t>Descripci√≥n del Plato_16</t>
  </si>
  <si>
    <t>Plato_12</t>
  </si>
  <si>
    <t>Descripci√≥n del Plato_12</t>
  </si>
  <si>
    <t>Plato_8</t>
  </si>
  <si>
    <t>Descripci√≥n del Plato_8</t>
  </si>
  <si>
    <t>Plato_15</t>
  </si>
  <si>
    <t>Descripci√≥n del Plato_15</t>
  </si>
  <si>
    <t>Plato_5</t>
  </si>
  <si>
    <t>Descripci√≥n del Plato_5</t>
  </si>
  <si>
    <t>Plato_18</t>
  </si>
  <si>
    <t>Descripci√≥n del Plato_18</t>
  </si>
  <si>
    <t>Plato_3</t>
  </si>
  <si>
    <t>Descripci√≥n del Plato_3</t>
  </si>
  <si>
    <t>Plato_14</t>
  </si>
  <si>
    <t>Descripci√≥n del Plato_14</t>
  </si>
  <si>
    <t>Plato_13</t>
  </si>
  <si>
    <t>Descripci√≥n del Plato_13</t>
  </si>
  <si>
    <t>Plato_4</t>
  </si>
  <si>
    <t>Descripci√≥n del Plato_4</t>
  </si>
  <si>
    <t>Plato_10</t>
  </si>
  <si>
    <t>Descripci√≥n del Plato_10</t>
  </si>
  <si>
    <t>Plato_1</t>
  </si>
  <si>
    <t>Descripci√≥n del Plato_1</t>
  </si>
  <si>
    <t>Número de Mesa</t>
  </si>
  <si>
    <t>Nombre del Cliente</t>
  </si>
  <si>
    <t>Número de Comensales</t>
  </si>
  <si>
    <t>Hora de Llegada</t>
  </si>
  <si>
    <t>Hora de Salida</t>
  </si>
  <si>
    <t>Mesero Asignado</t>
  </si>
  <si>
    <t>Tipo de Servicio</t>
  </si>
  <si>
    <t>Método de Pago</t>
  </si>
  <si>
    <t>Propina</t>
  </si>
  <si>
    <t>Estado de la Mesa</t>
  </si>
  <si>
    <t>Número de Orden</t>
  </si>
  <si>
    <t>País de Origen</t>
  </si>
  <si>
    <t>Platos Ordenados</t>
  </si>
  <si>
    <t>10,Cliente_724,6,2023-04-01 01:07:00,2023-04-01 03:50:00,Mesero_3,Almuerzo,Tarjeta de débito,48.55,Reservada,1,España,"Plato_7, Plato_2"</t>
  </si>
  <si>
    <t/>
  </si>
  <si>
    <t>6,Cliente_538,6,2023-04-01 01:28:00,2023-04-01 03:49:00,Mesero_1,Desayuno,Efectivo,43.3,Reservada,2,Colombia,"Plato_17, Plato_6"</t>
  </si>
  <si>
    <t>20,Cliente_911,1,2023-04-01 00:29:00,2023-04-01 03:56:00,Mesero_2,Desayuno,Tarjeta de crédito,30.87,Libre,3,Brasil,"Plato_20, Plato_17, Plato_19, Plato_9"</t>
  </si>
  <si>
    <t>3,Cliente_129,1,2023-04-01 03:03:00,2023-04-01 04:31:00,Mesero_5,Almuerzo,Tarjeta de crédito,34.68,Libre,4,Paraguay,"Plato_11, Plato_16"</t>
  </si>
  <si>
    <t>8,Cliente_938,2,2023-04-01 00:01:00,2023-04-01 02:06:00,Mesero_4,Almuerzo,Tarjeta de crédito,24.33,Libre,5,Perú,"Plato_12, Plato_7"</t>
  </si>
  <si>
    <t>7</t>
  </si>
  <si>
    <t>Cliente_965</t>
  </si>
  <si>
    <t>Mesero_4</t>
  </si>
  <si>
    <t>Cena</t>
  </si>
  <si>
    <t>Tarjeta de crédito</t>
  </si>
  <si>
    <t>Libre</t>
  </si>
  <si>
    <t>Perú</t>
  </si>
  <si>
    <t>17,Cliente_306,6,2023-04-01 01:57:00,2023-04-01 04:22:00,Mesero_2,Cena,Tarjeta de crédito,10.54,Ocupada,7,Venezuela,"Plato_15, Plato_19"</t>
  </si>
  <si>
    <t>11,Cliente_974,1,2023-04-01 02:11:00,2023-04-01 04:49:00,Mesero_2,Desayuno,Tarjeta de crédito,49.18,Reservada,8,Paraguay,"Plato_5, Plato_16, Plato_20"</t>
  </si>
  <si>
    <t>15,Cliente_740,5,2023-04-01 02:03:00,2023-04-01 04:25:00,Mesero_2,Almuerzo,Tarjeta de débito,46.85,Libre,9,Bolivia,"Plato_2, Plato_7, Plato_12, Plato_15"</t>
  </si>
  <si>
    <t>17,Cliente_33,1,2023-04-01 00:02:00,2023-04-01 01:53:00,Mesero_4,Almuerzo,Tarjeta de crédito,16.6,Ocupada,10,Uruguay,"Plato_18, Plato_20"</t>
  </si>
  <si>
    <t>14,Cliente_881,1,2023-04-01 03:46:00,2023-04-01 06:33:00,Mesero_1,Almuerzo,Tarjeta de crédito,32.89,Libre,11,Perú,"Plato_16, Plato_2"</t>
  </si>
  <si>
    <t>14,Cliente_890,6,2023-04-01 00:04:00,2023-04-01 03:23:00,Mesero_4,Cena,Tarjeta de crédito,45.27,Ocupada,12,Colombia,"Plato_16, Plato_19, Plato_8, Plato_20"</t>
  </si>
  <si>
    <t>2</t>
  </si>
  <si>
    <t>Cliente_873</t>
  </si>
  <si>
    <t>Mesero_5</t>
  </si>
  <si>
    <t>Almuerzo</t>
  </si>
  <si>
    <t>Efectivo</t>
  </si>
  <si>
    <t>Ocupada</t>
  </si>
  <si>
    <t>Brasil</t>
  </si>
  <si>
    <t>16,Cliente_780,6,2023-04-01 00:18:00,2023-04-01 01:58:00,Mesero_2,Almuerzo,Efectivo,48.76,Libre,14,Perú,"Plato_3, Plato_11, Plato_14, Plato_2"</t>
  </si>
  <si>
    <t>6,Cliente_728,4,2023-04-01 03:24:00,2023-04-01 04:59:00,Mesero_1,Desayuno,Tarjeta de crédito,28.77,Ocupada,15,Uruguay,"Plato_16, Plato_13, Plato_8"</t>
  </si>
  <si>
    <t>20</t>
  </si>
  <si>
    <t>Cliente_175</t>
  </si>
  <si>
    <t>Reservada</t>
  </si>
  <si>
    <t>Bolivia</t>
  </si>
  <si>
    <t>14,Cliente_200,6,2023-04-01 00:09:00,2023-04-01 03:27:00,Mesero_2,Desayuno,Tarjeta de crédito,12.17,Libre,17,Ecuador,"Plato_8, Plato_4, Plato_5"</t>
  </si>
  <si>
    <t>9,Cliente_190,2,2023-04-01 02:06:00,2023-04-01 04:26:00,Mesero_2,Desayuno,Tarjeta de crédito,33.09,Libre,18,Colombia,"Plato_9, Plato_20, Plato_10, Plato_15"</t>
  </si>
  <si>
    <t>18</t>
  </si>
  <si>
    <t>Cliente_290</t>
  </si>
  <si>
    <t>Mesero_2</t>
  </si>
  <si>
    <t>Chile</t>
  </si>
  <si>
    <t>8,Cliente_972,2,2023-04-01 01:25:00,2023-04-01 05:12:00,Mesero_3,Almuerzo,Tarjeta de crédito,31.7,Reservada,20,Chile,"Plato_8, Plato_1, Plato_14"</t>
  </si>
  <si>
    <t>12,Cliente_210,2,2023-04-01 03:39:00,2023-04-01 05:52:00,Mesero_3,Almuerzo,Tarjeta de crédito,20.53,Reservada,21,Uruguay,"Plato_20, Plato_3, Plato_15, Plato_1"</t>
  </si>
  <si>
    <t>15,Cliente_88,1,2023-04-01 02:16:00,2023-04-01 04:47:00,Mesero_4,Almuerzo,Tarjeta de crédito,45.41,Libre,22,Ecuador,"Plato_4, Plato_18, Plato_9, Plato_8"</t>
  </si>
  <si>
    <t>1,Cliente_427,5,2023-04-01 02:44:00,2023-04-01 04:09:00,Mesero_5,Cena,Tarjeta de crédito,38.46,Libre,23,Chile,"Plato_12, Plato_6"</t>
  </si>
  <si>
    <t>5,Cliente_424,5,2023-04-01 03:01:00,2023-04-01 06:20:00,Mesero_3,Almuerzo,Tarjeta de crédito,38.18,Ocupada,24,Venezuela,"Plato_10, Plato_9, Plato_14, Plato_20"</t>
  </si>
  <si>
    <t>12</t>
  </si>
  <si>
    <t>Cliente_824</t>
  </si>
  <si>
    <t>Tarjeta de débito</t>
  </si>
  <si>
    <t>Colombia</t>
  </si>
  <si>
    <t>18,Cliente_107,2,2023-04-01 02:04:00,2023-04-01 05:47:00,Mesero_5,Desayuno,Tarjeta de crédito,10.37,Ocupada,26,Uruguay,"Plato_4, Plato_13, Plato_7"</t>
  </si>
  <si>
    <t>4,Cliente_775,2,2023-04-01 01:19:00,2023-04-01 02:27:00,Mesero_5,Almuerzo,Tarjeta de crédito,19.27,Ocupada,27,Brasil,"Plato_8, Plato_10"</t>
  </si>
  <si>
    <t>2,Cliente_358,2,2023-04-01 00:49:00,2023-04-01 03:16:00,Mesero_4,Cena,Tarjeta de crédito,41.22,Reservada,28,Argentina,"Plato_4, Plato_9"</t>
  </si>
  <si>
    <t>20,Cliente_377,5,2023-04-01 03:02:00,2023-04-01 06:10:00,Mesero_2,Almuerzo,Tarjeta de crédito,14.83,Ocupada,29,Ecuador,"Plato_1, Plato_4, Plato_17"</t>
  </si>
  <si>
    <t>14,Cliente_361,4,2023-04-01 02:55:00,2023-04-01 06:13:00,Mesero_4,Almuerzo,Efectivo,26.29,Libre,30,Venezuela,"Plato_10, Plato_3"</t>
  </si>
  <si>
    <t>13,Cliente_229,3,2023-04-01 02:51:00,2023-04-01 06:02:00,Mesero_2,Desayuno,Tarjeta de crédito,19.81,Ocupada,31,Argentina,"Plato_9, Plato_12"</t>
  </si>
  <si>
    <t>5,Cliente_27,1,2023-04-01 03:08:00,2023-04-01 06:49:00,Mesero_1,Almuerzo,Tarjeta de crédito,28.25,Ocupada,32,Uruguay,"Plato_15, Plato_11, Plato_10, Plato_4"</t>
  </si>
  <si>
    <t>4,Cliente_103,5,2023-04-01 03:33:00,2023-04-01 06:21:00,Mesero_4,Cena,Tarjeta de débito,20.38,Ocupada,33,Perú,"Plato_8, Plato_6, Plato_15, Plato_10"</t>
  </si>
  <si>
    <t>15,Cliente_1,1,2023-04-01 02:16:00,2023-04-01 06:07:00,Mesero_4,Desayuno,Tarjeta de crédito,13.08,Libre,34,Perú,"Plato_18, Plato_10"</t>
  </si>
  <si>
    <t>13,Cliente_828,2,2023-04-01 03:18:00,2023-04-01 05:55:00,Mesero_3,Almuerzo,Tarjeta de crédito,15.75,Ocupada,35,Perú,"Plato_2, Plato_9, Plato_11, Plato_17"</t>
  </si>
  <si>
    <t>5</t>
  </si>
  <si>
    <t>Cliente_874</t>
  </si>
  <si>
    <t>Cliente_999</t>
  </si>
  <si>
    <t>10,Cliente_167,6,2023-04-01 02:38:00,2023-04-01 03:53:00,Mesero_4,Almuerzo,Tarjeta de débito,16.31,Reservada,38,Chile,"Plato_17, Plato_8, Plato_19"</t>
  </si>
  <si>
    <t>15</t>
  </si>
  <si>
    <t>Cliente_606</t>
  </si>
  <si>
    <t>1,Cliente_710,1,2023-04-01 02:00:00,2023-04-01 04:05:00,Mesero_3,Almuerzo,Efectivo,13.68,Libre,40,Argentina,"Plato_9, Plato_11, Plato_16"</t>
  </si>
  <si>
    <t>7,Cliente_870,4,2023-04-01 02:14:00,2023-04-01 04:20:00,Mesero_2,Almuerzo,Tarjeta de crédito,15.24,Ocupada,41,Perú,"Plato_15, Plato_10, Plato_2"</t>
  </si>
  <si>
    <t>14,Cliente_230,1,2023-04-01 00:25:00,2023-04-01 01:46:00,Mesero_2,Almuerzo,Tarjeta de crédito,49.58,Reservada,42,Bolivia,"Plato_5, Plato_20"</t>
  </si>
  <si>
    <t>8,Cliente_814,6,2023-04-01 01:02:00,2023-04-01 03:14:00,Mesero_4,Almuerzo,Tarjeta de crédito,32.19,Ocupada,43,Perú,"Plato_15, Plato_18, Plato_7, Plato_17"</t>
  </si>
  <si>
    <t>18,Cliente_710,1,2023-04-01 03:06:00,2023-04-01 06:18:00,Mesero_4,Almuerzo,Tarjeta de crédito,42.6,Libre,44,España,"Plato_10, Plato_1, Plato_13"</t>
  </si>
  <si>
    <t>17</t>
  </si>
  <si>
    <t>Cliente_640</t>
  </si>
  <si>
    <t>10,Cliente_623,1,2023-04-01 01:47:00,2023-04-01 03:39:00,Mesero_5,Almuerzo,Tarjeta de crédito,27.97,Libre,46,Chile,"Plato_2, Plato_18, Plato_14"</t>
  </si>
  <si>
    <t>18,Cliente_72,3,2023-04-01 03:30:00,2023-04-01 07:29:00,Mesero_2,Almuerzo,Tarjeta de crédito,10.98,Ocupada,47,Brasil,"Plato_11, Plato_14, Plato_3"</t>
  </si>
  <si>
    <t>17,Cliente_963,2,2023-04-01 00:28:00,2023-04-01 04:02:00,Mesero_3,Desayuno,Tarjeta de crédito,25.31,Libre,48,Bolivia,"Plato_6, Plato_5, Plato_11"</t>
  </si>
  <si>
    <t>8,Cliente_929,3,2023-04-01 01:44:00,2023-04-01 05:29:00,Mesero_2,Almuerzo,Tarjeta de crédito,20.92,Libre,49,Uruguay,"Plato_7, Plato_15, Plato_4"</t>
  </si>
  <si>
    <t>19,Cliente_708,5,2023-04-01 03:54:00,2023-04-01 06:57:00,Mesero_4,Almuerzo,Tarjeta de débito,16.74,Ocupada,50,Argentina,"Plato_15, Plato_5"</t>
  </si>
  <si>
    <t>12,Cliente_631,1,2023-04-01 01:42:00,2023-04-01 03:02:00,Mesero_5,Cena,Tarjeta de crédito,37.08,Reservada,51,España,"Plato_14, Plato_11, Plato_5, Plato_4"</t>
  </si>
  <si>
    <t>7,Cliente_894,4,2023-04-01 00:01:00,2023-04-01 01:11:00,Mesero_3,Almuerzo,Tarjeta de crédito,46.88,Libre,52,Paraguay,"Plato_11, Plato_17, Plato_18"</t>
  </si>
  <si>
    <t>16,Cliente_63,5,2023-04-01 03:01:00,2023-04-01 04:44:00,Mesero_5,Almuerzo,Tarjeta de débito,36.88,Libre,53,Paraguay,"Plato_14, Plato_2, Plato_19"</t>
  </si>
  <si>
    <t>6,Cliente_144,6,2023-04-01 00:40:00,2023-04-01 04:14:00,Mesero_4,Cena,Tarjeta de crédito,23.36,Reservada,54,Bolivia,"Plato_8, Plato_17, Plato_4, Plato_11"</t>
  </si>
  <si>
    <t>20,Cliente_390,5,2023-04-01 01:30:00,2023-04-01 05:00:00,Mesero_4,Cena,Tarjeta de crédito,45.49,Ocupada,55,Perú,"Plato_11, Plato_7, Plato_19, Plato_15"</t>
  </si>
  <si>
    <t>1,Cliente_728,3,2023-04-01 01:20:00,2023-04-01 04:57:00,Mesero_5,Almuerzo,Tarjeta de débito,43.2,Libre,56,Ecuador,"Plato_9, Plato_12"</t>
  </si>
  <si>
    <t>18,Cliente_886,2,2023-04-01 03:04:00,2023-04-01 04:52:00,Mesero_2,Almuerzo,Tarjeta de crédito,45.45,Libre,57,Colombia,"Plato_8, Plato_20, Plato_5, Plato_19"</t>
  </si>
  <si>
    <t>8,Cliente_510,3,2023-04-01 01:31:00,2023-04-01 04:21:00,Mesero_1,Cena,Tarjeta de crédito,30.7,Reservada,58,Brasil,"Plato_5, Plato_3"</t>
  </si>
  <si>
    <t>8,Cliente_878,4,2023-04-01 01:21:00,2023-04-01 05:04:00,Mesero_1,Almuerzo,Efectivo,33.89,Libre,59,Colombia,"Plato_12, Plato_14, Plato_4, Plato_20"</t>
  </si>
  <si>
    <t>6,Cliente_977,1,2023-04-01 02:09:00,2023-04-01 05:46:00,Mesero_1,Almuerzo,Tarjeta de crédito,19.54,Reservada,60,Bolivia,"Plato_4, Plato_11"</t>
  </si>
  <si>
    <t>10,Cliente_553,5,2023-04-01 03:49:00,2023-04-01 06:22:00,Mesero_2,Almuerzo,Tarjeta de crédito,42.87,Ocupada,61,Chile,"Plato_20, Plato_4, Plato_2, Plato_16"</t>
  </si>
  <si>
    <t>2,Cliente_792,1,2023-04-01 02:47:00,2023-04-01 06:24:00,Mesero_1,Cena,Tarjeta de crédito,37.93,Ocupada,62,Argentina,"Plato_2, Plato_12, Plato_17"</t>
  </si>
  <si>
    <t>17,Cliente_881,4,2023-04-01 00:41:00,2023-04-01 04:06:00,Mesero_4,Almuerzo,Tarjeta de crédito,33.34,Reservada,63,Colombia,"Plato_3, Plato_8"</t>
  </si>
  <si>
    <t>3,Cliente_265,3,2023-04-01 01:40:00,2023-04-01 04:02:00,Mesero_5,Desayuno,Efectivo,34.77,Reservada,64,Perú,"Plato_3, Plato_20, Plato_19"</t>
  </si>
  <si>
    <t>5,Cliente_946,1,2023-04-01 01:54:00,2023-04-01 03:03:00,Mesero_3,Almuerzo,Tarjeta de débito,14.0,Ocupada,65,Bolivia,"Plato_16, Plato_17, Plato_12, Plato_20"</t>
  </si>
  <si>
    <t>18,Cliente_614,2,2023-04-01 02:28:00,2023-04-01 06:18:00,Mesero_5,Almuerzo,Tarjeta de crédito,10.88,Reservada,66,España,"Plato_19, Plato_20, Plato_4"</t>
  </si>
  <si>
    <t>2,Cliente_352,6,2023-04-01 03:45:00,2023-04-01 05:10:00,Mesero_2,Almuerzo,Tarjeta de débito,21.25,Reservada,67,Perú,"Plato_20, Plato_19, Plato_10, Plato_2"</t>
  </si>
  <si>
    <t>8,Cliente_784,4,2023-04-01 00:02:00,2023-04-01 03:15:00,Mesero_5,Cena,Tarjeta de crédito,45.65,Ocupada,68,Brasil,"Plato_14, Plato_16, Plato_15, Plato_1"</t>
  </si>
  <si>
    <t>5,Cliente_118,4,2023-04-01 02:02:00,2023-04-01 03:57:00,Mesero_2,Almuerzo,Tarjeta de crédito,31.49,Libre,69,Perú,"Plato_13, Plato_7, Plato_11"</t>
  </si>
  <si>
    <t>17,Cliente_61,4,2023-04-01 00:11:00,2023-04-01 01:22:00,Mesero_4,Almuerzo,Tarjeta de débito,28.26,Libre,70,Paraguay,"Plato_1, Plato_18"</t>
  </si>
  <si>
    <t>18,Cliente_440,4,2023-04-01 01:57:00,2023-04-01 05:56:00,Mesero_3,Almuerzo,Tarjeta de crédito,24.01,Ocupada,71,Paraguay,"Plato_2, Plato_14"</t>
  </si>
  <si>
    <t>17,Cliente_258,1,2023-04-01 02:42:00,2023-04-01 05:51:00,Mesero_2,Almuerzo,Tarjeta de crédito,15.28,Reservada,72,Perú,"Plato_13, Plato_4"</t>
  </si>
  <si>
    <t>1</t>
  </si>
  <si>
    <t>Cliente_742</t>
  </si>
  <si>
    <t>Desayuno</t>
  </si>
  <si>
    <t>Argentina</t>
  </si>
  <si>
    <t>19,Cliente_865,4,2023-04-01 01:04:00,2023-04-01 04:13:00,Mesero_4,Almuerzo,Tarjeta de crédito,30.83,Libre,74,Brasil,"Plato_10, Plato_18, Plato_15"</t>
  </si>
  <si>
    <t>19,Cliente_79,5,2023-04-01 03:36:00,2023-04-01 04:49:00,Mesero_5,Almuerzo,Tarjeta de crédito,45.23,Ocupada,75,Venezuela,"Plato_20, Plato_14"</t>
  </si>
  <si>
    <t>17,Cliente_42,3,2023-04-01 02:57:00,2023-04-01 05:24:00,Mesero_1,Almuerzo,Tarjeta de crédito,17.76,Reservada,76,Argentina,"Plato_2, Plato_4, Plato_7, Plato_10"</t>
  </si>
  <si>
    <t>3,Cliente_374,1,2023-04-01 02:46:00,2023-04-01 06:15:00,Mesero_3,Cena,Tarjeta de crédito,19.88,Libre,77,Bolivia,"Plato_4, Plato_7, Plato_11"</t>
  </si>
  <si>
    <t>Cliente_636</t>
  </si>
  <si>
    <t>Mesero_3</t>
  </si>
  <si>
    <t>16,Cliente_753,2,2023-04-01 01:34:00,2023-04-01 05:08:00,Mesero_3,Almuerzo,Tarjeta de crédito,34.01,Libre,79,Venezuela,"Plato_9, Plato_11, Plato_3, Plato_13"</t>
  </si>
  <si>
    <t>18,Cliente_632,6,2023-04-01 02:14:00,2023-04-01 03:46:00,Mesero_4,Almuerzo,Tarjeta de crédito,39.05,Libre,80,Venezuela,"Plato_5, Plato_9, Plato_7"</t>
  </si>
  <si>
    <t>Cliente_969</t>
  </si>
  <si>
    <t>Uruguay</t>
  </si>
  <si>
    <t>16,Cliente_574,3,2023-04-01 03:25:00,2023-04-01 07:10:00,Mesero_5,Desayuno,Tarjeta de crédito,38.6,Libre,82,Paraguay,"Plato_1, Plato_2"</t>
  </si>
  <si>
    <t>15,Cliente_292,1,2023-04-01 03:42:00,2023-04-01 06:39:00,Mesero_1,Cena,Tarjeta de crédito,24.94,Ocupada,83,Argentina,"Plato_6, Plato_3, Plato_15"</t>
  </si>
  <si>
    <t>19</t>
  </si>
  <si>
    <t>Cliente_148</t>
  </si>
  <si>
    <t>8,Cliente_747,3,2023-04-01 02:35:00,2023-04-01 04:31:00,Mesero_2,Cena,Tarjeta de crédito,45.96,Libre,85,Ecuador,"Plato_16, Plato_19, Plato_3, Plato_15"</t>
  </si>
  <si>
    <t>Cliente_501</t>
  </si>
  <si>
    <t>España</t>
  </si>
  <si>
    <t>3,Cliente_733,2,2023-04-01 01:46:00,2023-04-01 03:18:00,Mesero_4,Almuerzo,Tarjeta de crédito,29.46,Ocupada,87,Venezuela,"Plato_4, Plato_15, Plato_17"</t>
  </si>
  <si>
    <t>18,Cliente_36,1,2023-04-01 03:30:00,2023-04-01 06:40:00,Mesero_4,Almuerzo,Tarjeta de débito,23.93,Reservada,88,Ecuador,"Plato_20, Plato_12, Plato_10"</t>
  </si>
  <si>
    <t>11,Cliente_553,4,2023-04-01 00:42:00,2023-04-01 02:19:00,Mesero_5,Desayuno,Tarjeta de débito,12.28,Libre,89,Uruguay,"Plato_14, Plato_18, Plato_5"</t>
  </si>
  <si>
    <t>6</t>
  </si>
  <si>
    <t>Cliente_1000</t>
  </si>
  <si>
    <t>Ecuador</t>
  </si>
  <si>
    <t>1,Cliente_607,5,2023-04-01 03:38:00,2023-04-01 05:24:00,Mesero_5,Almuerzo,Tarjeta de crédito,39.1,Reservada,91,España,"Plato_8, Plato_13, Plato_5, Plato_6"</t>
  </si>
  <si>
    <t>6,Cliente_378,2,2023-04-01 03:35:00,2023-04-01 06:09:00,Mesero_2,Desayuno,Tarjeta de crédito,12.75,Libre,92,Venezuela,"Plato_9, Plato_7"</t>
  </si>
  <si>
    <t>Cliente_612</t>
  </si>
  <si>
    <t>12,Cliente_452,1,2023-04-01 01:52:00,2023-04-01 04:53:00,Mesero_4,Almuerzo,Tarjeta de crédito,28.36,Ocupada,94,Chile,"Plato_2, Plato_15, Plato_11"</t>
  </si>
  <si>
    <t>12,Cliente_244,5,2023-04-01 03:19:00,2023-04-01 06:07:00,Mesero_2,Cena,Tarjeta de crédito,24.68,Ocupada,95,España,"Plato_12, Plato_15"</t>
  </si>
  <si>
    <t>16,Cliente_840,5,2023-04-01 01:59:00,2023-04-01 05:26:00,Mesero_4,Desayuno,Tarjeta de crédito,33.63,Libre,96,Bolivia,"Plato_11, Plato_12, Plato_7"</t>
  </si>
  <si>
    <t>14,Cliente_993,2,2023-04-01 01:46:00,2023-04-01 03:03:00,Mesero_2,Cena,Tarjeta de crédito,19.22,Ocupada,97,Ecuador,"Plato_10, Plato_3, Plato_18"</t>
  </si>
  <si>
    <t>7,Cliente_29,3,2023-04-01 01:01:00,2023-04-01 03:22:00,Mesero_5,Almuerzo,Tarjeta de crédito,17.15,Ocupada,98,Bolivia,"Plato_3, Plato_9, Plato_12"</t>
  </si>
  <si>
    <t>2,Cliente_873,6,2023-04-01 02:22:00,2023-04-01 06:18:00,Mesero_2,Almuerzo,Tarjeta de crédito,33.55,Ocupada,99,Chile,"Plato_2, Plato_17, Plato_12, Plato_9"</t>
  </si>
  <si>
    <t>18,Cliente_965,1,2023-04-01 03:32:00,2023-04-01 06:45:00,Mesero_1,Almuerzo,Tarjeta de crédito,15.15,Reservada,100,Paraguay,"Plato_7, Plato_5, Plato_1"</t>
  </si>
  <si>
    <t>1,Cliente_313,5,2023-04-01 00:14:00,2023-04-01 02:15:00,Mesero_4,Almuerzo,Tarjeta de crédito,15.09,Libre,101,Venezuela,"Plato_17, Plato_1, Plato_5, Plato_8"</t>
  </si>
  <si>
    <t>19,Cliente_520,2,2023-04-01 01:33:00,2023-04-01 04:14:00,Mesero_3,Almuerzo,Tarjeta de crédito,12.65,Reservada,102,Venezuela,"Plato_16, Plato_9"</t>
  </si>
  <si>
    <t>13,Cliente_388,3,2023-04-01 01:42:00,2023-04-01 05:10:00,Mesero_4,Almuerzo,Tarjeta de débito,26.75,Reservada,103,Brasil,"Plato_13, Plato_18, Plato_4"</t>
  </si>
  <si>
    <t>14,Cliente_384,4,2023-04-01 01:28:00,2023-04-01 02:44:00,Mesero_3,Desayuno,Tarjeta de débito,11.12,Reservada,104,Uruguay,"Plato_14, Plato_17"</t>
  </si>
  <si>
    <t>14,Cliente_517,6,2023-04-01 01:18:00,2023-04-01 04:00:00,Mesero_3,Almuerzo,Tarjeta de crédito,15.64,Libre,105,Brasil,"Plato_3, Plato_6"</t>
  </si>
  <si>
    <t>Cliente_711</t>
  </si>
  <si>
    <t>11,Cliente_651,5,2023-04-01 01:29:00,2023-04-01 02:58:00,Mesero_2,Almuerzo,Tarjeta de débito,48.77,Reservada,107,Bolivia,"Plato_15, Plato_9, Plato_18"</t>
  </si>
  <si>
    <t>3,Cliente_545,3,2023-04-01 01:32:00,2023-04-01 03:37:00,Mesero_4,Desayuno,Tarjeta de débito,23.26,Reservada,108,Paraguay,"Plato_9, Plato_4, Plato_3, Plato_16"</t>
  </si>
  <si>
    <t>10,Cliente_116,2,2023-04-01 01:25:00,2023-04-01 02:26:00,Mesero_4,Desayuno,Tarjeta de crédito,42.95,Libre,109,Ecuador,"Plato_18, Plato_14, Plato_5"</t>
  </si>
  <si>
    <t>5,Cliente_170,1,2023-04-01 03:32:00,2023-04-01 06:37:00,Mesero_1,Almuerzo,Tarjeta de crédito,47.91,Reservada,110,Paraguay,"Plato_9, Plato_10, Plato_6"</t>
  </si>
  <si>
    <t>3,Cliente_92,2,2023-04-01 01:48:00,2023-04-01 05:07:00,Mesero_3,Desayuno,Tarjeta de crédito,18.82,Reservada,111,Ecuador,"Plato_15, Plato_5, Plato_7, Plato_9"</t>
  </si>
  <si>
    <t>Cliente_552</t>
  </si>
  <si>
    <t>4</t>
  </si>
  <si>
    <t>Cliente_627</t>
  </si>
  <si>
    <t>7,Cliente_588,6,2023-04-01 00:49:00,2023-04-01 03:30:00,Mesero_1,Almuerzo,Tarjeta de crédito,38.81,Ocupada,114,Chile,"Plato_2, Plato_9, Plato_4, Plato_5"</t>
  </si>
  <si>
    <t>12,Cliente_313,6,2023-04-01 03:43:00,2023-04-01 06:26:00,Mesero_1,Cena,Tarjeta de débito,46.46,Ocupada,115,Uruguay,"Plato_6, Plato_2, Plato_15"</t>
  </si>
  <si>
    <t>8,Cliente_949,5,2023-04-01 03:15:00,2023-04-01 06:33:00,Mesero_1,Almuerzo,Tarjeta de crédito,47.69,Ocupada,116,Chile,"Plato_15, Plato_8, Plato_19, Plato_18"</t>
  </si>
  <si>
    <t>8</t>
  </si>
  <si>
    <t>Cliente_863</t>
  </si>
  <si>
    <t>13,Cliente_140,1,2023-04-01 00:34:00,2023-04-01 01:45:00,Mesero_5,Cena,Tarjeta de débito,49.32,Libre,118,Bolivia,"Plato_4, Plato_14, Plato_6, Plato_15"</t>
  </si>
  <si>
    <t>17,Cliente_523,3,2023-04-02 03:24:00,2023-04-02 05:03:00,Mesero_2,Desayuno,Tarjeta de crédito,11.5,Reservada,119,Perú,"Plato_10, Plato_19, Plato_4"</t>
  </si>
  <si>
    <t>4,Cliente_916,2,2023-04-02 00:38:00,2023-04-02 01:42:00,Mesero_1,Almuerzo,Efectivo,12.51,Reservada,120,Uruguay,"Plato_17, Plato_10"</t>
  </si>
  <si>
    <t>Cliente_416</t>
  </si>
  <si>
    <t>Paraguay</t>
  </si>
  <si>
    <t>Cliente_346</t>
  </si>
  <si>
    <t>Mesero_1</t>
  </si>
  <si>
    <t>16</t>
  </si>
  <si>
    <t>Cliente_381</t>
  </si>
  <si>
    <t>16,Cliente_791,5,2023-04-02 03:39:00,2023-04-02 05:22:00,Mesero_3,Almuerzo,Tarjeta de débito,10.85,Libre,124,España,"Plato_3, Plato_1, Plato_11, Plato_9"</t>
  </si>
  <si>
    <t>14,Cliente_697,2,2023-04-02 02:56:00,2023-04-02 06:13:00,Mesero_3,Almuerzo,Tarjeta de crédito,24.66,Libre,125,Bolivia,"Plato_16, Plato_18, Plato_3"</t>
  </si>
  <si>
    <t>18,Cliente_516,3,2023-04-02 02:45:00,2023-04-02 05:12:00,Mesero_1,Almuerzo,Tarjeta de crédito,41.82,Libre,126,Perú,"Plato_16, Plato_8, Plato_7, Plato_2"</t>
  </si>
  <si>
    <t>Cliente_541</t>
  </si>
  <si>
    <t>2,Cliente_830,5,2023-04-02 01:31:00,2023-04-02 03:28:00,Mesero_2,Almuerzo,Efectivo,49.36,Ocupada,128,Uruguay,"Plato_1, Plato_4, Plato_7, Plato_17"</t>
  </si>
  <si>
    <t>16,Cliente_656,5,2023-04-02 00:41:00,2023-04-02 02:41:00,Mesero_2,Almuerzo,Tarjeta de crédito,49.3,Reservada,129,Perú,"Plato_12, Plato_3, Plato_9"</t>
  </si>
  <si>
    <t>10</t>
  </si>
  <si>
    <t>Cliente_486</t>
  </si>
  <si>
    <t>7,Cliente_728,5,2023-04-02 00:43:00,2023-04-02 04:18:00,Mesero_4,Almuerzo,Tarjeta de crédito,42.41,Ocupada,131,Ecuador,"Plato_20, Plato_4, Plato_13"</t>
  </si>
  <si>
    <t>9,Cliente_774,2,2023-04-02 01:26:00,2023-04-02 02:43:00,Mesero_3,Cena,Tarjeta de débito,30.96,Reservada,132,Bolivia,"Plato_14, Plato_19, Plato_13, Plato_8"</t>
  </si>
  <si>
    <t>20,Cliente_26,6,2023-04-02 00:54:00,2023-04-02 03:52:00,Mesero_2,Almuerzo,Tarjeta de crédito,39.74,Ocupada,133,Chile,"Plato_15, Plato_18, Plato_17, Plato_4"</t>
  </si>
  <si>
    <t>3,Cliente_273,6,2023-04-02 00:07:00,2023-04-02 03:52:00,Mesero_1,Cena,Tarjeta de crédito,30.1,Libre,134,Uruguay,"Plato_7, Plato_15"</t>
  </si>
  <si>
    <t>11,Cliente_798,1,2023-04-02 01:00:00,2023-04-02 03:01:00,Mesero_5,Cena,Tarjeta de crédito,34.7,Ocupada,135,Brasil,"Plato_17, Plato_20, Plato_9"</t>
  </si>
  <si>
    <t>Cliente_8</t>
  </si>
  <si>
    <t>13</t>
  </si>
  <si>
    <t>Cliente_31</t>
  </si>
  <si>
    <t>6,Cliente_658,2,2023-04-02 03:48:00,2023-04-02 05:09:00,Mesero_2,Desayuno,Tarjeta de débito,32.79,Ocupada,138,Venezuela,"Plato_17, Plato_12, Plato_10, Plato_2"</t>
  </si>
  <si>
    <t>Cliente_773</t>
  </si>
  <si>
    <t>11,Cliente_158,4,2023-04-02 03:49:00,2023-04-02 06:29:00,Mesero_2,Almuerzo,Efectivo,32.13,Libre,140,Paraguay,"Plato_1, Plato_8, Plato_4"</t>
  </si>
  <si>
    <t>Cliente_569</t>
  </si>
  <si>
    <t>14,Cliente_286,3,2023-04-02 02:05:00,2023-04-02 04:05:00,Mesero_4,Almuerzo,Tarjeta de crédito,16.29,Ocupada,142,Argentina,"Plato_7, Plato_14, Plato_20"</t>
  </si>
  <si>
    <t>9</t>
  </si>
  <si>
    <t>Cliente_199</t>
  </si>
  <si>
    <t>18,Cliente_712,1,2023-04-02 02:58:00,2023-04-02 05:32:00,Mesero_4,Cena,Tarjeta de crédito,11.22,Ocupada,144,Perú,"Plato_19, Plato_12, Plato_9, Plato_18"</t>
  </si>
  <si>
    <t>2,Cliente_56,5,2023-04-02 00:37:00,2023-04-02 01:42:00,Mesero_2,Cena,Tarjeta de crédito,11.32,Ocupada,145,Venezuela,"Plato_5, Plato_2"</t>
  </si>
  <si>
    <t>Cliente_670</t>
  </si>
  <si>
    <t>5,Cliente_909,4,2023-04-02 03:18:00,2023-04-02 04:58:00,Mesero_3,Desayuno,Tarjeta de crédito,27.14,Reservada,147,Colombia,"Plato_20, Plato_5"</t>
  </si>
  <si>
    <t>10,Cliente_402,6,2023-04-02 03:52:00,2023-04-02 05:59:00,Mesero_3,Almuerzo,Tarjeta de débito,46.26,Ocupada,148,Colombia,"Plato_9, Plato_18, Plato_3, Plato_10"</t>
  </si>
  <si>
    <t>18,Cliente_709,4,2023-04-02 01:35:00,2023-04-02 04:50:00,Mesero_5,Desayuno,Tarjeta de crédito,15.92,Ocupada,149,Brasil,"Plato_18, Plato_2, Plato_4, Plato_9"</t>
  </si>
  <si>
    <t>18,Cliente_533,6,2023-04-02 00:37:00,2023-04-02 03:10:00,Mesero_1,Almuerzo,Tarjeta de débito,48.43,Libre,150,Argentina,"Plato_5, Plato_11, Plato_3"</t>
  </si>
  <si>
    <t>6,Cliente_953,2,2023-04-02 03:15:00,2023-04-02 06:53:00,Mesero_4,Cena,Tarjeta de crédito,41.51,Ocupada,151,Ecuador,"Plato_14, Plato_13"</t>
  </si>
  <si>
    <t>Cliente_380</t>
  </si>
  <si>
    <t>10,Cliente_870,1,2023-04-02 03:06:00,2023-04-02 05:26:00,Mesero_2,Desayuno,Tarjeta de débito,42.84,Ocupada,153,Paraguay,"Plato_11, Plato_7, Plato_20"</t>
  </si>
  <si>
    <t>11,Cliente_964,6,2023-04-02 02:09:00,2023-04-02 03:36:00,Mesero_1,Desayuno,Tarjeta de crédito,17.2,Libre,154,Ecuador,"Plato_19, Plato_4"</t>
  </si>
  <si>
    <t>7,Cliente_939,2,2023-04-02 01:53:00,2023-04-02 04:44:00,Mesero_5,Almuerzo,Tarjeta de crédito,25.72,Reservada,155,Venezuela,"Plato_6, Plato_17, Plato_3"</t>
  </si>
  <si>
    <t>Cliente_536</t>
  </si>
  <si>
    <t>13,Cliente_5,5,2023-04-02 03:22:00,2023-04-02 06:15:00,Mesero_3,Desayuno,Tarjeta de crédito,28.48,Ocupada,157,Perú,"Plato_1, Plato_16, Plato_2, Plato_19"</t>
  </si>
  <si>
    <t>5,Cliente_115,5,2023-04-02 02:45:00,2023-04-02 03:59:00,Mesero_3,Almuerzo,Tarjeta de crédito,48.75,Libre,158,Chile,"Plato_12, Plato_10, Plato_19, Plato_8"</t>
  </si>
  <si>
    <t>16,Cliente_580,1,2023-04-02 00:10:00,2023-04-02 01:15:00,Mesero_3,Desayuno,Tarjeta de crédito,47.81,Ocupada,159,Brasil,"Plato_9, Plato_17, Plato_4, Plato_11"</t>
  </si>
  <si>
    <t>19,Cliente_788,6,2023-04-02 01:06:00,2023-04-02 04:33:00,Mesero_2,Almuerzo,Tarjeta de crédito,26.02,Reservada,160,Colombia,"Plato_19, Plato_7"</t>
  </si>
  <si>
    <t>Cliente_892</t>
  </si>
  <si>
    <t>14</t>
  </si>
  <si>
    <t>Cliente_406</t>
  </si>
  <si>
    <t>6,Cliente_295,1,2023-04-02 01:35:00,2023-04-02 04:09:00,Mesero_5,Almuerzo,Tarjeta de crédito,14.94,Ocupada,163,Chile,"Plato_17, Plato_2, Plato_11, Plato_5"</t>
  </si>
  <si>
    <t>8,Cliente_547,2,2023-04-02 02:34:00,2023-04-02 06:02:00,Mesero_4,Cena,Tarjeta de crédito,47.53,Reservada,164,Colombia,"Plato_5, Plato_19, Plato_15, Plato_7"</t>
  </si>
  <si>
    <t>10,Cliente_156,3,2023-04-02 02:21:00,2023-04-02 05:12:00,Mesero_3,Cena,Tarjeta de crédito,41.9,Ocupada,165,Perú,"Plato_7, Plato_13"</t>
  </si>
  <si>
    <t>Cliente_768</t>
  </si>
  <si>
    <t>5,Cliente_359,6,2023-04-02 01:19:00,2023-04-02 02:46:00,Mesero_2,Almuerzo,Tarjeta de débito,42.74,Reservada,167,Argentina,"Plato_12, Plato_18, Plato_17"</t>
  </si>
  <si>
    <t>Cliente_131</t>
  </si>
  <si>
    <t>Venezuela</t>
  </si>
  <si>
    <t>19,Cliente_485,1,2023-04-02 01:56:00,2023-04-02 05:14:00,Mesero_3,Almuerzo,Tarjeta de débito,16.62,Libre,169,Paraguay,"Plato_13, Plato_18, Plato_5"</t>
  </si>
  <si>
    <t>12,Cliente_493,2,2023-04-02 02:37:00,2023-04-02 05:26:00,Mesero_2,Cena,Tarjeta de crédito,25.98,Libre,170,Colombia,"Plato_3, Plato_9, Plato_19, Plato_2"</t>
  </si>
  <si>
    <t>16,Cliente_282,6,2023-04-02 01:53:00,2023-04-02 03:04:00,Mesero_2,Cena,Tarjeta de crédito,46.56,Libre,171,Brasil,"Plato_10, Plato_9"</t>
  </si>
  <si>
    <t>Cliente_850</t>
  </si>
  <si>
    <t>11,Cliente_301,3,2023-04-02 00:18:00,2023-04-02 03:43:00,Mesero_4,Almuerzo,Tarjeta de crédito,48.73,Ocupada,173,Chile,"Plato_6, Plato_15"</t>
  </si>
  <si>
    <t>Cliente_124</t>
  </si>
  <si>
    <t>14,Cliente_747,3,2023-04-02 01:27:00,2023-04-02 03:04:00,Mesero_3,Almuerzo,Tarjeta de crédito,27.94,Reservada,175,Colombia,"Plato_15, Plato_7"</t>
  </si>
  <si>
    <t>Cliente_741</t>
  </si>
  <si>
    <t>4,Cliente_610,1,2023-04-02 00:14:00,2023-04-02 01:14:00,Mesero_4,Cena,Tarjeta de crédito,10.39,Ocupada,177,Perú,"Plato_7, Plato_10, Plato_13, Plato_12"</t>
  </si>
  <si>
    <t>11,Cliente_681,6,2023-04-02 01:53:00,2023-04-02 05:18:00,Mesero_3,Cena,Tarjeta de crédito,31.6,Reservada,178,Venezuela,"Plato_2, Plato_8, Plato_5, Plato_11"</t>
  </si>
  <si>
    <t>Cliente_173</t>
  </si>
  <si>
    <t>10,Cliente_55,1,2023-04-02 02:21:00,2023-04-02 05:09:00,Mesero_2,Cena,Tarjeta de crédito,46.61,Reservada,180,Brasil,"Plato_9, Plato_2, Plato_3, Plato_6"</t>
  </si>
  <si>
    <t>Cliente_653</t>
  </si>
  <si>
    <t>Cliente_628</t>
  </si>
  <si>
    <t>18,Cliente_715,1,2023-04-02 02:46:00,2023-04-02 06:28:00,Mesero_1,Almuerzo,Tarjeta de crédito,11.69,Ocupada,183,Uruguay,"Plato_15, Plato_10, Plato_3, Plato_8"</t>
  </si>
  <si>
    <t>4,Cliente_321,6,2023-04-02 03:55:00,2023-04-02 07:01:00,Mesero_5,Almuerzo,Tarjeta de crédito,24.24,Ocupada,184,Chile,"Plato_16, Plato_6, Plato_3"</t>
  </si>
  <si>
    <t>16,Cliente_670,2,2023-04-02 02:47:00,2023-04-02 06:26:00,Mesero_1,Desayuno,Tarjeta de crédito,28.07,Libre,185,Uruguay,"Plato_13, Plato_16"</t>
  </si>
  <si>
    <t>13,Cliente_442,6,2023-04-02 00:40:00,2023-04-02 04:14:00,Mesero_1,Almuerzo,Tarjeta de crédito,17.55,Reservada,186,Colombia,"Plato_6, Plato_15, Plato_17"</t>
  </si>
  <si>
    <t>5,Cliente_752,1,2023-04-02 02:23:00,2023-04-02 05:28:00,Mesero_4,Almuerzo,Tarjeta de crédito,17.4,Libre,187,Venezuela,"Plato_18, Plato_10, Plato_9, Plato_6"</t>
  </si>
  <si>
    <t>20,Cliente_727,4,2023-04-02 03:40:00,2023-04-02 05:21:00,Mesero_3,Desayuno,Tarjeta de crédito,13.95,Reservada,188,Colombia,"Plato_17, Plato_10"</t>
  </si>
  <si>
    <t>11,Cliente_548,4,2023-04-02 03:48:00,2023-04-02 06:10:00,Mesero_2,Almuerzo,Tarjeta de crédito,41.66,Reservada,189,España,"Plato_18, Plato_10, Plato_7"</t>
  </si>
  <si>
    <t>5,Cliente_709,2,2023-04-02 01:31:00,2023-04-02 03:22:00,Mesero_2,Almuerzo,Tarjeta de crédito,38.88,Libre,190,Colombia,"Plato_4, Plato_20, Plato_8, Plato_14"</t>
  </si>
  <si>
    <t>12,Cliente_30,6,2023-04-02 00:00:00,2023-04-02 02:36:00,Mesero_2,Almuerzo,Tarjeta de crédito,24.36,Ocupada,191,Paraguay,"Plato_1, Plato_9"</t>
  </si>
  <si>
    <t>Cliente_412</t>
  </si>
  <si>
    <t>3,Cliente_646,5,2023-04-02 00:12:00,2023-04-02 03:04:00,Mesero_5,Desayuno,Tarjeta de crédito,24.85,Reservada,193,Argentina,"Plato_10, Plato_19, Plato_6, Plato_14"</t>
  </si>
  <si>
    <t>3,Cliente_151,6,2023-04-02 02:40:00,2023-04-02 03:56:00,Mesero_5,Almuerzo,Tarjeta de débito,11.41,Reservada,194,Perú,"Plato_11, Plato_2"</t>
  </si>
  <si>
    <t>Cliente_318</t>
  </si>
  <si>
    <t>4,Cliente_965,3,2023-04-02 00:11:00,2023-04-02 04:10:00,Mesero_2,Almuerzo,Tarjeta de crédito,42.65,Reservada,196,España,"Plato_3, Plato_14, Plato_9, Plato_16"</t>
  </si>
  <si>
    <t>5,Cliente_336,6,2023-04-02 02:46:00,2023-04-02 04:54:00,Mesero_2,Desayuno,Tarjeta de débito,20.11,Ocupada,197,Colombia,"Plato_18, Plato_6"</t>
  </si>
  <si>
    <t>Cliente_560</t>
  </si>
  <si>
    <t>11,Cliente_367,5,2023-04-02 01:56:00,2023-04-02 05:40:00,Mesero_2,Cena,Tarjeta de débito,13.26,Libre,199,Paraguay,"Plato_9, Plato_8, Plato_13, Plato_6"</t>
  </si>
  <si>
    <t>11,Cliente_765,4,2023-04-02 02:35:00,2023-04-02 05:26:00,Mesero_3,Almuerzo,Tarjeta de crédito,48.73,Reservada,200,Colombia,"Plato_12, Plato_1"</t>
  </si>
  <si>
    <t>3</t>
  </si>
  <si>
    <t>Cliente_679</t>
  </si>
  <si>
    <t>16,Cliente_512,5,2023-04-02 00:58:00,2023-04-02 02:00:00,Mesero_3,Almuerzo,Tarjeta de crédito,24.19,Ocupada,202,Bolivia,"Plato_19, Plato_20, Plato_7, Plato_2"</t>
  </si>
  <si>
    <t>5,Cliente_701,2,2023-04-02 03:57:00,2023-04-02 05:21:00,Mesero_1,Almuerzo,Tarjeta de crédito,40.19,Libre,203,Perú,"Plato_17, Plato_13"</t>
  </si>
  <si>
    <t>Cliente_331</t>
  </si>
  <si>
    <t>14,Cliente_83,1,2023-04-02 02:15:00,2023-04-02 06:14:00,Mesero_2,Almuerzo,Tarjeta de débito,26.49,Libre,205,Chile,"Plato_15, Plato_9"</t>
  </si>
  <si>
    <t>Cliente_339</t>
  </si>
  <si>
    <t>20,Cliente_323,3,2023-04-02 02:49:00,2023-04-02 04:02:00,Mesero_5,Cena,Tarjeta de crédito,46.54,Reservada,207,Brasil,"Plato_10, Plato_8, Plato_17"</t>
  </si>
  <si>
    <t>16,Cliente_678,4,2023-04-02 03:33:00,2023-04-02 06:36:00,Mesero_1,Almuerzo,Tarjeta de débito,36.7,Ocupada,208,Perú,"Plato_15, Plato_19, Plato_3"</t>
  </si>
  <si>
    <t>9,Cliente_74,6,2023-04-02 01:31:00,2023-04-02 04:06:00,Mesero_1,Cena,Efectivo,34.49,Reservada,209,Bolivia,"Plato_14, Plato_18, Plato_1, Plato_10"</t>
  </si>
  <si>
    <t>10,Cliente_146,4,2023-04-02 02:43:00,2023-04-02 04:29:00,Mesero_2,Desayuno,Tarjeta de crédito,14.67,Libre,210,Venezuela,"Plato_13, Plato_2, Plato_7, Plato_20"</t>
  </si>
  <si>
    <t>1,Cliente_212,2,2023-04-02 03:40:00,2023-04-02 05:26:00,Mesero_1,Almuerzo,Tarjeta de débito,11.13,Reservada,211,Argentina,"Plato_13, Plato_4, Plato_1, Plato_3"</t>
  </si>
  <si>
    <t>14,Cliente_36,6,2023-04-02 02:35:00,2023-04-02 03:40:00,Mesero_4,Almuerzo,Tarjeta de débito,18.85,Ocupada,212,Perú,"Plato_2, Plato_10, Plato_13, Plato_16"</t>
  </si>
  <si>
    <t>13,Cliente_3,6,2023-04-02 01:46:00,2023-04-02 04:58:00,Mesero_5,Almuerzo,Tarjeta de crédito,28.1,Libre,213,Perú,"Plato_6, Plato_2"</t>
  </si>
  <si>
    <t>2,Cliente_176,4,2023-04-02 03:18:00,2023-04-02 05:09:00,Mesero_1,Almuerzo,Tarjeta de débito,33.39,Ocupada,214,Argentina,"Plato_18, Plato_20, Plato_3"</t>
  </si>
  <si>
    <t>6,Cliente_551,4,2023-04-02 03:52:00,2023-04-02 06:25:00,Mesero_3,Almuerzo,Tarjeta de débito,35.64,Ocupada,215,Uruguay,"Plato_18, Plato_2"</t>
  </si>
  <si>
    <t>17,Cliente_240,6,2023-04-02 01:46:00,2023-04-02 05:36:00,Mesero_2,Almuerzo,Tarjeta de crédito,35.69,Libre,216,Uruguay,"Plato_1, Plato_13, Plato_6"</t>
  </si>
  <si>
    <t>13,Cliente_759,3,2023-04-02 00:27:00,2023-04-02 03:41:00,Mesero_5,Almuerzo,Tarjeta de crédito,23.34,Ocupada,218,Argentina,"Plato_12, Plato_6, Plato_14"</t>
  </si>
  <si>
    <t>1,Cliente_959,5,2023-04-02 02:33:00,2023-04-02 04:49:00,Mesero_3,Almuerzo,Tarjeta de crédito,46.96,Libre,219,Venezuela,"Plato_14, Plato_17"</t>
  </si>
  <si>
    <t>Cliente_151</t>
  </si>
  <si>
    <t>16,Cliente_744,1,2023-04-02 01:51:00,2023-04-02 03:05:00,Mesero_3,Almuerzo,Tarjeta de crédito,17.83,Libre,221,Chile,"Plato_15, Plato_18, Plato_9"</t>
  </si>
  <si>
    <t>3,Cliente_189,3,2023-04-02 03:38:00,2023-04-02 06:42:00,Mesero_5,Cena,Tarjeta de débito,32.58,Libre,222,Ecuador,"Plato_14, Plato_16"</t>
  </si>
  <si>
    <t>Cliente_576</t>
  </si>
  <si>
    <t>Cliente_474</t>
  </si>
  <si>
    <t>19,Cliente_990,4,2023-04-02 00:14:00,2023-04-02 01:24:00,Mesero_3,Desayuno,Tarjeta de crédito,35.02,Reservada,225,Perú,"Plato_11, Plato_14"</t>
  </si>
  <si>
    <t>7,Cliente_67,6,2023-04-02 00:58:00,2023-04-02 04:09:00,Mesero_1,Cena,Tarjeta de crédito,39.48,Reservada,226,Venezuela,"Plato_3, Plato_13, Plato_6, Plato_9"</t>
  </si>
  <si>
    <t>17,Cliente_378,6,2023-04-02 01:49:00,2023-04-02 04:52:00,Mesero_5,Almuerzo,Tarjeta de crédito,41.05,Libre,227,Chile,"Plato_7, Plato_17, Plato_16, Plato_11"</t>
  </si>
  <si>
    <t>Cliente_445</t>
  </si>
  <si>
    <t>14,Cliente_984,3,2023-04-02 02:34:00,2023-04-02 04:30:00,Mesero_2,Cena,Tarjeta de crédito,28.58,Reservada,229,Bolivia,"Plato_1, Plato_8, Plato_19, Plato_16"</t>
  </si>
  <si>
    <t>5,Cliente_167,5,2023-04-02 02:15:00,2023-04-02 04:48:00,Mesero_2,Almuerzo,Tarjeta de crédito,15.84,Libre,230,Venezuela,"Plato_15, Plato_16, Plato_17"</t>
  </si>
  <si>
    <t>8,Cliente_877,2,2023-04-02 01:12:00,2023-04-02 03:10:00,Mesero_2,Almuerzo,Tarjeta de crédito,49.1,Ocupada,231,Perú,"Plato_13, Plato_18, Plato_17, Plato_11"</t>
  </si>
  <si>
    <t>2,Cliente_494,2,2023-04-02 02:04:00,2023-04-02 03:25:00,Mesero_1,Almuerzo,Tarjeta de crédito,15.43,Reservada,232,Argentina,"Plato_7, Plato_6, Plato_2, Plato_10"</t>
  </si>
  <si>
    <t>Cliente_881</t>
  </si>
  <si>
    <t>17,Cliente_264,6,2023-04-02 02:46:00,2023-04-02 05:28:00,Mesero_3,Desayuno,Tarjeta de crédito,10.22,Libre,234,Brasil,"Plato_2, Plato_7, Plato_17"</t>
  </si>
  <si>
    <t>Cliente_230</t>
  </si>
  <si>
    <t>12,Cliente_142,2,2023-04-02 00:52:00,2023-04-02 02:26:00,Mesero_3,Almuerzo,Tarjeta de crédito,39.81,Libre,236,Argentina,"Plato_11, Plato_5, Plato_8, Plato_15"</t>
  </si>
  <si>
    <t>4,Cliente_55,6,2023-04-02 02:45:00,2023-04-02 06:00:00,Mesero_2,Almuerzo,Tarjeta de crédito,13.15,Ocupada,237,Perú,"Plato_14, Plato_2"</t>
  </si>
  <si>
    <t>Cliente_599</t>
  </si>
  <si>
    <t>12,Cliente_856,6,2023-04-02 02:46:00,2023-04-02 06:07:00,Mesero_4,Almuerzo,Efectivo,11.76,Reservada,239,Brasil,"Plato_10, Plato_7"</t>
  </si>
  <si>
    <t>9,Cliente_722,1,2023-04-02 00:16:00,2023-04-02 03:10:00,Mesero_3,Almuerzo,Tarjeta de débito,33.81,Libre,240,Perú,"Plato_17, Plato_14, Plato_4, Plato_15"</t>
  </si>
  <si>
    <t>Cliente_935</t>
  </si>
  <si>
    <t>12,Cliente_961,2,2023-04-02 03:42:00,2023-04-02 05:09:00,Mesero_2,Almuerzo,Tarjeta de crédito,31.29,Reservada,242,Venezuela,"Plato_10, Plato_1, Plato_11"</t>
  </si>
  <si>
    <t>Cliente_924</t>
  </si>
  <si>
    <t>17,Cliente_390,6,2023-04-02 03:44:00,2023-04-02 06:01:00,Mesero_3,Almuerzo,Efectivo,17.65,Reservada,244,Perú,"Plato_20, Plato_12"</t>
  </si>
  <si>
    <t>11,Cliente_579,1,2023-04-02 03:31:00,2023-04-02 06:57:00,Mesero_1,Almuerzo,Tarjeta de crédito,14.82,Reservada,245,Bolivia,"Plato_4, Plato_17, Plato_20, Plato_19"</t>
  </si>
  <si>
    <t>2,Cliente_961,6,2023-04-02 01:50:00,2023-04-02 04:09:00,Mesero_2,Almuerzo,Tarjeta de crédito,42.75,Libre,246,Bolivia,"Plato_6, Plato_7, Plato_8, Plato_17"</t>
  </si>
  <si>
    <t>11</t>
  </si>
  <si>
    <t>Cliente_788</t>
  </si>
  <si>
    <t>12,Cliente_567,6,2023-04-02 00:26:00,2023-04-02 02:18:00,Mesero_2,Almuerzo,Tarjeta de débito,18.69,Ocupada,248,Chile,"Plato_18, Plato_9, Plato_6, Plato_1"</t>
  </si>
  <si>
    <t>8,Cliente_927,6,2023-04-02 00:58:00,2023-04-02 03:55:00,Mesero_2,Cena,Tarjeta de crédito,47.71,Ocupada,249,España,"Plato_5, Plato_4"</t>
  </si>
  <si>
    <t>Cliente_539</t>
  </si>
  <si>
    <t>12,Cliente_872,6,2023-04-02 01:20:00,2023-04-02 04:24:00,Mesero_1,Almuerzo,Tarjeta de crédito,13.69,Ocupada,251,Uruguay,"Plato_10, Plato_5, Plato_14, Plato_12"</t>
  </si>
  <si>
    <t>4,Cliente_425,3,2023-04-02 00:39:00,2023-04-02 04:24:00,Mesero_4,Almuerzo,Tarjeta de crédito,43.81,Libre,252,Colombia,"Plato_1, Plato_10"</t>
  </si>
  <si>
    <t>8,Cliente_700,2,2023-04-02 00:54:00,2023-04-02 03:45:00,Mesero_3,Cena,Tarjeta de crédito,34.69,Ocupada,253,Argentina,"Plato_1, Plato_13, Plato_9"</t>
  </si>
  <si>
    <t>10,Cliente_665,6,2023-04-02 03:05:00,2023-04-02 05:47:00,Mesero_1,Cena,Tarjeta de crédito,36.43,Reservada,254,Paraguay,"Plato_17, Plato_10, Plato_18, Plato_16"</t>
  </si>
  <si>
    <t>Cliente_978</t>
  </si>
  <si>
    <t>Cliente_577</t>
  </si>
  <si>
    <t>Cliente_429</t>
  </si>
  <si>
    <t>12,Cliente_811,1,2023-04-02 00:39:00,2023-04-02 04:32:00,Mesero_2,Desayuno,Tarjeta de crédito,47.99,Reservada,258,Bolivia,"Plato_1, Plato_3, Plato_15, Plato_20"</t>
  </si>
  <si>
    <t>Cliente_553</t>
  </si>
  <si>
    <t>Cliente_228</t>
  </si>
  <si>
    <t>8,Cliente_249,1,2023-04-02 01:08:00,2023-04-02 02:55:00,Mesero_4,Almuerzo,Tarjeta de crédito,32.42,Ocupada,261,Chile,"Plato_15, Plato_9"</t>
  </si>
  <si>
    <t>18,Cliente_326,4,2023-04-02 03:44:00,2023-04-02 07:21:00,Mesero_2,Almuerzo,Tarjeta de crédito,42.83,Ocupada,262,Venezuela,"Plato_5, Plato_17"</t>
  </si>
  <si>
    <t>5,Cliente_697,1,2023-04-02 02:53:00,2023-04-02 05:26:00,Mesero_1,Desayuno,Tarjeta de crédito,42.96,Libre,263,Uruguay,"Plato_15, Plato_8, Plato_2, Plato_7"</t>
  </si>
  <si>
    <t>2,Cliente_281,1,2023-04-02 03:11:00,2023-04-02 04:26:00,Mesero_1,Almuerzo,Tarjeta de crédito,49.21,Libre,264,Bolivia,"Plato_8, Plato_15, Plato_2, Plato_1"</t>
  </si>
  <si>
    <t>6,Cliente_686,1,2023-04-02 02:54:00,2023-04-02 06:15:00,Mesero_2,Desayuno,Tarjeta de débito,21.48,Libre,265,Chile,"Plato_14, Plato_17, Plato_6, Plato_2"</t>
  </si>
  <si>
    <t>4,Cliente_418,4,2023-04-02 00:30:00,2023-04-02 02:04:00,Mesero_2,Almuerzo,Tarjeta de crédito,24.75,Reservada,266,Paraguay,"Plato_7, Plato_1"</t>
  </si>
  <si>
    <t>7,Cliente_397,5,2023-04-03 02:07:00,2023-04-03 03:48:00,Mesero_2,Cena,Tarjeta de crédito,44.66,Ocupada,267,España,"Plato_15, Plato_16, Plato_2"</t>
  </si>
  <si>
    <t>14,Cliente_477,1,2023-04-03 00:46:00,2023-04-03 03:44:00,Mesero_3,Almuerzo,Tarjeta de débito,23.16,Libre,268,Uruguay,"Plato_7, Plato_5"</t>
  </si>
  <si>
    <t>11,Cliente_300,2,2023-04-03 02:58:00,2023-04-03 04:15:00,Mesero_2,Almuerzo,Tarjeta de débito,39.17,Libre,269,Venezuela,"Plato_19, Plato_20, Plato_18"</t>
  </si>
  <si>
    <t>Cliente_775</t>
  </si>
  <si>
    <t>Cliente_928</t>
  </si>
  <si>
    <t>7,Cliente_132,1,2023-04-03 00:34:00,2023-04-03 04:24:00,Mesero_4,Almuerzo,Tarjeta de crédito,42.73,Reservada,272,España,"Plato_7, Plato_8"</t>
  </si>
  <si>
    <t>20,Cliente_709,5,2023-04-03 01:47:00,2023-04-03 03:29:00,Mesero_2,Almuerzo,Efectivo,36.3,Ocupada,273,Colombia,"Plato_15, Plato_5, Plato_1"</t>
  </si>
  <si>
    <t>7,Cliente_53,1,2023-04-03 03:15:00,2023-04-03 05:52:00,Mesero_1,Almuerzo,Tarjeta de débito,19.93,Ocupada,274,Brasil,"Plato_10, Plato_12"</t>
  </si>
  <si>
    <t>5,Cliente_765,3,2023-04-03 02:13:00,2023-04-03 05:58:00,Mesero_2,Almuerzo,Tarjeta de crédito,49.67,Reservada,275,Bolivia,"Plato_11, Plato_17, Plato_10"</t>
  </si>
  <si>
    <t>15,Cliente_673,6,2023-04-03 02:35:00,2023-04-03 05:34:00,Mesero_4,Almuerzo,Tarjeta de débito,20.98,Reservada,276,Ecuador,"Plato_5, Plato_10"</t>
  </si>
  <si>
    <t>Cliente_243</t>
  </si>
  <si>
    <t>5,Cliente_999,4,2023-04-03 03:10:00,2023-04-03 05:12:00,Mesero_3,Almuerzo,Efectivo,41.36,Libre,278,Venezuela,"Plato_17, Plato_7"</t>
  </si>
  <si>
    <t>11,Cliente_510,5,2023-04-03 00:15:00,2023-04-03 02:35:00,Mesero_2,Cena,Tarjeta de crédito,43.53,Libre,279,Venezuela,"Plato_20, Plato_8, Plato_4, Plato_16"</t>
  </si>
  <si>
    <t>14,Cliente_730,6,2023-04-03 00:30:00,2023-04-03 02:41:00,Mesero_5,Almuerzo,Tarjeta de crédito,36.08,Reservada,280,Ecuador,"Plato_7, Plato_14"</t>
  </si>
  <si>
    <t>Cliente_617</t>
  </si>
  <si>
    <t>6,Cliente_827,1,2023-04-03 01:11:00,2023-04-03 05:02:00,Mesero_4,Almuerzo,Tarjeta de crédito,19.05,Libre,282,Uruguay,"Plato_4, Plato_3"</t>
  </si>
  <si>
    <t>Cliente_184</t>
  </si>
  <si>
    <t>11,Cliente_345,4,2023-04-03 02:28:00,2023-04-03 04:37:00,Mesero_5,Almuerzo,Tarjeta de débito,29.99,Ocupada,284,Perú,"Plato_3, Plato_6, Plato_12, Plato_11"</t>
  </si>
  <si>
    <t>Cliente_277</t>
  </si>
  <si>
    <t>Cliente_244</t>
  </si>
  <si>
    <t>20,Cliente_286,2,2023-04-03 03:37:00,2023-04-03 04:44:00,Mesero_5,Almuerzo,Tarjeta de débito,31.67,Reservada,287,Colombia,"Plato_15, Plato_14, Plato_2"</t>
  </si>
  <si>
    <t>15,Cliente_981,3,2023-04-03 02:08:00,2023-04-03 05:33:00,Mesero_5,Cena,Tarjeta de crédito,13.3,Reservada,288,Uruguay,"Plato_7, Plato_12"</t>
  </si>
  <si>
    <t>15,Cliente_24,5,2023-04-03 03:08:00,2023-04-03 06:23:00,Mesero_5,Almuerzo,Tarjeta de débito,26.56,Libre,289,España,"Plato_3, Plato_10"</t>
  </si>
  <si>
    <t>Cliente_26</t>
  </si>
  <si>
    <t>2,Cliente_463,6,2023-04-03 03:18:00,2023-04-03 06:09:00,Mesero_2,Desayuno,Efectivo,15.44,Ocupada,291,Bolivia,"Plato_18, Plato_1, Plato_8, Plato_17"</t>
  </si>
  <si>
    <t>Cliente_746</t>
  </si>
  <si>
    <t>16,Cliente_409,4,2023-04-03 02:55:00,2023-04-03 04:35:00,Mesero_3,Almuerzo,Tarjeta de débito,33.11,Reservada,293,Argentina,"Plato_16, Plato_2, Plato_19"</t>
  </si>
  <si>
    <t>17,Cliente_339,6,2023-04-03 00:26:00,2023-04-03 03:57:00,Mesero_2,Desayuno,Tarjeta de crédito,20.36,Libre,294,Colombia,"Plato_17, Plato_19, Plato_4, Plato_18"</t>
  </si>
  <si>
    <t>3,Cliente_729,1,2023-04-03 00:10:00,2023-04-03 02:01:00,Mesero_2,Almuerzo,Tarjeta de crédito,46.42,Reservada,295,Uruguay,"Plato_15, Plato_2, Plato_17, Plato_13"</t>
  </si>
  <si>
    <t>14,Cliente_565,1,2023-04-03 02:49:00,2023-04-03 05:58:00,Mesero_2,Cena,Tarjeta de crédito,29.07,Ocupada,296,España,"Plato_14, Plato_19"</t>
  </si>
  <si>
    <t>4,Cliente_873,3,2023-04-03 01:03:00,2023-04-03 04:27:00,Mesero_1,Almuerzo,Tarjeta de crédito,43.46,Ocupada,297,España,"Plato_9, Plato_4, Plato_13"</t>
  </si>
  <si>
    <t>11,Cliente_195,4,2023-04-03 03:14:00,2023-04-03 05:29:00,Mesero_5,Desayuno,Tarjeta de crédito,23.24,Reservada,298,Bolivia,"Plato_6, Plato_19, Plato_5"</t>
  </si>
  <si>
    <t>6,Cliente_211,1,2023-04-03 01:19:00,2023-04-03 02:45:00,Mesero_5,Cena,Efectivo,29.68,Ocupada,299,Uruguay,"Plato_3, Plato_19, Plato_7, Plato_4"</t>
  </si>
  <si>
    <t>18,Cliente_516,6,2023-04-03 02:17:00,2023-04-03 04:19:00,Mesero_2,Desayuno,Tarjeta de crédito,38.38,Reservada,300,Paraguay,"Plato_20, Plato_4, Plato_10, Plato_2"</t>
  </si>
  <si>
    <t>8,Cliente_385,6,2023-04-03 02:14:00,2023-04-03 04:08:00,Mesero_5,Almuerzo,Tarjeta de crédito,16.52,Reservada,301,Uruguay,"Plato_17, Plato_10, Plato_9, Plato_3"</t>
  </si>
  <si>
    <t>Cliente_929</t>
  </si>
  <si>
    <t>14,Cliente_986,5,2023-04-03 03:38:00,2023-04-03 06:24:00,Mesero_5,Desayuno,Tarjeta de débito,16.49,Ocupada,303,Brasil,"Plato_3, Plato_20, Plato_10, Plato_7"</t>
  </si>
  <si>
    <t>6,Cliente_994,4,2023-04-03 03:24:00,2023-04-03 04:40:00,Mesero_1,Almuerzo,Tarjeta de crédito,22.05,Reservada,304,Colombia,"Plato_15, Plato_13, Plato_20, Plato_17"</t>
  </si>
  <si>
    <t>1,Cliente_648,2,2023-04-03 00:45:00,2023-04-03 04:13:00,Mesero_1,Almuerzo,Tarjeta de crédito,37.92,Reservada,305,Chile,"Plato_8, Plato_14"</t>
  </si>
  <si>
    <t>Cliente_702</t>
  </si>
  <si>
    <t>14,Cliente_846,6,2023-04-03 01:55:00,2023-04-03 04:39:00,Mesero_2,Almuerzo,Tarjeta de crédito,33.79,Reservada,308,Uruguay,"Plato_18, Plato_8, Plato_17, Plato_16"</t>
  </si>
  <si>
    <t>9,Cliente_620,3,2023-04-03 00:28:00,2023-04-03 04:05:00,Mesero_1,Almuerzo,Tarjeta de crédito,36.09,Reservada,309,Argentina,"Plato_20, Plato_17, Plato_8"</t>
  </si>
  <si>
    <t>17,Cliente_672,3,2023-04-03 03:04:00,2023-04-03 06:23:00,Mesero_5,Cena,Tarjeta de crédito,11.47,Libre,310,Uruguay,"Plato_10, Plato_2"</t>
  </si>
  <si>
    <t>6,Cliente_735,4,2023-04-03 01:40:00,2023-04-03 02:43:00,Mesero_3,Desayuno,Efectivo,39.27,Ocupada,311,Paraguay,"Plato_7, Plato_9"</t>
  </si>
  <si>
    <t>2,Cliente_268,4,2023-04-03 03:07:00,2023-04-03 06:12:00,Mesero_3,Almuerzo,Tarjeta de crédito,30.89,Reservada,312,Uruguay,"Plato_15, Plato_8"</t>
  </si>
  <si>
    <t>10,Cliente_974,3,2023-04-03 02:23:00,2023-04-03 05:46:00,Mesero_1,Desayuno,Tarjeta de débito,43.14,Reservada,313,España,"Plato_12, Plato_17, Plato_19, Plato_7"</t>
  </si>
  <si>
    <t>Cliente_161</t>
  </si>
  <si>
    <t>14,Cliente_600,1,2023-04-03 00:12:00,2023-04-03 03:29:00,Mesero_2,Almuerzo,Tarjeta de crédito,20.6,Libre,315,Chile,"Plato_1, Plato_16, Plato_9, Plato_13"</t>
  </si>
  <si>
    <t>2,Cliente_654,2,2023-04-03 01:38:00,2023-04-03 05:32:00,Mesero_5,Desayuno,Tarjeta de crédito,31.13,Reservada,316,Perú,"Plato_4, Plato_13, Plato_6, Plato_20"</t>
  </si>
  <si>
    <t>17,Cliente_440,2,2023-04-03 02:25:00,2023-04-03 06:16:00,Mesero_2,Desayuno,Efectivo,24.55,Libre,317,Uruguay,"Plato_5, Plato_18, Plato_15"</t>
  </si>
  <si>
    <t>Cliente_269</t>
  </si>
  <si>
    <t>1,Cliente_12,1,2023-04-03 00:48:00,2023-04-03 03:59:00,Mesero_1,Almuerzo,Efectivo,30.05,Libre,319,Bolivia,"Plato_15, Plato_8, Plato_20, Plato_17"</t>
  </si>
  <si>
    <t>9,Cliente_294,1,2023-04-03 01:30:00,2023-04-03 04:17:00,Mesero_3,Almuerzo,Tarjeta de débito,44.02,Reservada,320,España,"Plato_13, Plato_5, Plato_18"</t>
  </si>
  <si>
    <t>18,Cliente_659,5,2023-04-03 02:04:00,2023-04-03 04:18:00,Mesero_1,Almuerzo,Tarjeta de crédito,23.59,Libre,321,Venezuela,"Plato_16, Plato_5, Plato_14"</t>
  </si>
  <si>
    <t>12,Cliente_47,1,2023-04-03 03:41:00,2023-04-03 05:47:00,Mesero_2,Cena,Tarjeta de crédito,24.69,Ocupada,322,Ecuador,"Plato_15, Plato_13"</t>
  </si>
  <si>
    <t>8,Cliente_544,1,2023-04-03 01:23:00,2023-04-03 04:19:00,Mesero_5,Desayuno,Efectivo,44.3,Libre,323,Chile,"Plato_5, Plato_9, Plato_7, Plato_4"</t>
  </si>
  <si>
    <t>9,Cliente_633,6,2023-04-03 00:43:00,2023-04-03 01:51:00,Mesero_1,Cena,Tarjeta de crédito,21.6,Libre,324,Perú,"Plato_2, Plato_6, Plato_10"</t>
  </si>
  <si>
    <t>18,Cliente_154,1,2023-04-03 01:00:00,2023-04-03 02:18:00,Mesero_2,Almuerzo,Tarjeta de crédito,32.5,Reservada,325,Perú,"Plato_13, Plato_17, Plato_8, Plato_15"</t>
  </si>
  <si>
    <t>14,Cliente_489,4,2023-04-04 01:39:00,2023-04-04 05:34:00,Mesero_1,Desayuno,Tarjeta de débito,13.85,Ocupada,326,Perú,"Plato_8, Plato_4, Plato_16"</t>
  </si>
  <si>
    <t>12,Cliente_336,5,2023-04-04 02:59:00,2023-04-04 04:36:00,Mesero_5,Cena,Tarjeta de crédito,15.08,Reservada,327,Colombia,"Plato_18, Plato_4, Plato_6"</t>
  </si>
  <si>
    <t>Cliente_350</t>
  </si>
  <si>
    <t>13,Cliente_797,1,2023-04-04 00:26:00,2023-04-04 02:41:00,Mesero_2,Almuerzo,Tarjeta de crédito,38.89,Ocupada,329,Bolivia,"Plato_13, Plato_20, Plato_17, Plato_14"</t>
  </si>
  <si>
    <t>10,Cliente_436,6,2023-04-04 01:50:00,2023-04-04 03:57:00,Mesero_3,Desayuno,Tarjeta de crédito,32.17,Ocupada,330,Bolivia,"Plato_1, Plato_16, Plato_14, Plato_13"</t>
  </si>
  <si>
    <t>20,Cliente_597,3,2023-04-04 03:06:00,2023-04-04 06:17:00,Mesero_4,Cena,Tarjeta de débito,36.61,Reservada,331,Paraguay,"Plato_12, Plato_8, Plato_7, Plato_1"</t>
  </si>
  <si>
    <t>Cliente_823</t>
  </si>
  <si>
    <t>6,Cliente_690,1,2023-04-04 03:10:00,2023-04-04 04:29:00,Mesero_4,Cena,Tarjeta de crédito,13.19,Libre,333,Paraguay,"Plato_19, Plato_4"</t>
  </si>
  <si>
    <t>12,Cliente_216,4,2023-04-04 02:51:00,2023-04-04 06:31:00,Mesero_1,Desayuno,Tarjeta de crédito,17.5,Libre,334,Argentina,"Plato_13, Plato_14, Plato_7, Plato_2"</t>
  </si>
  <si>
    <t>14,Cliente_546,3,2023-04-04 01:56:00,2023-04-04 03:09:00,Mesero_4,Almuerzo,Tarjeta de débito,41.56,Libre,335,Brasil,"Plato_2, Plato_16"</t>
  </si>
  <si>
    <t>4,Cliente_524,5,2023-04-04 01:35:00,2023-04-04 04:51:00,Mesero_2,Cena,Tarjeta de crédito,17.93,Libre,336,Argentina,"Plato_13, Plato_12, Plato_10"</t>
  </si>
  <si>
    <t>11,Cliente_193,2,2023-04-04 01:38:00,2023-04-04 04:31:00,Mesero_5,Cena,Tarjeta de crédito,19.28,Reservada,337,Brasil,"Plato_7, Plato_16"</t>
  </si>
  <si>
    <t>18,Cliente_794,2,2023-04-04 00:32:00,2023-04-04 03:30:00,Mesero_5,Almuerzo,Tarjeta de débito,30.62,Reservada,338,Ecuador,"Plato_18, Plato_13, Plato_15, Plato_3"</t>
  </si>
  <si>
    <t>13,Cliente_602,2,2023-04-04 00:00:00,2023-04-04 02:01:00,Mesero_3,Desayuno,Tarjeta de débito,19.6,Reservada,339,Perú,"Plato_9, Plato_14"</t>
  </si>
  <si>
    <t>15,Cliente_296,1,2023-04-04 01:12:00,2023-04-04 04:38:00,Mesero_3,Almuerzo,Tarjeta de crédito,38.52,Libre,340,España,"Plato_20, Plato_16"</t>
  </si>
  <si>
    <t>14,Cliente_568,5,2023-04-04 02:05:00,2023-04-04 04:19:00,Mesero_3,Desayuno,Tarjeta de crédito,47.05,Libre,341,Perú,"Plato_16, Plato_5, Plato_8"</t>
  </si>
  <si>
    <t>19,Cliente_897,5,2023-04-04 02:30:00,2023-04-04 06:11:00,Mesero_3,Desayuno,Tarjeta de crédito,20.06,Libre,342,Bolivia,"Plato_14, Plato_16"</t>
  </si>
  <si>
    <t>12,Cliente_816,1,2023-04-04 03:56:00,2023-04-04 05:45:00,Mesero_5,Almuerzo,Tarjeta de crédito,23.01,Ocupada,343,Perú,"Plato_18, Plato_14"</t>
  </si>
  <si>
    <t>15,Cliente_221,3,2023-04-04 00:46:00,2023-04-04 02:04:00,Mesero_2,Almuerzo,Tarjeta de crédito,33.01,Ocupada,344,Chile,"Plato_8, Plato_17, Plato_15, Plato_5"</t>
  </si>
  <si>
    <t>Cliente_755</t>
  </si>
  <si>
    <t>Cliente_289</t>
  </si>
  <si>
    <t>Cliente_476</t>
  </si>
  <si>
    <t>16,Cliente_940,2,2023-04-04 01:17:00,2023-04-04 04:59:00,Mesero_2,Almuerzo,Tarjeta de crédito,30.78,Ocupada,348,Paraguay,"Plato_10, Plato_3"</t>
  </si>
  <si>
    <t>13,Cliente_707,1,2023-04-04 03:48:00,2023-04-04 07:31:00,Mesero_5,Desayuno,Tarjeta de crédito,40.63,Ocupada,349,Brasil,"Plato_2, Plato_12, Plato_8"</t>
  </si>
  <si>
    <t>2,Cliente_644,6,2023-04-04 00:35:00,2023-04-04 02:59:00,Mesero_5,Desayuno,Tarjeta de débito,36.21,Reservada,350,Colombia,"Plato_17, Plato_6"</t>
  </si>
  <si>
    <t>1,Cliente_619,6,2023-04-04 03:52:00,2023-04-04 06:09:00,Mesero_1,Desayuno,Tarjeta de crédito,48.93,Libre,351,Brasil,"Plato_15, Plato_8"</t>
  </si>
  <si>
    <t>Cliente_780</t>
  </si>
  <si>
    <t>7,Cliente_833,5,2023-04-04 03:46:00,2023-04-04 07:36:00,Mesero_5,Cena,Tarjeta de crédito,27.37,Reservada,353,Brasil,"Plato_5, Plato_2, Plato_8, Plato_18"</t>
  </si>
  <si>
    <t>12,Cliente_899,6,2023-04-04 00:26:00,2023-04-04 03:24:00,Mesero_5,Desayuno,Tarjeta de crédito,29.58,Ocupada,354,Paraguay,"Plato_12, Plato_15, Plato_4, Plato_7"</t>
  </si>
  <si>
    <t>Cliente_523</t>
  </si>
  <si>
    <t>Cliente_498</t>
  </si>
  <si>
    <t>17,Cliente_470,2,2023-04-04 01:19:00,2023-04-04 04:26:00,Mesero_3,Desayuno,Tarjeta de débito,26.87,Ocupada,357,Chile,"Plato_1, Plato_3, Plato_6, Plato_5"</t>
  </si>
  <si>
    <t>13,Cliente_827,5,2023-04-04 02:37:00,2023-04-04 05:57:00,Mesero_5,Cena,Tarjeta de crédito,42.1,Reservada,358,Uruguay,"Plato_10, Plato_4, Plato_3"</t>
  </si>
  <si>
    <t>11,Cliente_92,2,2023-04-04 00:41:00,2023-04-04 04:10:00,Mesero_2,Almuerzo,Tarjeta de crédito,12.2,Reservada,359,Perú,"Plato_5, Plato_16, Plato_9, Plato_10"</t>
  </si>
  <si>
    <t>16,Cliente_191,3,2023-04-04 01:10:00,2023-04-04 04:58:00,Mesero_3,Almuerzo,Tarjeta de crédito,39.26,Ocupada,360,Perú,"Plato_13, Plato_2, Plato_10, Plato_15"</t>
  </si>
  <si>
    <t>16,Cliente_183,1,2023-04-04 01:53:00,2023-04-04 05:28:00,Mesero_2,Cena,Efectivo,41.73,Libre,361,Colombia,"Plato_9, Plato_7"</t>
  </si>
  <si>
    <t>15,Cliente_681,2,2023-04-04 02:03:00,2023-04-04 05:59:00,Mesero_1,Almuerzo,Tarjeta de crédito,47.21,Libre,362,Uruguay,"Plato_3, Plato_7, Plato_4"</t>
  </si>
  <si>
    <t>5,Cliente_499,2,2023-04-04 01:46:00,2023-04-04 03:29:00,Mesero_3,Almuerzo,Tarjeta de crédito,49.02,Ocupada,363,Brasil,"Plato_2, Plato_7, Plato_19, Plato_11"</t>
  </si>
  <si>
    <t>15,Cliente_495,2,2023-04-04 03:50:00,2023-04-04 07:10:00,Mesero_5,Almuerzo,Tarjeta de débito,48.28,Reservada,364,Brasil,"Plato_16, Plato_5, Plato_1, Plato_9"</t>
  </si>
  <si>
    <t>Cliente_54</t>
  </si>
  <si>
    <t>17,Cliente_923,5,2023-04-04 01:33:00,2023-04-04 04:46:00,Mesero_3,Almuerzo,Efectivo,10.57,Reservada,366,Chile,"Plato_6, Plato_8, Plato_20"</t>
  </si>
  <si>
    <t>12,Cliente_453,2,2023-04-04 00:53:00,2023-04-04 03:45:00,Mesero_3,Cena,Tarjeta de crédito,12.62,Libre,367,Chile,"Plato_10, Plato_9, Plato_3"</t>
  </si>
  <si>
    <t>13,Cliente_14,1,2023-04-04 03:24:00,2023-04-04 05:33:00,Mesero_1,Desayuno,Tarjeta de débito,37.65,Ocupada,368,Colombia,"Plato_11, Plato_7"</t>
  </si>
  <si>
    <t>20,Cliente_611,2,2023-04-04 02:11:00,2023-04-04 05:54:00,Mesero_5,Almuerzo,Tarjeta de crédito,34.83,Libre,369,Uruguay,"Plato_17, Plato_14, Plato_16, Plato_10"</t>
  </si>
  <si>
    <t>Cliente_666</t>
  </si>
  <si>
    <t>4,Cliente_505,3,2023-04-04 01:16:00,2023-04-04 04:31:00,Mesero_4,Cena,Tarjeta de crédito,32.51,Ocupada,371,Ecuador,"Plato_17, Plato_19, Plato_16, Plato_14"</t>
  </si>
  <si>
    <t>Cliente_858</t>
  </si>
  <si>
    <t>19,Cliente_882,2,2023-04-04 00:37:00,2023-04-04 03:11:00,Mesero_5,Desayuno,Tarjeta de débito,26.62,Ocupada,373,Argentina,"Plato_13, Plato_8, Plato_5, Plato_3"</t>
  </si>
  <si>
    <t>Cliente_275</t>
  </si>
  <si>
    <t>Cliente_871</t>
  </si>
  <si>
    <t>Cliente_183</t>
  </si>
  <si>
    <t>5,Cliente_841,1,2023-04-04 01:18:00,2023-04-04 04:46:00,Mesero_4,Almuerzo,Tarjeta de crédito,14.96,Libre,377,Paraguay,"Plato_18, Plato_15"</t>
  </si>
  <si>
    <t>3,Cliente_789,1,2023-04-04 03:55:00,2023-04-04 05:18:00,Mesero_1,Almuerzo,Efectivo,40.31,Libre,378,Perú,"Plato_2, Plato_12"</t>
  </si>
  <si>
    <t>Cliente_442</t>
  </si>
  <si>
    <t>5,Cliente_964,1,2023-04-04 00:58:00,2023-04-04 04:33:00,Mesero_3,Cena,Tarjeta de débito,22.53,Libre,380,Argentina,"Plato_11, Plato_12"</t>
  </si>
  <si>
    <t>4,Cliente_141,1,2023-04-04 00:57:00,2023-04-04 04:32:00,Mesero_1,Desayuno,Tarjeta de débito,27.69,Libre,381,Uruguay,"Plato_10, Plato_11"</t>
  </si>
  <si>
    <t>Cliente_992</t>
  </si>
  <si>
    <t>1,Cliente_622,5,2023-04-04 00:11:00,2023-04-04 02:33:00,Mesero_1,Desayuno,Tarjeta de débito,39.32,Reservada,384,Venezuela,"Plato_4, Plato_12, Plato_6"</t>
  </si>
  <si>
    <t>Cliente_508</t>
  </si>
  <si>
    <t>Cliente_436</t>
  </si>
  <si>
    <t>Cliente_676</t>
  </si>
  <si>
    <t>18,Cliente_768,2,2023-04-05 00:33:00,2023-04-05 03:35:00,Mesero_2,Almuerzo,Tarjeta de crédito,27.03,Libre,388,España,"Plato_17, Plato_19, Plato_9, Plato_11"</t>
  </si>
  <si>
    <t>Cliente_667</t>
  </si>
  <si>
    <t>9,Cliente_874,2,2023-04-05 02:59:00,2023-04-05 05:19:00,Mesero_3,Almuerzo,Tarjeta de crédito,42.68,Reservada,390,Chile,"Plato_5, Plato_10, Plato_13"</t>
  </si>
  <si>
    <t>Cliente_609</t>
  </si>
  <si>
    <t>14,Cliente_471,3,2023-04-05 00:33:00,2023-04-05 04:08:00,Mesero_2,Almuerzo,Tarjeta de crédito,32.73,Ocupada,392,Bolivia,"Plato_15, Plato_7"</t>
  </si>
  <si>
    <t>13,Cliente_196,3,2023-04-05 02:33:00,2023-04-05 05:17:00,Mesero_4,Almuerzo,Tarjeta de crédito,12.54,Ocupada,393,Colombia,"Plato_12, Plato_8, Plato_13, Plato_5"</t>
  </si>
  <si>
    <t>17,Cliente_740,1,2023-04-05 03:26:00,2023-04-05 07:02:00,Mesero_3,Almuerzo,Tarjeta de crédito,18.05,Ocupada,394,Brasil,"Plato_7, Plato_9"</t>
  </si>
  <si>
    <t>Cliente_563</t>
  </si>
  <si>
    <t>11,Cliente_991,1,2023-04-05 00:32:00,2023-04-05 03:36:00,Mesero_2,Cena,Efectivo,34.5,Libre,396,Perú,"Plato_3, Plato_13"</t>
  </si>
  <si>
    <t>4,Cliente_289,2,2023-04-05 00:20:00,2023-04-05 01:34:00,Mesero_4,Desayuno,Tarjeta de débito,37.79,Libre,397,Chile,"Plato_6, Plato_17"</t>
  </si>
  <si>
    <t>9,Cliente_330,5,2023-04-05 03:10:00,2023-04-05 07:05:00,Mesero_1,Desayuno,Tarjeta de crédito,48.96,Libre,398,Perú,"Plato_16, Plato_11"</t>
  </si>
  <si>
    <t>7,Cliente_943,6,2023-04-05 02:48:00,2023-04-05 05:40:00,Mesero_5,Almuerzo,Tarjeta de crédito,27.32,Libre,399,España,"Plato_11, Plato_19"</t>
  </si>
  <si>
    <t>9,Cliente_285,4,2023-04-05 02:11:00,2023-04-05 04:14:00,Mesero_4,Almuerzo,Tarjeta de crédito,42.96,Reservada,400,Brasil,"Plato_20, Plato_16, Plato_17"</t>
  </si>
  <si>
    <t>Cliente_12</t>
  </si>
  <si>
    <t>18,Cliente_905,1,2023-04-05 02:41:00,2023-04-05 05:08:00,Mesero_3,Almuerzo,Tarjeta de crédito,31.02,Reservada,402,Colombia,"Plato_1, Plato_12, Plato_5"</t>
  </si>
  <si>
    <t>14,Cliente_543,5,2023-04-05 02:15:00,2023-04-05 05:15:00,Mesero_1,Almuerzo,Tarjeta de crédito,14.76,Libre,403,Chile,"Plato_5, Plato_4, Plato_15, Plato_7"</t>
  </si>
  <si>
    <t>17,Cliente_897,2,2023-04-05 00:38:00,2023-04-05 04:29:00,Mesero_5,Almuerzo,Tarjeta de crédito,32.56,Libre,404,España,"Plato_13, Plato_3, Plato_20"</t>
  </si>
  <si>
    <t>5,Cliente_239,6,2023-04-05 02:39:00,2023-04-05 04:59:00,Mesero_2,Cena,Tarjeta de crédito,14.56,Reservada,405,Argentina,"Plato_10, Plato_20, Plato_3"</t>
  </si>
  <si>
    <t>14,Cliente_927,5,2023-04-05 00:29:00,2023-04-05 02:37:00,Mesero_2,Cena,Efectivo,34.03,Ocupada,406,España,"Plato_3, Plato_8, Plato_1"</t>
  </si>
  <si>
    <t>4,Cliente_315,1,2023-04-05 02:13:00,2023-04-05 04:51:00,Mesero_4,Desayuno,Tarjeta de débito,22.98,Reservada,407,Ecuador,"Plato_3, Plato_8"</t>
  </si>
  <si>
    <t>17,Cliente_195,3,2023-04-05 00:56:00,2023-04-05 04:05:00,Mesero_2,Almuerzo,Tarjeta de crédito,10.14,Ocupada,408,Chile,"Plato_1, Plato_7, Plato_18"</t>
  </si>
  <si>
    <t>15,Cliente_166,5,2023-04-05 01:55:00,2023-04-05 03:01:00,Mesero_1,Almuerzo,Tarjeta de crédito,48.7,Reservada,409,Chile,"Plato_13, Plato_20, Plato_16, Plato_7"</t>
  </si>
  <si>
    <t>1,Cliente_157,3,2023-04-05 02:47:00,2023-04-05 05:23:00,Mesero_4,Cena,Tarjeta de crédito,43.65,Reservada,410,Perú,"Plato_3, Plato_19"</t>
  </si>
  <si>
    <t>3,Cliente_212,3,2023-04-05 02:11:00,2023-04-05 05:04:00,Mesero_1,Almuerzo,Tarjeta de débito,21.88,Ocupada,411,Colombia,"Plato_20, Plato_4, Plato_6"</t>
  </si>
  <si>
    <t>Cliente_912</t>
  </si>
  <si>
    <t>Cliente_736</t>
  </si>
  <si>
    <t>Cliente_328</t>
  </si>
  <si>
    <t>14,Cliente_919,4,2023-04-05 00:39:00,2023-04-05 04:35:00,Mesero_4,Cena,Tarjeta de crédito,20.51,Ocupada,415,Brasil,"Plato_6, Plato_18, Plato_19"</t>
  </si>
  <si>
    <t>Cliente_958</t>
  </si>
  <si>
    <t>7,Cliente_395,2,2023-04-05 03:25:00,2023-04-05 04:33:00,Mesero_2,Cena,Tarjeta de crédito,35.08,Libre,417,Venezuela,"Plato_9, Plato_20, Plato_12, Plato_6"</t>
  </si>
  <si>
    <t>17,Cliente_287,4,2023-04-05 00:52:00,2023-04-05 03:31:00,Mesero_3,Cena,Tarjeta de crédito,35.51,Reservada,418,España,"Plato_1, Plato_17"</t>
  </si>
  <si>
    <t>11,Cliente_479,4,2023-04-05 03:14:00,2023-04-05 05:43:00,Mesero_5,Almuerzo,Tarjeta de crédito,14.09,Ocupada,419,Argentina,"Plato_18, Plato_11"</t>
  </si>
  <si>
    <t>18,Cliente_33,6,2023-04-05 02:18:00,2023-04-05 05:29:00,Mesero_2,Almuerzo,Tarjeta de crédito,31.49,Ocupada,420,Bolivia,"Plato_18, Plato_3, Plato_1, Plato_15"</t>
  </si>
  <si>
    <t>10,Cliente_160,1,2023-04-05 01:37:00,2023-04-05 04:07:00,Mesero_1,Almuerzo,Tarjeta de crédito,17.57,Ocupada,421,Chile,"Plato_17, Plato_4"</t>
  </si>
  <si>
    <t>12,Cliente_109,6,2023-04-05 00:36:00,2023-04-05 03:09:00,Mesero_2,Almuerzo,Tarjeta de crédito,39.72,Reservada,422,España,"Plato_10, Plato_19"</t>
  </si>
  <si>
    <t>4,Cliente_151,2,2023-04-05 02:34:00,2023-04-05 04:57:00,Mesero_1,Almuerzo,Efectivo,34.13,Libre,423,Ecuador,"Plato_16, Plato_15"</t>
  </si>
  <si>
    <t>13,Cliente_342,3,2023-04-05 01:08:00,2023-04-05 03:17:00,Mesero_2,Cena,Efectivo,11.02,Reservada,424,Colombia,"Plato_5, Plato_6"</t>
  </si>
  <si>
    <t>Cliente_332</t>
  </si>
  <si>
    <t>5,Cliente_689,2,2023-04-05 03:11:00,2023-04-05 05:02:00,Mesero_4,Almuerzo,Tarjeta de crédito,47.8,Reservada,426,Brasil,"Plato_11, Plato_16, Plato_1, Plato_19"</t>
  </si>
  <si>
    <t>2,Cliente_953,4,2023-04-05 02:34:00,2023-04-05 03:43:00,Mesero_2,Almuerzo,Efectivo,43.74,Libre,427,Bolivia,"Plato_1, Plato_8, Plato_14, Plato_12"</t>
  </si>
  <si>
    <t>7,Cliente_518,5,2023-04-05 03:18:00,2023-04-05 06:03:00,Mesero_4,Desayuno,Tarjeta de crédito,15.6,Reservada,428,Ecuador,"Plato_20, Plato_14, Plato_1, Plato_17"</t>
  </si>
  <si>
    <t>Cliente_348</t>
  </si>
  <si>
    <t>Cliente_259</t>
  </si>
  <si>
    <t>10,Cliente_869,2,2023-04-05 03:31:00,2023-04-05 05:54:00,Mesero_4,Cena,Tarjeta de crédito,18.71,Libre,432,Colombia,"Plato_3, Plato_13, Plato_16"</t>
  </si>
  <si>
    <t>10,Cliente_306,4,2023-04-05 01:14:00,2023-04-05 03:09:00,Mesero_4,Almuerzo,Tarjeta de crédito,45.77,Reservada,433,Bolivia,"Plato_2, Plato_7"</t>
  </si>
  <si>
    <t>15,Cliente_842,4,2023-04-05 00:15:00,2023-04-05 03:55:00,Mesero_4,Almuerzo,Tarjeta de crédito,37.15,Reservada,434,Bolivia,"Plato_10, Plato_5"</t>
  </si>
  <si>
    <t>17,Cliente_349,6,2023-04-05 03:53:00,2023-04-05 06:01:00,Mesero_5,Almuerzo,Tarjeta de crédito,30.48,Ocupada,435,España,"Plato_10, Plato_13, Plato_2"</t>
  </si>
  <si>
    <t>Cliente_316</t>
  </si>
  <si>
    <t>Cliente_600</t>
  </si>
  <si>
    <t>Cliente_732</t>
  </si>
  <si>
    <t>15,Cliente_807,1,2023-04-05 00:00:00,2023-04-05 01:23:00,Mesero_3,Cena,Tarjeta de crédito,25.56,Libre,439,Bolivia,"Plato_11, Plato_10"</t>
  </si>
  <si>
    <t>13,Cliente_900,1,2023-04-05 01:59:00,2023-04-05 05:48:00,Mesero_2,Almuerzo,Tarjeta de crédito,38.85,Ocupada,440,Argentina,"Plato_14, Plato_12"</t>
  </si>
  <si>
    <t>13,Cliente_143,6,2023-04-05 01:04:00,2023-04-05 03:23:00,Mesero_2,Almuerzo,Efectivo,23.31,Ocupada,441,España,"Plato_8, Plato_10"</t>
  </si>
  <si>
    <t>15,Cliente_405,3,2023-04-05 02:04:00,2023-04-05 03:18:00,Mesero_4,Cena,Tarjeta de crédito,21.07,Ocupada,442,Uruguay,"Plato_18, Plato_1, Plato_19"</t>
  </si>
  <si>
    <t>4,Cliente_332,2,2023-04-05 01:15:00,2023-04-05 03:14:00,Mesero_2,Almuerzo,Tarjeta de débito,14.48,Libre,443,Venezuela,"Plato_14, Plato_15, Plato_10, Plato_16"</t>
  </si>
  <si>
    <t>8,Cliente_894,5,2023-04-05 03:23:00,2023-04-05 06:08:00,Mesero_1,Almuerzo,Tarjeta de crédito,25.26,Libre,444,Argentina,"Plato_14, Plato_7"</t>
  </si>
  <si>
    <t>Cliente_473</t>
  </si>
  <si>
    <t>8,Cliente_404,2,2023-04-05 03:53:00,2023-04-05 07:24:00,Mesero_4,Cena,Tarjeta de crédito,28.68,Libre,447,España,"Plato_3, Plato_12, Plato_16"</t>
  </si>
  <si>
    <t>4,Cliente_216,5,2023-04-05 00:07:00,2023-04-05 03:35:00,Mesero_4,Cena,Tarjeta de crédito,35.68,Ocupada,448,Venezuela,"Plato_12, Plato_11"</t>
  </si>
  <si>
    <t>Cliente_717</t>
  </si>
  <si>
    <t>9,Cliente_783,6,2023-04-05 03:51:00,2023-04-05 05:01:00,Mesero_3,Almuerzo,Tarjeta de crédito,48.9,Ocupada,450,Bolivia,"Plato_4, Plato_19"</t>
  </si>
  <si>
    <t>3,Cliente_240,1,2023-04-05 01:17:00,2023-04-05 02:26:00,Mesero_5,Desayuno,Tarjeta de crédito,46.37,Libre,451,Bolivia,"Plato_8, Plato_14, Plato_18"</t>
  </si>
  <si>
    <t>9,Cliente_589,1,2023-04-05 02:53:00,2023-04-05 05:19:00,Mesero_4,Almuerzo,Tarjeta de crédito,43.48,Reservada,452,Uruguay,"Plato_17, Plato_5, Plato_13"</t>
  </si>
  <si>
    <t>6,Cliente_284,1,2023-04-05 03:42:00,2023-04-05 05:07:00,Mesero_2,Desayuno,Tarjeta de crédito,36.83,Libre,453,Chile,"Plato_18, Plato_15"</t>
  </si>
  <si>
    <t>1,Cliente_342,3,2023-04-05 03:26:00,2023-04-05 04:53:00,Mesero_1,Almuerzo,Tarjeta de crédito,39.62,Libre,454,Colombia,"Plato_6, Plato_12, Plato_19, Plato_1"</t>
  </si>
  <si>
    <t>Cliente_665</t>
  </si>
  <si>
    <t>13,Cliente_207,6,2023-04-05 02:12:00,2023-04-05 05:15:00,Mesero_4,Almuerzo,Tarjeta de crédito,21.94,Libre,456,Argentina,"Plato_20, Plato_18"</t>
  </si>
  <si>
    <t>18,Cliente_531,6,2023-04-05 03:48:00,2023-04-05 07:32:00,Mesero_2,Almuerzo,Efectivo,17.26,Reservada,457,Bolivia,"Plato_11, Plato_12"</t>
  </si>
  <si>
    <t>4,Cliente_420,3,2023-04-05 02:41:00,2023-04-05 04:21:00,Mesero_4,Almuerzo,Tarjeta de crédito,15.21,Ocupada,458,Bolivia,"Plato_16, Plato_18, Plato_11, Plato_5"</t>
  </si>
  <si>
    <t>Cliente_989</t>
  </si>
  <si>
    <t>19,Cliente_964,6,2023-04-05 03:27:00,2023-04-05 06:56:00,Mesero_4,Cena,Tarjeta de crédito,49.6,Libre,460,Ecuador,"Plato_16, Plato_10, Plato_1, Plato_7"</t>
  </si>
  <si>
    <t>4,Cliente_421,3,2023-04-05 02:43:00,2023-04-05 05:55:00,Mesero_5,Cena,Efectivo,21.51,Libre,461,Perú,"Plato_8, Plato_9"</t>
  </si>
  <si>
    <t>Cliente_27</t>
  </si>
  <si>
    <t>Cliente_194</t>
  </si>
  <si>
    <t>16,Cliente_440,1,2023-04-05 01:21:00,2023-04-05 04:39:00,Mesero_4,Almuerzo,Tarjeta de crédito,48.5,Reservada,464,Chile,"Plato_10, Plato_6, Plato_5"</t>
  </si>
  <si>
    <t>4,Cliente_876,2,2023-04-05 01:11:00,2023-04-05 03:38:00,Mesero_1,Almuerzo,Tarjeta de crédito,44.9,Ocupada,465,Uruguay,"Plato_1, Plato_14"</t>
  </si>
  <si>
    <t>4,Cliente_365,1,2023-04-05 01:54:00,2023-04-05 04:20:00,Mesero_1,Almuerzo,Tarjeta de crédito,26.63,Libre,466,Bolivia,"Plato_5, Plato_2, Plato_16"</t>
  </si>
  <si>
    <t>15,Cliente_185,3,2023-04-05 02:42:00,2023-04-05 04:14:00,Mesero_1,Almuerzo,Tarjeta de débito,42.31,Reservada,467,Perú,"Plato_11, Plato_5"</t>
  </si>
  <si>
    <t>14,Cliente_558,6,2023-04-05 02:59:00,2023-04-05 05:45:00,Mesero_2,Desayuno,Tarjeta de crédito,14.28,Reservada,468,Argentina,"Plato_12, Plato_3, Plato_16"</t>
  </si>
  <si>
    <t>1,Cliente_535,2,2023-04-05 02:57:00,2023-04-05 05:22:00,Mesero_1,Cena,Tarjeta de crédito,25.26,Reservada,469,Colombia,"Plato_8, Plato_15"</t>
  </si>
  <si>
    <t>17,Cliente_18,3,2023-04-05 01:41:00,2023-04-05 04:17:00,Mesero_4,Almuerzo,Tarjeta de crédito,47.46,Ocupada,470,Uruguay,"Plato_7, Plato_4"</t>
  </si>
  <si>
    <t>Cliente_696</t>
  </si>
  <si>
    <t>20,Cliente_704,2,2023-04-05 03:57:00,2023-04-05 06:52:00,Mesero_2,Almuerzo,Efectivo,36.79,Ocupada,472,Uruguay,"Plato_8, Plato_5"</t>
  </si>
  <si>
    <t>13,Cliente_720,4,2023-04-06 03:36:00,2023-04-06 07:04:00,Mesero_2,Almuerzo,Tarjeta de débito,15.63,Ocupada,473,Paraguay,"Plato_5, Plato_8"</t>
  </si>
  <si>
    <t>2,Cliente_624,6,2023-04-06 01:52:00,2023-04-06 03:32:00,Mesero_4,Almuerzo,Tarjeta de crédito,21.66,Libre,474,Perú,"Plato_18, Plato_9, Plato_17, Plato_16"</t>
  </si>
  <si>
    <t>18,Cliente_289,4,2023-04-06 03:17:00,2023-04-06 05:50:00,Mesero_5,Cena,Tarjeta de débito,19.55,Ocupada,475,Paraguay,"Plato_7, Plato_18"</t>
  </si>
  <si>
    <t>13,Cliente_434,2,2023-04-06 00:03:00,2023-04-06 01:47:00,Mesero_3,Desayuno,Tarjeta de débito,43.53,Ocupada,476,Paraguay,"Plato_7, Plato_18, Plato_15, Plato_20"</t>
  </si>
  <si>
    <t>8,Cliente_149,6,2023-04-06 01:39:00,2023-04-06 02:58:00,Mesero_4,Desayuno,Tarjeta de crédito,33.85,Reservada,477,Colombia,"Plato_18, Plato_14, Plato_7, Plato_13"</t>
  </si>
  <si>
    <t>7,Cliente_29,5,2023-04-06 00:01:00,2023-04-06 03:28:00,Mesero_1,Almuerzo,Efectivo,32.78,Ocupada,478,Bolivia,"Plato_2, Plato_9"</t>
  </si>
  <si>
    <t>1,Cliente_708,3,2023-04-06 00:42:00,2023-04-06 04:30:00,Mesero_3,Almuerzo,Tarjeta de débito,39.58,Reservada,479,Argentina,"Plato_4, Plato_18"</t>
  </si>
  <si>
    <t>1,Cliente_125,5,2023-04-06 03:26:00,2023-04-06 07:19:00,Mesero_5,Desayuno,Efectivo,18.63,Reservada,480,Uruguay,"Plato_8, Plato_6"</t>
  </si>
  <si>
    <t>Cliente_618</t>
  </si>
  <si>
    <t>Cliente_115</t>
  </si>
  <si>
    <t>Cliente_527</t>
  </si>
  <si>
    <t>Cliente_71</t>
  </si>
  <si>
    <t>6,Cliente_524,5,2023-04-06 01:00:00,2023-04-06 02:52:00,Mesero_5,Cena,Tarjeta de crédito,39.07,Reservada,485,Bolivia,"Plato_7, Plato_19"</t>
  </si>
  <si>
    <t>15,Cliente_437,3,2023-04-06 02:47:00,2023-04-06 06:12:00,Mesero_1,Desayuno,Tarjeta de débito,12.66,Ocupada,486,Colombia,"Plato_19, Plato_3, Plato_18, Plato_7"</t>
  </si>
  <si>
    <t>17,Cliente_946,1,2023-04-06 01:34:00,2023-04-06 03:50:00,Mesero_1,Almuerzo,Tarjeta de crédito,45.76,Ocupada,487,Paraguay,"Plato_18, Plato_17, Plato_5"</t>
  </si>
  <si>
    <t>10,Cliente_719,4,2023-04-06 00:00:00,2023-04-06 01:58:00,Mesero_3,Almuerzo,Tarjeta de débito,37.38,Libre,488,Argentina,"Plato_4, Plato_14, Plato_17"</t>
  </si>
  <si>
    <t>3,Cliente_354,1,2023-04-06 02:57:00,2023-04-06 05:27:00,Mesero_3,Desayuno,Tarjeta de crédito,22.27,Ocupada,489,Argentina,"Plato_20, Plato_14"</t>
  </si>
  <si>
    <t>1,Cliente_194,2,2023-04-06 03:20:00,2023-04-06 04:57:00,Mesero_5,Almuerzo,Tarjeta de crédito,26.79,Libre,490,Colombia,"Plato_10, Plato_15, Plato_18"</t>
  </si>
  <si>
    <t>7,Cliente_160,4,2023-04-06 00:07:00,2023-04-06 02:37:00,Mesero_4,Desayuno,Tarjeta de crédito,34.68,Ocupada,491,España,"Plato_9, Plato_2"</t>
  </si>
  <si>
    <t>4,Cliente_363,4,2023-04-06 01:03:00,2023-04-06 04:36:00,Mesero_1,Almuerzo,Tarjeta de crédito,16.62,Reservada,492,Colombia,"Plato_11, Plato_13, Plato_7"</t>
  </si>
  <si>
    <t>Cliente_140</t>
  </si>
  <si>
    <t>20,Cliente_546,5,2023-04-06 01:28:00,2023-04-06 04:49:00,Mesero_1,Desayuno,Tarjeta de crédito,11.85,Reservada,494,Paraguay,"Plato_15, Plato_19"</t>
  </si>
  <si>
    <t>11,Cliente_778,6,2023-04-06 03:01:00,2023-04-06 06:50:00,Mesero_2,Desayuno,Tarjeta de crédito,33.96,Libre,495,Venezuela,"Plato_20, Plato_6, Plato_16, Plato_11"</t>
  </si>
  <si>
    <t>1,Cliente_402,3,2023-04-06 02:34:00,2023-04-06 06:22:00,Mesero_1,Almuerzo,Tarjeta de crédito,39.42,Reservada,496,Argentina,"Plato_11, Plato_18, Plato_12, Plato_17"</t>
  </si>
  <si>
    <t>13,Cliente_784,6,2023-04-06 03:30:00,2023-04-06 06:58:00,Mesero_3,Almuerzo,Tarjeta de débito,29.93,Reservada,497,Argentina,"Plato_2, Plato_20"</t>
  </si>
  <si>
    <t>5,Cliente_919,5,2023-04-06 01:21:00,2023-04-06 04:28:00,Mesero_2,Cena,Tarjeta de débito,22.69,Reservada,499,Brasil,"Plato_10, Plato_2, Plato_1"</t>
  </si>
  <si>
    <t>4,Cliente_354,5,2023-04-06 01:17:00,2023-04-06 05:15:00,Mesero_4,Desayuno,Tarjeta de débito,37.62,Ocupada,500,Argentina,"Plato_6, Plato_5"</t>
  </si>
  <si>
    <t>7,Cliente_637,1,2023-04-06 03:44:00,2023-04-06 06:31:00,Mesero_1,Cena,Tarjeta de crédito,28.38,Ocupada,501,Venezuela,"Plato_20, Plato_13, Plato_16"</t>
  </si>
  <si>
    <t>5,Cliente_759,2,2023-04-06 00:45:00,2023-04-06 01:57:00,Mesero_5,Almuerzo,Tarjeta de crédito,32.9,Reservada,502,Bolivia,"Plato_5, Plato_4, Plato_11"</t>
  </si>
  <si>
    <t>3,Cliente_948,1,2023-04-06 02:20:00,2023-04-06 04:02:00,Mesero_3,Almuerzo,Tarjeta de crédito,35.84,Reservada,503,España,"Plato_20, Plato_12"</t>
  </si>
  <si>
    <t>Cliente_172</t>
  </si>
  <si>
    <t>5,Cliente_70,1,2023-04-06 02:38:00,2023-04-06 06:07:00,Mesero_2,Cena,Tarjeta de crédito,25.76,Reservada,505,Colombia,"Plato_20, Plato_1"</t>
  </si>
  <si>
    <t>Cliente_835</t>
  </si>
  <si>
    <t>18,Cliente_989,4,2023-04-06 03:26:00,2023-04-06 04:30:00,Mesero_2,Desayuno,Tarjeta de crédito,43.42,Libre,507,Bolivia,"Plato_18, Plato_19"</t>
  </si>
  <si>
    <t>Cliente_821</t>
  </si>
  <si>
    <t>Cliente_977</t>
  </si>
  <si>
    <t>Cliente_509</t>
  </si>
  <si>
    <t>2,Cliente_951,1,2023-04-06 01:38:00,2023-04-06 03:23:00,Mesero_1,Almuerzo,Tarjeta de crédito,35.95,Libre,511,Argentina,"Plato_14, Plato_18"</t>
  </si>
  <si>
    <t>2,Cliente_285,1,2023-04-06 01:19:00,2023-04-06 02:26:00,Mesero_5,Almuerzo,Tarjeta de crédito,37.37,Ocupada,512,España,"Plato_3, Plato_19"</t>
  </si>
  <si>
    <t>18,Cliente_819,5,2023-04-06 01:19:00,2023-04-06 04:36:00,Mesero_4,Almuerzo,Tarjeta de crédito,38.84,Libre,514,Chile,"Plato_10, Plato_12, Plato_3, Plato_15"</t>
  </si>
  <si>
    <t>Cliente_690</t>
  </si>
  <si>
    <t>7,Cliente_334,2,2023-04-06 03:55:00,2023-04-06 04:59:00,Mesero_4,Almuerzo,Tarjeta de crédito,20.85,Reservada,516,Paraguay,"Plato_12, Plato_14, Plato_3"</t>
  </si>
  <si>
    <t>4,Cliente_508,5,2023-04-06 01:35:00,2023-04-06 05:30:00,Mesero_4,Almuerzo,Efectivo,23.92,Reservada,517,Ecuador,"Plato_7, Plato_12, Plato_5"</t>
  </si>
  <si>
    <t>5,Cliente_830,6,2023-04-06 02:08:00,2023-04-06 06:02:00,Mesero_4,Desayuno,Tarjeta de crédito,18.48,Ocupada,518,Colombia,"Plato_11, Plato_5"</t>
  </si>
  <si>
    <t>6,Cliente_787,2,2023-04-06 00:48:00,2023-04-06 03:49:00,Mesero_5,Almuerzo,Tarjeta de crédito,34.59,Libre,519,Paraguay,"Plato_6, Plato_20, Plato_5"</t>
  </si>
  <si>
    <t>4,Cliente_616,4,2023-04-06 03:35:00,2023-04-06 06:23:00,Mesero_4,Cena,Tarjeta de crédito,43.99,Libre,520,Colombia,"Plato_9, Plato_18, Plato_17, Plato_2"</t>
  </si>
  <si>
    <t>18,Cliente_422,2,2023-04-06 00:43:00,2023-04-06 02:54:00,Mesero_4,Almuerzo,Tarjeta de crédito,15.18,Libre,521,Bolivia,"Plato_1, Plato_9, Plato_18"</t>
  </si>
  <si>
    <t>Cliente_740</t>
  </si>
  <si>
    <t>Cliente_930</t>
  </si>
  <si>
    <t>16,Cliente_218,4,2023-04-06 00:03:00,2023-04-06 02:32:00,Mesero_3,Almuerzo,Tarjeta de crédito,26.91,Ocupada,524,Perú,"Plato_5, Plato_6"</t>
  </si>
  <si>
    <t>16,Cliente_318,3,2023-04-06 03:27:00,2023-04-06 07:14:00,Mesero_3,Almuerzo,Tarjeta de crédito,32.87,Ocupada,525,Venezuela,"Plato_14, Plato_8, Plato_17"</t>
  </si>
  <si>
    <t>Cliente_257</t>
  </si>
  <si>
    <t>Cliente_112</t>
  </si>
  <si>
    <t>14,Cliente_95,2,2023-04-06 01:47:00,2023-04-06 03:48:00,Mesero_2,Almuerzo,Tarjeta de débito,15.62,Reservada,528,Bolivia,"Plato_3, Plato_20, Plato_4"</t>
  </si>
  <si>
    <t>1,Cliente_866,2,2023-04-06 01:58:00,2023-04-06 04:42:00,Mesero_3,Almuerzo,Tarjeta de crédito,25.91,Ocupada,529,España,"Plato_18, Plato_19, Plato_14, Plato_16"</t>
  </si>
  <si>
    <t>7,Cliente_232,5,2023-04-06 02:13:00,2023-04-06 06:07:00,Mesero_5,Almuerzo,Tarjeta de crédito,30.19,Ocupada,530,Paraguay,"Plato_4, Plato_16, Plato_1"</t>
  </si>
  <si>
    <t>9,Cliente_882,6,2023-04-06 03:03:00,2023-04-06 05:04:00,Mesero_2,Cena,Efectivo,34.39,Libre,531,Paraguay,"Plato_13, Plato_20, Plato_4, Plato_9"</t>
  </si>
  <si>
    <t>13,Cliente_63,3,2023-04-06 01:48:00,2023-04-06 05:26:00,Mesero_3,Desayuno,Tarjeta de débito,17.95,Reservada,532,Argentina,"Plato_13, Plato_10, Plato_15"</t>
  </si>
  <si>
    <t>1,Cliente_336,3,2023-04-06 03:14:00,2023-04-06 05:20:00,Mesero_5,Cena,Tarjeta de débito,20.09,Libre,533,Ecuador,"Plato_3, Plato_13"</t>
  </si>
  <si>
    <t>1,Cliente_113,6,2023-04-06 01:02:00,2023-04-06 04:29:00,Mesero_4,Cena,Tarjeta de crédito,23.59,Reservada,534,Brasil,"Plato_7, Plato_9, Plato_8"</t>
  </si>
  <si>
    <t>15,Cliente_711,3,2023-04-06 00:57:00,2023-04-06 03:32:00,Mesero_1,Desayuno,Tarjeta de crédito,39.45,Libre,535,Chile,"Plato_20, Plato_9, Plato_7, Plato_13"</t>
  </si>
  <si>
    <t>9,Cliente_785,2,2023-04-06 02:31:00,2023-04-06 04:39:00,Mesero_4,Almuerzo,Tarjeta de crédito,46.0,Reservada,536,Chile,"Plato_4, Plato_9, Plato_14, Plato_2"</t>
  </si>
  <si>
    <t>14,Cliente_397,4,2023-04-06 03:19:00,2023-04-06 05:33:00,Mesero_4,Cena,Tarjeta de débito,41.35,Libre,538,Colombia,"Plato_2, Plato_14, Plato_11, Plato_16"</t>
  </si>
  <si>
    <t>18,Cliente_554,3,2023-04-06 03:51:00,2023-04-06 07:00:00,Mesero_2,Desayuno,Efectivo,20.9,Libre,539,Colombia,"Plato_2, Plato_6, Plato_9, Plato_4"</t>
  </si>
  <si>
    <t>6,Cliente_320,4,2023-04-06 03:46:00,2023-04-06 06:56:00,Mesero_1,Almuerzo,Tarjeta de crédito,47.85,Reservada,540,Uruguay,"Plato_4, Plato_8"</t>
  </si>
  <si>
    <t>19,Cliente_427,2,2023-04-06 00:33:00,2023-04-06 04:32:00,Mesero_1,Desayuno,Tarjeta de débito,33.7,Reservada,541,Colombia,"Plato_12, Plato_11, Plato_9, Plato_14"</t>
  </si>
  <si>
    <t>9,Cliente_791,5,2023-04-06 02:47:00,2023-04-06 04:43:00,Mesero_3,Desayuno,Tarjeta de crédito,49.05,Reservada,542,Chile,"Plato_18, Plato_10, Plato_6"</t>
  </si>
  <si>
    <t>19,Cliente_996,5,2023-04-06 00:47:00,2023-04-06 03:37:00,Mesero_4,Cena,Tarjeta de crédito,49.37,Reservada,543,Paraguay,"Plato_16, Plato_6, Plato_15"</t>
  </si>
  <si>
    <t>Cliente_392</t>
  </si>
  <si>
    <t>20,Cliente_615,5,2023-04-06 02:39:00,2023-04-06 04:26:00,Mesero_2,Almuerzo,Efectivo,12.18,Ocupada,545,Chile,"Plato_11, Plato_17"</t>
  </si>
  <si>
    <t>5,Cliente_968,2,2023-04-06 03:14:00,2023-04-06 05:29:00,Mesero_4,Almuerzo,Tarjeta de débito,47.81,Reservada,546,Bolivia,"Plato_15, Plato_16"</t>
  </si>
  <si>
    <t>9,Cliente_206,3,2023-04-06 02:43:00,2023-04-06 04:36:00,Mesero_5,Cena,Tarjeta de crédito,20.04,Ocupada,547,Colombia,"Plato_17, Plato_11, Plato_8"</t>
  </si>
  <si>
    <t>4,Cliente_669,2,2023-04-06 00:55:00,2023-04-06 04:03:00,Mesero_2,Almuerzo,Tarjeta de crédito,28.88,Libre,548,Chile,"Plato_18, Plato_17"</t>
  </si>
  <si>
    <t>12,Cliente_195,2,2023-04-06 01:33:00,2023-04-06 05:26:00,Mesero_1,Almuerzo,Tarjeta de crédito,35.34,Libre,549,Colombia,"Plato_1, Plato_8, Plato_18"</t>
  </si>
  <si>
    <t>1,Cliente_900,6,2023-04-06 01:08:00,2023-04-06 02:39:00,Mesero_3,Almuerzo,Tarjeta de crédito,28.33,Ocupada,550,Brasil,"Plato_2, Plato_7, Plato_3"</t>
  </si>
  <si>
    <t>4,Cliente_705,2,2023-04-06 02:58:00,2023-04-06 04:10:00,Mesero_3,Desayuno,Tarjeta de crédito,17.54,Reservada,551,Paraguay,"Plato_2, Plato_3, Plato_4, Plato_13"</t>
  </si>
  <si>
    <t>11,Cliente_462,6,2023-04-06 00:26:00,2023-04-06 03:54:00,Mesero_3,Cena,Tarjeta de débito,10.28,Libre,552,España,"Plato_20, Plato_13, Plato_3"</t>
  </si>
  <si>
    <t>14,Cliente_809,2,2023-04-06 02:45:00,2023-04-06 05:24:00,Mesero_3,Almuerzo,Tarjeta de crédito,44.38,Libre,553,Brasil,"Plato_2, Plato_1, Plato_5, Plato_12"</t>
  </si>
  <si>
    <t>10,Cliente_21,6,2023-04-06 01:30:00,2023-04-06 02:55:00,Mesero_3,Almuerzo,Tarjeta de débito,19.6,Ocupada,554,España,"Plato_14, Plato_20"</t>
  </si>
  <si>
    <t>Cliente_110</t>
  </si>
  <si>
    <t>9,Cliente_814,6,2023-04-06 03:57:00,2023-04-06 07:41:00,Mesero_2,Almuerzo,Tarjeta de débito,14.09,Libre,556,Paraguay,"Plato_5, Plato_4"</t>
  </si>
  <si>
    <t>7,Cliente_381,5,2023-04-06 03:52:00,2023-04-06 07:39:00,Mesero_2,Almuerzo,Efectivo,35.88,Ocupada,557,Ecuador,"Plato_15, Plato_13, Plato_1"</t>
  </si>
  <si>
    <t>6,Cliente_284,4,2023-04-06 00:18:00,2023-04-06 03:06:00,Mesero_1,Almuerzo,Tarjeta de crédito,45.26,Reservada,558,Paraguay,"Plato_15, Plato_1, Plato_11"</t>
  </si>
  <si>
    <t>Cliente_728</t>
  </si>
  <si>
    <t>6,Cliente_610,6,2023-04-06 00:15:00,2023-04-06 03:17:00,Mesero_5,Cena,Tarjeta de débito,31.53,Reservada,560,Argentina,"Plato_4, Plato_1"</t>
  </si>
  <si>
    <t>4,Cliente_190,2,2023-04-06 01:13:00,2023-04-06 03:39:00,Mesero_1,Almuerzo,Tarjeta de crédito,44.24,Reservada,561,Chile,"Plato_4, Plato_14"</t>
  </si>
  <si>
    <t>20,Cliente_454,3,2023-04-06 02:36:00,2023-04-06 06:20:00,Mesero_1,Cena,Tarjeta de crédito,21.49,Libre,562,Venezuela,"Plato_20, Plato_9, Plato_7, Plato_17"</t>
  </si>
  <si>
    <t>Cliente_865</t>
  </si>
  <si>
    <t>9,Cliente_825,3,2023-04-06 00:31:00,2023-04-06 02:23:00,Mesero_5,Cena,Efectivo,33.08,Reservada,564,Venezuela,"Plato_19, Plato_20, Plato_3"</t>
  </si>
  <si>
    <t>3,Cliente_134,6,2023-04-06 02:39:00,2023-04-06 05:29:00,Mesero_1,Almuerzo,Tarjeta de crédito,15.11,Libre,565,Venezuela,"Plato_15, Plato_4, Plato_11, Plato_8"</t>
  </si>
  <si>
    <t>Cliente_88</t>
  </si>
  <si>
    <t>15,Cliente_789,4,2023-04-06 01:59:00,2023-04-06 05:16:00,Mesero_4,Almuerzo,Tarjeta de débito,42.83,Ocupada,567,Chile,"Plato_16, Plato_11, Plato_18, Plato_13"</t>
  </si>
  <si>
    <t>5,Cliente_63,1,2023-04-06 01:39:00,2023-04-06 03:28:00,Mesero_4,Almuerzo,Tarjeta de débito,21.13,Ocupada,568,Colombia,"Plato_18, Plato_20"</t>
  </si>
  <si>
    <t>12,Cliente_555,5,2023-04-06 01:28:00,2023-04-06 03:05:00,Mesero_1,Almuerzo,Tarjeta de crédito,28.52,Reservada,569,Bolivia,"Plato_18, Plato_13"</t>
  </si>
  <si>
    <t>1,Cliente_887,6,2023-04-06 02:40:00,2023-04-06 04:27:00,Mesero_5,Almuerzo,Tarjeta de crédito,38.4,Libre,570,Colombia,"Plato_11, Plato_10"</t>
  </si>
  <si>
    <t>Cliente_710</t>
  </si>
  <si>
    <t>19,Cliente_913,3,2023-04-06 02:53:00,2023-04-06 06:27:00,Mesero_4,Almuerzo,Efectivo,46.21,Ocupada,572,Brasil,"Plato_2, Plato_5"</t>
  </si>
  <si>
    <t>7,Cliente_41,3,2023-04-06 03:12:00,2023-04-06 07:09:00,Mesero_3,Almuerzo,Tarjeta de crédito,47.08,Ocupada,573,Chile,"Plato_13, Plato_18"</t>
  </si>
  <si>
    <t>20,Cliente_738,3,2023-04-06 00:31:00,2023-04-06 03:08:00,Mesero_5,Almuerzo,Tarjeta de crédito,42.57,Libre,574,Brasil,"Plato_10, Plato_19, Plato_4, Plato_13"</t>
  </si>
  <si>
    <t>Cliente_268</t>
  </si>
  <si>
    <t>9,Cliente_280,1,2023-04-06 03:57:00,2023-04-06 07:06:00,Mesero_4,Cena,Efectivo,21.71,Reservada,576,Uruguay,"Plato_11, Plato_17, Plato_19"</t>
  </si>
  <si>
    <t>5,Cliente_117,4,2023-04-06 03:13:00,2023-04-06 06:40:00,Mesero_4,Almuerzo,Tarjeta de crédito,34.12,Libre,577,Perú,"Plato_4, Plato_5"</t>
  </si>
  <si>
    <t>Cliente_83</t>
  </si>
  <si>
    <t>Cliente_988</t>
  </si>
  <si>
    <t>18,Cliente_384,5,2023-04-06 03:33:00,2023-04-06 05:08:00,Mesero_4,Almuerzo,Tarjeta de crédito,13.27,Ocupada,581,Perú,"Plato_11, Plato_2"</t>
  </si>
  <si>
    <t>Cliente_372</t>
  </si>
  <si>
    <t>9,Cliente_429,2,2023-04-06 01:41:00,2023-04-06 03:34:00,Mesero_2,Cena,Tarjeta de débito,35.99,Libre,583,Brasil,"Plato_12, Plato_4, Plato_7, Plato_20"</t>
  </si>
  <si>
    <t>9,Cliente_283,4,2023-04-06 03:35:00,2023-04-06 06:59:00,Mesero_3,Almuerzo,Tarjeta de débito,36.98,Reservada,584,Chile,"Plato_13, Plato_17, Plato_16"</t>
  </si>
  <si>
    <t>3,Cliente_876,5,2023-04-06 01:23:00,2023-04-06 02:37:00,Mesero_3,Desayuno,Tarjeta de crédito,10.07,Libre,585,Ecuador,"Plato_15, Plato_8, Plato_4, Plato_1"</t>
  </si>
  <si>
    <t>17,Cliente_857,5,2023-04-06 00:44:00,2023-04-06 03:55:00,Mesero_3,Cena,Efectivo,32.79,Ocupada,586,Venezuela,"Plato_11, Plato_7"</t>
  </si>
  <si>
    <t>Cliente_208</t>
  </si>
  <si>
    <t>15,Cliente_21,2,2023-04-06 02:20:00,2023-04-06 05:58:00,Mesero_3,Cena,Efectivo,33.93,Libre,588,Paraguay,"Plato_10, Plato_1"</t>
  </si>
  <si>
    <t>10,Cliente_443,4,2023-04-06 03:14:00,2023-04-06 05:57:00,Mesero_4,Almuerzo,Tarjeta de débito,28.96,Libre,589,Uruguay,"Plato_14, Plato_18, Plato_13, Plato_15"</t>
  </si>
  <si>
    <t>3,Cliente_240,6,2023-04-06 02:45:00,2023-04-06 04:27:00,Mesero_2,Desayuno,Tarjeta de crédito,40.94,Ocupada,590,Venezuela,"Plato_18, Plato_3"</t>
  </si>
  <si>
    <t>Cliente_138</t>
  </si>
  <si>
    <t>5,Cliente_177,1,2023-04-06 00:48:00,2023-04-06 02:40:00,Mesero_2,Almuerzo,Tarjeta de crédito,35.67,Reservada,592,Ecuador,"Plato_5, Plato_1"</t>
  </si>
  <si>
    <t>17,Cliente_832,5,2023-04-06 00:25:00,2023-04-06 02:17:00,Mesero_4,Almuerzo,Tarjeta de débito,48.8,Reservada,593,España,"Plato_20, Plato_17, Plato_11, Plato_19"</t>
  </si>
  <si>
    <t>17,Cliente_480,1,2023-04-06 03:20:00,2023-04-06 04:49:00,Mesero_3,Almuerzo,Tarjeta de débito,46.01,Libre,594,Bolivia,"Plato_11, Plato_5, Plato_3"</t>
  </si>
  <si>
    <t>9,Cliente_290,5,2023-04-06 03:03:00,2023-04-06 05:27:00,Mesero_2,Almuerzo,Tarjeta de crédito,40.33,Ocupada,595,Paraguay,"Plato_13, Plato_2"</t>
  </si>
  <si>
    <t>18,Cliente_351,2,2023-04-06 01:21:00,2023-04-06 03:39:00,Mesero_2,Almuerzo,Tarjeta de débito,23.7,Ocupada,596,Ecuador,"Plato_14, Plato_7, Plato_15, Plato_1"</t>
  </si>
  <si>
    <t>16,Cliente_354,1,2023-04-06 00:51:00,2023-04-06 03:51:00,Mesero_1,Almuerzo,Tarjeta de crédito,45.46,Ocupada,597,Bolivia,"Plato_16, Plato_4, Plato_20, Plato_7"</t>
  </si>
  <si>
    <t>9,Cliente_344,6,2023-04-06 03:16:00,2023-04-06 06:59:00,Mesero_5,Almuerzo,Tarjeta de crédito,11.31,Reservada,598,España,"Plato_10, Plato_15, Plato_17"</t>
  </si>
  <si>
    <t>11,Cliente_564,3,2023-04-06 00:34:00,2023-04-06 04:21:00,Mesero_2,Almuerzo,Tarjeta de crédito,30.97,Libre,599,Paraguay,"Plato_18, Plato_17, Plato_8"</t>
  </si>
  <si>
    <t>14,Cliente_782,4,2023-04-06 03:58:00,2023-04-06 05:01:00,Mesero_3,Almuerzo,Tarjeta de débito,41.35,Ocupada,600,Chile,"Plato_16, Plato_2"</t>
  </si>
  <si>
    <t>13,Cliente_88,1,2023-04-06 02:43:00,2023-04-06 06:15:00,Mesero_4,Cena,Tarjeta de crédito,16.81,Libre,601,Perú,"Plato_20, Plato_16, Plato_14, Plato_8"</t>
  </si>
  <si>
    <t>12,Cliente_165,3,2023-04-06 03:52:00,2023-04-06 07:00:00,Mesero_2,Almuerzo,Efectivo,16.5,Reservada,602,España,"Plato_8, Plato_5, Plato_2, Plato_20"</t>
  </si>
  <si>
    <t>Cliente_798</t>
  </si>
  <si>
    <t>Cliente_959</t>
  </si>
  <si>
    <t>19,Cliente_608,2,2023-04-06 02:49:00,2023-04-06 06:24:00,Mesero_3,Almuerzo,Efectivo,24.38,Ocupada,605,Uruguay,"Plato_3, Plato_20, Plato_8, Plato_2"</t>
  </si>
  <si>
    <t>1,Cliente_434,2,2023-04-06 03:14:00,2023-04-06 06:06:00,Mesero_5,Almuerzo,Tarjeta de crédito,31.58,Ocupada,606,Venezuela,"Plato_1, Plato_6, Plato_10"</t>
  </si>
  <si>
    <t>10,Cliente_377,1,2023-04-06 01:24:00,2023-04-06 03:29:00,Mesero_5,Almuerzo,Tarjeta de crédito,28.9,Ocupada,607,Paraguay,"Plato_20, Plato_16"</t>
  </si>
  <si>
    <t>Cliente_657</t>
  </si>
  <si>
    <t>19,Cliente_728,4,2023-04-06 02:12:00,2023-04-06 04:11:00,Mesero_5,Cena,Tarjeta de crédito,37.9,Ocupada,610,Paraguay,"Plato_10, Plato_4"</t>
  </si>
  <si>
    <t>13,Cliente_224,1,2023-04-06 03:55:00,2023-04-06 07:43:00,Mesero_1,Almuerzo,Tarjeta de crédito,44.28,Ocupada,611,Brasil,"Plato_13, Plato_19"</t>
  </si>
  <si>
    <t>11,Cliente_680,4,2023-04-06 01:12:00,2023-04-06 05:00:00,Mesero_5,Almuerzo,Tarjeta de crédito,23.54,Reservada,612,Paraguay,"Plato_6, Plato_19, Plato_16, Plato_3"</t>
  </si>
  <si>
    <t>1,Cliente_230,5,2023-04-06 01:57:00,2023-04-06 03:35:00,Mesero_2,Desayuno,Efectivo,23.56,Reservada,613,España,"Plato_12, Plato_14, Plato_4, Plato_8"</t>
  </si>
  <si>
    <t>7,Cliente_513,1,2023-04-06 00:46:00,2023-04-06 01:53:00,Mesero_5,Cena,Tarjeta de crédito,18.42,Ocupada,615,Ecuador,"Plato_17, Plato_14, Plato_1, Plato_15"</t>
  </si>
  <si>
    <t>4,Cliente_608,4,2023-04-06 00:14:00,2023-04-06 03:36:00,Mesero_5,Cena,Tarjeta de crédito,23.89,Ocupada,616,Venezuela,"Plato_7, Plato_2"</t>
  </si>
  <si>
    <t>13,Cliente_27,5,2023-04-06 01:20:00,2023-04-06 05:17:00,Mesero_2,Almuerzo,Tarjeta de crédito,38.18,Libre,617,Uruguay,"Plato_10, Plato_2"</t>
  </si>
  <si>
    <t>3,Cliente_973,5,2023-04-06 00:56:00,2023-04-06 03:12:00,Mesero_4,Desayuno,Tarjeta de crédito,25.93,Libre,618,Chile,"Plato_15, Plato_17, Plato_4, Plato_19"</t>
  </si>
  <si>
    <t>6,Cliente_619,4,2023-04-06 00:16:00,2023-04-06 02:41:00,Mesero_5,Cena,Tarjeta de crédito,16.44,Reservada,619,Ecuador,"Plato_6, Plato_10"</t>
  </si>
  <si>
    <t>Cliente_592</t>
  </si>
  <si>
    <t>Cliente_575</t>
  </si>
  <si>
    <t>7,Cliente_117,5,2023-04-06 02:07:00,2023-04-06 05:31:00,Mesero_3,Cena,Tarjeta de crédito,11.47,Reservada,622,Argentina,"Plato_17, Plato_16"</t>
  </si>
  <si>
    <t>13,Cliente_395,1,2023-04-06 00:45:00,2023-04-06 03:10:00,Mesero_3,Almuerzo,Efectivo,22.05,Libre,623,Uruguay,"Plato_5, Plato_8, Plato_1, Plato_15"</t>
  </si>
  <si>
    <t>1,Cliente_833,4,2023-04-06 01:56:00,2023-04-06 03:26:00,Mesero_1,Cena,Tarjeta de crédito,38.0,Reservada,624,Argentina,"Plato_19, Plato_7, Plato_13"</t>
  </si>
  <si>
    <t>5,Cliente_511,4,2023-04-06 00:09:00,2023-04-06 03:22:00,Mesero_4,Cena,Tarjeta de crédito,41.73,Ocupada,625,Chile,"Plato_4, Plato_20, Plato_13"</t>
  </si>
  <si>
    <t>14,Cliente_772,4,2023-04-06 02:45:00,2023-04-06 04:10:00,Mesero_4,Desayuno,Tarjeta de crédito,19.24,Libre,626,Argentina,"Plato_2, Plato_7, Plato_9"</t>
  </si>
  <si>
    <t>Cliente_336</t>
  </si>
  <si>
    <t>2,Cliente_124,1,2023-04-06 00:09:00,2023-04-06 01:37:00,Mesero_3,Desayuno,Tarjeta de crédito,15.03,Reservada,628,Chile,"Plato_7, Plato_20"</t>
  </si>
  <si>
    <t>17,Cliente_828,2,2023-04-06 02:07:00,2023-04-06 05:55:00,Mesero_4,Cena,Tarjeta de débito,26.07,Ocupada,629,Argentina,"Plato_18, Plato_3, Plato_4"</t>
  </si>
  <si>
    <t>2,Cliente_385,2,2023-04-06 00:02:00,2023-04-06 02:49:00,Mesero_5,Almuerzo,Tarjeta de débito,36.62,Libre,630,Bolivia,"Plato_17, Plato_20"</t>
  </si>
  <si>
    <t>Cliente_841</t>
  </si>
  <si>
    <t>16,Cliente_605,2,2023-04-06 00:15:00,2023-04-06 02:55:00,Mesero_3,Desayuno,Tarjeta de crédito,22.41,Libre,632,Ecuador,"Plato_15, Plato_11"</t>
  </si>
  <si>
    <t>16,Cliente_197,5,2023-04-06 03:43:00,2023-04-06 05:28:00,Mesero_3,Almuerzo,Tarjeta de crédito,11.19,Reservada,633,Bolivia,"Plato_2, Plato_7, Plato_5, Plato_4"</t>
  </si>
  <si>
    <t>2,Cliente_285,1,2023-04-06 00:03:00,2023-04-06 03:36:00,Mesero_1,Desayuno,Tarjeta de crédito,29.25,Reservada,634,Venezuela,"Plato_5, Plato_20, Plato_1, Plato_8"</t>
  </si>
  <si>
    <t>Cliente_19</t>
  </si>
  <si>
    <t>14,Cliente_586,3,2023-04-06 03:35:00,2023-04-06 05:48:00,Mesero_5,Cena,Tarjeta de débito,32.86,Libre,636,Ecuador,"Plato_7, Plato_12, Plato_13"</t>
  </si>
  <si>
    <t>6,Cliente_687,3,2023-04-06 01:55:00,2023-04-06 04:32:00,Mesero_4,Almuerzo,Tarjeta de crédito,36.58,Reservada,637,Ecuador,"Plato_11, Plato_18, Plato_1"</t>
  </si>
  <si>
    <t>8,Cliente_415,4,2023-04-06 02:17:00,2023-04-06 05:19:00,Mesero_2,Cena,Tarjeta de crédito,18.97,Reservada,639,España,"Plato_10, Plato_17, Plato_12"</t>
  </si>
  <si>
    <t>14,Cliente_456,3,2023-04-06 00:41:00,2023-04-06 01:50:00,Mesero_3,Almuerzo,Tarjeta de débito,49.29,Libre,640,Venezuela,"Plato_10, Plato_13, Plato_11"</t>
  </si>
  <si>
    <t>2,Cliente_820,4,2023-04-06 01:08:00,2023-04-06 03:52:00,Mesero_1,Almuerzo,Tarjeta de débito,39.68,Reservada,641,Ecuador,"Plato_9, Plato_1, Plato_14"</t>
  </si>
  <si>
    <t>15,Cliente_698,1,2023-04-06 02:36:00,2023-04-06 05:24:00,Mesero_2,Almuerzo,Tarjeta de crédito,11.11,Ocupada,642,Argentina,"Plato_13, Plato_10, Plato_9"</t>
  </si>
  <si>
    <t>Cliente_59</t>
  </si>
  <si>
    <t>Cliente_799</t>
  </si>
  <si>
    <t>6,Cliente_196,6,2023-04-06 02:50:00,2023-04-06 06:25:00,Mesero_3,Cena,Efectivo,40.03,Libre,645,Bolivia,"Plato_11, Plato_6"</t>
  </si>
  <si>
    <t>Cliente_623</t>
  </si>
  <si>
    <t>12,Cliente_52,2,2023-04-06 02:55:00,2023-04-06 06:25:00,Mesero_2,Almuerzo,Tarjeta de crédito,42.79,Reservada,647,Bolivia,"Plato_4, Plato_17"</t>
  </si>
  <si>
    <t>Cliente_946</t>
  </si>
  <si>
    <t>9,Cliente_278,1,2023-04-06 00:55:00,2023-04-06 03:45:00,Mesero_5,Almuerzo,Efectivo,15.98,Ocupada,649,Paraguay,"Plato_9, Plato_16, Plato_1, Plato_3"</t>
  </si>
  <si>
    <t>11,Cliente_232,3,2023-04-07 03:33:00,2023-04-07 05:02:00,Mesero_3,Almuerzo,Tarjeta de débito,38.21,Libre,650,Argentina,"Plato_13, Plato_9, Plato_15, Plato_8"</t>
  </si>
  <si>
    <t>16,Cliente_595,4,2023-04-07 02:04:00,2023-04-07 05:44:00,Mesero_4,Cena,Tarjeta de crédito,20.27,Libre,651,Argentina,"Plato_20, Plato_13, Plato_11"</t>
  </si>
  <si>
    <t>14,Cliente_968,5,2023-04-07 00:06:00,2023-04-07 02:26:00,Mesero_2,Almuerzo,Tarjeta de débito,23.26,Ocupada,652,Uruguay,"Plato_17, Plato_19"</t>
  </si>
  <si>
    <t>13,Cliente_2,5,2023-04-07 02:31:00,2023-04-07 04:20:00,Mesero_1,Almuerzo,Tarjeta de crédito,34.33,Libre,653,Venezuela,"Plato_16, Plato_2, Plato_8"</t>
  </si>
  <si>
    <t>12,Cliente_880,5,2023-04-07 00:02:00,2023-04-07 01:44:00,Mesero_5,Cena,Tarjeta de crédito,23.98,Ocupada,654,Uruguay,"Plato_5, Plato_3"</t>
  </si>
  <si>
    <t>Cliente_626</t>
  </si>
  <si>
    <t>19,Cliente_411,6,2023-04-07 03:36:00,2023-04-07 06:40:00,Mesero_1,Cena,Tarjeta de crédito,31.23,Reservada,656,Argentina,"Plato_14, Plato_3, Plato_12, Plato_19"</t>
  </si>
  <si>
    <t>1,Cliente_123,2,2023-04-07 00:51:00,2023-04-07 04:07:00,Mesero_1,Almuerzo,Efectivo,44.2,Reservada,657,Chile,"Plato_20, Plato_14, Plato_8"</t>
  </si>
  <si>
    <t>19,Cliente_910,5,2023-04-07 01:43:00,2023-04-07 05:02:00,Mesero_5,Desayuno,Efectivo,31.27,Reservada,658,Brasil,"Plato_15, Plato_6"</t>
  </si>
  <si>
    <t>19,Cliente_483,4,2023-04-07 01:56:00,2023-04-07 05:51:00,Mesero_2,Desayuno,Tarjeta de crédito,15.91,Reservada,660,Brasil,"Plato_12, Plato_2, Plato_20"</t>
  </si>
  <si>
    <t>16,Cliente_949,4,2023-04-07 03:22:00,2023-04-07 06:52:00,Mesero_4,Cena,Tarjeta de crédito,32.54,Ocupada,661,Argentina,"Plato_14, Plato_17, Plato_1, Plato_16"</t>
  </si>
  <si>
    <t>15,Cliente_642,4,2023-04-07 02:01:00,2023-04-07 05:02:00,Mesero_1,Almuerzo,Tarjeta de crédito,11.64,Libre,662,Bolivia,"Plato_7, Plato_1, Plato_19"</t>
  </si>
  <si>
    <t>3,Cliente_962,1,2023-04-07 01:09:00,2023-04-07 03:47:00,Mesero_1,Almuerzo,Efectivo,41.8,Ocupada,663,España,"Plato_4, Plato_9, Plato_3"</t>
  </si>
  <si>
    <t>20,Cliente_883,6,2023-04-07 01:35:00,2023-04-07 03:53:00,Mesero_4,Desayuno,Tarjeta de débito,31.27,Reservada,664,Colombia,"Plato_4, Plato_12, Plato_5"</t>
  </si>
  <si>
    <t>6,Cliente_425,1,2023-04-07 02:05:00,2023-04-07 05:56:00,Mesero_5,Almuerzo,Tarjeta de crédito,25.32,Ocupada,665,Bolivia,"Plato_1, Plato_6"</t>
  </si>
  <si>
    <t>Cliente_593</t>
  </si>
  <si>
    <t>Cliente_368</t>
  </si>
  <si>
    <t>12,Cliente_418,4,2023-04-07 01:43:00,2023-04-07 04:41:00,Mesero_1,Desayuno,Tarjeta de crédito,18.61,Reservada,668,Bolivia,"Plato_10, Plato_7, Plato_1"</t>
  </si>
  <si>
    <t>10,Cliente_693,4,2023-04-07 01:01:00,2023-04-07 04:34:00,Mesero_3,Almuerzo,Tarjeta de crédito,10.68,Libre,669,Venezuela,"Plato_17, Plato_6, Plato_15"</t>
  </si>
  <si>
    <t>16,Cliente_226,6,2023-04-07 01:52:00,2023-04-07 03:12:00,Mesero_2,Almuerzo,Efectivo,37.93,Ocupada,670,Bolivia,"Plato_14, Plato_8, Plato_19"</t>
  </si>
  <si>
    <t>17,Cliente_759,3,2023-04-07 02:18:00,2023-04-07 03:30:00,Mesero_3,Almuerzo,Efectivo,32.2,Reservada,671,Bolivia,"Plato_8, Plato_1, Plato_15"</t>
  </si>
  <si>
    <t>12,Cliente_517,6,2023-04-07 01:24:00,2023-04-07 03:51:00,Mesero_4,Cena,Tarjeta de crédito,29.19,Reservada,672,Chile,"Plato_15, Plato_13, Plato_12"</t>
  </si>
  <si>
    <t>20,Cliente_485,6,2023-04-07 00:37:00,2023-04-07 02:52:00,Mesero_5,Almuerzo,Tarjeta de crédito,36.5,Reservada,673,Venezuela,"Plato_20, Plato_8, Plato_2, Plato_1"</t>
  </si>
  <si>
    <t>1,Cliente_834,3,2023-04-07 00:03:00,2023-04-07 01:30:00,Mesero_5,Cena,Tarjeta de crédito,41.29,Libre,674,Paraguay,"Plato_12, Plato_4, Plato_17, Plato_13"</t>
  </si>
  <si>
    <t>5,Cliente_104,2,2023-04-07 00:54:00,2023-04-07 04:33:00,Mesero_2,Cena,Efectivo,30.74,Reservada,675,Ecuador,"Plato_1, Plato_3, Plato_19"</t>
  </si>
  <si>
    <t>7,Cliente_494,6,2023-04-07 00:28:00,2023-04-07 03:45:00,Mesero_3,Almuerzo,Tarjeta de crédito,41.6,Ocupada,676,Ecuador,"Plato_17, Plato_14, Plato_16, Plato_13"</t>
  </si>
  <si>
    <t>14,Cliente_331,6,2023-04-07 00:34:00,2023-04-07 02:37:00,Mesero_2,Almuerzo,Tarjeta de crédito,12.57,Ocupada,677,Bolivia,"Plato_3, Plato_8, Plato_18"</t>
  </si>
  <si>
    <t>19,Cliente_483,1,2023-04-07 03:01:00,2023-04-07 05:22:00,Mesero_3,Almuerzo,Tarjeta de crédito,26.76,Ocupada,678,Chile,"Plato_9, Plato_12, Plato_8, Plato_7"</t>
  </si>
  <si>
    <t>9,Cliente_26,4,2023-04-07 00:02:00,2023-04-07 03:03:00,Mesero_2,Almuerzo,Tarjeta de crédito,36.43,Ocupada,679,Chile,"Plato_13, Plato_10, Plato_16, Plato_1"</t>
  </si>
  <si>
    <t>5,Cliente_35,4,2023-04-07 01:23:00,2023-04-07 05:20:00,Mesero_3,Almuerzo,Efectivo,12.06,Reservada,680,Paraguay,"Plato_4, Plato_3, Plato_11"</t>
  </si>
  <si>
    <t>2,Cliente_840,4,2023-04-07 02:56:00,2023-04-07 06:50:00,Mesero_4,Almuerzo,Tarjeta de débito,37.07,Libre,681,Paraguay,"Plato_11, Plato_13"</t>
  </si>
  <si>
    <t>Cliente_36</t>
  </si>
  <si>
    <t>2,Cliente_837,6,2023-04-07 03:56:00,2023-04-07 06:22:00,Mesero_5,Almuerzo,Tarjeta de crédito,40.42,Ocupada,683,Colombia,"Plato_5, Plato_3, Plato_20, Plato_17"</t>
  </si>
  <si>
    <t>10,Cliente_514,6,2023-04-07 03:29:00,2023-04-07 04:40:00,Mesero_4,Cena,Tarjeta de crédito,48.15,Ocupada,684,Chile,"Plato_19, Plato_17, Plato_10, Plato_9"</t>
  </si>
  <si>
    <t>Cliente_485</t>
  </si>
  <si>
    <t>10,Cliente_832,6,2023-04-07 01:12:00,2023-04-07 03:39:00,Mesero_1,Almuerzo,Efectivo,15.83,Reservada,686,Paraguay,"Plato_17, Plato_3"</t>
  </si>
  <si>
    <t>Cliente_778</t>
  </si>
  <si>
    <t>Cliente_725</t>
  </si>
  <si>
    <t>14,Cliente_114,1,2023-04-07 00:36:00,2023-04-07 02:22:00,Mesero_1,Almuerzo,Tarjeta de crédito,10.25,Ocupada,689,Paraguay,"Plato_14, Plato_1, Plato_13"</t>
  </si>
  <si>
    <t>15,Cliente_95,4,2023-04-07 02:43:00,2023-04-07 05:43:00,Mesero_5,Cena,Tarjeta de débito,37.22,Reservada,690,España,"Plato_20, Plato_17, Plato_16, Plato_11"</t>
  </si>
  <si>
    <t>Cliente_103</t>
  </si>
  <si>
    <t>9,Cliente_30,2,2023-04-07 00:53:00,2023-04-07 04:26:00,Mesero_1,Cena,Tarjeta de crédito,25.92,Reservada,692,Argentina,"Plato_8, Plato_2, Plato_4, Plato_3"</t>
  </si>
  <si>
    <t>15,Cliente_330,4,2023-04-07 03:44:00,2023-04-07 07:31:00,Mesero_3,Almuerzo,Tarjeta de crédito,28.31,Libre,693,Ecuador,"Plato_19, Plato_13"</t>
  </si>
  <si>
    <t>5,Cliente_88,4,2023-04-07 01:51:00,2023-04-07 05:13:00,Mesero_2,Almuerzo,Tarjeta de crédito,23.66,Libre,694,Venezuela,"Plato_3, Plato_4, Plato_20, Plato_13"</t>
  </si>
  <si>
    <t>9,Cliente_211,1,2023-04-07 02:02:00,2023-04-07 05:32:00,Mesero_3,Almuerzo,Tarjeta de crédito,18.23,Ocupada,695,Venezuela,"Plato_16, Plato_2"</t>
  </si>
  <si>
    <t>Cliente_282</t>
  </si>
  <si>
    <t>4,Cliente_90,1,2023-04-07 03:48:00,2023-04-07 06:42:00,Mesero_2,Almuerzo,Tarjeta de crédito,34.35,Reservada,697,Uruguay,"Plato_14, Plato_11, Plato_2, Plato_6"</t>
  </si>
  <si>
    <t>19,Cliente_115,4,2023-04-07 02:30:00,2023-04-07 06:25:00,Mesero_1,Cena,Tarjeta de crédito,39.89,Libre,698,Bolivia,"Plato_6, Plato_10, Plato_14, Plato_13"</t>
  </si>
  <si>
    <t>Cliente_143</t>
  </si>
  <si>
    <t>8,Cliente_496,2,2023-04-07 00:23:00,2023-04-07 02:50:00,Mesero_2,Almuerzo,Tarjeta de crédito,21.66,Reservada,700,Argentina,"Plato_18, Plato_10, Plato_6"</t>
  </si>
  <si>
    <t>19,Cliente_58,5,2023-04-07 03:20:00,2023-04-07 05:45:00,Mesero_4,Almuerzo,Tarjeta de crédito,39.83,Libre,701,Bolivia,"Plato_11, Plato_4"</t>
  </si>
  <si>
    <t>13,Cliente_468,2,2023-04-07 02:30:00,2023-04-07 05:15:00,Mesero_3,Cena,Tarjeta de crédito,47.07,Libre,702,Brasil,"Plato_4, Plato_13, Plato_6, Plato_16"</t>
  </si>
  <si>
    <t>Cliente_714</t>
  </si>
  <si>
    <t>Cliente_950</t>
  </si>
  <si>
    <t>12,Cliente_372,3,2023-04-07 01:48:00,2023-04-07 02:53:00,Mesero_2,Almuerzo,Tarjeta de crédito,43.07,Libre,705,Venezuela,"Plato_3, Plato_10"</t>
  </si>
  <si>
    <t>Cliente_663</t>
  </si>
  <si>
    <t>15,Cliente_801,1,2023-04-07 03:05:00,2023-04-07 05:23:00,Mesero_2,Desayuno,Tarjeta de crédito,40.39,Reservada,707,Uruguay,"Plato_15, Plato_13, Plato_2, Plato_19"</t>
  </si>
  <si>
    <t>Cliente_804</t>
  </si>
  <si>
    <t>8,Cliente_208,4,2023-04-07 01:55:00,2023-04-07 03:40:00,Mesero_2,Almuerzo,Efectivo,26.15,Ocupada,709,Ecuador,"Plato_13, Plato_8, Plato_11, Plato_1"</t>
  </si>
  <si>
    <t>18,Cliente_716,1,2023-04-07 02:28:00,2023-04-07 03:38:00,Mesero_5,Almuerzo,Tarjeta de crédito,28.43,Ocupada,710,España,"Plato_3, Plato_12, Plato_4, Plato_14"</t>
  </si>
  <si>
    <t>20,Cliente_27,6,2023-04-07 01:51:00,2023-04-07 05:18:00,Mesero_1,Almuerzo,Tarjeta de débito,49.74,Ocupada,711,Uruguay,"Plato_18, Plato_15"</t>
  </si>
  <si>
    <t>Cliente_786</t>
  </si>
  <si>
    <t>6,Cliente_594,4,2023-04-07 00:15:00,2023-04-07 02:52:00,Mesero_1,Cena,Tarjeta de crédito,35.11,Libre,713,Uruguay,"Plato_11, Plato_9, Plato_15, Plato_10"</t>
  </si>
  <si>
    <t>19,Cliente_281,2,2023-04-07 02:21:00,2023-04-07 04:05:00,Mesero_5,Almuerzo,Tarjeta de crédito,10.69,Libre,714,Colombia,"Plato_18, Plato_2, Plato_11"</t>
  </si>
  <si>
    <t>12,Cliente_396,6,2023-04-07 01:45:00,2023-04-07 04:15:00,Mesero_3,Almuerzo,Tarjeta de débito,39.91,Ocupada,715,Perú,"Plato_2, Plato_6, Plato_1, Plato_4"</t>
  </si>
  <si>
    <t>12,Cliente_707,4,2023-04-07 01:47:00,2023-04-07 04:44:00,Mesero_2,Cena,Tarjeta de crédito,44.73,Ocupada,716,Brasil,"Plato_13, Plato_1, Plato_17"</t>
  </si>
  <si>
    <t>8,Cliente_392,5,2023-04-07 03:56:00,2023-04-07 06:03:00,Mesero_1,Almuerzo,Tarjeta de crédito,23.67,Libre,717,Bolivia,"Plato_5, Plato_2, Plato_6"</t>
  </si>
  <si>
    <t>Cliente_489</t>
  </si>
  <si>
    <t>16,Cliente_954,3,2023-04-07 01:18:00,2023-04-07 02:49:00,Mesero_1,Almuerzo,Tarjeta de débito,17.23,Libre,719,Colombia,"Plato_20, Plato_12, Plato_9"</t>
  </si>
  <si>
    <t>4,Cliente_263,5,2023-04-07 02:13:00,2023-04-07 05:46:00,Mesero_3,Almuerzo,Tarjeta de crédito,40.28,Reservada,720,Paraguay,"Plato_11, Plato_9, Plato_7"</t>
  </si>
  <si>
    <t>6,Cliente_733,2,2023-04-07 03:53:00,2023-04-07 07:01:00,Mesero_2,Desayuno,Tarjeta de crédito,47.13,Libre,721,Paraguay,"Plato_9, Plato_19, Plato_7, Plato_6"</t>
  </si>
  <si>
    <t>13,Cliente_438,5,2023-04-07 02:51:00,2023-04-07 04:08:00,Mesero_2,Almuerzo,Tarjeta de crédito,20.62,Libre,722,Ecuador,"Plato_13, Plato_5"</t>
  </si>
  <si>
    <t>12,Cliente_116,2,2023-04-07 01:35:00,2023-04-07 04:49:00,Mesero_4,Desayuno,Efectivo,27.79,Libre,723,Chile,"Plato_16, Plato_8"</t>
  </si>
  <si>
    <t>10,Cliente_353,4,2023-04-07 01:48:00,2023-04-07 03:20:00,Mesero_4,Almuerzo,Efectivo,18.66,Ocupada,725,Chile,"Plato_18, Plato_5"</t>
  </si>
  <si>
    <t>11,Cliente_715,2,2023-04-07 02:28:00,2023-04-07 05:43:00,Mesero_5,Desayuno,Tarjeta de crédito,41.38,Reservada,726,España,"Plato_5, Plato_19, Plato_14"</t>
  </si>
  <si>
    <t>Cliente_117</t>
  </si>
  <si>
    <t>9,Cliente_654,6,2023-04-07 02:06:00,2023-04-07 04:29:00,Mesero_1,Desayuno,Tarjeta de débito,34.28,Ocupada,728,Argentina,"Plato_4, Plato_6, Plato_15"</t>
  </si>
  <si>
    <t>20,Cliente_264,2,2023-04-07 02:49:00,2023-04-07 06:05:00,Mesero_5,Desayuno,Tarjeta de crédito,18.97,Ocupada,729,Uruguay,"Plato_18, Plato_3"</t>
  </si>
  <si>
    <t>8,Cliente_443,3,2023-04-07 00:29:00,2023-04-07 02:33:00,Mesero_3,Almuerzo,Tarjeta de crédito,15.02,Ocupada,730,España,"Plato_2, Plato_7"</t>
  </si>
  <si>
    <t>Cliente_239</t>
  </si>
  <si>
    <t>12,Cliente_770,3,2023-04-07 03:17:00,2023-04-07 07:13:00,Mesero_4,Almuerzo,Tarjeta de crédito,43.35,Reservada,732,Brasil,"Plato_20, Plato_10, Plato_19"</t>
  </si>
  <si>
    <t>14,Cliente_359,6,2023-04-07 03:40:00,2023-04-07 05:28:00,Mesero_4,Cena,Tarjeta de crédito,35.09,Libre,733,Argentina,"Plato_19, Plato_7, Plato_6"</t>
  </si>
  <si>
    <t>14,Cliente_888,2,2023-04-07 02:27:00,2023-04-07 04:57:00,Mesero_2,Almuerzo,Efectivo,46.82,Libre,734,Venezuela,"Plato_15, Plato_7, Plato_12"</t>
  </si>
  <si>
    <t>20,Cliente_154,4,2023-04-07 01:52:00,2023-04-07 03:47:00,Mesero_3,Desayuno,Tarjeta de crédito,38.43,Libre,735,España,"Plato_14, Plato_15"</t>
  </si>
  <si>
    <t>17,Cliente_301,2,2023-04-07 01:08:00,2023-04-07 03:24:00,Mesero_4,Desayuno,Tarjeta de crédito,25.91,Ocupada,736,España,"Plato_5, Plato_16, Plato_17"</t>
  </si>
  <si>
    <t>6,Cliente_635,1,2023-04-07 00:39:00,2023-04-07 03:06:00,Mesero_2,Desayuno,Tarjeta de débito,24.09,Reservada,737,Paraguay,"Plato_9, Plato_2"</t>
  </si>
  <si>
    <t>15,Cliente_70,1,2023-04-07 00:51:00,2023-04-07 02:04:00,Mesero_3,Almuerzo,Tarjeta de crédito,17.37,Ocupada,738,España,"Plato_10, Plato_16, Plato_4"</t>
  </si>
  <si>
    <t>Cliente_484</t>
  </si>
  <si>
    <t>16,Cliente_297,6,2023-04-07 03:49:00,2023-04-07 06:24:00,Mesero_1,Almuerzo,Tarjeta de débito,16.05,Reservada,740,Ecuador,"Plato_16, Plato_15, Plato_19, Plato_14"</t>
  </si>
  <si>
    <t>14,Cliente_196,4,2023-04-07 00:29:00,2023-04-07 04:23:00,Mesero_2,Almuerzo,Tarjeta de débito,40.31,Ocupada,741,Uruguay,"Plato_7, Plato_9, Plato_11, Plato_16"</t>
  </si>
  <si>
    <t>20,Cliente_320,4,2023-04-07 00:36:00,2023-04-07 02:22:00,Mesero_2,Desayuno,Tarjeta de crédito,10.51,Reservada,742,Colombia,"Plato_17, Plato_2, Plato_10, Plato_12"</t>
  </si>
  <si>
    <t>19,Cliente_597,2,2023-04-07 03:47:00,2023-04-07 07:44:00,Mesero_3,Almuerzo,Tarjeta de débito,25.7,Ocupada,743,Brasil,"Plato_10, Plato_4, Plato_14"</t>
  </si>
  <si>
    <t>11,Cliente_974,1,2023-04-07 01:59:00,2023-04-07 05:49:00,Mesero_1,Almuerzo,Tarjeta de crédito,26.5,Libre,744,España,"Plato_4, Plato_9"</t>
  </si>
  <si>
    <t>3,Cliente_90,1,2023-04-07 02:34:00,2023-04-07 04:52:00,Mesero_5,Almuerzo,Efectivo,18.75,Libre,745,Bolivia,"Plato_8, Plato_7, Plato_1, Plato_6"</t>
  </si>
  <si>
    <t>13,Cliente_950,2,2023-04-07 03:10:00,2023-04-07 06:27:00,Mesero_1,Almuerzo,Tarjeta de crédito,44.9,Ocupada,746,Chile,"Plato_8, Plato_15"</t>
  </si>
  <si>
    <t>Cliente_446</t>
  </si>
  <si>
    <t>2,Cliente_298,4,2023-04-07 02:32:00,2023-04-07 05:58:00,Mesero_2,Almuerzo,Tarjeta de crédito,12.55,Reservada,748,Venezuela,"Plato_15, Plato_10"</t>
  </si>
  <si>
    <t>6,Cliente_304,4,2023-04-07 01:46:00,2023-04-07 03:00:00,Mesero_1,Almuerzo,Tarjeta de crédito,21.82,Libre,750,Bolivia,"Plato_17, Plato_10"</t>
  </si>
  <si>
    <t>17,Cliente_157,6,2023-04-07 01:32:00,2023-04-07 03:10:00,Mesero_2,Desayuno,Tarjeta de crédito,49.35,Libre,751,Brasil,"Plato_9, Plato_1, Plato_5"</t>
  </si>
  <si>
    <t>11,Cliente_827,4,2023-04-07 02:27:00,2023-04-07 04:38:00,Mesero_4,Almuerzo,Tarjeta de débito,26.24,Libre,753,Chile,"Plato_15, Plato_14, Plato_7, Plato_19"</t>
  </si>
  <si>
    <t>8,Cliente_871,3,2023-04-07 03:21:00,2023-04-07 04:36:00,Mesero_3,Almuerzo,Tarjeta de crédito,42.74,Reservada,754,España,"Plato_7, Plato_6, Plato_16"</t>
  </si>
  <si>
    <t>12,Cliente_743,3,2023-04-07 02:01:00,2023-04-07 04:27:00,Mesero_2,Almuerzo,Tarjeta de crédito,26.65,Ocupada,755,Brasil,"Plato_13, Plato_1, Plato_12, Plato_9"</t>
  </si>
  <si>
    <t>11,Cliente_428,1,2023-04-07 03:53:00,2023-04-07 07:51:00,Mesero_1,Cena,Tarjeta de crédito,31.75,Libre,756,Perú,"Plato_17, Plato_12"</t>
  </si>
  <si>
    <t>Cliente_750</t>
  </si>
  <si>
    <t>18,Cliente_808,4,2023-04-07 00:17:00,2023-04-07 02:10:00,Mesero_3,Desayuno,Efectivo,27.04,Reservada,758,Perú,"Plato_2, Plato_5"</t>
  </si>
  <si>
    <t>20,Cliente_376,5,2023-04-07 00:40:00,2023-04-07 03:45:00,Mesero_1,Almuerzo,Tarjeta de crédito,13.7,Reservada,759,Argentina,"Plato_11, Plato_6, Plato_1, Plato_9"</t>
  </si>
  <si>
    <t>Cliente_721</t>
  </si>
  <si>
    <t>4,Cliente_782,4,2023-04-07 02:39:00,2023-04-07 03:42:00,Mesero_3,Desayuno,Tarjeta de crédito,16.85,Libre,761,España,"Plato_7, Plato_16, Plato_14"</t>
  </si>
  <si>
    <t>4,Cliente_729,3,2023-04-07 01:18:00,2023-04-07 03:25:00,Mesero_5,Desayuno,Tarjeta de crédito,49.45,Reservada,762,Uruguay,"Plato_13, Plato_10"</t>
  </si>
  <si>
    <t>18,Cliente_351,3,2023-04-07 03:49:00,2023-04-07 05:12:00,Mesero_4,Almuerzo,Tarjeta de crédito,22.88,Reservada,763,Argentina,"Plato_11, Plato_12"</t>
  </si>
  <si>
    <t>20,Cliente_227,1,2023-04-07 03:30:00,2023-04-07 05:46:00,Mesero_4,Cena,Tarjeta de crédito,20.41,Ocupada,764,Colombia,"Plato_6, Plato_18, Plato_7"</t>
  </si>
  <si>
    <t>20,Cliente_825,4,2023-04-07 00:24:00,2023-04-07 01:37:00,Mesero_3,Cena,Tarjeta de crédito,30.77,Libre,765,Chile,"Plato_10, Plato_16, Plato_13, Plato_19"</t>
  </si>
  <si>
    <t>17,Cliente_175,6,2023-04-07 01:34:00,2023-04-07 04:50:00,Mesero_2,Cena,Tarjeta de crédito,12.57,Reservada,766,Argentina,"Plato_2, Plato_12, Plato_3, Plato_14"</t>
  </si>
  <si>
    <t>10,Cliente_757,3,2023-04-07 01:08:00,2023-04-07 03:57:00,Mesero_2,Desayuno,Tarjeta de crédito,15.98,Reservada,767,Ecuador,"Plato_9, Plato_7, Plato_13"</t>
  </si>
  <si>
    <t>CONTRA: COCINA</t>
  </si>
  <si>
    <t>Cliente_724</t>
  </si>
  <si>
    <t>Cliente_538</t>
  </si>
  <si>
    <t>Cliente_911</t>
  </si>
  <si>
    <t>Cliente_129</t>
  </si>
  <si>
    <t>Cliente_938</t>
  </si>
  <si>
    <t>Cliente_306</t>
  </si>
  <si>
    <t>Cliente_974</t>
  </si>
  <si>
    <t>Cliente_33</t>
  </si>
  <si>
    <t>Cliente_890</t>
  </si>
  <si>
    <t>Cliente_200</t>
  </si>
  <si>
    <t>Cliente_190</t>
  </si>
  <si>
    <t>Cliente_972</t>
  </si>
  <si>
    <t>Cliente_210</t>
  </si>
  <si>
    <t>Cliente_427</t>
  </si>
  <si>
    <t>Cliente_424</t>
  </si>
  <si>
    <t>Cliente_107</t>
  </si>
  <si>
    <t>Cliente_358</t>
  </si>
  <si>
    <t>Cliente_377</t>
  </si>
  <si>
    <t>Cliente_361</t>
  </si>
  <si>
    <t>Cliente_229</t>
  </si>
  <si>
    <t>Cliente_1</t>
  </si>
  <si>
    <t>Cliente_828</t>
  </si>
  <si>
    <t>Cliente_167</t>
  </si>
  <si>
    <t>Cliente_870</t>
  </si>
  <si>
    <t>Cliente_814</t>
  </si>
  <si>
    <t>Cliente_72</t>
  </si>
  <si>
    <t>Cliente_963</t>
  </si>
  <si>
    <t>Cliente_708</t>
  </si>
  <si>
    <t>Cliente_631</t>
  </si>
  <si>
    <t>Cliente_894</t>
  </si>
  <si>
    <t>Cliente_63</t>
  </si>
  <si>
    <t>Cliente_144</t>
  </si>
  <si>
    <t>Cliente_390</t>
  </si>
  <si>
    <t>Cliente_886</t>
  </si>
  <si>
    <t>Cliente_510</t>
  </si>
  <si>
    <t>Cliente_878</t>
  </si>
  <si>
    <t>Cliente_792</t>
  </si>
  <si>
    <t>Cliente_265</t>
  </si>
  <si>
    <t>Cliente_614</t>
  </si>
  <si>
    <t>Cliente_352</t>
  </si>
  <si>
    <t>Cliente_784</t>
  </si>
  <si>
    <t>Cliente_118</t>
  </si>
  <si>
    <t>Cliente_61</t>
  </si>
  <si>
    <t>Cliente_440</t>
  </si>
  <si>
    <t>Cliente_258</t>
  </si>
  <si>
    <t>Cliente_79</t>
  </si>
  <si>
    <t>Cliente_42</t>
  </si>
  <si>
    <t>Cliente_374</t>
  </si>
  <si>
    <t>Cliente_753</t>
  </si>
  <si>
    <t>Cliente_632</t>
  </si>
  <si>
    <t>Cliente_574</t>
  </si>
  <si>
    <t>Cliente_292</t>
  </si>
  <si>
    <t>Cliente_747</t>
  </si>
  <si>
    <t>Cliente_733</t>
  </si>
  <si>
    <t>Cliente_607</t>
  </si>
  <si>
    <t>Cliente_378</t>
  </si>
  <si>
    <t>Cliente_452</t>
  </si>
  <si>
    <t>Cliente_840</t>
  </si>
  <si>
    <t>Cliente_993</t>
  </si>
  <si>
    <t>Cliente_29</t>
  </si>
  <si>
    <t>Cliente_313</t>
  </si>
  <si>
    <t>Cliente_520</t>
  </si>
  <si>
    <t>Cliente_388</t>
  </si>
  <si>
    <t>Cliente_384</t>
  </si>
  <si>
    <t>Cliente_517</t>
  </si>
  <si>
    <t>Cliente_651</t>
  </si>
  <si>
    <t>Cliente_545</t>
  </si>
  <si>
    <t>Cliente_116</t>
  </si>
  <si>
    <t>Cliente_170</t>
  </si>
  <si>
    <t>Cliente_92</t>
  </si>
  <si>
    <t>Cliente_588</t>
  </si>
  <si>
    <t>Cliente_949</t>
  </si>
  <si>
    <t>Cliente_916</t>
  </si>
  <si>
    <t>Cliente_791</t>
  </si>
  <si>
    <t>Cliente_697</t>
  </si>
  <si>
    <t>Cliente_516</t>
  </si>
  <si>
    <t>Cliente_830</t>
  </si>
  <si>
    <t>Cliente_656</t>
  </si>
  <si>
    <t>Cliente_774</t>
  </si>
  <si>
    <t>Cliente_273</t>
  </si>
  <si>
    <t>Cliente_658</t>
  </si>
  <si>
    <t>Cliente_158</t>
  </si>
  <si>
    <t>Cliente_286</t>
  </si>
  <si>
    <t>Cliente_712</t>
  </si>
  <si>
    <t>Cliente_56</t>
  </si>
  <si>
    <t>Cliente_909</t>
  </si>
  <si>
    <t>Cliente_402</t>
  </si>
  <si>
    <t>Cliente_709</t>
  </si>
  <si>
    <t>Cliente_533</t>
  </si>
  <si>
    <t>Cliente_953</t>
  </si>
  <si>
    <t>Cliente_964</t>
  </si>
  <si>
    <t>Cliente_939</t>
  </si>
  <si>
    <t>Cliente_5</t>
  </si>
  <si>
    <t>Cliente_580</t>
  </si>
  <si>
    <t>Cliente_295</t>
  </si>
  <si>
    <t>Cliente_547</t>
  </si>
  <si>
    <t>Cliente_156</t>
  </si>
  <si>
    <t>Cliente_359</t>
  </si>
  <si>
    <t>Cliente_493</t>
  </si>
  <si>
    <t>Cliente_301</t>
  </si>
  <si>
    <t>Cliente_610</t>
  </si>
  <si>
    <t>Cliente_681</t>
  </si>
  <si>
    <t>Cliente_55</t>
  </si>
  <si>
    <t>Cliente_715</t>
  </si>
  <si>
    <t>Cliente_321</t>
  </si>
  <si>
    <t>Cliente_752</t>
  </si>
  <si>
    <t>Cliente_727</t>
  </si>
  <si>
    <t>Cliente_548</t>
  </si>
  <si>
    <t>Cliente_30</t>
  </si>
  <si>
    <t>Cliente_646</t>
  </si>
  <si>
    <t>Cliente_367</t>
  </si>
  <si>
    <t>Cliente_765</t>
  </si>
  <si>
    <t>Cliente_512</t>
  </si>
  <si>
    <t>Cliente_701</t>
  </si>
  <si>
    <t>Cliente_323</t>
  </si>
  <si>
    <t>Cliente_678</t>
  </si>
  <si>
    <t>Cliente_74</t>
  </si>
  <si>
    <t>Cliente_146</t>
  </si>
  <si>
    <t>Cliente_212</t>
  </si>
  <si>
    <t>Cliente_3</t>
  </si>
  <si>
    <t>Cliente_176</t>
  </si>
  <si>
    <t>Cliente_551</t>
  </si>
  <si>
    <t>Cliente_240</t>
  </si>
  <si>
    <t>Cliente_759</t>
  </si>
  <si>
    <t>Cliente_744</t>
  </si>
  <si>
    <t>Cliente_189</t>
  </si>
  <si>
    <t>Cliente_990</t>
  </si>
  <si>
    <t>Cliente_67</t>
  </si>
  <si>
    <t>Cliente_984</t>
  </si>
  <si>
    <t>Cliente_877</t>
  </si>
  <si>
    <t>Cliente_494</t>
  </si>
  <si>
    <t>Cliente_264</t>
  </si>
  <si>
    <t>Cliente_142</t>
  </si>
  <si>
    <t>Cliente_856</t>
  </si>
  <si>
    <t>Cliente_722</t>
  </si>
  <si>
    <t>Cliente_961</t>
  </si>
  <si>
    <t>Cliente_579</t>
  </si>
  <si>
    <t>Cliente_567</t>
  </si>
  <si>
    <t>Cliente_927</t>
  </si>
  <si>
    <t>Cliente_872</t>
  </si>
  <si>
    <t>Cliente_425</t>
  </si>
  <si>
    <t>Cliente_700</t>
  </si>
  <si>
    <t>Cliente_811</t>
  </si>
  <si>
    <t>Cliente_249</t>
  </si>
  <si>
    <t>Cliente_326</t>
  </si>
  <si>
    <t>Cliente_281</t>
  </si>
  <si>
    <t>Cliente_686</t>
  </si>
  <si>
    <t>Cliente_418</t>
  </si>
  <si>
    <t>Cliente_397</t>
  </si>
  <si>
    <t>Cliente_477</t>
  </si>
  <si>
    <t>Cliente_300</t>
  </si>
  <si>
    <t>Cliente_132</t>
  </si>
  <si>
    <t>Cliente_53</t>
  </si>
  <si>
    <t>Cliente_673</t>
  </si>
  <si>
    <t>Cliente_730</t>
  </si>
  <si>
    <t>Cliente_827</t>
  </si>
  <si>
    <t>Cliente_345</t>
  </si>
  <si>
    <t>Cliente_981</t>
  </si>
  <si>
    <t>Cliente_24</t>
  </si>
  <si>
    <t>Cliente_463</t>
  </si>
  <si>
    <t>Cliente_409</t>
  </si>
  <si>
    <t>Cliente_729</t>
  </si>
  <si>
    <t>Cliente_565</t>
  </si>
  <si>
    <t>Cliente_195</t>
  </si>
  <si>
    <t>Cliente_211</t>
  </si>
  <si>
    <t>Cliente_385</t>
  </si>
  <si>
    <t>Cliente_986</t>
  </si>
  <si>
    <t>Cliente_994</t>
  </si>
  <si>
    <t>Cliente_648</t>
  </si>
  <si>
    <t>Cliente_846</t>
  </si>
  <si>
    <t>Cliente_620</t>
  </si>
  <si>
    <t>Cliente_672</t>
  </si>
  <si>
    <t>Cliente_735</t>
  </si>
  <si>
    <t>Cliente_654</t>
  </si>
  <si>
    <t>Cliente_294</t>
  </si>
  <si>
    <t>Cliente_659</t>
  </si>
  <si>
    <t>Cliente_47</t>
  </si>
  <si>
    <t>Cliente_544</t>
  </si>
  <si>
    <t>Cliente_633</t>
  </si>
  <si>
    <t>Cliente_154</t>
  </si>
  <si>
    <t>Cliente_797</t>
  </si>
  <si>
    <t>Cliente_597</t>
  </si>
  <si>
    <t>Cliente_216</t>
  </si>
  <si>
    <t>Cliente_546</t>
  </si>
  <si>
    <t>Cliente_524</t>
  </si>
  <si>
    <t>Cliente_193</t>
  </si>
  <si>
    <t>Cliente_794</t>
  </si>
  <si>
    <t>Cliente_602</t>
  </si>
  <si>
    <t>Cliente_296</t>
  </si>
  <si>
    <t>Cliente_568</t>
  </si>
  <si>
    <t>Cliente_897</t>
  </si>
  <si>
    <t>Cliente_816</t>
  </si>
  <si>
    <t>Cliente_221</t>
  </si>
  <si>
    <t>Cliente_940</t>
  </si>
  <si>
    <t>Cliente_707</t>
  </si>
  <si>
    <t>Cliente_644</t>
  </si>
  <si>
    <t>Cliente_619</t>
  </si>
  <si>
    <t>Cliente_833</t>
  </si>
  <si>
    <t>Cliente_899</t>
  </si>
  <si>
    <t>Cliente_470</t>
  </si>
  <si>
    <t>Cliente_191</t>
  </si>
  <si>
    <t>Cliente_499</t>
  </si>
  <si>
    <t>Cliente_495</t>
  </si>
  <si>
    <t>Cliente_923</t>
  </si>
  <si>
    <t>Cliente_453</t>
  </si>
  <si>
    <t>Cliente_14</t>
  </si>
  <si>
    <t>Cliente_611</t>
  </si>
  <si>
    <t>Cliente_505</t>
  </si>
  <si>
    <t>Cliente_882</t>
  </si>
  <si>
    <t>Cliente_789</t>
  </si>
  <si>
    <t>Cliente_141</t>
  </si>
  <si>
    <t>Cliente_622</t>
  </si>
  <si>
    <t>Cliente_471</t>
  </si>
  <si>
    <t>Cliente_196</t>
  </si>
  <si>
    <t>Cliente_991</t>
  </si>
  <si>
    <t>Cliente_330</t>
  </si>
  <si>
    <t>Cliente_943</t>
  </si>
  <si>
    <t>Cliente_285</t>
  </si>
  <si>
    <t>Cliente_905</t>
  </si>
  <si>
    <t>Cliente_543</t>
  </si>
  <si>
    <t>Cliente_315</t>
  </si>
  <si>
    <t>Cliente_166</t>
  </si>
  <si>
    <t>Cliente_157</t>
  </si>
  <si>
    <t>Cliente_919</t>
  </si>
  <si>
    <t>Cliente_395</t>
  </si>
  <si>
    <t>Cliente_287</t>
  </si>
  <si>
    <t>Cliente_479</t>
  </si>
  <si>
    <t>Cliente_160</t>
  </si>
  <si>
    <t>Cliente_109</t>
  </si>
  <si>
    <t>Cliente_342</t>
  </si>
  <si>
    <t>Cliente_689</t>
  </si>
  <si>
    <t>Cliente_518</t>
  </si>
  <si>
    <t>Cliente_869</t>
  </si>
  <si>
    <t>Cliente_842</t>
  </si>
  <si>
    <t>Cliente_349</t>
  </si>
  <si>
    <t>Cliente_807</t>
  </si>
  <si>
    <t>Cliente_900</t>
  </si>
  <si>
    <t>Cliente_405</t>
  </si>
  <si>
    <t>Cliente_404</t>
  </si>
  <si>
    <t>Cliente_783</t>
  </si>
  <si>
    <t>Cliente_589</t>
  </si>
  <si>
    <t>Cliente_284</t>
  </si>
  <si>
    <t>Cliente_207</t>
  </si>
  <si>
    <t>Cliente_531</t>
  </si>
  <si>
    <t>Cliente_420</t>
  </si>
  <si>
    <t>Cliente_421</t>
  </si>
  <si>
    <t>Cliente_876</t>
  </si>
  <si>
    <t>Cliente_365</t>
  </si>
  <si>
    <t>Cliente_185</t>
  </si>
  <si>
    <t>Cliente_558</t>
  </si>
  <si>
    <t>Cliente_535</t>
  </si>
  <si>
    <t>Cliente_18</t>
  </si>
  <si>
    <t>Cliente_704</t>
  </si>
  <si>
    <t>Cliente_720</t>
  </si>
  <si>
    <t>Cliente_624</t>
  </si>
  <si>
    <t>Cliente_434</t>
  </si>
  <si>
    <t>Cliente_149</t>
  </si>
  <si>
    <t>Cliente_125</t>
  </si>
  <si>
    <t>Cliente_437</t>
  </si>
  <si>
    <t>Cliente_719</t>
  </si>
  <si>
    <t>Cliente_354</t>
  </si>
  <si>
    <t>Cliente_363</t>
  </si>
  <si>
    <t>Cliente_637</t>
  </si>
  <si>
    <t>Cliente_948</t>
  </si>
  <si>
    <t>Cliente_70</t>
  </si>
  <si>
    <t>Cliente_951</t>
  </si>
  <si>
    <t>Cliente_819</t>
  </si>
  <si>
    <t>Cliente_334</t>
  </si>
  <si>
    <t>Cliente_787</t>
  </si>
  <si>
    <t>Cliente_616</t>
  </si>
  <si>
    <t>Cliente_422</t>
  </si>
  <si>
    <t>Cliente_218</t>
  </si>
  <si>
    <t>Cliente_95</t>
  </si>
  <si>
    <t>Cliente_866</t>
  </si>
  <si>
    <t>Cliente_232</t>
  </si>
  <si>
    <t>Cliente_113</t>
  </si>
  <si>
    <t>Cliente_785</t>
  </si>
  <si>
    <t>Cliente_554</t>
  </si>
  <si>
    <t>Cliente_320</t>
  </si>
  <si>
    <t>Cliente_996</t>
  </si>
  <si>
    <t>Cliente_615</t>
  </si>
  <si>
    <t>Cliente_968</t>
  </si>
  <si>
    <t>Cliente_206</t>
  </si>
  <si>
    <t>Cliente_669</t>
  </si>
  <si>
    <t>Cliente_705</t>
  </si>
  <si>
    <t>Cliente_462</t>
  </si>
  <si>
    <t>Cliente_809</t>
  </si>
  <si>
    <t>Cliente_21</t>
  </si>
  <si>
    <t>Cliente_454</t>
  </si>
  <si>
    <t>Cliente_825</t>
  </si>
  <si>
    <t>Cliente_134</t>
  </si>
  <si>
    <t>Cliente_555</t>
  </si>
  <si>
    <t>Cliente_887</t>
  </si>
  <si>
    <t>Cliente_913</t>
  </si>
  <si>
    <t>Cliente_41</t>
  </si>
  <si>
    <t>Cliente_738</t>
  </si>
  <si>
    <t>Cliente_280</t>
  </si>
  <si>
    <t>Cliente_283</t>
  </si>
  <si>
    <t>Cliente_857</t>
  </si>
  <si>
    <t>Cliente_443</t>
  </si>
  <si>
    <t>Cliente_177</t>
  </si>
  <si>
    <t>Cliente_832</t>
  </si>
  <si>
    <t>Cliente_480</t>
  </si>
  <si>
    <t>Cliente_351</t>
  </si>
  <si>
    <t>Cliente_344</t>
  </si>
  <si>
    <t>Cliente_564</t>
  </si>
  <si>
    <t>Cliente_782</t>
  </si>
  <si>
    <t>Cliente_165</t>
  </si>
  <si>
    <t>Cliente_608</t>
  </si>
  <si>
    <t>Cliente_224</t>
  </si>
  <si>
    <t>Cliente_680</t>
  </si>
  <si>
    <t>Cliente_513</t>
  </si>
  <si>
    <t>Cliente_973</t>
  </si>
  <si>
    <t>Cliente_511</t>
  </si>
  <si>
    <t>Cliente_772</t>
  </si>
  <si>
    <t>Cliente_605</t>
  </si>
  <si>
    <t>Cliente_197</t>
  </si>
  <si>
    <t>Cliente_586</t>
  </si>
  <si>
    <t>Cliente_687</t>
  </si>
  <si>
    <t>Cliente_415</t>
  </si>
  <si>
    <t>Cliente_456</t>
  </si>
  <si>
    <t>Cliente_820</t>
  </si>
  <si>
    <t>Cliente_698</t>
  </si>
  <si>
    <t>Cliente_52</t>
  </si>
  <si>
    <t>Cliente_278</t>
  </si>
  <si>
    <t>Cliente_595</t>
  </si>
  <si>
    <t>Cliente_2</t>
  </si>
  <si>
    <t>Cliente_880</t>
  </si>
  <si>
    <t>Cliente_411</t>
  </si>
  <si>
    <t>Cliente_123</t>
  </si>
  <si>
    <t>Cliente_910</t>
  </si>
  <si>
    <t>Cliente_483</t>
  </si>
  <si>
    <t>Cliente_642</t>
  </si>
  <si>
    <t>Cliente_962</t>
  </si>
  <si>
    <t>Cliente_883</t>
  </si>
  <si>
    <t>Cliente_693</t>
  </si>
  <si>
    <t>Cliente_226</t>
  </si>
  <si>
    <t>Cliente_834</t>
  </si>
  <si>
    <t>Cliente_104</t>
  </si>
  <si>
    <t>Cliente_35</t>
  </si>
  <si>
    <t>Cliente_837</t>
  </si>
  <si>
    <t>Cliente_514</t>
  </si>
  <si>
    <t>Cliente_114</t>
  </si>
  <si>
    <t>Cliente_90</t>
  </si>
  <si>
    <t>Cliente_496</t>
  </si>
  <si>
    <t>Cliente_58</t>
  </si>
  <si>
    <t>Cliente_468</t>
  </si>
  <si>
    <t>Cliente_801</t>
  </si>
  <si>
    <t>Cliente_716</t>
  </si>
  <si>
    <t>Cliente_594</t>
  </si>
  <si>
    <t>Cliente_396</t>
  </si>
  <si>
    <t>Cliente_954</t>
  </si>
  <si>
    <t>Cliente_263</t>
  </si>
  <si>
    <t>Cliente_438</t>
  </si>
  <si>
    <t>Cliente_353</t>
  </si>
  <si>
    <t>Cliente_770</t>
  </si>
  <si>
    <t>Cliente_888</t>
  </si>
  <si>
    <t>Cliente_635</t>
  </si>
  <si>
    <t>Cliente_297</t>
  </si>
  <si>
    <t>Cliente_298</t>
  </si>
  <si>
    <t>Cliente_304</t>
  </si>
  <si>
    <t>Cliente_743</t>
  </si>
  <si>
    <t>Cliente_428</t>
  </si>
  <si>
    <t>Cliente_808</t>
  </si>
  <si>
    <t>Cliente_376</t>
  </si>
  <si>
    <t>Cliente_227</t>
  </si>
  <si>
    <t>Cliente_757</t>
  </si>
  <si>
    <t>REGISTRO DE ACCIONES</t>
  </si>
  <si>
    <t>SALA</t>
  </si>
  <si>
    <t>1- Se ordenaron los datos por delimitación de comas</t>
  </si>
  <si>
    <t>Ganancia neta</t>
  </si>
  <si>
    <t>Ganancia bruta</t>
  </si>
  <si>
    <t>Porcentaje ganancia</t>
  </si>
  <si>
    <t>COCINA</t>
  </si>
  <si>
    <t>Total general</t>
  </si>
  <si>
    <t>Etiquetas de fila</t>
  </si>
  <si>
    <t>2- Eliminada columna "Observaciones"</t>
  </si>
  <si>
    <t>4- Creada columna "Ganancia neta: (Precio de venta- precio de coste) * Cantidad</t>
  </si>
  <si>
    <t>5- Creada columna "% de ganancia" donde se muestra el margen de beneficio respecto a la ganancia neta (neta/bruta *100)</t>
  </si>
  <si>
    <t>Suma de Ganancia neta</t>
  </si>
  <si>
    <t>6- Creada tabla dinámica (Agrupación por nº de orden y filtrado por el mismo)</t>
  </si>
  <si>
    <t>3- Creada columna "Ganancia bruta": Precio de venta del plato * Cantidad</t>
  </si>
  <si>
    <t>Fecha de factura</t>
  </si>
  <si>
    <t>Hora de llegada2</t>
  </si>
  <si>
    <t>Hora de salida2</t>
  </si>
  <si>
    <t>Tiempo de permanencia</t>
  </si>
  <si>
    <t>Tiempo de Preparación</t>
  </si>
  <si>
    <t>Suma de Tiempo de Preparación</t>
  </si>
  <si>
    <t>01-abr</t>
  </si>
  <si>
    <t>02-abr</t>
  </si>
  <si>
    <t>03-abr</t>
  </si>
  <si>
    <t>04-abr</t>
  </si>
  <si>
    <t>05-abr</t>
  </si>
  <si>
    <t>06-abr</t>
  </si>
  <si>
    <t>07-abr</t>
  </si>
  <si>
    <t>Ingresos por país de origen</t>
  </si>
  <si>
    <t>Suma de Propina</t>
  </si>
  <si>
    <t>Cuenta de Número de Orden</t>
  </si>
  <si>
    <t>Tiempo de preparación total</t>
  </si>
  <si>
    <t>Tiempo degustación</t>
  </si>
  <si>
    <t>Plato_7, Plato_2</t>
  </si>
  <si>
    <t>Plato_17, Plato_6</t>
  </si>
  <si>
    <t>Plato_20, Plato_17, Plato_19, Plato_9</t>
  </si>
  <si>
    <t>Plato_11, Plato_16</t>
  </si>
  <si>
    <t>Plato_12, Plato_7</t>
  </si>
  <si>
    <t>Plato_15, Plato_19</t>
  </si>
  <si>
    <t>Plato_5, Plato_16, Plato_20</t>
  </si>
  <si>
    <t>Plato_2, Plato_7, Plato_12, Plato_15</t>
  </si>
  <si>
    <t>Plato_18, Plato_20</t>
  </si>
  <si>
    <t>Plato_16, Plato_2</t>
  </si>
  <si>
    <t>Plato_16, Plato_19, Plato_8, Plato_20</t>
  </si>
  <si>
    <t>Plato_3, Plato_11, Plato_14, Plato_2</t>
  </si>
  <si>
    <t>Plato_16, Plato_13, Plato_8</t>
  </si>
  <si>
    <t>Plato_8, Plato_4, Plato_5</t>
  </si>
  <si>
    <t>Plato_9, Plato_20, Plato_10, Plato_15</t>
  </si>
  <si>
    <t>Plato_8, Plato_1, Plato_14</t>
  </si>
  <si>
    <t>Plato_20, Plato_3, Plato_15, Plato_1</t>
  </si>
  <si>
    <t>Plato_4, Plato_18, Plato_9, Plato_8</t>
  </si>
  <si>
    <t>Plato_12, Plato_6</t>
  </si>
  <si>
    <t>Plato_10, Plato_9, Plato_14, Plato_20</t>
  </si>
  <si>
    <t>Plato_4, Plato_13, Plato_7</t>
  </si>
  <si>
    <t>Plato_8, Plato_10</t>
  </si>
  <si>
    <t>Plato_4, Plato_9</t>
  </si>
  <si>
    <t>Plato_1, Plato_4, Plato_17</t>
  </si>
  <si>
    <t>Plato_10, Plato_3</t>
  </si>
  <si>
    <t>Plato_9, Plato_12</t>
  </si>
  <si>
    <t>Plato_15, Plato_11, Plato_10, Plato_4</t>
  </si>
  <si>
    <t>Plato_8, Plato_6, Plato_15, Plato_10</t>
  </si>
  <si>
    <t>Plato_18, Plato_10</t>
  </si>
  <si>
    <t>Plato_2, Plato_9, Plato_11, Plato_17</t>
  </si>
  <si>
    <t>Plato_17, Plato_8, Plato_19</t>
  </si>
  <si>
    <t>Plato_9, Plato_11, Plato_16</t>
  </si>
  <si>
    <t>Plato_15, Plato_10, Plato_2</t>
  </si>
  <si>
    <t>Plato_5, Plato_20</t>
  </si>
  <si>
    <t>Plato_15, Plato_18, Plato_7, Plato_17</t>
  </si>
  <si>
    <t>Plato_10, Plato_1, Plato_13</t>
  </si>
  <si>
    <t>Plato_2, Plato_18, Plato_14</t>
  </si>
  <si>
    <t>Plato_11, Plato_14, Plato_3</t>
  </si>
  <si>
    <t>Plato_6, Plato_5, Plato_11</t>
  </si>
  <si>
    <t>Plato_7, Plato_15, Plato_4</t>
  </si>
  <si>
    <t>Plato_15, Plato_5</t>
  </si>
  <si>
    <t>Plato_14, Plato_11, Plato_5, Plato_4</t>
  </si>
  <si>
    <t>Plato_11, Plato_17, Plato_18</t>
  </si>
  <si>
    <t>Plato_14, Plato_2, Plato_19</t>
  </si>
  <si>
    <t>Plato_8, Plato_17, Plato_4, Plato_11</t>
  </si>
  <si>
    <t>Plato_11, Plato_7, Plato_19, Plato_15</t>
  </si>
  <si>
    <t>Plato_8, Plato_20, Plato_5, Plato_19</t>
  </si>
  <si>
    <t>Plato_5, Plato_3</t>
  </si>
  <si>
    <t>Plato_12, Plato_14, Plato_4, Plato_20</t>
  </si>
  <si>
    <t>Plato_4, Plato_11</t>
  </si>
  <si>
    <t>Plato_20, Plato_4, Plato_2, Plato_16</t>
  </si>
  <si>
    <t>Plato_2, Plato_12, Plato_17</t>
  </si>
  <si>
    <t>Plato_3, Plato_8</t>
  </si>
  <si>
    <t>Plato_3, Plato_20, Plato_19</t>
  </si>
  <si>
    <t>Plato_16, Plato_17, Plato_12, Plato_20</t>
  </si>
  <si>
    <t>Plato_19, Plato_20, Plato_4</t>
  </si>
  <si>
    <t>Plato_20, Plato_19, Plato_10, Plato_2</t>
  </si>
  <si>
    <t>Plato_14, Plato_16, Plato_15, Plato_1</t>
  </si>
  <si>
    <t>Plato_13, Plato_7, Plato_11</t>
  </si>
  <si>
    <t>Plato_1, Plato_18</t>
  </si>
  <si>
    <t>Plato_2, Plato_14</t>
  </si>
  <si>
    <t>Plato_13, Plato_4</t>
  </si>
  <si>
    <t>Plato_10, Plato_18, Plato_15</t>
  </si>
  <si>
    <t>Plato_20, Plato_14</t>
  </si>
  <si>
    <t>Plato_2, Plato_4, Plato_7, Plato_10</t>
  </si>
  <si>
    <t>Plato_4, Plato_7, Plato_11</t>
  </si>
  <si>
    <t>Plato_9, Plato_11, Plato_3, Plato_13</t>
  </si>
  <si>
    <t>Plato_5, Plato_9, Plato_7</t>
  </si>
  <si>
    <t>Plato_1, Plato_2</t>
  </si>
  <si>
    <t>Plato_6, Plato_3, Plato_15</t>
  </si>
  <si>
    <t>Plato_16, Plato_19, Plato_3, Plato_15</t>
  </si>
  <si>
    <t>Plato_4, Plato_15, Plato_17</t>
  </si>
  <si>
    <t>Plato_20, Plato_12, Plato_10</t>
  </si>
  <si>
    <t>Plato_14, Plato_18, Plato_5</t>
  </si>
  <si>
    <t>Plato_8, Plato_13, Plato_5, Plato_6</t>
  </si>
  <si>
    <t>Plato_9, Plato_7</t>
  </si>
  <si>
    <t>Plato_2, Plato_15, Plato_11</t>
  </si>
  <si>
    <t>Plato_12, Plato_15</t>
  </si>
  <si>
    <t>Plato_11, Plato_12, Plato_7</t>
  </si>
  <si>
    <t>Plato_10, Plato_3, Plato_18</t>
  </si>
  <si>
    <t>Plato_3, Plato_9, Plato_12</t>
  </si>
  <si>
    <t>Plato_2, Plato_17, Plato_12, Plato_9</t>
  </si>
  <si>
    <t>Plato_7, Plato_5, Plato_1</t>
  </si>
  <si>
    <t>Plato_17, Plato_1, Plato_5, Plato_8</t>
  </si>
  <si>
    <t>Plato_16, Plato_9</t>
  </si>
  <si>
    <t>Plato_13, Plato_18, Plato_4</t>
  </si>
  <si>
    <t>Plato_14, Plato_17</t>
  </si>
  <si>
    <t>Plato_3, Plato_6</t>
  </si>
  <si>
    <t>Plato_15, Plato_9, Plato_18</t>
  </si>
  <si>
    <t>Plato_9, Plato_4, Plato_3, Plato_16</t>
  </si>
  <si>
    <t>Plato_18, Plato_14, Plato_5</t>
  </si>
  <si>
    <t>Plato_9, Plato_10, Plato_6</t>
  </si>
  <si>
    <t>Plato_15, Plato_5, Plato_7, Plato_9</t>
  </si>
  <si>
    <t>Plato_2, Plato_9, Plato_4, Plato_5</t>
  </si>
  <si>
    <t>Plato_6, Plato_2, Plato_15</t>
  </si>
  <si>
    <t>Plato_15, Plato_8, Plato_19, Plato_18</t>
  </si>
  <si>
    <t>Plato_4, Plato_14, Plato_6, Plato_15</t>
  </si>
  <si>
    <t>Plato_10, Plato_19, Plato_4</t>
  </si>
  <si>
    <t>Plato_17, Plato_10</t>
  </si>
  <si>
    <t>Plato_3, Plato_1, Plato_11, Plato_9</t>
  </si>
  <si>
    <t>Plato_16, Plato_18, Plato_3</t>
  </si>
  <si>
    <t>Plato_16, Plato_8, Plato_7, Plato_2</t>
  </si>
  <si>
    <t>Plato_1, Plato_4, Plato_7, Plato_17</t>
  </si>
  <si>
    <t>Plato_12, Plato_3, Plato_9</t>
  </si>
  <si>
    <t>Plato_20, Plato_4, Plato_13</t>
  </si>
  <si>
    <t>Plato_14, Plato_19, Plato_13, Plato_8</t>
  </si>
  <si>
    <t>Plato_15, Plato_18, Plato_17, Plato_4</t>
  </si>
  <si>
    <t>Plato_7, Plato_15</t>
  </si>
  <si>
    <t>Plato_17, Plato_20, Plato_9</t>
  </si>
  <si>
    <t>Plato_17, Plato_12, Plato_10, Plato_2</t>
  </si>
  <si>
    <t>Plato_1, Plato_8, Plato_4</t>
  </si>
  <si>
    <t>Plato_7, Plato_14, Plato_20</t>
  </si>
  <si>
    <t>Plato_19, Plato_12, Plato_9, Plato_18</t>
  </si>
  <si>
    <t>Plato_5, Plato_2</t>
  </si>
  <si>
    <t>Plato_20, Plato_5</t>
  </si>
  <si>
    <t>Plato_9, Plato_18, Plato_3, Plato_10</t>
  </si>
  <si>
    <t>Plato_18, Plato_2, Plato_4, Plato_9</t>
  </si>
  <si>
    <t>Plato_5, Plato_11, Plato_3</t>
  </si>
  <si>
    <t>Plato_14, Plato_13</t>
  </si>
  <si>
    <t>Plato_11, Plato_7, Plato_20</t>
  </si>
  <si>
    <t>Plato_19, Plato_4</t>
  </si>
  <si>
    <t>Plato_6, Plato_17, Plato_3</t>
  </si>
  <si>
    <t>Plato_1, Plato_16, Plato_2, Plato_19</t>
  </si>
  <si>
    <t>Plato_12, Plato_10, Plato_19, Plato_8</t>
  </si>
  <si>
    <t>Plato_9, Plato_17, Plato_4, Plato_11</t>
  </si>
  <si>
    <t>Plato_19, Plato_7</t>
  </si>
  <si>
    <t>Plato_17, Plato_2, Plato_11, Plato_5</t>
  </si>
  <si>
    <t>Plato_5, Plato_19, Plato_15, Plato_7</t>
  </si>
  <si>
    <t>Plato_7, Plato_13</t>
  </si>
  <si>
    <t>Plato_12, Plato_18, Plato_17</t>
  </si>
  <si>
    <t>Plato_13, Plato_18, Plato_5</t>
  </si>
  <si>
    <t>Plato_3, Plato_9, Plato_19, Plato_2</t>
  </si>
  <si>
    <t>Plato_10, Plato_9</t>
  </si>
  <si>
    <t>Plato_6, Plato_15</t>
  </si>
  <si>
    <t>Plato_15, Plato_7</t>
  </si>
  <si>
    <t>Plato_7, Plato_10, Plato_13, Plato_12</t>
  </si>
  <si>
    <t>Plato_2, Plato_8, Plato_5, Plato_11</t>
  </si>
  <si>
    <t>Plato_9, Plato_2, Plato_3, Plato_6</t>
  </si>
  <si>
    <t>Plato_15, Plato_10, Plato_3, Plato_8</t>
  </si>
  <si>
    <t>Plato_16, Plato_6, Plato_3</t>
  </si>
  <si>
    <t>Plato_13, Plato_16</t>
  </si>
  <si>
    <t>Plato_6, Plato_15, Plato_17</t>
  </si>
  <si>
    <t>Plato_18, Plato_10, Plato_9, Plato_6</t>
  </si>
  <si>
    <t>Plato_18, Plato_10, Plato_7</t>
  </si>
  <si>
    <t>Plato_4, Plato_20, Plato_8, Plato_14</t>
  </si>
  <si>
    <t>Plato_1, Plato_9</t>
  </si>
  <si>
    <t>Plato_10, Plato_19, Plato_6, Plato_14</t>
  </si>
  <si>
    <t>Plato_11, Plato_2</t>
  </si>
  <si>
    <t>Plato_3, Plato_14, Plato_9, Plato_16</t>
  </si>
  <si>
    <t>Plato_18, Plato_6</t>
  </si>
  <si>
    <t>Plato_9, Plato_8, Plato_13, Plato_6</t>
  </si>
  <si>
    <t>Plato_12, Plato_1</t>
  </si>
  <si>
    <t>Plato_19, Plato_20, Plato_7, Plato_2</t>
  </si>
  <si>
    <t>Plato_17, Plato_13</t>
  </si>
  <si>
    <t>Plato_15, Plato_9</t>
  </si>
  <si>
    <t>Plato_10, Plato_8, Plato_17</t>
  </si>
  <si>
    <t>Plato_15, Plato_19, Plato_3</t>
  </si>
  <si>
    <t>Plato_14, Plato_18, Plato_1, Plato_10</t>
  </si>
  <si>
    <t>Plato_13, Plato_2, Plato_7, Plato_20</t>
  </si>
  <si>
    <t>Plato_13, Plato_4, Plato_1, Plato_3</t>
  </si>
  <si>
    <t>Plato_2, Plato_10, Plato_13, Plato_16</t>
  </si>
  <si>
    <t>Plato_6, Plato_2</t>
  </si>
  <si>
    <t>Plato_18, Plato_20, Plato_3</t>
  </si>
  <si>
    <t>Plato_18, Plato_2</t>
  </si>
  <si>
    <t>Plato_1, Plato_13, Plato_6</t>
  </si>
  <si>
    <t>Plato_12, Plato_6, Plato_14</t>
  </si>
  <si>
    <t>Plato_15, Plato_18, Plato_9</t>
  </si>
  <si>
    <t>Plato_14, Plato_16</t>
  </si>
  <si>
    <t>Plato_11, Plato_14</t>
  </si>
  <si>
    <t>Plato_3, Plato_13, Plato_6, Plato_9</t>
  </si>
  <si>
    <t>Plato_7, Plato_17, Plato_16, Plato_11</t>
  </si>
  <si>
    <t>Plato_1, Plato_8, Plato_19, Plato_16</t>
  </si>
  <si>
    <t>Plato_15, Plato_16, Plato_17</t>
  </si>
  <si>
    <t>Plato_13, Plato_18, Plato_17, Plato_11</t>
  </si>
  <si>
    <t>Plato_7, Plato_6, Plato_2, Plato_10</t>
  </si>
  <si>
    <t>Plato_2, Plato_7, Plato_17</t>
  </si>
  <si>
    <t>Plato_11, Plato_5, Plato_8, Plato_15</t>
  </si>
  <si>
    <t>Plato_14, Plato_2</t>
  </si>
  <si>
    <t>Plato_10, Plato_7</t>
  </si>
  <si>
    <t>Plato_17, Plato_14, Plato_4, Plato_15</t>
  </si>
  <si>
    <t>Plato_10, Plato_1, Plato_11</t>
  </si>
  <si>
    <t>Plato_20, Plato_12</t>
  </si>
  <si>
    <t>Plato_4, Plato_17, Plato_20, Plato_19</t>
  </si>
  <si>
    <t>Plato_6, Plato_7, Plato_8, Plato_17</t>
  </si>
  <si>
    <t>Plato_18, Plato_9, Plato_6, Plato_1</t>
  </si>
  <si>
    <t>Plato_5, Plato_4</t>
  </si>
  <si>
    <t>Plato_10, Plato_5, Plato_14, Plato_12</t>
  </si>
  <si>
    <t>Plato_1, Plato_10</t>
  </si>
  <si>
    <t>Plato_1, Plato_13, Plato_9</t>
  </si>
  <si>
    <t>Plato_17, Plato_10, Plato_18, Plato_16</t>
  </si>
  <si>
    <t>Plato_1, Plato_3, Plato_15, Plato_20</t>
  </si>
  <si>
    <t>Plato_5, Plato_17</t>
  </si>
  <si>
    <t>Plato_15, Plato_8, Plato_2, Plato_7</t>
  </si>
  <si>
    <t>Plato_8, Plato_15, Plato_2, Plato_1</t>
  </si>
  <si>
    <t>Plato_14, Plato_17, Plato_6, Plato_2</t>
  </si>
  <si>
    <t>Plato_7, Plato_1</t>
  </si>
  <si>
    <t>Plato_15, Plato_16, Plato_2</t>
  </si>
  <si>
    <t>Plato_7, Plato_5</t>
  </si>
  <si>
    <t>Plato_19, Plato_20, Plato_18</t>
  </si>
  <si>
    <t>Plato_7, Plato_8</t>
  </si>
  <si>
    <t>Plato_15, Plato_5, Plato_1</t>
  </si>
  <si>
    <t>Plato_10, Plato_12</t>
  </si>
  <si>
    <t>Plato_11, Plato_17, Plato_10</t>
  </si>
  <si>
    <t>Plato_5, Plato_10</t>
  </si>
  <si>
    <t>Plato_17, Plato_7</t>
  </si>
  <si>
    <t>Plato_20, Plato_8, Plato_4, Plato_16</t>
  </si>
  <si>
    <t>Plato_7, Plato_14</t>
  </si>
  <si>
    <t>Plato_4, Plato_3</t>
  </si>
  <si>
    <t>Plato_3, Plato_6, Plato_12, Plato_11</t>
  </si>
  <si>
    <t>Plato_15, Plato_14, Plato_2</t>
  </si>
  <si>
    <t>Plato_7, Plato_12</t>
  </si>
  <si>
    <t>Plato_3, Plato_10</t>
  </si>
  <si>
    <t>Plato_18, Plato_1, Plato_8, Plato_17</t>
  </si>
  <si>
    <t>Plato_16, Plato_2, Plato_19</t>
  </si>
  <si>
    <t>Plato_17, Plato_19, Plato_4, Plato_18</t>
  </si>
  <si>
    <t>Plato_15, Plato_2, Plato_17, Plato_13</t>
  </si>
  <si>
    <t>Plato_14, Plato_19</t>
  </si>
  <si>
    <t>Plato_9, Plato_4, Plato_13</t>
  </si>
  <si>
    <t>Plato_6, Plato_19, Plato_5</t>
  </si>
  <si>
    <t>Plato_3, Plato_19, Plato_7, Plato_4</t>
  </si>
  <si>
    <t>Plato_20, Plato_4, Plato_10, Plato_2</t>
  </si>
  <si>
    <t>Plato_17, Plato_10, Plato_9, Plato_3</t>
  </si>
  <si>
    <t>Plato_3, Plato_20, Plato_10, Plato_7</t>
  </si>
  <si>
    <t>Plato_15, Plato_13, Plato_20, Plato_17</t>
  </si>
  <si>
    <t>Plato_8, Plato_14</t>
  </si>
  <si>
    <t>Plato_18, Plato_8, Plato_17, Plato_16</t>
  </si>
  <si>
    <t>Plato_20, Plato_17, Plato_8</t>
  </si>
  <si>
    <t>Plato_10, Plato_2</t>
  </si>
  <si>
    <t>Plato_7, Plato_9</t>
  </si>
  <si>
    <t>Plato_15, Plato_8</t>
  </si>
  <si>
    <t>Plato_12, Plato_17, Plato_19, Plato_7</t>
  </si>
  <si>
    <t>Plato_1, Plato_16, Plato_9, Plato_13</t>
  </si>
  <si>
    <t>Plato_4, Plato_13, Plato_6, Plato_20</t>
  </si>
  <si>
    <t>Plato_5, Plato_18, Plato_15</t>
  </si>
  <si>
    <t>Plato_15, Plato_8, Plato_20, Plato_17</t>
  </si>
  <si>
    <t>Plato_13, Plato_5, Plato_18</t>
  </si>
  <si>
    <t>Plato_16, Plato_5, Plato_14</t>
  </si>
  <si>
    <t>Plato_15, Plato_13</t>
  </si>
  <si>
    <t>Plato_5, Plato_9, Plato_7, Plato_4</t>
  </si>
  <si>
    <t>Plato_2, Plato_6, Plato_10</t>
  </si>
  <si>
    <t>Plato_13, Plato_17, Plato_8, Plato_15</t>
  </si>
  <si>
    <t>Plato_8, Plato_4, Plato_16</t>
  </si>
  <si>
    <t>Plato_18, Plato_4, Plato_6</t>
  </si>
  <si>
    <t>Plato_13, Plato_20, Plato_17, Plato_14</t>
  </si>
  <si>
    <t>Plato_1, Plato_16, Plato_14, Plato_13</t>
  </si>
  <si>
    <t>Plato_12, Plato_8, Plato_7, Plato_1</t>
  </si>
  <si>
    <t>Plato_13, Plato_14, Plato_7, Plato_2</t>
  </si>
  <si>
    <t>Plato_2, Plato_16</t>
  </si>
  <si>
    <t>Plato_13, Plato_12, Plato_10</t>
  </si>
  <si>
    <t>Plato_7, Plato_16</t>
  </si>
  <si>
    <t>Plato_18, Plato_13, Plato_15, Plato_3</t>
  </si>
  <si>
    <t>Plato_9, Plato_14</t>
  </si>
  <si>
    <t>Plato_20, Plato_16</t>
  </si>
  <si>
    <t>Plato_16, Plato_5, Plato_8</t>
  </si>
  <si>
    <t>Plato_18, Plato_14</t>
  </si>
  <si>
    <t>Plato_8, Plato_17, Plato_15, Plato_5</t>
  </si>
  <si>
    <t>Plato_2, Plato_12, Plato_8</t>
  </si>
  <si>
    <t>Plato_5, Plato_2, Plato_8, Plato_18</t>
  </si>
  <si>
    <t>Plato_12, Plato_15, Plato_4, Plato_7</t>
  </si>
  <si>
    <t>Plato_1, Plato_3, Plato_6, Plato_5</t>
  </si>
  <si>
    <t>Plato_10, Plato_4, Plato_3</t>
  </si>
  <si>
    <t>Plato_5, Plato_16, Plato_9, Plato_10</t>
  </si>
  <si>
    <t>Plato_13, Plato_2, Plato_10, Plato_15</t>
  </si>
  <si>
    <t>Plato_3, Plato_7, Plato_4</t>
  </si>
  <si>
    <t>Plato_2, Plato_7, Plato_19, Plato_11</t>
  </si>
  <si>
    <t>Plato_16, Plato_5, Plato_1, Plato_9</t>
  </si>
  <si>
    <t>Plato_6, Plato_8, Plato_20</t>
  </si>
  <si>
    <t>Plato_10, Plato_9, Plato_3</t>
  </si>
  <si>
    <t>Plato_11, Plato_7</t>
  </si>
  <si>
    <t>Plato_17, Plato_14, Plato_16, Plato_10</t>
  </si>
  <si>
    <t>Plato_17, Plato_19, Plato_16, Plato_14</t>
  </si>
  <si>
    <t>Plato_13, Plato_8, Plato_5, Plato_3</t>
  </si>
  <si>
    <t>Plato_18, Plato_15</t>
  </si>
  <si>
    <t>Plato_2, Plato_12</t>
  </si>
  <si>
    <t>Plato_11, Plato_12</t>
  </si>
  <si>
    <t>Plato_10, Plato_11</t>
  </si>
  <si>
    <t>Plato_4, Plato_12, Plato_6</t>
  </si>
  <si>
    <t>Plato_17, Plato_19, Plato_9, Plato_11</t>
  </si>
  <si>
    <t>Plato_5, Plato_10, Plato_13</t>
  </si>
  <si>
    <t>Plato_12, Plato_8, Plato_13, Plato_5</t>
  </si>
  <si>
    <t>Plato_3, Plato_13</t>
  </si>
  <si>
    <t>Plato_6, Plato_17</t>
  </si>
  <si>
    <t>Plato_16, Plato_11</t>
  </si>
  <si>
    <t>Plato_11, Plato_19</t>
  </si>
  <si>
    <t>Plato_20, Plato_16, Plato_17</t>
  </si>
  <si>
    <t>Plato_1, Plato_12, Plato_5</t>
  </si>
  <si>
    <t>Plato_5, Plato_4, Plato_15, Plato_7</t>
  </si>
  <si>
    <t>Plato_13, Plato_3, Plato_20</t>
  </si>
  <si>
    <t>Plato_10, Plato_20, Plato_3</t>
  </si>
  <si>
    <t>Plato_3, Plato_8, Plato_1</t>
  </si>
  <si>
    <t>Plato_1, Plato_7, Plato_18</t>
  </si>
  <si>
    <t>Plato_13, Plato_20, Plato_16, Plato_7</t>
  </si>
  <si>
    <t>Plato_3, Plato_19</t>
  </si>
  <si>
    <t>Plato_20, Plato_4, Plato_6</t>
  </si>
  <si>
    <t>Plato_6, Plato_18, Plato_19</t>
  </si>
  <si>
    <t>Plato_9, Plato_20, Plato_12, Plato_6</t>
  </si>
  <si>
    <t>Plato_1, Plato_17</t>
  </si>
  <si>
    <t>Plato_18, Plato_11</t>
  </si>
  <si>
    <t>Plato_18, Plato_3, Plato_1, Plato_15</t>
  </si>
  <si>
    <t>Plato_17, Plato_4</t>
  </si>
  <si>
    <t>Plato_10, Plato_19</t>
  </si>
  <si>
    <t>Plato_16, Plato_15</t>
  </si>
  <si>
    <t>Plato_5, Plato_6</t>
  </si>
  <si>
    <t>Plato_11, Plato_16, Plato_1, Plato_19</t>
  </si>
  <si>
    <t>Plato_1, Plato_8, Plato_14, Plato_12</t>
  </si>
  <si>
    <t>Plato_20, Plato_14, Plato_1, Plato_17</t>
  </si>
  <si>
    <t>Plato_3, Plato_13, Plato_16</t>
  </si>
  <si>
    <t>Plato_2, Plato_7</t>
  </si>
  <si>
    <t>Plato_10, Plato_5</t>
  </si>
  <si>
    <t>Plato_10, Plato_13, Plato_2</t>
  </si>
  <si>
    <t>Plato_11, Plato_10</t>
  </si>
  <si>
    <t>Plato_14, Plato_12</t>
  </si>
  <si>
    <t>Plato_18, Plato_1, Plato_19</t>
  </si>
  <si>
    <t>Plato_14, Plato_15, Plato_10, Plato_16</t>
  </si>
  <si>
    <t>Plato_14, Plato_7</t>
  </si>
  <si>
    <t>Plato_3, Plato_12, Plato_16</t>
  </si>
  <si>
    <t>Plato_12, Plato_11</t>
  </si>
  <si>
    <t>Plato_4, Plato_19</t>
  </si>
  <si>
    <t>Plato_8, Plato_14, Plato_18</t>
  </si>
  <si>
    <t>Plato_17, Plato_5, Plato_13</t>
  </si>
  <si>
    <t>Plato_6, Plato_12, Plato_19, Plato_1</t>
  </si>
  <si>
    <t>Plato_20, Plato_18</t>
  </si>
  <si>
    <t>Plato_16, Plato_18, Plato_11, Plato_5</t>
  </si>
  <si>
    <t>Plato_16, Plato_10, Plato_1, Plato_7</t>
  </si>
  <si>
    <t>Plato_8, Plato_9</t>
  </si>
  <si>
    <t>Plato_10, Plato_6, Plato_5</t>
  </si>
  <si>
    <t>Plato_1, Plato_14</t>
  </si>
  <si>
    <t>Plato_5, Plato_2, Plato_16</t>
  </si>
  <si>
    <t>Plato_11, Plato_5</t>
  </si>
  <si>
    <t>Plato_12, Plato_3, Plato_16</t>
  </si>
  <si>
    <t>Plato_8, Plato_15</t>
  </si>
  <si>
    <t>Plato_7, Plato_4</t>
  </si>
  <si>
    <t>Plato_8, Plato_5</t>
  </si>
  <si>
    <t>Plato_5, Plato_8</t>
  </si>
  <si>
    <t>Plato_18, Plato_9, Plato_17, Plato_16</t>
  </si>
  <si>
    <t>Plato_7, Plato_18</t>
  </si>
  <si>
    <t>Plato_7, Plato_18, Plato_15, Plato_20</t>
  </si>
  <si>
    <t>Plato_18, Plato_14, Plato_7, Plato_13</t>
  </si>
  <si>
    <t>Plato_2, Plato_9</t>
  </si>
  <si>
    <t>Plato_4, Plato_18</t>
  </si>
  <si>
    <t>Plato_8, Plato_6</t>
  </si>
  <si>
    <t>Plato_7, Plato_19</t>
  </si>
  <si>
    <t>Plato_19, Plato_3, Plato_18, Plato_7</t>
  </si>
  <si>
    <t>Plato_18, Plato_17, Plato_5</t>
  </si>
  <si>
    <t>Plato_4, Plato_14, Plato_17</t>
  </si>
  <si>
    <t>Plato_10, Plato_15, Plato_18</t>
  </si>
  <si>
    <t>Plato_9, Plato_2</t>
  </si>
  <si>
    <t>Plato_11, Plato_13, Plato_7</t>
  </si>
  <si>
    <t>Plato_20, Plato_6, Plato_16, Plato_11</t>
  </si>
  <si>
    <t>Plato_11, Plato_18, Plato_12, Plato_17</t>
  </si>
  <si>
    <t>Plato_2, Plato_20</t>
  </si>
  <si>
    <t>Plato_10, Plato_2, Plato_1</t>
  </si>
  <si>
    <t>Plato_6, Plato_5</t>
  </si>
  <si>
    <t>Plato_20, Plato_13, Plato_16</t>
  </si>
  <si>
    <t>Plato_5, Plato_4, Plato_11</t>
  </si>
  <si>
    <t>Plato_20, Plato_1</t>
  </si>
  <si>
    <t>Plato_18, Plato_19</t>
  </si>
  <si>
    <t>Plato_14, Plato_18</t>
  </si>
  <si>
    <t>Plato_10, Plato_12, Plato_3, Plato_15</t>
  </si>
  <si>
    <t>Plato_12, Plato_14, Plato_3</t>
  </si>
  <si>
    <t>Plato_7, Plato_12, Plato_5</t>
  </si>
  <si>
    <t>Plato_6, Plato_20, Plato_5</t>
  </si>
  <si>
    <t>Plato_9, Plato_18, Plato_17, Plato_2</t>
  </si>
  <si>
    <t>Plato_1, Plato_9, Plato_18</t>
  </si>
  <si>
    <t>Plato_14, Plato_8, Plato_17</t>
  </si>
  <si>
    <t>Plato_3, Plato_20, Plato_4</t>
  </si>
  <si>
    <t>Plato_18, Plato_19, Plato_14, Plato_16</t>
  </si>
  <si>
    <t>Plato_4, Plato_16, Plato_1</t>
  </si>
  <si>
    <t>Plato_13, Plato_20, Plato_4, Plato_9</t>
  </si>
  <si>
    <t>Plato_13, Plato_10, Plato_15</t>
  </si>
  <si>
    <t>Plato_7, Plato_9, Plato_8</t>
  </si>
  <si>
    <t>Plato_20, Plato_9, Plato_7, Plato_13</t>
  </si>
  <si>
    <t>Plato_4, Plato_9, Plato_14, Plato_2</t>
  </si>
  <si>
    <t>Plato_2, Plato_14, Plato_11, Plato_16</t>
  </si>
  <si>
    <t>Plato_2, Plato_6, Plato_9, Plato_4</t>
  </si>
  <si>
    <t>Plato_4, Plato_8</t>
  </si>
  <si>
    <t>Plato_12, Plato_11, Plato_9, Plato_14</t>
  </si>
  <si>
    <t>Plato_18, Plato_10, Plato_6</t>
  </si>
  <si>
    <t>Plato_16, Plato_6, Plato_15</t>
  </si>
  <si>
    <t>Plato_11, Plato_17</t>
  </si>
  <si>
    <t>Plato_15, Plato_16</t>
  </si>
  <si>
    <t>Plato_17, Plato_11, Plato_8</t>
  </si>
  <si>
    <t>Plato_18, Plato_17</t>
  </si>
  <si>
    <t>Plato_1, Plato_8, Plato_18</t>
  </si>
  <si>
    <t>Plato_2, Plato_7, Plato_3</t>
  </si>
  <si>
    <t>Plato_2, Plato_3, Plato_4, Plato_13</t>
  </si>
  <si>
    <t>Plato_20, Plato_13, Plato_3</t>
  </si>
  <si>
    <t>Plato_2, Plato_1, Plato_5, Plato_12</t>
  </si>
  <si>
    <t>Plato_14, Plato_20</t>
  </si>
  <si>
    <t>Plato_15, Plato_13, Plato_1</t>
  </si>
  <si>
    <t>Plato_15, Plato_1, Plato_11</t>
  </si>
  <si>
    <t>Plato_4, Plato_1</t>
  </si>
  <si>
    <t>Plato_4, Plato_14</t>
  </si>
  <si>
    <t>Plato_20, Plato_9, Plato_7, Plato_17</t>
  </si>
  <si>
    <t>Plato_19, Plato_20, Plato_3</t>
  </si>
  <si>
    <t>Plato_15, Plato_4, Plato_11, Plato_8</t>
  </si>
  <si>
    <t>Plato_16, Plato_11, Plato_18, Plato_13</t>
  </si>
  <si>
    <t>Plato_18, Plato_13</t>
  </si>
  <si>
    <t>Plato_2, Plato_5</t>
  </si>
  <si>
    <t>Plato_13, Plato_18</t>
  </si>
  <si>
    <t>Plato_10, Plato_19, Plato_4, Plato_13</t>
  </si>
  <si>
    <t>Plato_11, Plato_17, Plato_19</t>
  </si>
  <si>
    <t>Plato_4, Plato_5</t>
  </si>
  <si>
    <t>Plato_12, Plato_4, Plato_7, Plato_20</t>
  </si>
  <si>
    <t>Plato_13, Plato_17, Plato_16</t>
  </si>
  <si>
    <t>Plato_15, Plato_8, Plato_4, Plato_1</t>
  </si>
  <si>
    <t>Plato_10, Plato_1</t>
  </si>
  <si>
    <t>Plato_14, Plato_18, Plato_13, Plato_15</t>
  </si>
  <si>
    <t>Plato_18, Plato_3</t>
  </si>
  <si>
    <t>Plato_5, Plato_1</t>
  </si>
  <si>
    <t>Plato_20, Plato_17, Plato_11, Plato_19</t>
  </si>
  <si>
    <t>Plato_11, Plato_5, Plato_3</t>
  </si>
  <si>
    <t>Plato_13, Plato_2</t>
  </si>
  <si>
    <t>Plato_14, Plato_7, Plato_15, Plato_1</t>
  </si>
  <si>
    <t>Plato_16, Plato_4, Plato_20, Plato_7</t>
  </si>
  <si>
    <t>Plato_10, Plato_15, Plato_17</t>
  </si>
  <si>
    <t>Plato_18, Plato_17, Plato_8</t>
  </si>
  <si>
    <t>Plato_20, Plato_16, Plato_14, Plato_8</t>
  </si>
  <si>
    <t>Plato_8, Plato_5, Plato_2, Plato_20</t>
  </si>
  <si>
    <t>Plato_3, Plato_20, Plato_8, Plato_2</t>
  </si>
  <si>
    <t>Plato_1, Plato_6, Plato_10</t>
  </si>
  <si>
    <t>Plato_10, Plato_4</t>
  </si>
  <si>
    <t>Plato_13, Plato_19</t>
  </si>
  <si>
    <t>Plato_6, Plato_19, Plato_16, Plato_3</t>
  </si>
  <si>
    <t>Plato_12, Plato_14, Plato_4, Plato_8</t>
  </si>
  <si>
    <t>Plato_17, Plato_14, Plato_1, Plato_15</t>
  </si>
  <si>
    <t>Plato_15, Plato_17, Plato_4, Plato_19</t>
  </si>
  <si>
    <t>Plato_6, Plato_10</t>
  </si>
  <si>
    <t>Plato_17, Plato_16</t>
  </si>
  <si>
    <t>Plato_5, Plato_8, Plato_1, Plato_15</t>
  </si>
  <si>
    <t>Plato_19, Plato_7, Plato_13</t>
  </si>
  <si>
    <t>Plato_4, Plato_20, Plato_13</t>
  </si>
  <si>
    <t>Plato_2, Plato_7, Plato_9</t>
  </si>
  <si>
    <t>Plato_7, Plato_20</t>
  </si>
  <si>
    <t>Plato_18, Plato_3, Plato_4</t>
  </si>
  <si>
    <t>Plato_17, Plato_20</t>
  </si>
  <si>
    <t>Plato_15, Plato_11</t>
  </si>
  <si>
    <t>Plato_2, Plato_7, Plato_5, Plato_4</t>
  </si>
  <si>
    <t>Plato_5, Plato_20, Plato_1, Plato_8</t>
  </si>
  <si>
    <t>Plato_7, Plato_12, Plato_13</t>
  </si>
  <si>
    <t>Plato_11, Plato_18, Plato_1</t>
  </si>
  <si>
    <t>Plato_10, Plato_17, Plato_12</t>
  </si>
  <si>
    <t>Plato_10, Plato_13, Plato_11</t>
  </si>
  <si>
    <t>Plato_9, Plato_1, Plato_14</t>
  </si>
  <si>
    <t>Plato_13, Plato_10, Plato_9</t>
  </si>
  <si>
    <t>Plato_11, Plato_6</t>
  </si>
  <si>
    <t>Plato_4, Plato_17</t>
  </si>
  <si>
    <t>Plato_9, Plato_16, Plato_1, Plato_3</t>
  </si>
  <si>
    <t>Plato_13, Plato_9, Plato_15, Plato_8</t>
  </si>
  <si>
    <t>Plato_20, Plato_13, Plato_11</t>
  </si>
  <si>
    <t>Plato_17, Plato_19</t>
  </si>
  <si>
    <t>Plato_16, Plato_2, Plato_8</t>
  </si>
  <si>
    <t>Plato_14, Plato_3, Plato_12, Plato_19</t>
  </si>
  <si>
    <t>Plato_20, Plato_14, Plato_8</t>
  </si>
  <si>
    <t>Plato_15, Plato_6</t>
  </si>
  <si>
    <t>Plato_12, Plato_2, Plato_20</t>
  </si>
  <si>
    <t>Plato_14, Plato_17, Plato_1, Plato_16</t>
  </si>
  <si>
    <t>Plato_7, Plato_1, Plato_19</t>
  </si>
  <si>
    <t>Plato_4, Plato_9, Plato_3</t>
  </si>
  <si>
    <t>Plato_4, Plato_12, Plato_5</t>
  </si>
  <si>
    <t>Plato_1, Plato_6</t>
  </si>
  <si>
    <t>Plato_10, Plato_7, Plato_1</t>
  </si>
  <si>
    <t>Plato_17, Plato_6, Plato_15</t>
  </si>
  <si>
    <t>Plato_14, Plato_8, Plato_19</t>
  </si>
  <si>
    <t>Plato_8, Plato_1, Plato_15</t>
  </si>
  <si>
    <t>Plato_15, Plato_13, Plato_12</t>
  </si>
  <si>
    <t>Plato_20, Plato_8, Plato_2, Plato_1</t>
  </si>
  <si>
    <t>Plato_12, Plato_4, Plato_17, Plato_13</t>
  </si>
  <si>
    <t>Plato_1, Plato_3, Plato_19</t>
  </si>
  <si>
    <t>Plato_17, Plato_14, Plato_16, Plato_13</t>
  </si>
  <si>
    <t>Plato_3, Plato_8, Plato_18</t>
  </si>
  <si>
    <t>Plato_9, Plato_12, Plato_8, Plato_7</t>
  </si>
  <si>
    <t>Plato_13, Plato_10, Plato_16, Plato_1</t>
  </si>
  <si>
    <t>Plato_4, Plato_3, Plato_11</t>
  </si>
  <si>
    <t>Plato_11, Plato_13</t>
  </si>
  <si>
    <t>Plato_5, Plato_3, Plato_20, Plato_17</t>
  </si>
  <si>
    <t>Plato_19, Plato_17, Plato_10, Plato_9</t>
  </si>
  <si>
    <t>Plato_17, Plato_3</t>
  </si>
  <si>
    <t>Plato_14, Plato_1, Plato_13</t>
  </si>
  <si>
    <t>Plato_20, Plato_17, Plato_16, Plato_11</t>
  </si>
  <si>
    <t>Plato_8, Plato_2, Plato_4, Plato_3</t>
  </si>
  <si>
    <t>Plato_19, Plato_13</t>
  </si>
  <si>
    <t>Plato_3, Plato_4, Plato_20, Plato_13</t>
  </si>
  <si>
    <t>Plato_14, Plato_11, Plato_2, Plato_6</t>
  </si>
  <si>
    <t>Plato_6, Plato_10, Plato_14, Plato_13</t>
  </si>
  <si>
    <t>Plato_11, Plato_4</t>
  </si>
  <si>
    <t>Plato_4, Plato_13, Plato_6, Plato_16</t>
  </si>
  <si>
    <t>Plato_15, Plato_13, Plato_2, Plato_19</t>
  </si>
  <si>
    <t>Plato_13, Plato_8, Plato_11, Plato_1</t>
  </si>
  <si>
    <t>Plato_3, Plato_12, Plato_4, Plato_14</t>
  </si>
  <si>
    <t>Plato_11, Plato_9, Plato_15, Plato_10</t>
  </si>
  <si>
    <t>Plato_18, Plato_2, Plato_11</t>
  </si>
  <si>
    <t>Plato_2, Plato_6, Plato_1, Plato_4</t>
  </si>
  <si>
    <t>Plato_13, Plato_1, Plato_17</t>
  </si>
  <si>
    <t>Plato_5, Plato_2, Plato_6</t>
  </si>
  <si>
    <t>Plato_20, Plato_12, Plato_9</t>
  </si>
  <si>
    <t>Plato_11, Plato_9, Plato_7</t>
  </si>
  <si>
    <t>Plato_9, Plato_19, Plato_7, Plato_6</t>
  </si>
  <si>
    <t>Plato_13, Plato_5</t>
  </si>
  <si>
    <t>Plato_16, Plato_8</t>
  </si>
  <si>
    <t>Plato_18, Plato_5</t>
  </si>
  <si>
    <t>Plato_5, Plato_19, Plato_14</t>
  </si>
  <si>
    <t>Plato_4, Plato_6, Plato_15</t>
  </si>
  <si>
    <t>Plato_20, Plato_10, Plato_19</t>
  </si>
  <si>
    <t>Plato_19, Plato_7, Plato_6</t>
  </si>
  <si>
    <t>Plato_15, Plato_7, Plato_12</t>
  </si>
  <si>
    <t>Plato_14, Plato_15</t>
  </si>
  <si>
    <t>Plato_5, Plato_16, Plato_17</t>
  </si>
  <si>
    <t>Plato_10, Plato_16, Plato_4</t>
  </si>
  <si>
    <t>Plato_16, Plato_15, Plato_19, Plato_14</t>
  </si>
  <si>
    <t>Plato_7, Plato_9, Plato_11, Plato_16</t>
  </si>
  <si>
    <t>Plato_17, Plato_2, Plato_10, Plato_12</t>
  </si>
  <si>
    <t>Plato_10, Plato_4, Plato_14</t>
  </si>
  <si>
    <t>Plato_8, Plato_7, Plato_1, Plato_6</t>
  </si>
  <si>
    <t>Plato_15, Plato_10</t>
  </si>
  <si>
    <t>Plato_9, Plato_1, Plato_5</t>
  </si>
  <si>
    <t>Plato_15, Plato_14, Plato_7, Plato_19</t>
  </si>
  <si>
    <t>Plato_7, Plato_6, Plato_16</t>
  </si>
  <si>
    <t>Plato_13, Plato_1, Plato_12, Plato_9</t>
  </si>
  <si>
    <t>Plato_17, Plato_12</t>
  </si>
  <si>
    <t>Plato_11, Plato_6, Plato_1, Plato_9</t>
  </si>
  <si>
    <t>Plato_7, Plato_16, Plato_14</t>
  </si>
  <si>
    <t>Plato_13, Plato_10</t>
  </si>
  <si>
    <t>Plato_6, Plato_18, Plato_7</t>
  </si>
  <si>
    <t>Plato_10, Plato_16, Plato_13, Plato_19</t>
  </si>
  <si>
    <t>Plato_2, Plato_12, Plato_3, Plato_14</t>
  </si>
  <si>
    <t>Plato_9, Plato_7, Plato_13</t>
  </si>
  <si>
    <t>Suma de Número de Orden</t>
  </si>
  <si>
    <t>2- Creada columna "Monto total", donde se recoge el precio total de la orden + propinas</t>
  </si>
  <si>
    <t>3- Reformateados los datos en columna "Propinas": Se sustituyó el punto decimal por una coma</t>
  </si>
  <si>
    <t>4- Reformateados los datos en las columnas  "Hora de llegada" y "Hora de salida" a formato numérico excel</t>
  </si>
  <si>
    <t>5- Creadas columnas "Hora de llegada2" y "Hora de salida2", usado formato horario común</t>
  </si>
  <si>
    <t>6- Creada columna "Tiempo de permanencia" (Hsalida-Hllegada, sumados 15 min en caso de mesa ocupada)</t>
  </si>
  <si>
    <t>7- Creada columna "Tiempo de preparación" (Suma total tiempo de preparación de los platos por orden)</t>
  </si>
  <si>
    <t>Descripción del Plato</t>
  </si>
  <si>
    <t>Descripción del Plato_2</t>
  </si>
  <si>
    <t>Descripción del Plato_7</t>
  </si>
  <si>
    <t>Descripción del Plato_17</t>
  </si>
  <si>
    <t>Descripción del Plato_6</t>
  </si>
  <si>
    <t>Descripción del Plato_19</t>
  </si>
  <si>
    <t>Descripción del Plato_20</t>
  </si>
  <si>
    <t>Descripción del Plato_9</t>
  </si>
  <si>
    <t>Descripción del Plato_11</t>
  </si>
  <si>
    <t>Descripción del Plato_16</t>
  </si>
  <si>
    <t>Descripción del Plato_12</t>
  </si>
  <si>
    <t>Descripción del Plato_8</t>
  </si>
  <si>
    <t>Descripción del Plato_15</t>
  </si>
  <si>
    <t>Descripción del Plato_5</t>
  </si>
  <si>
    <t>Descripción del Plato_18</t>
  </si>
  <si>
    <t>Descripción del Plato_14</t>
  </si>
  <si>
    <t>Descripción del Plato_3</t>
  </si>
  <si>
    <t>Descripción del Plato_13</t>
  </si>
  <si>
    <t>Descripción del Plato_4</t>
  </si>
  <si>
    <t>Descripción del Plato_10</t>
  </si>
  <si>
    <t>Descripción del Plato_1</t>
  </si>
  <si>
    <t>Mesa pagada</t>
  </si>
  <si>
    <t>8- Creada columna "Tiempo de degustación" (Permanencia - preparación, 0 si la suma es menor a 0)</t>
  </si>
  <si>
    <t>9- Creada columna " Mesa Pagada" (Si tiempo de degustación&lt;0, NO PAGADA)</t>
  </si>
  <si>
    <t>Ingresos por tipo de servicio</t>
  </si>
  <si>
    <t xml:space="preserve">Monto total </t>
  </si>
  <si>
    <t xml:space="preserve">Suma de Monto total </t>
  </si>
  <si>
    <t>Transacciones por método de pago</t>
  </si>
  <si>
    <t>PAGADA</t>
  </si>
  <si>
    <t>NO PAGADA</t>
  </si>
  <si>
    <t>(Todas)</t>
  </si>
  <si>
    <t>Insights mesas no pagadas</t>
  </si>
  <si>
    <t>Cuenta NO PAGADA</t>
  </si>
  <si>
    <t>Cuenta PAGADA</t>
  </si>
  <si>
    <t>Desglose propinas</t>
  </si>
  <si>
    <t>Desglose ordenes atendidas por meseros</t>
  </si>
  <si>
    <t>Días (Fecha de factura)</t>
  </si>
  <si>
    <t>Día del mes</t>
  </si>
  <si>
    <t>Etiquetas de columna</t>
  </si>
  <si>
    <t>Total</t>
  </si>
  <si>
    <t>Total Suma de Propina</t>
  </si>
  <si>
    <t>Tarjeta crédito</t>
  </si>
  <si>
    <t>Tarjeta débito</t>
  </si>
  <si>
    <t>Propina efectivo</t>
  </si>
  <si>
    <t>Propina crédito</t>
  </si>
  <si>
    <t>Propina débito</t>
  </si>
  <si>
    <t>Total Suma de Número de Orden</t>
  </si>
  <si>
    <t xml:space="preserve"> </t>
  </si>
  <si>
    <t>Promedio de Tiempo de preparación total</t>
  </si>
  <si>
    <t>Promedio espera</t>
  </si>
  <si>
    <t>Generalmente la gente espera más en las cenas</t>
  </si>
  <si>
    <t>INSIGHTS DE LAS TABLAS DINÁMICAS:</t>
  </si>
  <si>
    <t>El servicio que más dinero genera es el almuerzo. También el que más propinas.</t>
  </si>
  <si>
    <t xml:space="preserve">El mesero 2 es el que más dinero genera y más propinas gana. También al que más mesas se le van sin pagar. </t>
  </si>
  <si>
    <t xml:space="preserve">El pago en tarjeta de crédito es general tanto en cuentas como propinas. </t>
  </si>
  <si>
    <t>Prácticamente ninguna mesa que espera menos de una hora se va sin pagar</t>
  </si>
  <si>
    <t>En las mesas previamente ocupadas la gente no suele irse tanto sin pagar como en las libres o reservadas.</t>
  </si>
  <si>
    <t>Los bolivianos suelen irse más sin pagar, mientras que los argentinos son los que más pagan.</t>
  </si>
  <si>
    <t xml:space="preserve">          FILTRO ACTIVO</t>
  </si>
  <si>
    <t>Ticket medio</t>
  </si>
  <si>
    <t>Órdenes totales (Día)</t>
  </si>
  <si>
    <t>Suma de Número de Comensales</t>
  </si>
  <si>
    <t>Ticket medio (Solo platos)</t>
  </si>
  <si>
    <t>Suma de Ganancia bruta</t>
  </si>
  <si>
    <t xml:space="preserve">Promedio de Monto total </t>
  </si>
  <si>
    <t>Monto total</t>
  </si>
  <si>
    <t>Facturación total</t>
  </si>
  <si>
    <t>Coste total</t>
  </si>
  <si>
    <t>Margen</t>
  </si>
  <si>
    <t>Suma de Porcentaje ganancia</t>
  </si>
  <si>
    <t>Suma de Costo Unitario</t>
  </si>
  <si>
    <t>Total  órdenes</t>
  </si>
  <si>
    <t>Media comensales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</si>
</sst>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[$-F400]h:mm:ss\ AM/PM"/>
    <numFmt numFmtId="165" formatCode="_-* #,##0.00\ [$€-C0A]_-;\-* #,##0.00\ [$€-C0A]_-;_-* &quot;-&quot;??\ [$€-C0A]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2" fontId="0" fillId="0" borderId="0" xfId="0" applyNumberFormat="1"/>
    <xf numFmtId="14" fontId="0" fillId="0" borderId="0" xfId="0" applyNumberFormat="1"/>
    <xf numFmtId="0" fontId="5" fillId="2" borderId="9" xfId="0" applyFont="1" applyFill="1" applyBorder="1"/>
    <xf numFmtId="164" fontId="0" fillId="0" borderId="0" xfId="0" applyNumberFormat="1"/>
    <xf numFmtId="0" fontId="5" fillId="2" borderId="10" xfId="0" applyFont="1" applyFill="1" applyBorder="1"/>
    <xf numFmtId="0" fontId="0" fillId="3" borderId="11" xfId="0" applyFill="1" applyBorder="1"/>
    <xf numFmtId="22" fontId="0" fillId="3" borderId="11" xfId="0" applyNumberFormat="1" applyFill="1" applyBorder="1"/>
    <xf numFmtId="0" fontId="0" fillId="0" borderId="11" xfId="0" applyBorder="1"/>
    <xf numFmtId="22" fontId="0" fillId="0" borderId="11" xfId="0" applyNumberFormat="1" applyBorder="1"/>
    <xf numFmtId="0" fontId="5" fillId="2" borderId="0" xfId="0" applyFont="1" applyFill="1"/>
    <xf numFmtId="2" fontId="0" fillId="3" borderId="11" xfId="0" applyNumberFormat="1" applyFill="1" applyBorder="1"/>
    <xf numFmtId="2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0" fillId="3" borderId="11" xfId="0" applyNumberFormat="1" applyFill="1" applyBorder="1"/>
    <xf numFmtId="49" fontId="0" fillId="0" borderId="11" xfId="0" applyNumberFormat="1" applyBorder="1"/>
    <xf numFmtId="49" fontId="5" fillId="2" borderId="0" xfId="0" applyNumberFormat="1" applyFont="1" applyFill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2" fontId="0" fillId="4" borderId="0" xfId="0" applyNumberFormat="1" applyFill="1" applyAlignment="1">
      <alignment horizontal="left"/>
    </xf>
    <xf numFmtId="165" fontId="0" fillId="4" borderId="0" xfId="0" applyNumberFormat="1" applyFill="1"/>
    <xf numFmtId="165" fontId="0" fillId="0" borderId="0" xfId="0" applyNumberFormat="1"/>
    <xf numFmtId="2" fontId="0" fillId="4" borderId="0" xfId="0" applyNumberFormat="1" applyFill="1"/>
    <xf numFmtId="2" fontId="0" fillId="0" borderId="0" xfId="0" applyNumberFormat="1" applyAlignment="1">
      <alignment horizontal="left" indent="1"/>
    </xf>
    <xf numFmtId="2" fontId="0" fillId="4" borderId="0" xfId="0" applyNumberFormat="1" applyFill="1" applyAlignment="1">
      <alignment horizontal="left" indent="1"/>
    </xf>
    <xf numFmtId="164" fontId="0" fillId="3" borderId="9" xfId="0" applyNumberFormat="1" applyFill="1" applyBorder="1"/>
    <xf numFmtId="164" fontId="0" fillId="0" borderId="9" xfId="0" applyNumberFormat="1" applyBorder="1"/>
    <xf numFmtId="0" fontId="0" fillId="5" borderId="0" xfId="0" applyFill="1" applyAlignment="1">
      <alignment vertic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44" fontId="0" fillId="6" borderId="0" xfId="2" applyFont="1" applyFill="1" applyBorder="1" applyAlignment="1">
      <alignment vertical="center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0" borderId="0" xfId="0" applyNumberFormat="1"/>
    <xf numFmtId="14" fontId="0" fillId="3" borderId="9" xfId="0" applyNumberFormat="1" applyFont="1" applyFill="1" applyBorder="1"/>
    <xf numFmtId="14" fontId="0" fillId="0" borderId="9" xfId="0" applyNumberFormat="1" applyFont="1" applyBorder="1"/>
    <xf numFmtId="0" fontId="0" fillId="6" borderId="0" xfId="0" applyFill="1" applyBorder="1"/>
    <xf numFmtId="164" fontId="0" fillId="6" borderId="0" xfId="0" applyNumberFormat="1" applyFill="1" applyBorder="1"/>
    <xf numFmtId="0" fontId="9" fillId="7" borderId="1" xfId="0" applyFont="1" applyFill="1" applyBorder="1"/>
    <xf numFmtId="0" fontId="9" fillId="7" borderId="4" xfId="0" applyFont="1" applyFill="1" applyBorder="1"/>
    <xf numFmtId="0" fontId="9" fillId="7" borderId="6" xfId="0" applyFont="1" applyFill="1" applyBorder="1"/>
    <xf numFmtId="0" fontId="9" fillId="7" borderId="21" xfId="0" applyFont="1" applyFill="1" applyBorder="1" applyAlignment="1">
      <alignment horizontal="center" vertical="center"/>
    </xf>
    <xf numFmtId="0" fontId="0" fillId="6" borderId="22" xfId="0" applyFill="1" applyBorder="1"/>
    <xf numFmtId="0" fontId="9" fillId="7" borderId="22" xfId="0" applyFont="1" applyFill="1" applyBorder="1" applyAlignment="1">
      <alignment horizontal="center"/>
    </xf>
    <xf numFmtId="165" fontId="9" fillId="7" borderId="22" xfId="0" applyNumberFormat="1" applyFont="1" applyFill="1" applyBorder="1"/>
    <xf numFmtId="165" fontId="9" fillId="8" borderId="22" xfId="0" applyNumberFormat="1" applyFont="1" applyFill="1" applyBorder="1"/>
    <xf numFmtId="9" fontId="9" fillId="7" borderId="24" xfId="1" applyFont="1" applyFill="1" applyBorder="1" applyAlignment="1">
      <alignment horizontal="center"/>
    </xf>
    <xf numFmtId="44" fontId="9" fillId="6" borderId="22" xfId="2" applyFont="1" applyFill="1" applyBorder="1" applyAlignment="1">
      <alignment horizontal="center" vertical="center"/>
    </xf>
    <xf numFmtId="44" fontId="9" fillId="6" borderId="24" xfId="2" applyFont="1" applyFill="1" applyBorder="1" applyAlignment="1">
      <alignment horizontal="center" vertical="center"/>
    </xf>
    <xf numFmtId="2" fontId="10" fillId="6" borderId="23" xfId="2" applyNumberFormat="1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164" fontId="9" fillId="6" borderId="21" xfId="2" applyNumberFormat="1" applyFont="1" applyFill="1" applyBorder="1" applyAlignment="1">
      <alignment horizontal="center" vertical="center"/>
    </xf>
    <xf numFmtId="164" fontId="9" fillId="6" borderId="24" xfId="2" applyNumberFormat="1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44" fontId="9" fillId="7" borderId="23" xfId="2" applyFont="1" applyFill="1" applyBorder="1" applyAlignment="1">
      <alignment vertical="center"/>
    </xf>
    <xf numFmtId="0" fontId="9" fillId="7" borderId="23" xfId="0" applyFont="1" applyFill="1" applyBorder="1"/>
    <xf numFmtId="0" fontId="9" fillId="5" borderId="0" xfId="0" applyFont="1" applyFill="1" applyBorder="1"/>
    <xf numFmtId="0" fontId="9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/>
    </xf>
    <xf numFmtId="165" fontId="9" fillId="5" borderId="0" xfId="0" applyNumberFormat="1" applyFont="1" applyFill="1" applyBorder="1"/>
    <xf numFmtId="165" fontId="9" fillId="9" borderId="0" xfId="0" applyNumberFormat="1" applyFont="1" applyFill="1" applyBorder="1"/>
    <xf numFmtId="9" fontId="9" fillId="5" borderId="0" xfId="1" applyFont="1" applyFill="1" applyBorder="1" applyAlignment="1">
      <alignment horizontal="center"/>
    </xf>
    <xf numFmtId="0" fontId="0" fillId="5" borderId="0" xfId="0" applyFill="1"/>
    <xf numFmtId="0" fontId="6" fillId="5" borderId="21" xfId="0" applyFont="1" applyFill="1" applyBorder="1"/>
    <xf numFmtId="0" fontId="6" fillId="5" borderId="22" xfId="0" applyFont="1" applyFill="1" applyBorder="1"/>
    <xf numFmtId="0" fontId="0" fillId="5" borderId="2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8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</cellXfs>
  <cellStyles count="3">
    <cellStyle name="Moneda" xfId="2" builtinId="4"/>
    <cellStyle name="Normal" xfId="0" builtinId="0"/>
    <cellStyle name="Porcentaje" xfId="1" builtinId="5"/>
  </cellStyles>
  <dxfs count="180">
    <dxf>
      <fill>
        <patternFill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164" formatCode="[$-F400]h:mm:ss\ AM/PM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-* #,##0.00\ [$€-C0A]_-;\-* #,##0.00\ [$€-C0A]_-;_-* &quot;-&quot;??\ [$€-C0A]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-* #,##0.00\ [$€-C0A]_-;\-* #,##0.00\ [$€-C0A]_-;_-* &quot;-&quot;??\ [$€-C0A]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-* #,##0.00\ [$€-C0A]_-;\-* #,##0.00\ [$€-C0A]_-;_-* &quot;-&quot;??\ [$€-C0A]_-;_-@_-"/>
    </dxf>
    <dxf>
      <numFmt numFmtId="165" formatCode="_-* #,##0.00\ [$€-C0A]_-;\-* #,##0.00\ [$€-C0A]_-;_-* &quot;-&quot;??\ [$€-C0A]_-;_-@_-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27" formatCode="dd/mm/yyyy\ 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27" formatCode="dd/mm/yyyy\ 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numFmt numFmtId="30" formatCode="@"/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Estilo de segmentación de datos 1" pivot="0" table="0" count="0" xr9:uid="{0358F734-C1A7-4E6F-9A56-465C8D8D3ABE}"/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'Tablas dash'!$I$27</c:f>
              <c:strCache>
                <c:ptCount val="1"/>
                <c:pt idx="0">
                  <c:v>Mesa pagada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'Tablas dash'!$H$28:$H$794</c:f>
              <c:numCache>
                <c:formatCode>[$-F400]h:mm:ss\ AM/PM</c:formatCode>
                <c:ptCount val="767"/>
                <c:pt idx="0">
                  <c:v>3.9583333333333331E-2</c:v>
                </c:pt>
                <c:pt idx="1">
                  <c:v>5.9027777777777776E-2</c:v>
                </c:pt>
                <c:pt idx="2">
                  <c:v>8.7499999999999994E-2</c:v>
                </c:pt>
                <c:pt idx="3">
                  <c:v>2.7777777777777776E-2</c:v>
                </c:pt>
                <c:pt idx="4">
                  <c:v>1.1805555555555555E-2</c:v>
                </c:pt>
                <c:pt idx="5">
                  <c:v>7.6388888888888886E-3</c:v>
                </c:pt>
                <c:pt idx="6">
                  <c:v>2.8472222222222222E-2</c:v>
                </c:pt>
                <c:pt idx="7">
                  <c:v>3.8194444444444448E-2</c:v>
                </c:pt>
                <c:pt idx="8">
                  <c:v>0.10138888888888889</c:v>
                </c:pt>
                <c:pt idx="9">
                  <c:v>2.013888888888889E-2</c:v>
                </c:pt>
                <c:pt idx="10">
                  <c:v>3.888888888888889E-2</c:v>
                </c:pt>
                <c:pt idx="11">
                  <c:v>6.5972222222222224E-2</c:v>
                </c:pt>
                <c:pt idx="12">
                  <c:v>4.0972222222222222E-2</c:v>
                </c:pt>
                <c:pt idx="13">
                  <c:v>0.10694444444444444</c:v>
                </c:pt>
                <c:pt idx="14">
                  <c:v>7.1527777777777773E-2</c:v>
                </c:pt>
                <c:pt idx="15">
                  <c:v>2.6388888888888889E-2</c:v>
                </c:pt>
                <c:pt idx="16">
                  <c:v>0.10972222222222222</c:v>
                </c:pt>
                <c:pt idx="17">
                  <c:v>9.3055555555555558E-2</c:v>
                </c:pt>
                <c:pt idx="18">
                  <c:v>3.0555555555555555E-2</c:v>
                </c:pt>
                <c:pt idx="19">
                  <c:v>4.8611111111111112E-2</c:v>
                </c:pt>
                <c:pt idx="20">
                  <c:v>0.10555555555555556</c:v>
                </c:pt>
                <c:pt idx="21">
                  <c:v>8.5416666666666669E-2</c:v>
                </c:pt>
                <c:pt idx="22">
                  <c:v>4.3749999999999997E-2</c:v>
                </c:pt>
                <c:pt idx="23">
                  <c:v>0.125</c:v>
                </c:pt>
                <c:pt idx="24">
                  <c:v>2.4305555555555556E-2</c:v>
                </c:pt>
                <c:pt idx="25">
                  <c:v>7.5694444444444439E-2</c:v>
                </c:pt>
                <c:pt idx="26">
                  <c:v>3.8194444444444448E-2</c:v>
                </c:pt>
                <c:pt idx="27">
                  <c:v>3.888888888888889E-2</c:v>
                </c:pt>
                <c:pt idx="28">
                  <c:v>4.9305555555555554E-2</c:v>
                </c:pt>
                <c:pt idx="29">
                  <c:v>4.791666666666667E-2</c:v>
                </c:pt>
                <c:pt idx="30">
                  <c:v>7.2916666666666671E-2</c:v>
                </c:pt>
                <c:pt idx="31">
                  <c:v>8.8888888888888892E-2</c:v>
                </c:pt>
                <c:pt idx="32">
                  <c:v>9.0277777777777776E-2</c:v>
                </c:pt>
                <c:pt idx="33">
                  <c:v>4.5138888888888888E-2</c:v>
                </c:pt>
                <c:pt idx="34">
                  <c:v>4.5138888888888888E-2</c:v>
                </c:pt>
                <c:pt idx="35">
                  <c:v>2.6388888888888889E-2</c:v>
                </c:pt>
                <c:pt idx="36">
                  <c:v>3.2638888888888891E-2</c:v>
                </c:pt>
                <c:pt idx="37">
                  <c:v>6.805555555555555E-2</c:v>
                </c:pt>
                <c:pt idx="38">
                  <c:v>3.9583333333333331E-2</c:v>
                </c:pt>
                <c:pt idx="39">
                  <c:v>5.4166666666666669E-2</c:v>
                </c:pt>
                <c:pt idx="40">
                  <c:v>6.1805555555555558E-2</c:v>
                </c:pt>
                <c:pt idx="41">
                  <c:v>4.791666666666667E-2</c:v>
                </c:pt>
                <c:pt idx="42">
                  <c:v>0.10138888888888889</c:v>
                </c:pt>
                <c:pt idx="43">
                  <c:v>5.9027777777777776E-2</c:v>
                </c:pt>
                <c:pt idx="44">
                  <c:v>3.2638888888888891E-2</c:v>
                </c:pt>
                <c:pt idx="45">
                  <c:v>5.9722222222222225E-2</c:v>
                </c:pt>
                <c:pt idx="46">
                  <c:v>6.0416666666666667E-2</c:v>
                </c:pt>
                <c:pt idx="47">
                  <c:v>8.611111111111111E-2</c:v>
                </c:pt>
                <c:pt idx="48">
                  <c:v>5.6250000000000001E-2</c:v>
                </c:pt>
                <c:pt idx="49">
                  <c:v>1.4583333333333334E-2</c:v>
                </c:pt>
                <c:pt idx="50">
                  <c:v>0.11388888888888889</c:v>
                </c:pt>
                <c:pt idx="51">
                  <c:v>4.3055555555555555E-2</c:v>
                </c:pt>
                <c:pt idx="52">
                  <c:v>7.7777777777777779E-2</c:v>
                </c:pt>
                <c:pt idx="53">
                  <c:v>0.14097222222222222</c:v>
                </c:pt>
                <c:pt idx="54">
                  <c:v>6.6666666666666666E-2</c:v>
                </c:pt>
                <c:pt idx="55">
                  <c:v>5.4166666666666669E-2</c:v>
                </c:pt>
                <c:pt idx="56">
                  <c:v>4.7222222222222221E-2</c:v>
                </c:pt>
                <c:pt idx="57">
                  <c:v>5.0694444444444445E-2</c:v>
                </c:pt>
                <c:pt idx="58">
                  <c:v>3.3333333333333333E-2</c:v>
                </c:pt>
                <c:pt idx="59">
                  <c:v>2.9861111111111113E-2</c:v>
                </c:pt>
                <c:pt idx="60">
                  <c:v>0.11041666666666666</c:v>
                </c:pt>
                <c:pt idx="61">
                  <c:v>0.1076388888888889</c:v>
                </c:pt>
                <c:pt idx="62">
                  <c:v>2.0833333333333332E-2</c:v>
                </c:pt>
                <c:pt idx="63">
                  <c:v>5.6944444444444443E-2</c:v>
                </c:pt>
                <c:pt idx="64">
                  <c:v>0.1076388888888889</c:v>
                </c:pt>
                <c:pt idx="65">
                  <c:v>7.9166666666666663E-2</c:v>
                </c:pt>
                <c:pt idx="66">
                  <c:v>9.0972222222222218E-2</c:v>
                </c:pt>
                <c:pt idx="67">
                  <c:v>0.10069444444444445</c:v>
                </c:pt>
                <c:pt idx="68">
                  <c:v>6.3888888888888884E-2</c:v>
                </c:pt>
                <c:pt idx="69">
                  <c:v>2.7777777777777776E-2</c:v>
                </c:pt>
                <c:pt idx="70">
                  <c:v>3.4027777777777775E-2</c:v>
                </c:pt>
                <c:pt idx="71">
                  <c:v>3.7499999999999999E-2</c:v>
                </c:pt>
                <c:pt idx="72">
                  <c:v>1.3888888888888888E-2</c:v>
                </c:pt>
                <c:pt idx="73">
                  <c:v>6.9444444444444448E-2</c:v>
                </c:pt>
                <c:pt idx="74">
                  <c:v>3.5416666666666666E-2</c:v>
                </c:pt>
                <c:pt idx="75">
                  <c:v>6.7361111111111108E-2</c:v>
                </c:pt>
                <c:pt idx="76">
                  <c:v>6.7361111111111108E-2</c:v>
                </c:pt>
                <c:pt idx="77">
                  <c:v>3.7499999999999999E-2</c:v>
                </c:pt>
                <c:pt idx="78">
                  <c:v>6.6666666666666666E-2</c:v>
                </c:pt>
                <c:pt idx="79">
                  <c:v>4.6527777777777779E-2</c:v>
                </c:pt>
                <c:pt idx="80">
                  <c:v>4.0972222222222222E-2</c:v>
                </c:pt>
                <c:pt idx="81">
                  <c:v>1.3194444444444444E-2</c:v>
                </c:pt>
                <c:pt idx="82">
                  <c:v>6.5277777777777782E-2</c:v>
                </c:pt>
                <c:pt idx="83">
                  <c:v>6.9444444444444441E-3</c:v>
                </c:pt>
                <c:pt idx="84">
                  <c:v>9.8611111111111108E-2</c:v>
                </c:pt>
                <c:pt idx="85">
                  <c:v>5.5555555555555558E-3</c:v>
                </c:pt>
                <c:pt idx="86">
                  <c:v>4.9305555555555554E-2</c:v>
                </c:pt>
                <c:pt idx="87">
                  <c:v>8.1250000000000003E-2</c:v>
                </c:pt>
                <c:pt idx="88">
                  <c:v>9.8611111111111108E-2</c:v>
                </c:pt>
                <c:pt idx="89">
                  <c:v>3.3333333333333333E-2</c:v>
                </c:pt>
                <c:pt idx="90">
                  <c:v>9.166666666666666E-2</c:v>
                </c:pt>
                <c:pt idx="91">
                  <c:v>2.9166666666666667E-2</c:v>
                </c:pt>
                <c:pt idx="92">
                  <c:v>1.2500000000000001E-2</c:v>
                </c:pt>
                <c:pt idx="93">
                  <c:v>8.9583333333333334E-2</c:v>
                </c:pt>
                <c:pt idx="94">
                  <c:v>2.8472222222222222E-2</c:v>
                </c:pt>
                <c:pt idx="95">
                  <c:v>5.2777777777777778E-2</c:v>
                </c:pt>
                <c:pt idx="96">
                  <c:v>5.486111111111111E-2</c:v>
                </c:pt>
                <c:pt idx="97">
                  <c:v>9.7222222222222224E-2</c:v>
                </c:pt>
                <c:pt idx="98">
                  <c:v>5.9722222222222225E-2</c:v>
                </c:pt>
                <c:pt idx="99">
                  <c:v>7.1527777777777773E-2</c:v>
                </c:pt>
                <c:pt idx="100">
                  <c:v>9.3055555555555558E-2</c:v>
                </c:pt>
                <c:pt idx="101">
                  <c:v>3.1944444444444442E-2</c:v>
                </c:pt>
                <c:pt idx="102">
                  <c:v>6.8750000000000006E-2</c:v>
                </c:pt>
                <c:pt idx="103">
                  <c:v>3.8194444444444448E-2</c:v>
                </c:pt>
                <c:pt idx="104">
                  <c:v>2.9861111111111113E-2</c:v>
                </c:pt>
                <c:pt idx="105">
                  <c:v>2.013888888888889E-2</c:v>
                </c:pt>
                <c:pt idx="106">
                  <c:v>9.7916666666666666E-2</c:v>
                </c:pt>
                <c:pt idx="107">
                  <c:v>7.9861111111111105E-2</c:v>
                </c:pt>
                <c:pt idx="108">
                  <c:v>8.1944444444444445E-2</c:v>
                </c:pt>
                <c:pt idx="109">
                  <c:v>8.4027777777777785E-2</c:v>
                </c:pt>
                <c:pt idx="110">
                  <c:v>9.5138888888888884E-2</c:v>
                </c:pt>
                <c:pt idx="111">
                  <c:v>1.1111111111111112E-2</c:v>
                </c:pt>
                <c:pt idx="112">
                  <c:v>3.5416666666666666E-2</c:v>
                </c:pt>
                <c:pt idx="113">
                  <c:v>9.0972222222222218E-2</c:v>
                </c:pt>
                <c:pt idx="114">
                  <c:v>6.805555555555555E-2</c:v>
                </c:pt>
                <c:pt idx="115">
                  <c:v>8.9583333333333334E-2</c:v>
                </c:pt>
                <c:pt idx="116">
                  <c:v>5.5555555555555558E-3</c:v>
                </c:pt>
                <c:pt idx="117">
                  <c:v>9.4444444444444442E-2</c:v>
                </c:pt>
                <c:pt idx="118">
                  <c:v>3.7499999999999999E-2</c:v>
                </c:pt>
                <c:pt idx="119">
                  <c:v>6.7361111111111108E-2</c:v>
                </c:pt>
                <c:pt idx="120">
                  <c:v>2.6388888888888889E-2</c:v>
                </c:pt>
                <c:pt idx="121">
                  <c:v>2.2222222222222223E-2</c:v>
                </c:pt>
                <c:pt idx="122">
                  <c:v>2.2916666666666665E-2</c:v>
                </c:pt>
                <c:pt idx="123">
                  <c:v>9.583333333333334E-2</c:v>
                </c:pt>
                <c:pt idx="124">
                  <c:v>5.8333333333333334E-2</c:v>
                </c:pt>
                <c:pt idx="125">
                  <c:v>9.6527777777777782E-2</c:v>
                </c:pt>
                <c:pt idx="126">
                  <c:v>2.0833333333333332E-2</c:v>
                </c:pt>
                <c:pt idx="127">
                  <c:v>0.11944444444444445</c:v>
                </c:pt>
                <c:pt idx="128">
                  <c:v>5.5555555555555552E-2</c:v>
                </c:pt>
                <c:pt idx="129">
                  <c:v>1.7361111111111112E-2</c:v>
                </c:pt>
                <c:pt idx="130">
                  <c:v>8.3333333333333329E-2</c:v>
                </c:pt>
                <c:pt idx="131">
                  <c:v>7.0833333333333331E-2</c:v>
                </c:pt>
                <c:pt idx="132">
                  <c:v>7.4305555555555555E-2</c:v>
                </c:pt>
                <c:pt idx="133">
                  <c:v>3.3333333333333333E-2</c:v>
                </c:pt>
                <c:pt idx="134">
                  <c:v>6.1111111111111109E-2</c:v>
                </c:pt>
                <c:pt idx="135">
                  <c:v>9.0277777777777769E-3</c:v>
                </c:pt>
                <c:pt idx="136">
                  <c:v>2.8472222222222222E-2</c:v>
                </c:pt>
                <c:pt idx="137">
                  <c:v>6.7361111111111108E-2</c:v>
                </c:pt>
                <c:pt idx="138">
                  <c:v>1.8055555555555554E-2</c:v>
                </c:pt>
                <c:pt idx="139">
                  <c:v>8.1944444444444445E-2</c:v>
                </c:pt>
                <c:pt idx="140">
                  <c:v>1.9444444444444445E-2</c:v>
                </c:pt>
                <c:pt idx="141">
                  <c:v>4.8611111111111112E-2</c:v>
                </c:pt>
                <c:pt idx="142">
                  <c:v>1.1111111111111112E-2</c:v>
                </c:pt>
                <c:pt idx="143">
                  <c:v>0.10416666666666667</c:v>
                </c:pt>
                <c:pt idx="144">
                  <c:v>7.3611111111111113E-2</c:v>
                </c:pt>
                <c:pt idx="145">
                  <c:v>3.2638888888888891E-2</c:v>
                </c:pt>
                <c:pt idx="146">
                  <c:v>2.2916666666666665E-2</c:v>
                </c:pt>
                <c:pt idx="147">
                  <c:v>0.11041666666666666</c:v>
                </c:pt>
                <c:pt idx="148">
                  <c:v>9.6527777777777782E-2</c:v>
                </c:pt>
                <c:pt idx="149">
                  <c:v>7.3611111111111113E-2</c:v>
                </c:pt>
                <c:pt idx="150">
                  <c:v>1.3194444444444444E-2</c:v>
                </c:pt>
                <c:pt idx="151">
                  <c:v>8.3333333333333332E-3</c:v>
                </c:pt>
                <c:pt idx="152">
                  <c:v>6.1805555555555558E-2</c:v>
                </c:pt>
                <c:pt idx="153">
                  <c:v>5.6944444444444443E-2</c:v>
                </c:pt>
                <c:pt idx="154">
                  <c:v>6.9444444444444448E-2</c:v>
                </c:pt>
                <c:pt idx="155">
                  <c:v>4.1666666666666666E-3</c:v>
                </c:pt>
                <c:pt idx="156">
                  <c:v>0.10416666666666667</c:v>
                </c:pt>
                <c:pt idx="157">
                  <c:v>9.375E-2</c:v>
                </c:pt>
                <c:pt idx="158">
                  <c:v>5.1388888888888887E-2</c:v>
                </c:pt>
                <c:pt idx="159">
                  <c:v>4.6527777777777779E-2</c:v>
                </c:pt>
                <c:pt idx="160">
                  <c:v>3.9583333333333331E-2</c:v>
                </c:pt>
                <c:pt idx="161">
                  <c:v>1.7361111111111112E-2</c:v>
                </c:pt>
                <c:pt idx="162">
                  <c:v>4.9305555555555554E-2</c:v>
                </c:pt>
                <c:pt idx="163">
                  <c:v>7.2916666666666671E-2</c:v>
                </c:pt>
                <c:pt idx="164">
                  <c:v>3.888888888888889E-2</c:v>
                </c:pt>
                <c:pt idx="165">
                  <c:v>1.5277777777777777E-2</c:v>
                </c:pt>
                <c:pt idx="166">
                  <c:v>5.2777777777777778E-2</c:v>
                </c:pt>
                <c:pt idx="167">
                  <c:v>4.8611111111111112E-3</c:v>
                </c:pt>
                <c:pt idx="168">
                  <c:v>7.6388888888888895E-2</c:v>
                </c:pt>
                <c:pt idx="169">
                  <c:v>5.0694444444444445E-2</c:v>
                </c:pt>
                <c:pt idx="170">
                  <c:v>3.5416666666666666E-2</c:v>
                </c:pt>
                <c:pt idx="171">
                  <c:v>1.8749999999999999E-2</c:v>
                </c:pt>
                <c:pt idx="172">
                  <c:v>4.6527777777777779E-2</c:v>
                </c:pt>
                <c:pt idx="173">
                  <c:v>8.3333333333333332E-3</c:v>
                </c:pt>
                <c:pt idx="174">
                  <c:v>3.2638888888888891E-2</c:v>
                </c:pt>
                <c:pt idx="175">
                  <c:v>3.3333333333333333E-2</c:v>
                </c:pt>
                <c:pt idx="176">
                  <c:v>9.8611111111111108E-2</c:v>
                </c:pt>
                <c:pt idx="177">
                  <c:v>0.10138888888888889</c:v>
                </c:pt>
                <c:pt idx="178">
                  <c:v>1.8055555555555554E-2</c:v>
                </c:pt>
                <c:pt idx="179">
                  <c:v>0.11180555555555556</c:v>
                </c:pt>
                <c:pt idx="180">
                  <c:v>3.8194444444444448E-2</c:v>
                </c:pt>
                <c:pt idx="181">
                  <c:v>7.6388888888888886E-3</c:v>
                </c:pt>
                <c:pt idx="182">
                  <c:v>0.11527777777777778</c:v>
                </c:pt>
                <c:pt idx="183">
                  <c:v>2.013888888888889E-2</c:v>
                </c:pt>
                <c:pt idx="184">
                  <c:v>2.7777777777777776E-2</c:v>
                </c:pt>
                <c:pt idx="185">
                  <c:v>6.458333333333334E-2</c:v>
                </c:pt>
                <c:pt idx="186">
                  <c:v>8.7499999999999994E-2</c:v>
                </c:pt>
                <c:pt idx="187">
                  <c:v>7.2916666666666671E-2</c:v>
                </c:pt>
                <c:pt idx="188">
                  <c:v>8.1250000000000003E-2</c:v>
                </c:pt>
                <c:pt idx="189">
                  <c:v>7.0833333333333331E-2</c:v>
                </c:pt>
                <c:pt idx="190">
                  <c:v>6.0416666666666667E-2</c:v>
                </c:pt>
                <c:pt idx="191">
                  <c:v>1.8055555555555554E-2</c:v>
                </c:pt>
                <c:pt idx="192">
                  <c:v>0.11874999999999999</c:v>
                </c:pt>
                <c:pt idx="193">
                  <c:v>4.7222222222222221E-2</c:v>
                </c:pt>
                <c:pt idx="194">
                  <c:v>3.5416666666666666E-2</c:v>
                </c:pt>
                <c:pt idx="195">
                  <c:v>0.12222222222222222</c:v>
                </c:pt>
                <c:pt idx="196">
                  <c:v>0.05</c:v>
                </c:pt>
                <c:pt idx="197">
                  <c:v>2.2916666666666665E-2</c:v>
                </c:pt>
                <c:pt idx="198">
                  <c:v>9.8611111111111108E-2</c:v>
                </c:pt>
                <c:pt idx="199">
                  <c:v>4.6527777777777779E-2</c:v>
                </c:pt>
                <c:pt idx="200">
                  <c:v>4.027777777777778E-2</c:v>
                </c:pt>
                <c:pt idx="201">
                  <c:v>0.10833333333333334</c:v>
                </c:pt>
                <c:pt idx="202">
                  <c:v>5.9027777777777776E-2</c:v>
                </c:pt>
                <c:pt idx="203">
                  <c:v>1.4583333333333334E-2</c:v>
                </c:pt>
                <c:pt idx="204">
                  <c:v>5.9722222222222225E-2</c:v>
                </c:pt>
                <c:pt idx="205">
                  <c:v>4.027777777777778E-2</c:v>
                </c:pt>
                <c:pt idx="206">
                  <c:v>7.7083333333333337E-2</c:v>
                </c:pt>
                <c:pt idx="207">
                  <c:v>6.9444444444444448E-2</c:v>
                </c:pt>
                <c:pt idx="208">
                  <c:v>0.11874999999999999</c:v>
                </c:pt>
                <c:pt idx="209">
                  <c:v>0.10972222222222222</c:v>
                </c:pt>
                <c:pt idx="210">
                  <c:v>9.375E-2</c:v>
                </c:pt>
                <c:pt idx="211">
                  <c:v>0.11388888888888889</c:v>
                </c:pt>
                <c:pt idx="212">
                  <c:v>6.9444444444444448E-2</c:v>
                </c:pt>
                <c:pt idx="213">
                  <c:v>2.6388888888888889E-2</c:v>
                </c:pt>
                <c:pt idx="214">
                  <c:v>3.1944444444444442E-2</c:v>
                </c:pt>
                <c:pt idx="215">
                  <c:v>8.3333333333333329E-2</c:v>
                </c:pt>
                <c:pt idx="216">
                  <c:v>9.0277777777777769E-3</c:v>
                </c:pt>
                <c:pt idx="217">
                  <c:v>3.1944444444444442E-2</c:v>
                </c:pt>
                <c:pt idx="218">
                  <c:v>1.5972222222222221E-2</c:v>
                </c:pt>
                <c:pt idx="219">
                  <c:v>9.0277777777777769E-3</c:v>
                </c:pt>
                <c:pt idx="220">
                  <c:v>7.4999999999999997E-2</c:v>
                </c:pt>
                <c:pt idx="221">
                  <c:v>5.9027777777777776E-2</c:v>
                </c:pt>
                <c:pt idx="222">
                  <c:v>3.6805555555555557E-2</c:v>
                </c:pt>
                <c:pt idx="223">
                  <c:v>1.3888888888888888E-2</c:v>
                </c:pt>
                <c:pt idx="224">
                  <c:v>6.5277777777777782E-2</c:v>
                </c:pt>
                <c:pt idx="225">
                  <c:v>0.10138888888888889</c:v>
                </c:pt>
                <c:pt idx="226">
                  <c:v>8.2638888888888887E-2</c:v>
                </c:pt>
                <c:pt idx="227">
                  <c:v>2.4305555555555556E-2</c:v>
                </c:pt>
                <c:pt idx="228">
                  <c:v>8.1250000000000003E-2</c:v>
                </c:pt>
                <c:pt idx="229">
                  <c:v>6.3194444444444442E-2</c:v>
                </c:pt>
                <c:pt idx="230">
                  <c:v>0.10416666666666667</c:v>
                </c:pt>
                <c:pt idx="231">
                  <c:v>9.6527777777777782E-2</c:v>
                </c:pt>
                <c:pt idx="232">
                  <c:v>2.1527777777777778E-2</c:v>
                </c:pt>
                <c:pt idx="233">
                  <c:v>6.8750000000000006E-2</c:v>
                </c:pt>
                <c:pt idx="234">
                  <c:v>1.7361111111111112E-2</c:v>
                </c:pt>
                <c:pt idx="235">
                  <c:v>7.013888888888889E-2</c:v>
                </c:pt>
                <c:pt idx="236">
                  <c:v>2.5694444444444443E-2</c:v>
                </c:pt>
                <c:pt idx="237">
                  <c:v>3.125E-2</c:v>
                </c:pt>
                <c:pt idx="238">
                  <c:v>5.0694444444444445E-2</c:v>
                </c:pt>
                <c:pt idx="239">
                  <c:v>8.9583333333333334E-2</c:v>
                </c:pt>
                <c:pt idx="240">
                  <c:v>7.6388888888888886E-3</c:v>
                </c:pt>
                <c:pt idx="241">
                  <c:v>6.8750000000000006E-2</c:v>
                </c:pt>
                <c:pt idx="242">
                  <c:v>1.5277777777777777E-2</c:v>
                </c:pt>
                <c:pt idx="243">
                  <c:v>6.1805555555555558E-2</c:v>
                </c:pt>
                <c:pt idx="244">
                  <c:v>8.0555555555555561E-2</c:v>
                </c:pt>
                <c:pt idx="245">
                  <c:v>0.10138888888888889</c:v>
                </c:pt>
                <c:pt idx="246">
                  <c:v>4.0972222222222222E-2</c:v>
                </c:pt>
                <c:pt idx="247">
                  <c:v>8.3333333333333329E-2</c:v>
                </c:pt>
                <c:pt idx="248">
                  <c:v>7.5694444444444439E-2</c:v>
                </c:pt>
                <c:pt idx="249">
                  <c:v>2.013888888888889E-2</c:v>
                </c:pt>
                <c:pt idx="250">
                  <c:v>8.4722222222222227E-2</c:v>
                </c:pt>
                <c:pt idx="251">
                  <c:v>5.8333333333333334E-2</c:v>
                </c:pt>
                <c:pt idx="252">
                  <c:v>3.8194444444444448E-2</c:v>
                </c:pt>
                <c:pt idx="253">
                  <c:v>9.7916666666666666E-2</c:v>
                </c:pt>
                <c:pt idx="254">
                  <c:v>2.5694444444444443E-2</c:v>
                </c:pt>
                <c:pt idx="255">
                  <c:v>1.1111111111111112E-2</c:v>
                </c:pt>
                <c:pt idx="256">
                  <c:v>1.9444444444444445E-2</c:v>
                </c:pt>
                <c:pt idx="257">
                  <c:v>7.2916666666666671E-2</c:v>
                </c:pt>
                <c:pt idx="258">
                  <c:v>7.6388888888888886E-3</c:v>
                </c:pt>
                <c:pt idx="259">
                  <c:v>3.4027777777777775E-2</c:v>
                </c:pt>
                <c:pt idx="260">
                  <c:v>3.8194444444444448E-2</c:v>
                </c:pt>
                <c:pt idx="261">
                  <c:v>3.3333333333333333E-2</c:v>
                </c:pt>
                <c:pt idx="262">
                  <c:v>0.10347222222222222</c:v>
                </c:pt>
                <c:pt idx="263">
                  <c:v>8.1250000000000003E-2</c:v>
                </c:pt>
                <c:pt idx="264">
                  <c:v>9.375E-2</c:v>
                </c:pt>
                <c:pt idx="265">
                  <c:v>7.3611111111111113E-2</c:v>
                </c:pt>
                <c:pt idx="266">
                  <c:v>6.6666666666666666E-2</c:v>
                </c:pt>
                <c:pt idx="267">
                  <c:v>5.7638888888888892E-2</c:v>
                </c:pt>
                <c:pt idx="268">
                  <c:v>7.013888888888889E-2</c:v>
                </c:pt>
                <c:pt idx="269">
                  <c:v>1.8055555555555554E-2</c:v>
                </c:pt>
                <c:pt idx="270">
                  <c:v>3.8194444444444448E-2</c:v>
                </c:pt>
                <c:pt idx="271">
                  <c:v>5.7638888888888892E-2</c:v>
                </c:pt>
                <c:pt idx="272">
                  <c:v>4.6527777777777779E-2</c:v>
                </c:pt>
                <c:pt idx="273">
                  <c:v>5.2083333333333336E-2</c:v>
                </c:pt>
                <c:pt idx="274">
                  <c:v>8.4722222222222227E-2</c:v>
                </c:pt>
                <c:pt idx="275">
                  <c:v>5.9027777777777776E-2</c:v>
                </c:pt>
                <c:pt idx="276">
                  <c:v>2.013888888888889E-2</c:v>
                </c:pt>
                <c:pt idx="277">
                  <c:v>4.2361111111111113E-2</c:v>
                </c:pt>
                <c:pt idx="278">
                  <c:v>9.8611111111111108E-2</c:v>
                </c:pt>
                <c:pt idx="279">
                  <c:v>5.9722222222222225E-2</c:v>
                </c:pt>
                <c:pt idx="280">
                  <c:v>6.2500000000000003E-3</c:v>
                </c:pt>
                <c:pt idx="281">
                  <c:v>7.9166666666666663E-2</c:v>
                </c:pt>
                <c:pt idx="282">
                  <c:v>4.1666666666666666E-3</c:v>
                </c:pt>
                <c:pt idx="283">
                  <c:v>0.13541666666666666</c:v>
                </c:pt>
                <c:pt idx="284">
                  <c:v>8.3333333333333332E-3</c:v>
                </c:pt>
                <c:pt idx="285">
                  <c:v>1.7361111111111112E-2</c:v>
                </c:pt>
                <c:pt idx="286">
                  <c:v>8.4027777777777785E-2</c:v>
                </c:pt>
                <c:pt idx="287">
                  <c:v>2.6388888888888889E-2</c:v>
                </c:pt>
                <c:pt idx="288">
                  <c:v>4.7222222222222221E-2</c:v>
                </c:pt>
                <c:pt idx="289">
                  <c:v>3.9583333333333331E-2</c:v>
                </c:pt>
                <c:pt idx="290">
                  <c:v>6.5972222222222224E-2</c:v>
                </c:pt>
                <c:pt idx="291">
                  <c:v>1.5972222222222221E-2</c:v>
                </c:pt>
                <c:pt idx="292">
                  <c:v>8.3333333333333329E-2</c:v>
                </c:pt>
                <c:pt idx="293">
                  <c:v>5.9722222222222225E-2</c:v>
                </c:pt>
                <c:pt idx="294">
                  <c:v>0.12291666666666666</c:v>
                </c:pt>
                <c:pt idx="295">
                  <c:v>3.1944444444444442E-2</c:v>
                </c:pt>
                <c:pt idx="296">
                  <c:v>7.7777777777777779E-2</c:v>
                </c:pt>
                <c:pt idx="297">
                  <c:v>9.7916666666666666E-2</c:v>
                </c:pt>
                <c:pt idx="298">
                  <c:v>7.8472222222222221E-2</c:v>
                </c:pt>
                <c:pt idx="299">
                  <c:v>8.1944444444444445E-2</c:v>
                </c:pt>
                <c:pt idx="300">
                  <c:v>0.12708333333333333</c:v>
                </c:pt>
                <c:pt idx="301">
                  <c:v>1.0416666666666666E-2</c:v>
                </c:pt>
                <c:pt idx="302">
                  <c:v>6.3888888888888884E-2</c:v>
                </c:pt>
                <c:pt idx="303">
                  <c:v>5.9027777777777776E-2</c:v>
                </c:pt>
                <c:pt idx="304">
                  <c:v>4.5138888888888888E-2</c:v>
                </c:pt>
                <c:pt idx="305">
                  <c:v>1.4583333333333334E-2</c:v>
                </c:pt>
                <c:pt idx="306">
                  <c:v>2.7083333333333334E-2</c:v>
                </c:pt>
                <c:pt idx="307">
                  <c:v>0.12916666666666668</c:v>
                </c:pt>
                <c:pt idx="308">
                  <c:v>8.5416666666666669E-2</c:v>
                </c:pt>
                <c:pt idx="309">
                  <c:v>6.7361111111111108E-2</c:v>
                </c:pt>
                <c:pt idx="310">
                  <c:v>5.1388888888888887E-2</c:v>
                </c:pt>
                <c:pt idx="311">
                  <c:v>3.8194444444444448E-2</c:v>
                </c:pt>
                <c:pt idx="312">
                  <c:v>7.3611111111111113E-2</c:v>
                </c:pt>
                <c:pt idx="313">
                  <c:v>3.472222222222222E-3</c:v>
                </c:pt>
                <c:pt idx="314">
                  <c:v>8.7499999999999994E-2</c:v>
                </c:pt>
                <c:pt idx="315">
                  <c:v>0.10972222222222222</c:v>
                </c:pt>
                <c:pt idx="316">
                  <c:v>6.1111111111111109E-2</c:v>
                </c:pt>
                <c:pt idx="317">
                  <c:v>2.7083333333333334E-2</c:v>
                </c:pt>
                <c:pt idx="318">
                  <c:v>8.7499999999999994E-2</c:v>
                </c:pt>
                <c:pt idx="319">
                  <c:v>9.0277777777777776E-2</c:v>
                </c:pt>
                <c:pt idx="320">
                  <c:v>6.5972222222222224E-2</c:v>
                </c:pt>
                <c:pt idx="321">
                  <c:v>4.1666666666666664E-2</c:v>
                </c:pt>
                <c:pt idx="322">
                  <c:v>8.4722222222222227E-2</c:v>
                </c:pt>
                <c:pt idx="323">
                  <c:v>6.25E-2</c:v>
                </c:pt>
                <c:pt idx="324">
                  <c:v>4.9305555555555554E-2</c:v>
                </c:pt>
                <c:pt idx="325">
                  <c:v>6.3194444444444442E-2</c:v>
                </c:pt>
                <c:pt idx="326">
                  <c:v>5.1388888888888887E-2</c:v>
                </c:pt>
                <c:pt idx="327">
                  <c:v>1.4583333333333334E-2</c:v>
                </c:pt>
                <c:pt idx="328">
                  <c:v>9.6527777777777782E-2</c:v>
                </c:pt>
                <c:pt idx="329">
                  <c:v>9.7222222222222224E-2</c:v>
                </c:pt>
                <c:pt idx="330">
                  <c:v>8.4027777777777785E-2</c:v>
                </c:pt>
                <c:pt idx="331">
                  <c:v>1.1805555555555555E-2</c:v>
                </c:pt>
                <c:pt idx="332">
                  <c:v>4.2361111111111113E-2</c:v>
                </c:pt>
                <c:pt idx="333">
                  <c:v>0.10833333333333334</c:v>
                </c:pt>
                <c:pt idx="334">
                  <c:v>4.791666666666667E-2</c:v>
                </c:pt>
                <c:pt idx="335">
                  <c:v>4.5138888888888888E-2</c:v>
                </c:pt>
                <c:pt idx="336">
                  <c:v>4.027777777777778E-2</c:v>
                </c:pt>
                <c:pt idx="337">
                  <c:v>9.930555555555555E-2</c:v>
                </c:pt>
                <c:pt idx="338">
                  <c:v>3.1944444444444442E-2</c:v>
                </c:pt>
                <c:pt idx="339">
                  <c:v>6.3194444444444442E-2</c:v>
                </c:pt>
                <c:pt idx="340">
                  <c:v>6.1111111111111109E-2</c:v>
                </c:pt>
                <c:pt idx="341">
                  <c:v>3.7499999999999999E-2</c:v>
                </c:pt>
                <c:pt idx="342">
                  <c:v>7.013888888888889E-2</c:v>
                </c:pt>
                <c:pt idx="343">
                  <c:v>5.9722222222222225E-2</c:v>
                </c:pt>
                <c:pt idx="344">
                  <c:v>1.2500000000000001E-2</c:v>
                </c:pt>
                <c:pt idx="345">
                  <c:v>1.5277777777777777E-2</c:v>
                </c:pt>
                <c:pt idx="346">
                  <c:v>3.0555555555555555E-2</c:v>
                </c:pt>
                <c:pt idx="347">
                  <c:v>6.1111111111111109E-2</c:v>
                </c:pt>
                <c:pt idx="348">
                  <c:v>5.9027777777777776E-2</c:v>
                </c:pt>
                <c:pt idx="349">
                  <c:v>7.5694444444444439E-2</c:v>
                </c:pt>
                <c:pt idx="350">
                  <c:v>1.7361111111111112E-2</c:v>
                </c:pt>
                <c:pt idx="351">
                  <c:v>4.8611111111111112E-3</c:v>
                </c:pt>
                <c:pt idx="352">
                  <c:v>8.8888888888888892E-2</c:v>
                </c:pt>
                <c:pt idx="353">
                  <c:v>9.5138888888888884E-2</c:v>
                </c:pt>
                <c:pt idx="354">
                  <c:v>4.8611111111111112E-3</c:v>
                </c:pt>
                <c:pt idx="355">
                  <c:v>4.8611111111111112E-3</c:v>
                </c:pt>
                <c:pt idx="356">
                  <c:v>6.6666666666666666E-2</c:v>
                </c:pt>
                <c:pt idx="357">
                  <c:v>0.10555555555555556</c:v>
                </c:pt>
                <c:pt idx="358">
                  <c:v>0.10069444444444445</c:v>
                </c:pt>
                <c:pt idx="359">
                  <c:v>0.11041666666666666</c:v>
                </c:pt>
                <c:pt idx="360">
                  <c:v>7.7777777777777779E-2</c:v>
                </c:pt>
                <c:pt idx="361">
                  <c:v>8.5416666666666669E-2</c:v>
                </c:pt>
                <c:pt idx="362">
                  <c:v>0.10347222222222222</c:v>
                </c:pt>
                <c:pt idx="363">
                  <c:v>7.7777777777777779E-2</c:v>
                </c:pt>
                <c:pt idx="364">
                  <c:v>1.7361111111111112E-2</c:v>
                </c:pt>
                <c:pt idx="365">
                  <c:v>6.25E-2</c:v>
                </c:pt>
                <c:pt idx="366">
                  <c:v>5.0694444444444445E-2</c:v>
                </c:pt>
                <c:pt idx="367">
                  <c:v>5.9027777777777776E-2</c:v>
                </c:pt>
                <c:pt idx="368">
                  <c:v>2.9166666666666667E-2</c:v>
                </c:pt>
                <c:pt idx="369">
                  <c:v>2.2916666666666665E-2</c:v>
                </c:pt>
                <c:pt idx="370">
                  <c:v>3.4027777777777775E-2</c:v>
                </c:pt>
                <c:pt idx="371">
                  <c:v>1.5277777777777777E-2</c:v>
                </c:pt>
                <c:pt idx="372">
                  <c:v>8.0555555555555561E-2</c:v>
                </c:pt>
                <c:pt idx="373">
                  <c:v>6.2500000000000003E-3</c:v>
                </c:pt>
                <c:pt idx="374">
                  <c:v>1.8749999999999999E-2</c:v>
                </c:pt>
                <c:pt idx="375">
                  <c:v>3.472222222222222E-3</c:v>
                </c:pt>
                <c:pt idx="376">
                  <c:v>3.1944444444444442E-2</c:v>
                </c:pt>
                <c:pt idx="377">
                  <c:v>1.4583333333333334E-2</c:v>
                </c:pt>
                <c:pt idx="378">
                  <c:v>4.1666666666666666E-3</c:v>
                </c:pt>
                <c:pt idx="379">
                  <c:v>6.458333333333334E-2</c:v>
                </c:pt>
                <c:pt idx="380">
                  <c:v>3.2638888888888891E-2</c:v>
                </c:pt>
                <c:pt idx="381">
                  <c:v>3.7499999999999999E-2</c:v>
                </c:pt>
                <c:pt idx="382">
                  <c:v>6.2500000000000003E-3</c:v>
                </c:pt>
                <c:pt idx="383">
                  <c:v>7.6388888888888895E-2</c:v>
                </c:pt>
                <c:pt idx="384">
                  <c:v>1.5277777777777777E-2</c:v>
                </c:pt>
                <c:pt idx="385">
                  <c:v>2.7777777777777776E-2</c:v>
                </c:pt>
                <c:pt idx="386">
                  <c:v>1.2500000000000001E-2</c:v>
                </c:pt>
                <c:pt idx="387">
                  <c:v>0.11874999999999999</c:v>
                </c:pt>
                <c:pt idx="388">
                  <c:v>1.6666666666666666E-2</c:v>
                </c:pt>
                <c:pt idx="389">
                  <c:v>6.458333333333334E-2</c:v>
                </c:pt>
                <c:pt idx="390">
                  <c:v>2.4305555555555556E-2</c:v>
                </c:pt>
                <c:pt idx="391">
                  <c:v>3.7499999999999999E-2</c:v>
                </c:pt>
                <c:pt idx="392">
                  <c:v>7.5694444444444439E-2</c:v>
                </c:pt>
                <c:pt idx="393">
                  <c:v>3.2638888888888891E-2</c:v>
                </c:pt>
                <c:pt idx="394">
                  <c:v>5.5555555555555558E-3</c:v>
                </c:pt>
                <c:pt idx="395">
                  <c:v>3.9583333333333331E-2</c:v>
                </c:pt>
                <c:pt idx="396">
                  <c:v>4.791666666666667E-2</c:v>
                </c:pt>
                <c:pt idx="397">
                  <c:v>4.9305555555555554E-2</c:v>
                </c:pt>
                <c:pt idx="398">
                  <c:v>6.3194444444444442E-2</c:v>
                </c:pt>
                <c:pt idx="399">
                  <c:v>5.486111111111111E-2</c:v>
                </c:pt>
                <c:pt idx="400">
                  <c:v>1.3888888888888888E-2</c:v>
                </c:pt>
                <c:pt idx="401">
                  <c:v>4.583333333333333E-2</c:v>
                </c:pt>
                <c:pt idx="402">
                  <c:v>5.9027777777777776E-2</c:v>
                </c:pt>
                <c:pt idx="403">
                  <c:v>7.0833333333333331E-2</c:v>
                </c:pt>
                <c:pt idx="404">
                  <c:v>6.805555555555555E-2</c:v>
                </c:pt>
                <c:pt idx="405">
                  <c:v>8.1250000000000003E-2</c:v>
                </c:pt>
                <c:pt idx="406">
                  <c:v>3.4722222222222224E-2</c:v>
                </c:pt>
                <c:pt idx="407">
                  <c:v>7.3611111111111113E-2</c:v>
                </c:pt>
                <c:pt idx="408">
                  <c:v>0.11319444444444444</c:v>
                </c:pt>
                <c:pt idx="409">
                  <c:v>6.3194444444444442E-2</c:v>
                </c:pt>
                <c:pt idx="410">
                  <c:v>5.4166666666666669E-2</c:v>
                </c:pt>
                <c:pt idx="411">
                  <c:v>3.9583333333333331E-2</c:v>
                </c:pt>
                <c:pt idx="412">
                  <c:v>8.3333333333333332E-3</c:v>
                </c:pt>
                <c:pt idx="413">
                  <c:v>2.6388888888888889E-2</c:v>
                </c:pt>
                <c:pt idx="414">
                  <c:v>6.0416666666666667E-2</c:v>
                </c:pt>
                <c:pt idx="415">
                  <c:v>6.2500000000000003E-3</c:v>
                </c:pt>
                <c:pt idx="416">
                  <c:v>6.25E-2</c:v>
                </c:pt>
                <c:pt idx="417">
                  <c:v>6.9444444444444448E-2</c:v>
                </c:pt>
                <c:pt idx="418">
                  <c:v>4.4444444444444446E-2</c:v>
                </c:pt>
                <c:pt idx="419">
                  <c:v>7.2916666666666671E-2</c:v>
                </c:pt>
                <c:pt idx="420">
                  <c:v>4.9305555555555554E-2</c:v>
                </c:pt>
                <c:pt idx="421">
                  <c:v>2.361111111111111E-2</c:v>
                </c:pt>
                <c:pt idx="422">
                  <c:v>2.1527777777777778E-2</c:v>
                </c:pt>
                <c:pt idx="423">
                  <c:v>6.1111111111111109E-2</c:v>
                </c:pt>
                <c:pt idx="424">
                  <c:v>1.9444444444444445E-2</c:v>
                </c:pt>
                <c:pt idx="425">
                  <c:v>8.0555555555555561E-2</c:v>
                </c:pt>
                <c:pt idx="426">
                  <c:v>0.11527777777777778</c:v>
                </c:pt>
                <c:pt idx="427">
                  <c:v>0.12430555555555556</c:v>
                </c:pt>
                <c:pt idx="428">
                  <c:v>1.8749999999999999E-2</c:v>
                </c:pt>
                <c:pt idx="429">
                  <c:v>3.4027777777777775E-2</c:v>
                </c:pt>
                <c:pt idx="430">
                  <c:v>1.3888888888888888E-2</c:v>
                </c:pt>
                <c:pt idx="431">
                  <c:v>5.1388888888888887E-2</c:v>
                </c:pt>
                <c:pt idx="432">
                  <c:v>5.1388888888888887E-2</c:v>
                </c:pt>
                <c:pt idx="433">
                  <c:v>4.027777777777778E-2</c:v>
                </c:pt>
                <c:pt idx="434">
                  <c:v>7.7083333333333337E-2</c:v>
                </c:pt>
                <c:pt idx="435">
                  <c:v>3.125E-2</c:v>
                </c:pt>
                <c:pt idx="436">
                  <c:v>3.5416666666666666E-2</c:v>
                </c:pt>
                <c:pt idx="437">
                  <c:v>3.5416666666666666E-2</c:v>
                </c:pt>
                <c:pt idx="438">
                  <c:v>4.4444444444444446E-2</c:v>
                </c:pt>
                <c:pt idx="439">
                  <c:v>3.125E-2</c:v>
                </c:pt>
                <c:pt idx="440">
                  <c:v>6.25E-2</c:v>
                </c:pt>
                <c:pt idx="441">
                  <c:v>9.0972222222222218E-2</c:v>
                </c:pt>
                <c:pt idx="442">
                  <c:v>0.1076388888888889</c:v>
                </c:pt>
                <c:pt idx="443">
                  <c:v>5.6250000000000001E-2</c:v>
                </c:pt>
                <c:pt idx="444">
                  <c:v>1.8055555555555554E-2</c:v>
                </c:pt>
                <c:pt idx="445">
                  <c:v>5.5555555555555558E-3</c:v>
                </c:pt>
                <c:pt idx="446">
                  <c:v>5.9722222222222225E-2</c:v>
                </c:pt>
                <c:pt idx="447">
                  <c:v>4.583333333333333E-2</c:v>
                </c:pt>
                <c:pt idx="448">
                  <c:v>2.2916666666666665E-2</c:v>
                </c:pt>
                <c:pt idx="449">
                  <c:v>2.361111111111111E-2</c:v>
                </c:pt>
                <c:pt idx="450">
                  <c:v>7.1527777777777773E-2</c:v>
                </c:pt>
                <c:pt idx="451">
                  <c:v>8.5416666666666669E-2</c:v>
                </c:pt>
                <c:pt idx="452">
                  <c:v>6.9444444444444448E-2</c:v>
                </c:pt>
                <c:pt idx="453">
                  <c:v>0.10625</c:v>
                </c:pt>
                <c:pt idx="454">
                  <c:v>7.6388888888888886E-3</c:v>
                </c:pt>
                <c:pt idx="455">
                  <c:v>4.9305555555555554E-2</c:v>
                </c:pt>
                <c:pt idx="456">
                  <c:v>4.027777777777778E-2</c:v>
                </c:pt>
                <c:pt idx="457">
                  <c:v>6.1805555555555558E-2</c:v>
                </c:pt>
                <c:pt idx="458">
                  <c:v>2.0833333333333332E-2</c:v>
                </c:pt>
                <c:pt idx="459">
                  <c:v>8.611111111111111E-2</c:v>
                </c:pt>
                <c:pt idx="460">
                  <c:v>4.583333333333333E-2</c:v>
                </c:pt>
                <c:pt idx="461">
                  <c:v>7.6388888888888886E-3</c:v>
                </c:pt>
                <c:pt idx="462">
                  <c:v>9.7222222222222224E-3</c:v>
                </c:pt>
                <c:pt idx="463">
                  <c:v>5.8333333333333334E-2</c:v>
                </c:pt>
                <c:pt idx="464">
                  <c:v>4.1666666666666664E-2</c:v>
                </c:pt>
                <c:pt idx="465">
                  <c:v>0.10069444444444445</c:v>
                </c:pt>
                <c:pt idx="466">
                  <c:v>0.05</c:v>
                </c:pt>
                <c:pt idx="467">
                  <c:v>4.3749999999999997E-2</c:v>
                </c:pt>
                <c:pt idx="468">
                  <c:v>4.583333333333333E-2</c:v>
                </c:pt>
                <c:pt idx="469">
                  <c:v>0.05</c:v>
                </c:pt>
                <c:pt idx="470">
                  <c:v>3.9583333333333331E-2</c:v>
                </c:pt>
                <c:pt idx="471">
                  <c:v>5.0694444444444445E-2</c:v>
                </c:pt>
                <c:pt idx="472">
                  <c:v>4.2361111111111113E-2</c:v>
                </c:pt>
                <c:pt idx="473">
                  <c:v>0.11180555555555556</c:v>
                </c:pt>
                <c:pt idx="474">
                  <c:v>2.4305555555555556E-2</c:v>
                </c:pt>
                <c:pt idx="475">
                  <c:v>7.9861111111111105E-2</c:v>
                </c:pt>
                <c:pt idx="476">
                  <c:v>7.9861111111111105E-2</c:v>
                </c:pt>
                <c:pt idx="477">
                  <c:v>6.25E-2</c:v>
                </c:pt>
                <c:pt idx="478">
                  <c:v>5.7638888888888892E-2</c:v>
                </c:pt>
                <c:pt idx="479">
                  <c:v>4.5138888888888888E-2</c:v>
                </c:pt>
                <c:pt idx="480">
                  <c:v>4.027777777777778E-2</c:v>
                </c:pt>
                <c:pt idx="481">
                  <c:v>1.4583333333333334E-2</c:v>
                </c:pt>
                <c:pt idx="482">
                  <c:v>3.6805555555555557E-2</c:v>
                </c:pt>
                <c:pt idx="483">
                  <c:v>2.361111111111111E-2</c:v>
                </c:pt>
                <c:pt idx="484">
                  <c:v>5.486111111111111E-2</c:v>
                </c:pt>
                <c:pt idx="485">
                  <c:v>4.0972222222222222E-2</c:v>
                </c:pt>
                <c:pt idx="486">
                  <c:v>6.3888888888888884E-2</c:v>
                </c:pt>
                <c:pt idx="487">
                  <c:v>8.611111111111111E-2</c:v>
                </c:pt>
                <c:pt idx="488">
                  <c:v>2.361111111111111E-2</c:v>
                </c:pt>
                <c:pt idx="489">
                  <c:v>9.0972222222222218E-2</c:v>
                </c:pt>
                <c:pt idx="490">
                  <c:v>2.8472222222222222E-2</c:v>
                </c:pt>
                <c:pt idx="491">
                  <c:v>3.4027777777777775E-2</c:v>
                </c:pt>
                <c:pt idx="492">
                  <c:v>5.5555555555555558E-3</c:v>
                </c:pt>
                <c:pt idx="493">
                  <c:v>2.1527777777777778E-2</c:v>
                </c:pt>
                <c:pt idx="494">
                  <c:v>7.0833333333333331E-2</c:v>
                </c:pt>
                <c:pt idx="495">
                  <c:v>9.2361111111111116E-2</c:v>
                </c:pt>
                <c:pt idx="496">
                  <c:v>2.6388888888888889E-2</c:v>
                </c:pt>
                <c:pt idx="497">
                  <c:v>2.2222222222222223E-2</c:v>
                </c:pt>
                <c:pt idx="498">
                  <c:v>9.0277777777777776E-2</c:v>
                </c:pt>
                <c:pt idx="499">
                  <c:v>2.9166666666666667E-2</c:v>
                </c:pt>
                <c:pt idx="500">
                  <c:v>2.7083333333333334E-2</c:v>
                </c:pt>
                <c:pt idx="501">
                  <c:v>5.0694444444444445E-2</c:v>
                </c:pt>
                <c:pt idx="502">
                  <c:v>5.9027777777777776E-2</c:v>
                </c:pt>
                <c:pt idx="503">
                  <c:v>1.3194444444444444E-2</c:v>
                </c:pt>
                <c:pt idx="504">
                  <c:v>7.9861111111111105E-2</c:v>
                </c:pt>
                <c:pt idx="505">
                  <c:v>3.472222222222222E-3</c:v>
                </c:pt>
                <c:pt idx="506">
                  <c:v>4.791666666666667E-2</c:v>
                </c:pt>
                <c:pt idx="507">
                  <c:v>2.361111111111111E-2</c:v>
                </c:pt>
                <c:pt idx="508">
                  <c:v>3.2638888888888891E-2</c:v>
                </c:pt>
                <c:pt idx="509">
                  <c:v>3.3333333333333333E-2</c:v>
                </c:pt>
                <c:pt idx="510">
                  <c:v>2.6388888888888889E-2</c:v>
                </c:pt>
                <c:pt idx="511">
                  <c:v>4.0972222222222222E-2</c:v>
                </c:pt>
                <c:pt idx="512">
                  <c:v>3.888888888888889E-2</c:v>
                </c:pt>
                <c:pt idx="513">
                  <c:v>7.7777777777777779E-2</c:v>
                </c:pt>
                <c:pt idx="514">
                  <c:v>9.0277777777777769E-3</c:v>
                </c:pt>
                <c:pt idx="515">
                  <c:v>6.7361111111111108E-2</c:v>
                </c:pt>
                <c:pt idx="516">
                  <c:v>4.5138888888888888E-2</c:v>
                </c:pt>
                <c:pt idx="517">
                  <c:v>3.6805555555555557E-2</c:v>
                </c:pt>
                <c:pt idx="518">
                  <c:v>0.10833333333333334</c:v>
                </c:pt>
                <c:pt idx="519">
                  <c:v>8.4027777777777785E-2</c:v>
                </c:pt>
                <c:pt idx="520">
                  <c:v>6.3194444444444442E-2</c:v>
                </c:pt>
                <c:pt idx="521">
                  <c:v>3.2638888888888891E-2</c:v>
                </c:pt>
                <c:pt idx="522">
                  <c:v>3.5416666666666666E-2</c:v>
                </c:pt>
                <c:pt idx="523">
                  <c:v>4.2361111111111113E-2</c:v>
                </c:pt>
                <c:pt idx="524">
                  <c:v>5.347222222222222E-2</c:v>
                </c:pt>
                <c:pt idx="525">
                  <c:v>1.5277777777777777E-2</c:v>
                </c:pt>
                <c:pt idx="526">
                  <c:v>2.1527777777777778E-2</c:v>
                </c:pt>
                <c:pt idx="527">
                  <c:v>8.4027777777777785E-2</c:v>
                </c:pt>
                <c:pt idx="528">
                  <c:v>0.10902777777777778</c:v>
                </c:pt>
                <c:pt idx="529">
                  <c:v>7.3611111111111113E-2</c:v>
                </c:pt>
                <c:pt idx="530">
                  <c:v>0.13819444444444445</c:v>
                </c:pt>
                <c:pt idx="531">
                  <c:v>4.0972222222222222E-2</c:v>
                </c:pt>
                <c:pt idx="532">
                  <c:v>3.3333333333333333E-2</c:v>
                </c:pt>
                <c:pt idx="533">
                  <c:v>5.2777777777777778E-2</c:v>
                </c:pt>
                <c:pt idx="534">
                  <c:v>7.8472222222222221E-2</c:v>
                </c:pt>
                <c:pt idx="535">
                  <c:v>0.10555555555555556</c:v>
                </c:pt>
                <c:pt idx="536">
                  <c:v>1.4583333333333334E-2</c:v>
                </c:pt>
                <c:pt idx="537">
                  <c:v>0.13750000000000001</c:v>
                </c:pt>
                <c:pt idx="538">
                  <c:v>8.9583333333333334E-2</c:v>
                </c:pt>
                <c:pt idx="539">
                  <c:v>5.6944444444444443E-2</c:v>
                </c:pt>
                <c:pt idx="540">
                  <c:v>8.611111111111111E-2</c:v>
                </c:pt>
                <c:pt idx="541">
                  <c:v>7.9861111111111105E-2</c:v>
                </c:pt>
                <c:pt idx="542">
                  <c:v>5.1388888888888887E-2</c:v>
                </c:pt>
                <c:pt idx="543">
                  <c:v>3.3333333333333333E-2</c:v>
                </c:pt>
                <c:pt idx="544">
                  <c:v>6.8750000000000006E-2</c:v>
                </c:pt>
                <c:pt idx="545">
                  <c:v>6.3194444444444442E-2</c:v>
                </c:pt>
                <c:pt idx="546">
                  <c:v>6.7361111111111108E-2</c:v>
                </c:pt>
                <c:pt idx="547">
                  <c:v>7.3611111111111113E-2</c:v>
                </c:pt>
                <c:pt idx="548">
                  <c:v>6.805555555555555E-2</c:v>
                </c:pt>
                <c:pt idx="549">
                  <c:v>3.9583333333333331E-2</c:v>
                </c:pt>
                <c:pt idx="550">
                  <c:v>8.5416666666666669E-2</c:v>
                </c:pt>
                <c:pt idx="551">
                  <c:v>7.9861111111111105E-2</c:v>
                </c:pt>
                <c:pt idx="552">
                  <c:v>0.12361111111111112</c:v>
                </c:pt>
                <c:pt idx="553">
                  <c:v>4.9305555555555554E-2</c:v>
                </c:pt>
                <c:pt idx="554">
                  <c:v>3.1944444444444442E-2</c:v>
                </c:pt>
                <c:pt idx="555">
                  <c:v>4.583333333333333E-2</c:v>
                </c:pt>
                <c:pt idx="556">
                  <c:v>7.4305555555555555E-2</c:v>
                </c:pt>
                <c:pt idx="557">
                  <c:v>0.11597222222222223</c:v>
                </c:pt>
                <c:pt idx="558">
                  <c:v>2.8472222222222222E-2</c:v>
                </c:pt>
                <c:pt idx="559">
                  <c:v>3.3333333333333333E-2</c:v>
                </c:pt>
                <c:pt idx="560">
                  <c:v>4.4444444444444446E-2</c:v>
                </c:pt>
                <c:pt idx="561">
                  <c:v>7.7777777777777779E-2</c:v>
                </c:pt>
                <c:pt idx="562">
                  <c:v>2.5694444444444443E-2</c:v>
                </c:pt>
                <c:pt idx="563">
                  <c:v>3.7499999999999999E-2</c:v>
                </c:pt>
                <c:pt idx="564">
                  <c:v>6.805555555555555E-2</c:v>
                </c:pt>
                <c:pt idx="565">
                  <c:v>3.888888888888889E-2</c:v>
                </c:pt>
                <c:pt idx="566">
                  <c:v>7.0833333333333331E-2</c:v>
                </c:pt>
                <c:pt idx="567">
                  <c:v>5.8333333333333334E-2</c:v>
                </c:pt>
                <c:pt idx="568">
                  <c:v>4.027777777777778E-2</c:v>
                </c:pt>
                <c:pt idx="569">
                  <c:v>3.1944444444444442E-2</c:v>
                </c:pt>
                <c:pt idx="570">
                  <c:v>1.8055555555555554E-2</c:v>
                </c:pt>
                <c:pt idx="571">
                  <c:v>3.0555555555555555E-2</c:v>
                </c:pt>
                <c:pt idx="572">
                  <c:v>4.791666666666667E-2</c:v>
                </c:pt>
                <c:pt idx="573">
                  <c:v>0.11666666666666667</c:v>
                </c:pt>
                <c:pt idx="574">
                  <c:v>3.0555555555555555E-2</c:v>
                </c:pt>
                <c:pt idx="575">
                  <c:v>7.9861111111111105E-2</c:v>
                </c:pt>
                <c:pt idx="576">
                  <c:v>1.7361111111111112E-2</c:v>
                </c:pt>
                <c:pt idx="577">
                  <c:v>3.0555555555555555E-2</c:v>
                </c:pt>
                <c:pt idx="578">
                  <c:v>3.3333333333333333E-2</c:v>
                </c:pt>
                <c:pt idx="579">
                  <c:v>2.0833333333333332E-2</c:v>
                </c:pt>
                <c:pt idx="580">
                  <c:v>3.8194444444444448E-2</c:v>
                </c:pt>
                <c:pt idx="581">
                  <c:v>2.9166666666666667E-2</c:v>
                </c:pt>
                <c:pt idx="582">
                  <c:v>7.2916666666666671E-2</c:v>
                </c:pt>
                <c:pt idx="583">
                  <c:v>7.9166666666666663E-2</c:v>
                </c:pt>
                <c:pt idx="584">
                  <c:v>6.5972222222222224E-2</c:v>
                </c:pt>
                <c:pt idx="585">
                  <c:v>6.3888888888888884E-2</c:v>
                </c:pt>
                <c:pt idx="586">
                  <c:v>2.9861111111111113E-2</c:v>
                </c:pt>
                <c:pt idx="587">
                  <c:v>2.5694444444444443E-2</c:v>
                </c:pt>
                <c:pt idx="588">
                  <c:v>8.3333333333333329E-2</c:v>
                </c:pt>
                <c:pt idx="589">
                  <c:v>4.4444444444444446E-2</c:v>
                </c:pt>
                <c:pt idx="590">
                  <c:v>3.5416666666666666E-2</c:v>
                </c:pt>
                <c:pt idx="591">
                  <c:v>7.013888888888889E-2</c:v>
                </c:pt>
                <c:pt idx="592">
                  <c:v>3.3333333333333333E-2</c:v>
                </c:pt>
                <c:pt idx="593">
                  <c:v>6.805555555555555E-2</c:v>
                </c:pt>
                <c:pt idx="594">
                  <c:v>3.4027777777777775E-2</c:v>
                </c:pt>
                <c:pt idx="595">
                  <c:v>0.10972222222222222</c:v>
                </c:pt>
                <c:pt idx="596">
                  <c:v>9.7916666666666666E-2</c:v>
                </c:pt>
                <c:pt idx="597">
                  <c:v>5.6250000000000001E-2</c:v>
                </c:pt>
                <c:pt idx="598">
                  <c:v>7.4999999999999997E-2</c:v>
                </c:pt>
                <c:pt idx="599">
                  <c:v>4.5138888888888888E-2</c:v>
                </c:pt>
                <c:pt idx="600">
                  <c:v>7.9861111111111105E-2</c:v>
                </c:pt>
                <c:pt idx="601">
                  <c:v>0.1125</c:v>
                </c:pt>
                <c:pt idx="602">
                  <c:v>1.1805555555555555E-2</c:v>
                </c:pt>
                <c:pt idx="603">
                  <c:v>2.9166666666666667E-2</c:v>
                </c:pt>
                <c:pt idx="604">
                  <c:v>0.12222222222222222</c:v>
                </c:pt>
                <c:pt idx="605">
                  <c:v>0.10069444444444445</c:v>
                </c:pt>
                <c:pt idx="606">
                  <c:v>4.791666666666667E-2</c:v>
                </c:pt>
                <c:pt idx="607">
                  <c:v>3.125E-2</c:v>
                </c:pt>
                <c:pt idx="608">
                  <c:v>1.8749999999999999E-2</c:v>
                </c:pt>
                <c:pt idx="609">
                  <c:v>3.2638888888888891E-2</c:v>
                </c:pt>
                <c:pt idx="610">
                  <c:v>5.7638888888888892E-2</c:v>
                </c:pt>
                <c:pt idx="611">
                  <c:v>8.9583333333333334E-2</c:v>
                </c:pt>
                <c:pt idx="612">
                  <c:v>0.10555555555555556</c:v>
                </c:pt>
                <c:pt idx="613">
                  <c:v>3.4722222222222224E-2</c:v>
                </c:pt>
                <c:pt idx="614">
                  <c:v>0.10833333333333334</c:v>
                </c:pt>
                <c:pt idx="615">
                  <c:v>3.2638888888888891E-2</c:v>
                </c:pt>
                <c:pt idx="616">
                  <c:v>3.5416666666666666E-2</c:v>
                </c:pt>
                <c:pt idx="617">
                  <c:v>8.1944444444444445E-2</c:v>
                </c:pt>
                <c:pt idx="618">
                  <c:v>6.6666666666666666E-2</c:v>
                </c:pt>
                <c:pt idx="619">
                  <c:v>2.7777777777777776E-2</c:v>
                </c:pt>
                <c:pt idx="620">
                  <c:v>5.5555555555555558E-3</c:v>
                </c:pt>
                <c:pt idx="621">
                  <c:v>5.4166666666666669E-2</c:v>
                </c:pt>
                <c:pt idx="622">
                  <c:v>0.10069444444444445</c:v>
                </c:pt>
                <c:pt idx="623">
                  <c:v>5.486111111111111E-2</c:v>
                </c:pt>
                <c:pt idx="624">
                  <c:v>6.7361111111111108E-2</c:v>
                </c:pt>
                <c:pt idx="625">
                  <c:v>4.027777777777778E-2</c:v>
                </c:pt>
                <c:pt idx="626">
                  <c:v>2.5694444444444443E-2</c:v>
                </c:pt>
                <c:pt idx="627">
                  <c:v>2.9861111111111113E-2</c:v>
                </c:pt>
                <c:pt idx="628">
                  <c:v>5.8333333333333334E-2</c:v>
                </c:pt>
                <c:pt idx="629">
                  <c:v>5.2083333333333336E-2</c:v>
                </c:pt>
                <c:pt idx="630">
                  <c:v>3.1944444444444442E-2</c:v>
                </c:pt>
                <c:pt idx="631">
                  <c:v>6.1111111111111109E-2</c:v>
                </c:pt>
                <c:pt idx="632">
                  <c:v>0.10347222222222222</c:v>
                </c:pt>
                <c:pt idx="633">
                  <c:v>0.10902777777777778</c:v>
                </c:pt>
                <c:pt idx="634">
                  <c:v>1.7361111111111112E-2</c:v>
                </c:pt>
                <c:pt idx="635">
                  <c:v>0.10486111111111111</c:v>
                </c:pt>
                <c:pt idx="636">
                  <c:v>4.2361111111111113E-2</c:v>
                </c:pt>
                <c:pt idx="637">
                  <c:v>3.0555555555555555E-2</c:v>
                </c:pt>
                <c:pt idx="638">
                  <c:v>9.4444444444444442E-2</c:v>
                </c:pt>
                <c:pt idx="639">
                  <c:v>5.2083333333333336E-2</c:v>
                </c:pt>
                <c:pt idx="640">
                  <c:v>5.1388888888888887E-2</c:v>
                </c:pt>
                <c:pt idx="641">
                  <c:v>5.6250000000000001E-2</c:v>
                </c:pt>
                <c:pt idx="642">
                  <c:v>1.2500000000000001E-2</c:v>
                </c:pt>
                <c:pt idx="643">
                  <c:v>3.5416666666666666E-2</c:v>
                </c:pt>
                <c:pt idx="644">
                  <c:v>6.7361111111111108E-2</c:v>
                </c:pt>
                <c:pt idx="645">
                  <c:v>2.5000000000000001E-2</c:v>
                </c:pt>
                <c:pt idx="646">
                  <c:v>2.7083333333333334E-2</c:v>
                </c:pt>
                <c:pt idx="647">
                  <c:v>3.2638888888888891E-2</c:v>
                </c:pt>
                <c:pt idx="648">
                  <c:v>7.5694444444444439E-2</c:v>
                </c:pt>
                <c:pt idx="649">
                  <c:v>5.2777777777777778E-2</c:v>
                </c:pt>
                <c:pt idx="650">
                  <c:v>6.1111111111111109E-2</c:v>
                </c:pt>
                <c:pt idx="651">
                  <c:v>3.4722222222222224E-2</c:v>
                </c:pt>
                <c:pt idx="652">
                  <c:v>0.10416666666666667</c:v>
                </c:pt>
                <c:pt idx="653">
                  <c:v>3.0555555555555555E-2</c:v>
                </c:pt>
                <c:pt idx="654">
                  <c:v>2.5000000000000001E-2</c:v>
                </c:pt>
                <c:pt idx="655">
                  <c:v>7.6388888888888895E-2</c:v>
                </c:pt>
                <c:pt idx="656">
                  <c:v>9.3055555555555558E-2</c:v>
                </c:pt>
                <c:pt idx="657">
                  <c:v>3.3333333333333333E-2</c:v>
                </c:pt>
                <c:pt idx="658">
                  <c:v>2.1527777777777778E-2</c:v>
                </c:pt>
                <c:pt idx="659">
                  <c:v>3.125E-2</c:v>
                </c:pt>
                <c:pt idx="660">
                  <c:v>9.375E-2</c:v>
                </c:pt>
                <c:pt idx="661">
                  <c:v>5.9027777777777776E-2</c:v>
                </c:pt>
                <c:pt idx="662">
                  <c:v>6.0416666666666667E-2</c:v>
                </c:pt>
                <c:pt idx="663">
                  <c:v>6.8750000000000006E-2</c:v>
                </c:pt>
                <c:pt idx="664">
                  <c:v>2.7777777777777776E-2</c:v>
                </c:pt>
                <c:pt idx="665">
                  <c:v>1.8749999999999999E-2</c:v>
                </c:pt>
                <c:pt idx="666">
                  <c:v>8.3333333333333332E-3</c:v>
                </c:pt>
                <c:pt idx="667">
                  <c:v>7.9861111111111105E-2</c:v>
                </c:pt>
                <c:pt idx="668">
                  <c:v>4.791666666666667E-2</c:v>
                </c:pt>
                <c:pt idx="669">
                  <c:v>5.2083333333333336E-2</c:v>
                </c:pt>
                <c:pt idx="670">
                  <c:v>6.5972222222222224E-2</c:v>
                </c:pt>
                <c:pt idx="671">
                  <c:v>5.4166666666666669E-2</c:v>
                </c:pt>
                <c:pt idx="672">
                  <c:v>6.458333333333334E-2</c:v>
                </c:pt>
                <c:pt idx="673">
                  <c:v>4.5138888888888888E-2</c:v>
                </c:pt>
                <c:pt idx="674">
                  <c:v>8.4027777777777785E-2</c:v>
                </c:pt>
                <c:pt idx="675">
                  <c:v>8.4027777777777785E-2</c:v>
                </c:pt>
                <c:pt idx="676">
                  <c:v>0.10277777777777777</c:v>
                </c:pt>
                <c:pt idx="677">
                  <c:v>8.4027777777777785E-2</c:v>
                </c:pt>
                <c:pt idx="678">
                  <c:v>7.3611111111111113E-2</c:v>
                </c:pt>
                <c:pt idx="679">
                  <c:v>7.7083333333333337E-2</c:v>
                </c:pt>
                <c:pt idx="680">
                  <c:v>4.5138888888888888E-2</c:v>
                </c:pt>
                <c:pt idx="681">
                  <c:v>2.9861111111111113E-2</c:v>
                </c:pt>
                <c:pt idx="682">
                  <c:v>5.6944444444444443E-2</c:v>
                </c:pt>
                <c:pt idx="683">
                  <c:v>7.6388888888888895E-2</c:v>
                </c:pt>
                <c:pt idx="684">
                  <c:v>1.1805555555555555E-2</c:v>
                </c:pt>
                <c:pt idx="685">
                  <c:v>4.027777777777778E-2</c:v>
                </c:pt>
                <c:pt idx="686">
                  <c:v>2.013888888888889E-2</c:v>
                </c:pt>
                <c:pt idx="687">
                  <c:v>9.7222222222222224E-3</c:v>
                </c:pt>
                <c:pt idx="688">
                  <c:v>2.013888888888889E-2</c:v>
                </c:pt>
                <c:pt idx="689">
                  <c:v>9.930555555555555E-2</c:v>
                </c:pt>
                <c:pt idx="690">
                  <c:v>2.361111111111111E-2</c:v>
                </c:pt>
                <c:pt idx="691">
                  <c:v>6.9444444444444448E-2</c:v>
                </c:pt>
                <c:pt idx="692">
                  <c:v>3.0555555555555555E-2</c:v>
                </c:pt>
                <c:pt idx="693">
                  <c:v>8.8888888888888892E-2</c:v>
                </c:pt>
                <c:pt idx="694">
                  <c:v>2.5694444444444443E-2</c:v>
                </c:pt>
                <c:pt idx="695">
                  <c:v>1.5972222222222221E-2</c:v>
                </c:pt>
                <c:pt idx="696">
                  <c:v>7.4305555555555555E-2</c:v>
                </c:pt>
                <c:pt idx="697">
                  <c:v>7.013888888888889E-2</c:v>
                </c:pt>
                <c:pt idx="698">
                  <c:v>7.6388888888888886E-3</c:v>
                </c:pt>
                <c:pt idx="699">
                  <c:v>5.9722222222222225E-2</c:v>
                </c:pt>
                <c:pt idx="700">
                  <c:v>6.7361111111111108E-2</c:v>
                </c:pt>
                <c:pt idx="701">
                  <c:v>0.1076388888888889</c:v>
                </c:pt>
                <c:pt idx="702">
                  <c:v>2.013888888888889E-2</c:v>
                </c:pt>
                <c:pt idx="703">
                  <c:v>2.6388888888888889E-2</c:v>
                </c:pt>
                <c:pt idx="704">
                  <c:v>2.2916666666666665E-2</c:v>
                </c:pt>
                <c:pt idx="705">
                  <c:v>2.2916666666666665E-2</c:v>
                </c:pt>
                <c:pt idx="706">
                  <c:v>9.5138888888888884E-2</c:v>
                </c:pt>
                <c:pt idx="707">
                  <c:v>1.6666666666666666E-2</c:v>
                </c:pt>
                <c:pt idx="708">
                  <c:v>6.805555555555555E-2</c:v>
                </c:pt>
                <c:pt idx="709">
                  <c:v>9.7222222222222224E-2</c:v>
                </c:pt>
                <c:pt idx="710">
                  <c:v>4.0972222222222222E-2</c:v>
                </c:pt>
                <c:pt idx="711">
                  <c:v>3.4027777777777775E-2</c:v>
                </c:pt>
                <c:pt idx="712">
                  <c:v>8.6805555555555552E-2</c:v>
                </c:pt>
                <c:pt idx="713">
                  <c:v>4.3749999999999997E-2</c:v>
                </c:pt>
                <c:pt idx="714">
                  <c:v>9.4444444444444442E-2</c:v>
                </c:pt>
                <c:pt idx="715">
                  <c:v>6.25E-2</c:v>
                </c:pt>
                <c:pt idx="716">
                  <c:v>0.05</c:v>
                </c:pt>
                <c:pt idx="717">
                  <c:v>4.027777777777778E-2</c:v>
                </c:pt>
                <c:pt idx="718">
                  <c:v>4.8611111111111112E-2</c:v>
                </c:pt>
                <c:pt idx="719">
                  <c:v>9.2361111111111116E-2</c:v>
                </c:pt>
                <c:pt idx="720">
                  <c:v>9.2361111111111116E-2</c:v>
                </c:pt>
                <c:pt idx="721">
                  <c:v>4.0972222222222222E-2</c:v>
                </c:pt>
                <c:pt idx="722">
                  <c:v>2.1527777777777778E-2</c:v>
                </c:pt>
                <c:pt idx="723">
                  <c:v>3.888888888888889E-2</c:v>
                </c:pt>
                <c:pt idx="724">
                  <c:v>5.9027777777777776E-2</c:v>
                </c:pt>
                <c:pt idx="725">
                  <c:v>5.1388888888888887E-2</c:v>
                </c:pt>
                <c:pt idx="726">
                  <c:v>1.4583333333333334E-2</c:v>
                </c:pt>
                <c:pt idx="727">
                  <c:v>0.05</c:v>
                </c:pt>
                <c:pt idx="728">
                  <c:v>4.5138888888888888E-2</c:v>
                </c:pt>
                <c:pt idx="729">
                  <c:v>5.486111111111111E-2</c:v>
                </c:pt>
                <c:pt idx="730">
                  <c:v>3.2638888888888891E-2</c:v>
                </c:pt>
                <c:pt idx="731">
                  <c:v>8.4027777777777785E-2</c:v>
                </c:pt>
                <c:pt idx="732">
                  <c:v>5.1388888888888887E-2</c:v>
                </c:pt>
                <c:pt idx="733">
                  <c:v>3.6111111111111108E-2</c:v>
                </c:pt>
                <c:pt idx="734">
                  <c:v>6.0416666666666667E-2</c:v>
                </c:pt>
                <c:pt idx="735">
                  <c:v>6.3888888888888884E-2</c:v>
                </c:pt>
                <c:pt idx="736">
                  <c:v>1.5277777777777777E-2</c:v>
                </c:pt>
                <c:pt idx="737">
                  <c:v>6.5277777777777782E-2</c:v>
                </c:pt>
                <c:pt idx="738">
                  <c:v>3.7499999999999999E-2</c:v>
                </c:pt>
                <c:pt idx="739">
                  <c:v>7.8472222222222221E-2</c:v>
                </c:pt>
                <c:pt idx="740">
                  <c:v>0.11458333333333333</c:v>
                </c:pt>
                <c:pt idx="741">
                  <c:v>0.10069444444444445</c:v>
                </c:pt>
                <c:pt idx="742">
                  <c:v>9.930555555555555E-2</c:v>
                </c:pt>
                <c:pt idx="743">
                  <c:v>4.6527777777777779E-2</c:v>
                </c:pt>
                <c:pt idx="744">
                  <c:v>5.0694444444444445E-2</c:v>
                </c:pt>
                <c:pt idx="745">
                  <c:v>5.347222222222222E-2</c:v>
                </c:pt>
                <c:pt idx="746">
                  <c:v>1.9444444444444445E-2</c:v>
                </c:pt>
                <c:pt idx="747">
                  <c:v>2.5694444444444443E-2</c:v>
                </c:pt>
                <c:pt idx="748">
                  <c:v>5.5555555555555558E-3</c:v>
                </c:pt>
                <c:pt idx="749">
                  <c:v>5.9722222222222225E-2</c:v>
                </c:pt>
                <c:pt idx="750">
                  <c:v>6.0416666666666667E-2</c:v>
                </c:pt>
                <c:pt idx="751">
                  <c:v>2.0833333333333332E-2</c:v>
                </c:pt>
                <c:pt idx="752">
                  <c:v>8.8888888888888892E-2</c:v>
                </c:pt>
                <c:pt idx="753">
                  <c:v>6.1805555555555558E-2</c:v>
                </c:pt>
                <c:pt idx="754">
                  <c:v>7.5694444444444439E-2</c:v>
                </c:pt>
                <c:pt idx="755">
                  <c:v>2.361111111111111E-2</c:v>
                </c:pt>
                <c:pt idx="756">
                  <c:v>2.7777777777777776E-2</c:v>
                </c:pt>
                <c:pt idx="757">
                  <c:v>2.8472222222222222E-2</c:v>
                </c:pt>
                <c:pt idx="758">
                  <c:v>0.1361111111111111</c:v>
                </c:pt>
                <c:pt idx="759">
                  <c:v>1.3888888888888888E-2</c:v>
                </c:pt>
                <c:pt idx="760">
                  <c:v>7.0833333333333331E-2</c:v>
                </c:pt>
                <c:pt idx="761">
                  <c:v>2.013888888888889E-2</c:v>
                </c:pt>
                <c:pt idx="762">
                  <c:v>2.2222222222222223E-2</c:v>
                </c:pt>
                <c:pt idx="763">
                  <c:v>7.7777777777777779E-2</c:v>
                </c:pt>
                <c:pt idx="764">
                  <c:v>0.11388888888888889</c:v>
                </c:pt>
                <c:pt idx="765">
                  <c:v>9.3055555555555558E-2</c:v>
                </c:pt>
                <c:pt idx="766">
                  <c:v>5.9027777777777776E-2</c:v>
                </c:pt>
              </c:numCache>
            </c:numRef>
          </c:xVal>
          <c:yVal>
            <c:numRef>
              <c:f>'Tablas dash'!$I$28:$I$794</c:f>
              <c:numCache>
                <c:formatCode>General</c:formatCode>
                <c:ptCount val="76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0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0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0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0</c:v>
                </c:pt>
                <c:pt idx="551">
                  <c:v>1</c:v>
                </c:pt>
                <c:pt idx="552">
                  <c:v>0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0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0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0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0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0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0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1</c:v>
                </c:pt>
                <c:pt idx="76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7-42CF-A2A4-ABB79C36A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594448"/>
        <c:axId val="1290595408"/>
      </c:scatterChart>
      <c:valAx>
        <c:axId val="129059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595408"/>
        <c:crosses val="autoZero"/>
        <c:crossBetween val="midCat"/>
      </c:valAx>
      <c:valAx>
        <c:axId val="12905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59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C6-4579-9A93-2B7D3637F4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C6-4579-9A93-2B7D3637F4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C6-4579-9A93-2B7D3637F4DD}"/>
              </c:ext>
            </c:extLst>
          </c:dPt>
          <c:cat>
            <c:strRef>
              <c:f>'Tablas dash'!$I$8:$K$8</c:f>
              <c:strCache>
                <c:ptCount val="3"/>
                <c:pt idx="0">
                  <c:v>Propina efectivo</c:v>
                </c:pt>
                <c:pt idx="1">
                  <c:v>Propina crédito</c:v>
                </c:pt>
                <c:pt idx="2">
                  <c:v>Propina débito</c:v>
                </c:pt>
              </c:strCache>
            </c:strRef>
          </c:cat>
          <c:val>
            <c:numRef>
              <c:f>'Tablas dash'!$I$9:$K$9</c:f>
              <c:numCache>
                <c:formatCode>General</c:formatCode>
                <c:ptCount val="3"/>
                <c:pt idx="0">
                  <c:v>426.42999999999995</c:v>
                </c:pt>
                <c:pt idx="1">
                  <c:v>3178.0699999999997</c:v>
                </c:pt>
                <c:pt idx="2">
                  <c:v>771.9200000000003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B-4FCC-8C1F-E547B145C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Ingreso por servicio</a:t>
            </a:r>
          </a:p>
        </c:rich>
      </c:tx>
      <c:layout>
        <c:manualLayout>
          <c:xMode val="edge"/>
          <c:yMode val="edge"/>
          <c:x val="2.654673714920977E-2"/>
          <c:y val="4.5106372903027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dash'!$I$2:$L$2</c:f>
              <c:strCache>
                <c:ptCount val="4"/>
                <c:pt idx="0">
                  <c:v>Almuerzo</c:v>
                </c:pt>
                <c:pt idx="1">
                  <c:v>Cena</c:v>
                </c:pt>
                <c:pt idx="2">
                  <c:v>Desayuno</c:v>
                </c:pt>
                <c:pt idx="3">
                  <c:v>Total</c:v>
                </c:pt>
              </c:strCache>
            </c:strRef>
          </c:cat>
          <c:val>
            <c:numRef>
              <c:f>'Tablas dash'!$I$3:$L$3</c:f>
              <c:numCache>
                <c:formatCode>General</c:formatCode>
                <c:ptCount val="4"/>
                <c:pt idx="0">
                  <c:v>5186</c:v>
                </c:pt>
                <c:pt idx="1">
                  <c:v>1672</c:v>
                </c:pt>
                <c:pt idx="2">
                  <c:v>1370</c:v>
                </c:pt>
                <c:pt idx="3">
                  <c:v>8228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A-49C2-AFDE-C5DFFD5F02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3112560"/>
        <c:axId val="353113040"/>
      </c:barChart>
      <c:catAx>
        <c:axId val="35311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3113040"/>
        <c:crosses val="autoZero"/>
        <c:auto val="1"/>
        <c:lblAlgn val="ctr"/>
        <c:lblOffset val="100"/>
        <c:noMultiLvlLbl val="0"/>
      </c:catAx>
      <c:valAx>
        <c:axId val="3531130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311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Ingreso por tipos de pago</a:t>
            </a:r>
          </a:p>
        </c:rich>
      </c:tx>
      <c:layout>
        <c:manualLayout>
          <c:xMode val="edge"/>
          <c:yMode val="edge"/>
          <c:x val="0.1157649903967183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548154210583834"/>
          <c:y val="0.19717541890879242"/>
          <c:w val="0.42398389782647022"/>
          <c:h val="0.6989187691623002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F1-48FB-8D2C-39BFF0624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F1-48FB-8D2C-39BFF0624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F1-48FB-8D2C-39BFF0624FA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dash'!$I$6:$K$6</c:f>
              <c:strCache>
                <c:ptCount val="3"/>
                <c:pt idx="0">
                  <c:v>Efectivo</c:v>
                </c:pt>
                <c:pt idx="1">
                  <c:v>Tarjeta crédito</c:v>
                </c:pt>
                <c:pt idx="2">
                  <c:v>Tarjeta débito</c:v>
                </c:pt>
              </c:strCache>
            </c:strRef>
          </c:cat>
          <c:val>
            <c:numRef>
              <c:f>'Tablas dash'!$I$7:$K$7</c:f>
              <c:numCache>
                <c:formatCode>General</c:formatCode>
                <c:ptCount val="3"/>
                <c:pt idx="0">
                  <c:v>2556</c:v>
                </c:pt>
                <c:pt idx="1">
                  <c:v>20916</c:v>
                </c:pt>
                <c:pt idx="2">
                  <c:v>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1-46D3-B1AA-53962BF7676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19302672722118"/>
          <c:y val="0.1676699895443195"/>
          <c:w val="0.26058509838242977"/>
          <c:h val="0.7627761563326865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ejs Prework.xlsx]Tablas dash!TablaDinámica18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Mesas atendidas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dash'!$C$27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dash'!$B$28:$B$33</c:f>
              <c:strCache>
                <c:ptCount val="5"/>
                <c:pt idx="0">
                  <c:v>Mesero_1</c:v>
                </c:pt>
                <c:pt idx="1">
                  <c:v>Mesero_2</c:v>
                </c:pt>
                <c:pt idx="2">
                  <c:v>Mesero_3</c:v>
                </c:pt>
                <c:pt idx="3">
                  <c:v>Mesero_4</c:v>
                </c:pt>
                <c:pt idx="4">
                  <c:v>Mesero_5</c:v>
                </c:pt>
              </c:strCache>
            </c:strRef>
          </c:cat>
          <c:val>
            <c:numRef>
              <c:f>'Tablas dash'!$C$28:$C$33</c:f>
              <c:numCache>
                <c:formatCode>0.00</c:formatCode>
                <c:ptCount val="5"/>
                <c:pt idx="0">
                  <c:v>138</c:v>
                </c:pt>
                <c:pt idx="1">
                  <c:v>192</c:v>
                </c:pt>
                <c:pt idx="2">
                  <c:v>158</c:v>
                </c:pt>
                <c:pt idx="3">
                  <c:v>149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7-4EE6-87B8-A47D40C2D7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70791776"/>
        <c:axId val="1670791296"/>
      </c:barChart>
      <c:catAx>
        <c:axId val="167079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0791296"/>
        <c:crosses val="autoZero"/>
        <c:auto val="1"/>
        <c:lblAlgn val="ctr"/>
        <c:lblOffset val="100"/>
        <c:noMultiLvlLbl val="0"/>
      </c:catAx>
      <c:valAx>
        <c:axId val="1670791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07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ejs Prework.xlsx]Tablas dash!TablaDinámica20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Mesas Impagadas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'Tablas dash'!$C$38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dash'!$B$39:$B$41</c:f>
              <c:strCache>
                <c:ptCount val="2"/>
                <c:pt idx="0">
                  <c:v>NO PAGADA</c:v>
                </c:pt>
                <c:pt idx="1">
                  <c:v>PAGADA</c:v>
                </c:pt>
              </c:strCache>
            </c:strRef>
          </c:cat>
          <c:val>
            <c:numRef>
              <c:f>'Tablas dash'!$C$39:$C$41</c:f>
              <c:numCache>
                <c:formatCode>0.00</c:formatCode>
                <c:ptCount val="2"/>
                <c:pt idx="0">
                  <c:v>8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F-4FD1-AC3D-595BB02A35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7245376"/>
        <c:axId val="897243936"/>
      </c:barChart>
      <c:catAx>
        <c:axId val="8972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7243936"/>
        <c:crosses val="autoZero"/>
        <c:auto val="1"/>
        <c:lblAlgn val="ctr"/>
        <c:lblOffset val="100"/>
        <c:noMultiLvlLbl val="0"/>
      </c:catAx>
      <c:valAx>
        <c:axId val="89724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724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Propinas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133775836640317"/>
          <c:y val="0.19148368661976442"/>
          <c:w val="0.43179632653752908"/>
          <c:h val="0.7784904018828148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84-4C25-91C7-F3DA96E85E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84-4C25-91C7-F3DA96E85E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84-4C25-91C7-F3DA96E85EF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dash'!$I$8:$K$8</c:f>
              <c:strCache>
                <c:ptCount val="3"/>
                <c:pt idx="0">
                  <c:v>Propina efectivo</c:v>
                </c:pt>
                <c:pt idx="1">
                  <c:v>Propina crédito</c:v>
                </c:pt>
                <c:pt idx="2">
                  <c:v>Propina débito</c:v>
                </c:pt>
              </c:strCache>
            </c:strRef>
          </c:cat>
          <c:val>
            <c:numRef>
              <c:f>'Tablas dash'!$I$9:$K$9</c:f>
              <c:numCache>
                <c:formatCode>General</c:formatCode>
                <c:ptCount val="3"/>
                <c:pt idx="0">
                  <c:v>426.42999999999995</c:v>
                </c:pt>
                <c:pt idx="1">
                  <c:v>3178.0699999999997</c:v>
                </c:pt>
                <c:pt idx="2">
                  <c:v>771.9200000000003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84-4C25-91C7-F3DA96E85E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575818373930856"/>
          <c:y val="0.22445296437144727"/>
          <c:w val="0.35784827835531013"/>
          <c:h val="0.6635525585742366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image" Target="../media/image2.sv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1.png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774</xdr:row>
      <xdr:rowOff>146050</xdr:rowOff>
    </xdr:from>
    <xdr:to>
      <xdr:col>14</xdr:col>
      <xdr:colOff>9525</xdr:colOff>
      <xdr:row>789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2CF1A77-0C63-2E76-932E-4CFE73025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2428875</xdr:colOff>
      <xdr:row>4</xdr:row>
      <xdr:rowOff>82550</xdr:rowOff>
    </xdr:from>
    <xdr:to>
      <xdr:col>9</xdr:col>
      <xdr:colOff>504825</xdr:colOff>
      <xdr:row>19</xdr:row>
      <xdr:rowOff>63500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9FBCEA2-D937-2F75-21A2-E3D5C8235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746346</xdr:colOff>
      <xdr:row>10</xdr:row>
      <xdr:rowOff>124509</xdr:rowOff>
    </xdr:from>
    <xdr:to>
      <xdr:col>4</xdr:col>
      <xdr:colOff>12451</xdr:colOff>
      <xdr:row>21</xdr:row>
      <xdr:rowOff>37353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704FFA-532C-A40E-B41C-90768352C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618023</xdr:colOff>
      <xdr:row>10</xdr:row>
      <xdr:rowOff>273922</xdr:rowOff>
    </xdr:from>
    <xdr:to>
      <xdr:col>7</xdr:col>
      <xdr:colOff>610097</xdr:colOff>
      <xdr:row>21</xdr:row>
      <xdr:rowOff>37353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A206DB-B653-CDEC-321E-56848F198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934221</xdr:colOff>
      <xdr:row>10</xdr:row>
      <xdr:rowOff>220305</xdr:rowOff>
    </xdr:from>
    <xdr:to>
      <xdr:col>10</xdr:col>
      <xdr:colOff>485588</xdr:colOff>
      <xdr:row>21</xdr:row>
      <xdr:rowOff>37352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CB7FBAB-32F1-477E-B0F4-53E29FE46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908922</xdr:colOff>
      <xdr:row>3</xdr:row>
      <xdr:rowOff>112058</xdr:rowOff>
    </xdr:from>
    <xdr:to>
      <xdr:col>10</xdr:col>
      <xdr:colOff>473136</xdr:colOff>
      <xdr:row>9</xdr:row>
      <xdr:rowOff>821765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F3B095-B4B3-4DD2-A741-4C5A885B1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767375</xdr:colOff>
      <xdr:row>3</xdr:row>
      <xdr:rowOff>138818</xdr:rowOff>
    </xdr:from>
    <xdr:to>
      <xdr:col>11</xdr:col>
      <xdr:colOff>1306845</xdr:colOff>
      <xdr:row>9</xdr:row>
      <xdr:rowOff>349898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País de Origen 1">
              <a:extLst>
                <a:ext uri="{FF2B5EF4-FFF2-40B4-BE49-F238E27FC236}">
                  <a16:creationId xmlns:a16="http://schemas.microsoft.com/office/drawing/2014/main" id="{271EAC07-6724-8674-5BE1-57E6FB978B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de Orige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53804" y="955247"/>
              <a:ext cx="1317021" cy="20124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636585</xdr:colOff>
      <xdr:row>3</xdr:row>
      <xdr:rowOff>122697</xdr:rowOff>
    </xdr:from>
    <xdr:to>
      <xdr:col>7</xdr:col>
      <xdr:colOff>597647</xdr:colOff>
      <xdr:row>9</xdr:row>
      <xdr:rowOff>771960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D6CAC2D-F18F-40BE-98D2-ED8AABEE1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45471</xdr:colOff>
      <xdr:row>1</xdr:row>
      <xdr:rowOff>25917</xdr:rowOff>
    </xdr:from>
    <xdr:to>
      <xdr:col>3</xdr:col>
      <xdr:colOff>390635</xdr:colOff>
      <xdr:row>3</xdr:row>
      <xdr:rowOff>199723</xdr:rowOff>
    </xdr:to>
    <xdr:pic>
      <xdr:nvPicPr>
        <xdr:cNvPr id="15" name="Gráfico 14" descr="Flecha: recto con relleno sólido">
          <a:extLst>
            <a:ext uri="{FF2B5EF4-FFF2-40B4-BE49-F238E27FC236}">
              <a16:creationId xmlns:a16="http://schemas.microsoft.com/office/drawing/2014/main" id="{2AFD703E-A647-2ABC-F646-D2BC734D4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544451" y="220305"/>
          <a:ext cx="656184" cy="79584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íctor" refreshedDate="45485.111409375" createdVersion="8" refreshedVersion="8" minRefreshableVersion="3" recordCount="767" xr:uid="{73829285-4A2B-4B87-BB2B-9E636DA24047}">
  <cacheSource type="worksheet">
    <worksheetSource name="spaces_3iWczBNnn5rbfoUlE0Jd_uploads_git_blob_9864c7f811c613c3faab876659c6423__25[[Número de Mesa]:[Platos Ordenados]]"/>
  </cacheSource>
  <cacheFields count="13">
    <cacheField name="Número de Mesa" numFmtId="0">
      <sharedItems containsMixedTypes="1" containsNumber="1" containsInteger="1" minValue="1" maxValue="20"/>
    </cacheField>
    <cacheField name="Nombre del Cliente" numFmtId="0">
      <sharedItems/>
    </cacheField>
    <cacheField name="Número de Comensales" numFmtId="0">
      <sharedItems containsSemiMixedTypes="0" containsString="0" containsNumber="1" containsInteger="1" minValue="1" maxValue="6"/>
    </cacheField>
    <cacheField name="Hora de Llegada" numFmtId="22">
      <sharedItems containsSemiMixedTypes="0" containsNonDate="0" containsDate="1" containsString="0" minDate="2023-04-01T00:01:00" maxDate="2023-04-07T03:56:00"/>
    </cacheField>
    <cacheField name="Hora de Salida" numFmtId="22">
      <sharedItems containsSemiMixedTypes="0" containsNonDate="0" containsDate="1" containsString="0" minDate="2023-04-01T01:11:00" maxDate="2023-04-07T07:51:00"/>
    </cacheField>
    <cacheField name="Mesero Asignado" numFmtId="0">
      <sharedItems/>
    </cacheField>
    <cacheField name="Tipo de Servicio" numFmtId="0">
      <sharedItems/>
    </cacheField>
    <cacheField name="Método de Pago" numFmtId="0">
      <sharedItems/>
    </cacheField>
    <cacheField name="Propina" numFmtId="2">
      <sharedItems containsSemiMixedTypes="0" containsString="0" containsNumber="1" minValue="1.23" maxValue="49.88"/>
    </cacheField>
    <cacheField name="Estado de la Mesa" numFmtId="0">
      <sharedItems/>
    </cacheField>
    <cacheField name="Número de Orden" numFmtId="0">
      <sharedItems containsSemiMixedTypes="0" containsString="0" containsNumber="1" containsInteger="1" minValue="1" maxValue="767"/>
    </cacheField>
    <cacheField name="País de Origen" numFmtId="0">
      <sharedItems/>
    </cacheField>
    <cacheField name="Platos Ordenado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íctor" refreshedDate="45485.112766782404" createdVersion="8" refreshedVersion="8" minRefreshableVersion="3" recordCount="1902" xr:uid="{0AE7C097-579A-41DE-B60C-4638AC1E8C20}">
  <cacheSource type="worksheet">
    <worksheetSource name="spaces_3iWczBNnn5rbfoUlE0Jd_uploads_git_blob_d9e80ffbcef8a4adc6d29edd78618add5df6"/>
  </cacheSource>
  <cacheFields count="11">
    <cacheField name="Número de Orden" numFmtId="0">
      <sharedItems containsSemiMixedTypes="0" containsString="0" containsNumber="1" containsInteger="1" minValue="1" maxValue="767" count="7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</sharedItems>
    </cacheField>
    <cacheField name="Número de Mesa" numFmtId="0">
      <sharedItems containsSemiMixedTypes="0" containsString="0" containsNumber="1" containsInteger="1" minValue="1" maxValue="20"/>
    </cacheField>
    <cacheField name="Nombre del Plato" numFmtId="0">
      <sharedItems/>
    </cacheField>
    <cacheField name="Descripci√≥n del Plato" numFmtId="0">
      <sharedItems/>
    </cacheField>
    <cacheField name="Costo Unitario" numFmtId="0">
      <sharedItems containsSemiMixedTypes="0" containsString="0" containsNumber="1" containsInteger="1" minValue="10" maxValue="25"/>
    </cacheField>
    <cacheField name="Precio Unitario" numFmtId="0">
      <sharedItems containsSemiMixedTypes="0" containsString="0" containsNumber="1" containsInteger="1" minValue="18" maxValue="40"/>
    </cacheField>
    <cacheField name="Cantidad Ordenada" numFmtId="0">
      <sharedItems containsSemiMixedTypes="0" containsString="0" containsNumber="1" containsInteger="1" minValue="1" maxValue="3"/>
    </cacheField>
    <cacheField name="Tiempo de Preparación" numFmtId="0">
      <sharedItems containsSemiMixedTypes="0" containsString="0" containsNumber="1" containsInteger="1" minValue="5" maxValue="59"/>
    </cacheField>
    <cacheField name="Ganancia bruta" numFmtId="0">
      <sharedItems containsSemiMixedTypes="0" containsString="0" containsNumber="1" containsInteger="1" minValue="18" maxValue="120"/>
    </cacheField>
    <cacheField name="Ganancia neta" numFmtId="0">
      <sharedItems containsSemiMixedTypes="0" containsString="0" containsNumber="1" containsInteger="1" minValue="8" maxValue="45"/>
    </cacheField>
    <cacheField name="Porcentaje ganancia" numFmtId="9">
      <sharedItems containsSemiMixedTypes="0" containsString="0" containsNumber="1" minValue="0.375" maxValue="0.444444444444444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íctor" refreshedDate="45485.480952430553" createdVersion="8" refreshedVersion="8" minRefreshableVersion="3" recordCount="767" xr:uid="{733676D8-3C98-40EC-A3AD-C7A34FB1D89C}">
  <cacheSource type="worksheet">
    <worksheetSource name="spaces_3iWczBNnn5rbfoUlE0Jd_uploads_git_blob_9864c7f811c613c3faab876659c6423__25"/>
  </cacheSource>
  <cacheFields count="31">
    <cacheField name="Número de Mesa" numFmtId="49">
      <sharedItems containsMixedTypes="1" containsNumber="1" containsInteger="1" minValue="1" maxValue="20"/>
    </cacheField>
    <cacheField name="Nombre del Cliente" numFmtId="0">
      <sharedItems count="546">
        <s v="Cliente_724"/>
        <s v="Cliente_538"/>
        <s v="Cliente_911"/>
        <s v="Cliente_129"/>
        <s v="Cliente_938"/>
        <s v="Cliente_965"/>
        <s v="Cliente_306"/>
        <s v="Cliente_974"/>
        <s v="Cliente_740"/>
        <s v="Cliente_33"/>
        <s v="Cliente_881"/>
        <s v="Cliente_890"/>
        <s v="Cliente_873"/>
        <s v="Cliente_780"/>
        <s v="Cliente_728"/>
        <s v="Cliente_175"/>
        <s v="Cliente_200"/>
        <s v="Cliente_190"/>
        <s v="Cliente_290"/>
        <s v="Cliente_972"/>
        <s v="Cliente_210"/>
        <s v="Cliente_88"/>
        <s v="Cliente_427"/>
        <s v="Cliente_424"/>
        <s v="Cliente_824"/>
        <s v="Cliente_107"/>
        <s v="Cliente_775"/>
        <s v="Cliente_358"/>
        <s v="Cliente_377"/>
        <s v="Cliente_361"/>
        <s v="Cliente_229"/>
        <s v="Cliente_27"/>
        <s v="Cliente_103"/>
        <s v="Cliente_1"/>
        <s v="Cliente_828"/>
        <s v="Cliente_874"/>
        <s v="Cliente_999"/>
        <s v="Cliente_167"/>
        <s v="Cliente_606"/>
        <s v="Cliente_710"/>
        <s v="Cliente_870"/>
        <s v="Cliente_230"/>
        <s v="Cliente_814"/>
        <s v="Cliente_640"/>
        <s v="Cliente_623"/>
        <s v="Cliente_72"/>
        <s v="Cliente_963"/>
        <s v="Cliente_929"/>
        <s v="Cliente_708"/>
        <s v="Cliente_631"/>
        <s v="Cliente_894"/>
        <s v="Cliente_63"/>
        <s v="Cliente_144"/>
        <s v="Cliente_390"/>
        <s v="Cliente_886"/>
        <s v="Cliente_510"/>
        <s v="Cliente_878"/>
        <s v="Cliente_977"/>
        <s v="Cliente_553"/>
        <s v="Cliente_792"/>
        <s v="Cliente_265"/>
        <s v="Cliente_946"/>
        <s v="Cliente_614"/>
        <s v="Cliente_352"/>
        <s v="Cliente_784"/>
        <s v="Cliente_118"/>
        <s v="Cliente_61"/>
        <s v="Cliente_440"/>
        <s v="Cliente_258"/>
        <s v="Cliente_742"/>
        <s v="Cliente_865"/>
        <s v="Cliente_79"/>
        <s v="Cliente_42"/>
        <s v="Cliente_374"/>
        <s v="Cliente_636"/>
        <s v="Cliente_753"/>
        <s v="Cliente_632"/>
        <s v="Cliente_969"/>
        <s v="Cliente_574"/>
        <s v="Cliente_292"/>
        <s v="Cliente_148"/>
        <s v="Cliente_747"/>
        <s v="Cliente_501"/>
        <s v="Cliente_733"/>
        <s v="Cliente_36"/>
        <s v="Cliente_1000"/>
        <s v="Cliente_607"/>
        <s v="Cliente_378"/>
        <s v="Cliente_612"/>
        <s v="Cliente_452"/>
        <s v="Cliente_244"/>
        <s v="Cliente_840"/>
        <s v="Cliente_993"/>
        <s v="Cliente_29"/>
        <s v="Cliente_313"/>
        <s v="Cliente_520"/>
        <s v="Cliente_388"/>
        <s v="Cliente_384"/>
        <s v="Cliente_517"/>
        <s v="Cliente_711"/>
        <s v="Cliente_651"/>
        <s v="Cliente_545"/>
        <s v="Cliente_116"/>
        <s v="Cliente_170"/>
        <s v="Cliente_92"/>
        <s v="Cliente_552"/>
        <s v="Cliente_627"/>
        <s v="Cliente_588"/>
        <s v="Cliente_949"/>
        <s v="Cliente_863"/>
        <s v="Cliente_140"/>
        <s v="Cliente_523"/>
        <s v="Cliente_916"/>
        <s v="Cliente_416"/>
        <s v="Cliente_346"/>
        <s v="Cliente_381"/>
        <s v="Cliente_791"/>
        <s v="Cliente_697"/>
        <s v="Cliente_516"/>
        <s v="Cliente_541"/>
        <s v="Cliente_830"/>
        <s v="Cliente_656"/>
        <s v="Cliente_486"/>
        <s v="Cliente_774"/>
        <s v="Cliente_26"/>
        <s v="Cliente_273"/>
        <s v="Cliente_798"/>
        <s v="Cliente_8"/>
        <s v="Cliente_31"/>
        <s v="Cliente_658"/>
        <s v="Cliente_773"/>
        <s v="Cliente_158"/>
        <s v="Cliente_569"/>
        <s v="Cliente_286"/>
        <s v="Cliente_199"/>
        <s v="Cliente_712"/>
        <s v="Cliente_56"/>
        <s v="Cliente_670"/>
        <s v="Cliente_909"/>
        <s v="Cliente_402"/>
        <s v="Cliente_709"/>
        <s v="Cliente_533"/>
        <s v="Cliente_953"/>
        <s v="Cliente_380"/>
        <s v="Cliente_964"/>
        <s v="Cliente_939"/>
        <s v="Cliente_536"/>
        <s v="Cliente_5"/>
        <s v="Cliente_115"/>
        <s v="Cliente_580"/>
        <s v="Cliente_788"/>
        <s v="Cliente_892"/>
        <s v="Cliente_406"/>
        <s v="Cliente_295"/>
        <s v="Cliente_547"/>
        <s v="Cliente_156"/>
        <s v="Cliente_768"/>
        <s v="Cliente_359"/>
        <s v="Cliente_131"/>
        <s v="Cliente_485"/>
        <s v="Cliente_493"/>
        <s v="Cliente_282"/>
        <s v="Cliente_850"/>
        <s v="Cliente_301"/>
        <s v="Cliente_124"/>
        <s v="Cliente_741"/>
        <s v="Cliente_610"/>
        <s v="Cliente_681"/>
        <s v="Cliente_173"/>
        <s v="Cliente_55"/>
        <s v="Cliente_653"/>
        <s v="Cliente_628"/>
        <s v="Cliente_715"/>
        <s v="Cliente_321"/>
        <s v="Cliente_442"/>
        <s v="Cliente_752"/>
        <s v="Cliente_727"/>
        <s v="Cliente_548"/>
        <s v="Cliente_30"/>
        <s v="Cliente_412"/>
        <s v="Cliente_646"/>
        <s v="Cliente_151"/>
        <s v="Cliente_318"/>
        <s v="Cliente_336"/>
        <s v="Cliente_560"/>
        <s v="Cliente_367"/>
        <s v="Cliente_765"/>
        <s v="Cliente_679"/>
        <s v="Cliente_512"/>
        <s v="Cliente_701"/>
        <s v="Cliente_331"/>
        <s v="Cliente_83"/>
        <s v="Cliente_339"/>
        <s v="Cliente_323"/>
        <s v="Cliente_678"/>
        <s v="Cliente_74"/>
        <s v="Cliente_146"/>
        <s v="Cliente_212"/>
        <s v="Cliente_3"/>
        <s v="Cliente_176"/>
        <s v="Cliente_551"/>
        <s v="Cliente_240"/>
        <s v="Cliente_759"/>
        <s v="Cliente_959"/>
        <s v="Cliente_744"/>
        <s v="Cliente_189"/>
        <s v="Cliente_576"/>
        <s v="Cliente_474"/>
        <s v="Cliente_990"/>
        <s v="Cliente_67"/>
        <s v="Cliente_445"/>
        <s v="Cliente_984"/>
        <s v="Cliente_877"/>
        <s v="Cliente_494"/>
        <s v="Cliente_264"/>
        <s v="Cliente_142"/>
        <s v="Cliente_599"/>
        <s v="Cliente_856"/>
        <s v="Cliente_722"/>
        <s v="Cliente_935"/>
        <s v="Cliente_961"/>
        <s v="Cliente_924"/>
        <s v="Cliente_579"/>
        <s v="Cliente_567"/>
        <s v="Cliente_927"/>
        <s v="Cliente_539"/>
        <s v="Cliente_872"/>
        <s v="Cliente_425"/>
        <s v="Cliente_700"/>
        <s v="Cliente_665"/>
        <s v="Cliente_978"/>
        <s v="Cliente_577"/>
        <s v="Cliente_429"/>
        <s v="Cliente_811"/>
        <s v="Cliente_228"/>
        <s v="Cliente_249"/>
        <s v="Cliente_326"/>
        <s v="Cliente_281"/>
        <s v="Cliente_686"/>
        <s v="Cliente_418"/>
        <s v="Cliente_397"/>
        <s v="Cliente_477"/>
        <s v="Cliente_300"/>
        <s v="Cliente_928"/>
        <s v="Cliente_132"/>
        <s v="Cliente_53"/>
        <s v="Cliente_673"/>
        <s v="Cliente_243"/>
        <s v="Cliente_730"/>
        <s v="Cliente_617"/>
        <s v="Cliente_827"/>
        <s v="Cliente_184"/>
        <s v="Cliente_345"/>
        <s v="Cliente_277"/>
        <s v="Cliente_981"/>
        <s v="Cliente_24"/>
        <s v="Cliente_463"/>
        <s v="Cliente_746"/>
        <s v="Cliente_409"/>
        <s v="Cliente_729"/>
        <s v="Cliente_565"/>
        <s v="Cliente_195"/>
        <s v="Cliente_211"/>
        <s v="Cliente_385"/>
        <s v="Cliente_986"/>
        <s v="Cliente_994"/>
        <s v="Cliente_648"/>
        <s v="Cliente_702"/>
        <s v="Cliente_846"/>
        <s v="Cliente_620"/>
        <s v="Cliente_672"/>
        <s v="Cliente_735"/>
        <s v="Cliente_268"/>
        <s v="Cliente_161"/>
        <s v="Cliente_600"/>
        <s v="Cliente_654"/>
        <s v="Cliente_269"/>
        <s v="Cliente_12"/>
        <s v="Cliente_294"/>
        <s v="Cliente_659"/>
        <s v="Cliente_47"/>
        <s v="Cliente_544"/>
        <s v="Cliente_633"/>
        <s v="Cliente_154"/>
        <s v="Cliente_489"/>
        <s v="Cliente_350"/>
        <s v="Cliente_797"/>
        <s v="Cliente_436"/>
        <s v="Cliente_597"/>
        <s v="Cliente_823"/>
        <s v="Cliente_690"/>
        <s v="Cliente_216"/>
        <s v="Cliente_546"/>
        <s v="Cliente_524"/>
        <s v="Cliente_193"/>
        <s v="Cliente_794"/>
        <s v="Cliente_602"/>
        <s v="Cliente_296"/>
        <s v="Cliente_568"/>
        <s v="Cliente_897"/>
        <s v="Cliente_816"/>
        <s v="Cliente_221"/>
        <s v="Cliente_755"/>
        <s v="Cliente_289"/>
        <s v="Cliente_476"/>
        <s v="Cliente_940"/>
        <s v="Cliente_707"/>
        <s v="Cliente_644"/>
        <s v="Cliente_619"/>
        <s v="Cliente_833"/>
        <s v="Cliente_899"/>
        <s v="Cliente_498"/>
        <s v="Cliente_470"/>
        <s v="Cliente_191"/>
        <s v="Cliente_183"/>
        <s v="Cliente_499"/>
        <s v="Cliente_495"/>
        <s v="Cliente_54"/>
        <s v="Cliente_923"/>
        <s v="Cliente_453"/>
        <s v="Cliente_14"/>
        <s v="Cliente_611"/>
        <s v="Cliente_666"/>
        <s v="Cliente_505"/>
        <s v="Cliente_858"/>
        <s v="Cliente_882"/>
        <s v="Cliente_275"/>
        <s v="Cliente_871"/>
        <s v="Cliente_841"/>
        <s v="Cliente_789"/>
        <s v="Cliente_141"/>
        <s v="Cliente_992"/>
        <s v="Cliente_622"/>
        <s v="Cliente_508"/>
        <s v="Cliente_676"/>
        <s v="Cliente_667"/>
        <s v="Cliente_609"/>
        <s v="Cliente_471"/>
        <s v="Cliente_196"/>
        <s v="Cliente_563"/>
        <s v="Cliente_991"/>
        <s v="Cliente_330"/>
        <s v="Cliente_943"/>
        <s v="Cliente_285"/>
        <s v="Cliente_905"/>
        <s v="Cliente_543"/>
        <s v="Cliente_239"/>
        <s v="Cliente_315"/>
        <s v="Cliente_166"/>
        <s v="Cliente_157"/>
        <s v="Cliente_912"/>
        <s v="Cliente_736"/>
        <s v="Cliente_328"/>
        <s v="Cliente_919"/>
        <s v="Cliente_958"/>
        <s v="Cliente_395"/>
        <s v="Cliente_287"/>
        <s v="Cliente_479"/>
        <s v="Cliente_160"/>
        <s v="Cliente_109"/>
        <s v="Cliente_342"/>
        <s v="Cliente_332"/>
        <s v="Cliente_689"/>
        <s v="Cliente_518"/>
        <s v="Cliente_348"/>
        <s v="Cliente_259"/>
        <s v="Cliente_869"/>
        <s v="Cliente_842"/>
        <s v="Cliente_349"/>
        <s v="Cliente_316"/>
        <s v="Cliente_732"/>
        <s v="Cliente_807"/>
        <s v="Cliente_900"/>
        <s v="Cliente_143"/>
        <s v="Cliente_405"/>
        <s v="Cliente_473"/>
        <s v="Cliente_404"/>
        <s v="Cliente_717"/>
        <s v="Cliente_783"/>
        <s v="Cliente_589"/>
        <s v="Cliente_284"/>
        <s v="Cliente_207"/>
        <s v="Cliente_531"/>
        <s v="Cliente_420"/>
        <s v="Cliente_989"/>
        <s v="Cliente_421"/>
        <s v="Cliente_194"/>
        <s v="Cliente_876"/>
        <s v="Cliente_365"/>
        <s v="Cliente_185"/>
        <s v="Cliente_558"/>
        <s v="Cliente_535"/>
        <s v="Cliente_18"/>
        <s v="Cliente_696"/>
        <s v="Cliente_704"/>
        <s v="Cliente_720"/>
        <s v="Cliente_624"/>
        <s v="Cliente_434"/>
        <s v="Cliente_149"/>
        <s v="Cliente_125"/>
        <s v="Cliente_618"/>
        <s v="Cliente_527"/>
        <s v="Cliente_71"/>
        <s v="Cliente_437"/>
        <s v="Cliente_719"/>
        <s v="Cliente_354"/>
        <s v="Cliente_363"/>
        <s v="Cliente_778"/>
        <s v="Cliente_637"/>
        <s v="Cliente_948"/>
        <s v="Cliente_172"/>
        <s v="Cliente_70"/>
        <s v="Cliente_835"/>
        <s v="Cliente_821"/>
        <s v="Cliente_509"/>
        <s v="Cliente_951"/>
        <s v="Cliente_819"/>
        <s v="Cliente_334"/>
        <s v="Cliente_787"/>
        <s v="Cliente_616"/>
        <s v="Cliente_422"/>
        <s v="Cliente_930"/>
        <s v="Cliente_218"/>
        <s v="Cliente_257"/>
        <s v="Cliente_112"/>
        <s v="Cliente_95"/>
        <s v="Cliente_866"/>
        <s v="Cliente_232"/>
        <s v="Cliente_113"/>
        <s v="Cliente_785"/>
        <s v="Cliente_554"/>
        <s v="Cliente_320"/>
        <s v="Cliente_996"/>
        <s v="Cliente_392"/>
        <s v="Cliente_615"/>
        <s v="Cliente_968"/>
        <s v="Cliente_206"/>
        <s v="Cliente_669"/>
        <s v="Cliente_705"/>
        <s v="Cliente_462"/>
        <s v="Cliente_809"/>
        <s v="Cliente_21"/>
        <s v="Cliente_110"/>
        <s v="Cliente_454"/>
        <s v="Cliente_825"/>
        <s v="Cliente_134"/>
        <s v="Cliente_555"/>
        <s v="Cliente_887"/>
        <s v="Cliente_913"/>
        <s v="Cliente_41"/>
        <s v="Cliente_738"/>
        <s v="Cliente_280"/>
        <s v="Cliente_117"/>
        <s v="Cliente_988"/>
        <s v="Cliente_372"/>
        <s v="Cliente_283"/>
        <s v="Cliente_857"/>
        <s v="Cliente_208"/>
        <s v="Cliente_443"/>
        <s v="Cliente_138"/>
        <s v="Cliente_177"/>
        <s v="Cliente_832"/>
        <s v="Cliente_480"/>
        <s v="Cliente_351"/>
        <s v="Cliente_344"/>
        <s v="Cliente_564"/>
        <s v="Cliente_782"/>
        <s v="Cliente_165"/>
        <s v="Cliente_608"/>
        <s v="Cliente_657"/>
        <s v="Cliente_224"/>
        <s v="Cliente_680"/>
        <s v="Cliente_513"/>
        <s v="Cliente_973"/>
        <s v="Cliente_592"/>
        <s v="Cliente_575"/>
        <s v="Cliente_511"/>
        <s v="Cliente_772"/>
        <s v="Cliente_605"/>
        <s v="Cliente_197"/>
        <s v="Cliente_19"/>
        <s v="Cliente_586"/>
        <s v="Cliente_687"/>
        <s v="Cliente_415"/>
        <s v="Cliente_456"/>
        <s v="Cliente_820"/>
        <s v="Cliente_698"/>
        <s v="Cliente_59"/>
        <s v="Cliente_799"/>
        <s v="Cliente_52"/>
        <s v="Cliente_278"/>
        <s v="Cliente_595"/>
        <s v="Cliente_2"/>
        <s v="Cliente_880"/>
        <s v="Cliente_626"/>
        <s v="Cliente_411"/>
        <s v="Cliente_123"/>
        <s v="Cliente_910"/>
        <s v="Cliente_483"/>
        <s v="Cliente_642"/>
        <s v="Cliente_962"/>
        <s v="Cliente_883"/>
        <s v="Cliente_593"/>
        <s v="Cliente_368"/>
        <s v="Cliente_693"/>
        <s v="Cliente_226"/>
        <s v="Cliente_834"/>
        <s v="Cliente_104"/>
        <s v="Cliente_35"/>
        <s v="Cliente_837"/>
        <s v="Cliente_514"/>
        <s v="Cliente_725"/>
        <s v="Cliente_114"/>
        <s v="Cliente_90"/>
        <s v="Cliente_496"/>
        <s v="Cliente_58"/>
        <s v="Cliente_468"/>
        <s v="Cliente_714"/>
        <s v="Cliente_950"/>
        <s v="Cliente_663"/>
        <s v="Cliente_801"/>
        <s v="Cliente_804"/>
        <s v="Cliente_716"/>
        <s v="Cliente_786"/>
        <s v="Cliente_594"/>
        <s v="Cliente_396"/>
        <s v="Cliente_954"/>
        <s v="Cliente_263"/>
        <s v="Cliente_438"/>
        <s v="Cliente_353"/>
        <s v="Cliente_770"/>
        <s v="Cliente_888"/>
        <s v="Cliente_635"/>
        <s v="Cliente_484"/>
        <s v="Cliente_297"/>
        <s v="Cliente_446"/>
        <s v="Cliente_298"/>
        <s v="Cliente_304"/>
        <s v="Cliente_743"/>
        <s v="Cliente_428"/>
        <s v="Cliente_750"/>
        <s v="Cliente_808"/>
        <s v="Cliente_376"/>
        <s v="Cliente_721"/>
        <s v="Cliente_227"/>
        <s v="Cliente_757"/>
      </sharedItems>
    </cacheField>
    <cacheField name="Número de Comensales" numFmtId="0">
      <sharedItems containsSemiMixedTypes="0" containsString="0" containsNumber="1" containsInteger="1" minValue="1" maxValue="6"/>
    </cacheField>
    <cacheField name="Hora de Llegada" numFmtId="22">
      <sharedItems containsSemiMixedTypes="0" containsNonDate="0" containsDate="1" containsString="0" minDate="2023-04-01T00:01:00" maxDate="2023-04-07T03:56:00"/>
    </cacheField>
    <cacheField name="Hora de Salida" numFmtId="22">
      <sharedItems containsSemiMixedTypes="0" containsNonDate="0" containsDate="1" containsString="0" minDate="2023-04-01T01:11:00" maxDate="2023-04-07T07:51:00" count="643">
        <d v="2023-04-01T03:50:00"/>
        <d v="2023-04-01T03:49:00"/>
        <d v="2023-04-01T03:56:00"/>
        <d v="2023-04-01T04:31:00"/>
        <d v="2023-04-01T02:06:00"/>
        <d v="2023-04-01T03:32:00"/>
        <d v="2023-04-01T04:22:00"/>
        <d v="2023-04-01T04:49:00"/>
        <d v="2023-04-01T04:25:00"/>
        <d v="2023-04-01T01:53:00"/>
        <d v="2023-04-01T06:33:00"/>
        <d v="2023-04-01T03:23:00"/>
        <d v="2023-04-01T05:32:00"/>
        <d v="2023-04-01T01:58:00"/>
        <d v="2023-04-01T04:59:00"/>
        <d v="2023-04-01T04:24:00"/>
        <d v="2023-04-01T03:27:00"/>
        <d v="2023-04-01T04:26:00"/>
        <d v="2023-04-01T03:29:00"/>
        <d v="2023-04-01T05:12:00"/>
        <d v="2023-04-01T05:52:00"/>
        <d v="2023-04-01T04:47:00"/>
        <d v="2023-04-01T04:09:00"/>
        <d v="2023-04-01T06:20:00"/>
        <d v="2023-04-01T05:47:00"/>
        <d v="2023-04-01T02:27:00"/>
        <d v="2023-04-01T03:16:00"/>
        <d v="2023-04-01T06:10:00"/>
        <d v="2023-04-01T06:13:00"/>
        <d v="2023-04-01T06:02:00"/>
        <d v="2023-04-01T06:49:00"/>
        <d v="2023-04-01T06:21:00"/>
        <d v="2023-04-01T06:07:00"/>
        <d v="2023-04-01T05:55:00"/>
        <d v="2023-04-01T06:26:00"/>
        <d v="2023-04-01T03:53:00"/>
        <d v="2023-04-01T07:39:00"/>
        <d v="2023-04-01T04:05:00"/>
        <d v="2023-04-01T04:20:00"/>
        <d v="2023-04-01T01:46:00"/>
        <d v="2023-04-01T03:14:00"/>
        <d v="2023-04-01T06:18:00"/>
        <d v="2023-04-01T04:01:00"/>
        <d v="2023-04-01T03:39:00"/>
        <d v="2023-04-01T07:29:00"/>
        <d v="2023-04-01T04:02:00"/>
        <d v="2023-04-01T05:29:00"/>
        <d v="2023-04-01T06:57:00"/>
        <d v="2023-04-01T03:02:00"/>
        <d v="2023-04-01T01:11:00"/>
        <d v="2023-04-01T04:44:00"/>
        <d v="2023-04-01T04:14:00"/>
        <d v="2023-04-01T05:00:00"/>
        <d v="2023-04-01T04:57:00"/>
        <d v="2023-04-01T04:52:00"/>
        <d v="2023-04-01T04:21:00"/>
        <d v="2023-04-01T05:04:00"/>
        <d v="2023-04-01T05:46:00"/>
        <d v="2023-04-01T06:22:00"/>
        <d v="2023-04-01T06:24:00"/>
        <d v="2023-04-01T04:06:00"/>
        <d v="2023-04-01T03:03:00"/>
        <d v="2023-04-01T05:10:00"/>
        <d v="2023-04-01T03:15:00"/>
        <d v="2023-04-01T03:57:00"/>
        <d v="2023-04-01T01:22:00"/>
        <d v="2023-04-01T05:56:00"/>
        <d v="2023-04-01T05:51:00"/>
        <d v="2023-04-01T06:09:00"/>
        <d v="2023-04-01T04:13:00"/>
        <d v="2023-04-01T05:24:00"/>
        <d v="2023-04-01T06:15:00"/>
        <d v="2023-04-01T05:08:00"/>
        <d v="2023-04-01T03:46:00"/>
        <d v="2023-04-01T06:31:00"/>
        <d v="2023-04-01T07:10:00"/>
        <d v="2023-04-01T06:39:00"/>
        <d v="2023-04-01T03:18:00"/>
        <d v="2023-04-01T02:08:00"/>
        <d v="2023-04-01T06:40:00"/>
        <d v="2023-04-01T02:19:00"/>
        <d v="2023-04-01T03:13:00"/>
        <d v="2023-04-01T03:48:00"/>
        <d v="2023-04-01T04:53:00"/>
        <d v="2023-04-01T05:26:00"/>
        <d v="2023-04-01T03:22:00"/>
        <d v="2023-04-01T06:45:00"/>
        <d v="2023-04-01T02:15:00"/>
        <d v="2023-04-01T02:44:00"/>
        <d v="2023-04-01T04:00:00"/>
        <d v="2023-04-01T02:58:00"/>
        <d v="2023-04-01T03:37:00"/>
        <d v="2023-04-01T02:26:00"/>
        <d v="2023-04-01T06:37:00"/>
        <d v="2023-04-01T05:07:00"/>
        <d v="2023-04-01T03:30:00"/>
        <d v="2023-04-01T05:45:00"/>
        <d v="2023-04-01T01:45:00"/>
        <d v="2023-04-02T05:03:00"/>
        <d v="2023-04-02T01:42:00"/>
        <d v="2023-04-02T06:13:00"/>
        <d v="2023-04-02T02:48:00"/>
        <d v="2023-04-02T04:10:00"/>
        <d v="2023-04-02T05:22:00"/>
        <d v="2023-04-02T05:12:00"/>
        <d v="2023-04-02T02:28:00"/>
        <d v="2023-04-02T03:28:00"/>
        <d v="2023-04-02T02:41:00"/>
        <d v="2023-04-02T01:32:00"/>
        <d v="2023-04-02T04:18:00"/>
        <d v="2023-04-02T02:43:00"/>
        <d v="2023-04-02T03:52:00"/>
        <d v="2023-04-02T03:01:00"/>
        <d v="2023-04-02T05:01:00"/>
        <d v="2023-04-02T04:11:00"/>
        <d v="2023-04-02T05:09:00"/>
        <d v="2023-04-02T04:39:00"/>
        <d v="2023-04-02T06:29:00"/>
        <d v="2023-04-02T05:45:00"/>
        <d v="2023-04-02T04:05:00"/>
        <d v="2023-04-02T04:30:00"/>
        <d v="2023-04-02T05:32:00"/>
        <d v="2023-04-02T02:54:00"/>
        <d v="2023-04-02T04:58:00"/>
        <d v="2023-04-02T05:59:00"/>
        <d v="2023-04-02T04:50:00"/>
        <d v="2023-04-02T03:10:00"/>
        <d v="2023-04-02T06:53:00"/>
        <d v="2023-04-02T02:52:00"/>
        <d v="2023-04-02T05:26:00"/>
        <d v="2023-04-02T03:36:00"/>
        <d v="2023-04-02T04:44:00"/>
        <d v="2023-04-02T04:17:00"/>
        <d v="2023-04-02T06:15:00"/>
        <d v="2023-04-02T03:59:00"/>
        <d v="2023-04-02T01:15:00"/>
        <d v="2023-04-02T04:33:00"/>
        <d v="2023-04-02T04:23:00"/>
        <d v="2023-04-02T02:34:00"/>
        <d v="2023-04-02T04:09:00"/>
        <d v="2023-04-02T06:02:00"/>
        <d v="2023-04-02T02:44:00"/>
        <d v="2023-04-02T02:46:00"/>
        <d v="2023-04-02T03:23:00"/>
        <d v="2023-04-02T05:14:00"/>
        <d v="2023-04-02T03:04:00"/>
        <d v="2023-04-02T06:06:00"/>
        <d v="2023-04-02T03:43:00"/>
        <d v="2023-04-02T01:12:00"/>
        <d v="2023-04-02T04:32:00"/>
        <d v="2023-04-02T01:14:00"/>
        <d v="2023-04-02T05:18:00"/>
        <d v="2023-04-02T03:08:00"/>
        <d v="2023-04-02T03:54:00"/>
        <d v="2023-04-02T06:30:00"/>
        <d v="2023-04-02T06:28:00"/>
        <d v="2023-04-02T07:01:00"/>
        <d v="2023-04-02T06:26:00"/>
        <d v="2023-04-02T04:14:00"/>
        <d v="2023-04-02T05:28:00"/>
        <d v="2023-04-02T05:21:00"/>
        <d v="2023-04-02T06:10:00"/>
        <d v="2023-04-02T03:22:00"/>
        <d v="2023-04-02T02:36:00"/>
        <d v="2023-04-02T04:53:00"/>
        <d v="2023-04-02T03:56:00"/>
        <d v="2023-04-02T04:54:00"/>
        <d v="2023-04-02T03:05:00"/>
        <d v="2023-04-02T05:40:00"/>
        <d v="2023-04-02T01:50:00"/>
        <d v="2023-04-02T02:00:00"/>
        <d v="2023-04-02T02:25:00"/>
        <d v="2023-04-02T06:14:00"/>
        <d v="2023-04-02T06:09:00"/>
        <d v="2023-04-02T04:02:00"/>
        <d v="2023-04-02T06:36:00"/>
        <d v="2023-04-02T04:06:00"/>
        <d v="2023-04-02T04:29:00"/>
        <d v="2023-04-02T03:40:00"/>
        <d v="2023-04-02T06:25:00"/>
        <d v="2023-04-02T05:36:00"/>
        <d v="2023-04-02T04:45:00"/>
        <d v="2023-04-02T03:41:00"/>
        <d v="2023-04-02T04:49:00"/>
        <d v="2023-04-02T04:57:00"/>
        <d v="2023-04-02T06:42:00"/>
        <d v="2023-04-02T02:50:00"/>
        <d v="2023-04-02T05:47:00"/>
        <d v="2023-04-02T01:24:00"/>
        <d v="2023-04-02T04:52:00"/>
        <d v="2023-04-02T04:48:00"/>
        <d v="2023-04-02T03:25:00"/>
        <d v="2023-04-02T02:39:00"/>
        <d v="2023-04-02T02:26:00"/>
        <d v="2023-04-02T06:00:00"/>
        <d v="2023-04-02T04:56:00"/>
        <d v="2023-04-02T06:07:00"/>
        <d v="2023-04-02T01:04:00"/>
        <d v="2023-04-02T06:01:00"/>
        <d v="2023-04-02T06:57:00"/>
        <d v="2023-04-02T02:18:00"/>
        <d v="2023-04-02T03:55:00"/>
        <d v="2023-04-02T06:33:00"/>
        <d v="2023-04-02T04:24:00"/>
        <d v="2023-04-02T03:45:00"/>
        <d v="2023-04-02T03:27:00"/>
        <d v="2023-04-02T03:17:00"/>
        <d v="2023-04-02T06:16:00"/>
        <d v="2023-04-02T04:38:00"/>
        <d v="2023-04-02T02:55:00"/>
        <d v="2023-04-02T07:21:00"/>
        <d v="2023-04-02T04:26:00"/>
        <d v="2023-04-02T02:04:00"/>
        <d v="2023-04-03T03:48:00"/>
        <d v="2023-04-03T03:44:00"/>
        <d v="2023-04-03T04:15:00"/>
        <d v="2023-04-03T04:59:00"/>
        <d v="2023-04-03T05:10:00"/>
        <d v="2023-04-03T04:24:00"/>
        <d v="2023-04-03T03:29:00"/>
        <d v="2023-04-03T05:52:00"/>
        <d v="2023-04-03T05:58:00"/>
        <d v="2023-04-03T05:34:00"/>
        <d v="2023-04-03T03:56:00"/>
        <d v="2023-04-03T05:12:00"/>
        <d v="2023-04-03T02:35:00"/>
        <d v="2023-04-03T02:41:00"/>
        <d v="2023-04-03T07:50:00"/>
        <d v="2023-04-03T05:02:00"/>
        <d v="2023-04-03T04:48:00"/>
        <d v="2023-04-03T04:37:00"/>
        <d v="2023-04-03T06:05:00"/>
        <d v="2023-04-03T02:28:00"/>
        <d v="2023-04-03T04:44:00"/>
        <d v="2023-04-03T05:33:00"/>
        <d v="2023-04-03T06:23:00"/>
        <d v="2023-04-03T04:33:00"/>
        <d v="2023-04-03T06:09:00"/>
        <d v="2023-04-03T01:51:00"/>
        <d v="2023-04-03T04:35:00"/>
        <d v="2023-04-03T03:57:00"/>
        <d v="2023-04-03T02:01:00"/>
        <d v="2023-04-03T04:27:00"/>
        <d v="2023-04-03T05:29:00"/>
        <d v="2023-04-03T02:45:00"/>
        <d v="2023-04-03T04:19:00"/>
        <d v="2023-04-03T04:08:00"/>
        <d v="2023-04-03T04:56:00"/>
        <d v="2023-04-03T06:24:00"/>
        <d v="2023-04-03T04:40:00"/>
        <d v="2023-04-03T04:13:00"/>
        <d v="2023-04-03T02:32:00"/>
        <d v="2023-04-03T05:39:00"/>
        <d v="2023-04-03T04:39:00"/>
        <d v="2023-04-03T04:05:00"/>
        <d v="2023-04-03T02:43:00"/>
        <d v="2023-04-03T06:12:00"/>
        <d v="2023-04-03T05:46:00"/>
        <d v="2023-04-03T03:53:00"/>
        <d v="2023-04-03T05:32:00"/>
        <d v="2023-04-03T06:16:00"/>
        <d v="2023-04-03T05:09:00"/>
        <d v="2023-04-03T03:59:00"/>
        <d v="2023-04-03T04:17:00"/>
        <d v="2023-04-03T04:18:00"/>
        <d v="2023-04-03T05:47:00"/>
        <d v="2023-04-03T02:18:00"/>
        <d v="2023-04-04T05:34:00"/>
        <d v="2023-04-04T04:36:00"/>
        <d v="2023-04-04T04:07:00"/>
        <d v="2023-04-04T02:41:00"/>
        <d v="2023-04-04T03:57:00"/>
        <d v="2023-04-04T06:17:00"/>
        <d v="2023-04-04T01:29:00"/>
        <d v="2023-04-04T04:29:00"/>
        <d v="2023-04-04T06:31:00"/>
        <d v="2023-04-04T03:09:00"/>
        <d v="2023-04-04T04:51:00"/>
        <d v="2023-04-04T04:31:00"/>
        <d v="2023-04-04T03:30:00"/>
        <d v="2023-04-04T02:01:00"/>
        <d v="2023-04-04T04:38:00"/>
        <d v="2023-04-04T04:19:00"/>
        <d v="2023-04-04T06:11:00"/>
        <d v="2023-04-04T05:45:00"/>
        <d v="2023-04-04T02:04:00"/>
        <d v="2023-04-04T03:56:00"/>
        <d v="2023-04-04T04:34:00"/>
        <d v="2023-04-04T04:59:00"/>
        <d v="2023-04-04T07:31:00"/>
        <d v="2023-04-04T02:59:00"/>
        <d v="2023-04-04T06:09:00"/>
        <d v="2023-04-04T02:53:00"/>
        <d v="2023-04-04T07:36:00"/>
        <d v="2023-04-04T03:24:00"/>
        <d v="2023-04-04T05:07:00"/>
        <d v="2023-04-04T02:18:00"/>
        <d v="2023-04-04T04:26:00"/>
        <d v="2023-04-04T05:57:00"/>
        <d v="2023-04-04T04:10:00"/>
        <d v="2023-04-04T04:58:00"/>
        <d v="2023-04-04T05:28:00"/>
        <d v="2023-04-04T05:59:00"/>
        <d v="2023-04-04T03:29:00"/>
        <d v="2023-04-04T07:10:00"/>
        <d v="2023-04-04T04:33:00"/>
        <d v="2023-04-04T04:46:00"/>
        <d v="2023-04-04T03:45:00"/>
        <d v="2023-04-04T05:33:00"/>
        <d v="2023-04-04T05:54:00"/>
        <d v="2023-04-04T03:23:00"/>
        <d v="2023-04-04T06:14:00"/>
        <d v="2023-04-04T03:11:00"/>
        <d v="2023-04-04T04:24:00"/>
        <d v="2023-04-04T05:12:00"/>
        <d v="2023-04-04T05:18:00"/>
        <d v="2023-04-04T04:32:00"/>
        <d v="2023-04-04T06:27:00"/>
        <d v="2023-04-04T06:33:00"/>
        <d v="2023-04-04T02:33:00"/>
        <d v="2023-04-05T06:43:00"/>
        <d v="2023-04-05T02:58:00"/>
        <d v="2023-04-05T06:10:00"/>
        <d v="2023-04-05T03:35:00"/>
        <d v="2023-04-05T02:15:00"/>
        <d v="2023-04-05T05:19:00"/>
        <d v="2023-04-05T04:09:00"/>
        <d v="2023-04-05T04:08:00"/>
        <d v="2023-04-05T05:17:00"/>
        <d v="2023-04-05T07:02:00"/>
        <d v="2023-04-05T05:34:00"/>
        <d v="2023-04-05T03:36:00"/>
        <d v="2023-04-05T01:34:00"/>
        <d v="2023-04-05T07:05:00"/>
        <d v="2023-04-05T05:40:00"/>
        <d v="2023-04-05T04:14:00"/>
        <d v="2023-04-05T06:57:00"/>
        <d v="2023-04-05T05:08:00"/>
        <d v="2023-04-05T05:15:00"/>
        <d v="2023-04-05T04:29:00"/>
        <d v="2023-04-05T04:59:00"/>
        <d v="2023-04-05T02:37:00"/>
        <d v="2023-04-05T04:51:00"/>
        <d v="2023-04-05T04:05:00"/>
        <d v="2023-04-05T03:01:00"/>
        <d v="2023-04-05T05:23:00"/>
        <d v="2023-04-05T05:04:00"/>
        <d v="2023-04-05T02:03:00"/>
        <d v="2023-04-05T04:58:00"/>
        <d v="2023-04-05T07:12:00"/>
        <d v="2023-04-05T04:35:00"/>
        <d v="2023-04-05T06:37:00"/>
        <d v="2023-04-05T04:33:00"/>
        <d v="2023-04-05T03:31:00"/>
        <d v="2023-04-05T05:43:00"/>
        <d v="2023-04-05T05:29:00"/>
        <d v="2023-04-05T04:07:00"/>
        <d v="2023-04-05T03:09:00"/>
        <d v="2023-04-05T04:57:00"/>
        <d v="2023-04-05T03:17:00"/>
        <d v="2023-04-05T03:45:00"/>
        <d v="2023-04-05T05:02:00"/>
        <d v="2023-04-05T03:43:00"/>
        <d v="2023-04-05T06:03:00"/>
        <d v="2023-04-05T03:46:00"/>
        <d v="2023-04-05T03:59:00"/>
        <d v="2023-04-05T07:25:00"/>
        <d v="2023-04-05T05:54:00"/>
        <d v="2023-04-05T03:55:00"/>
        <d v="2023-04-05T06:01:00"/>
        <d v="2023-04-05T04:04:00"/>
        <d v="2023-04-05T05:25:00"/>
        <d v="2023-04-05T07:33:00"/>
        <d v="2023-04-05T01:23:00"/>
        <d v="2023-04-05T05:48:00"/>
        <d v="2023-04-05T03:23:00"/>
        <d v="2023-04-05T03:18:00"/>
        <d v="2023-04-05T03:14:00"/>
        <d v="2023-04-05T06:08:00"/>
        <d v="2023-04-05T06:13:00"/>
        <d v="2023-04-05T07:24:00"/>
        <d v="2023-04-05T05:01:00"/>
        <d v="2023-04-05T02:26:00"/>
        <d v="2023-04-05T05:07:00"/>
        <d v="2023-04-05T04:53:00"/>
        <d v="2023-04-05T07:32:00"/>
        <d v="2023-04-05T04:21:00"/>
        <d v="2023-04-05T02:12:00"/>
        <d v="2023-04-05T06:56:00"/>
        <d v="2023-04-05T05:55:00"/>
        <d v="2023-04-05T04:27:00"/>
        <d v="2023-04-05T03:13:00"/>
        <d v="2023-04-05T04:39:00"/>
        <d v="2023-04-05T03:38:00"/>
        <d v="2023-04-05T04:20:00"/>
        <d v="2023-04-05T05:45:00"/>
        <d v="2023-04-05T05:22:00"/>
        <d v="2023-04-05T04:17:00"/>
        <d v="2023-04-05T05:38:00"/>
        <d v="2023-04-05T06:52:00"/>
        <d v="2023-04-06T07:04:00"/>
        <d v="2023-04-06T03:32:00"/>
        <d v="2023-04-06T05:50:00"/>
        <d v="2023-04-06T01:47:00"/>
        <d v="2023-04-06T02:58:00"/>
        <d v="2023-04-06T03:28:00"/>
        <d v="2023-04-06T04:30:00"/>
        <d v="2023-04-06T07:19:00"/>
        <d v="2023-04-06T04:43:00"/>
        <d v="2023-04-06T02:59:00"/>
        <d v="2023-04-06T07:01:00"/>
        <d v="2023-04-06T04:31:00"/>
        <d v="2023-04-06T02:52:00"/>
        <d v="2023-04-06T06:12:00"/>
        <d v="2023-04-06T03:50:00"/>
        <d v="2023-04-06T01:58:00"/>
        <d v="2023-04-06T05:27:00"/>
        <d v="2023-04-06T04:57:00"/>
        <d v="2023-04-06T02:37:00"/>
        <d v="2023-04-06T04:36:00"/>
        <d v="2023-04-06T01:46:00"/>
        <d v="2023-04-06T04:49:00"/>
        <d v="2023-04-06T06:50:00"/>
        <d v="2023-04-06T06:22:00"/>
        <d v="2023-04-06T06:58:00"/>
        <d v="2023-04-06T03:46:00"/>
        <d v="2023-04-06T04:28:00"/>
        <d v="2023-04-06T05:15:00"/>
        <d v="2023-04-06T06:31:00"/>
        <d v="2023-04-06T01:57:00"/>
        <d v="2023-04-06T04:02:00"/>
        <d v="2023-04-06T04:48:00"/>
        <d v="2023-04-06T06:07:00"/>
        <d v="2023-04-06T06:35:00"/>
        <d v="2023-04-06T06:02:00"/>
        <d v="2023-04-06T04:33:00"/>
        <d v="2023-04-06T03:23:00"/>
        <d v="2023-04-06T02:26:00"/>
        <d v="2023-04-06T04:51:00"/>
        <d v="2023-04-06T02:03:00"/>
        <d v="2023-04-06T04:59:00"/>
        <d v="2023-04-06T05:30:00"/>
        <d v="2023-04-06T03:49:00"/>
        <d v="2023-04-06T06:23:00"/>
        <d v="2023-04-06T02:54:00"/>
        <d v="2023-04-06T04:26:00"/>
        <d v="2023-04-06T04:42:00"/>
        <d v="2023-04-06T02:32:00"/>
        <d v="2023-04-06T07:14:00"/>
        <d v="2023-04-06T05:41:00"/>
        <d v="2023-04-06T05:55:00"/>
        <d v="2023-04-06T03:48:00"/>
        <d v="2023-04-06T05:04:00"/>
        <d v="2023-04-06T05:26:00"/>
        <d v="2023-04-06T05:20:00"/>
        <d v="2023-04-06T04:29:00"/>
        <d v="2023-04-06T04:39:00"/>
        <d v="2023-04-06T02:09:00"/>
        <d v="2023-04-06T05:33:00"/>
        <d v="2023-04-06T07:00:00"/>
        <d v="2023-04-06T06:56:00"/>
        <d v="2023-04-06T04:32:00"/>
        <d v="2023-04-06T03:37:00"/>
        <d v="2023-04-06T04:45:00"/>
        <d v="2023-04-06T05:29:00"/>
        <d v="2023-04-06T04:03:00"/>
        <d v="2023-04-06T02:39:00"/>
        <d v="2023-04-06T04:10:00"/>
        <d v="2023-04-06T03:54:00"/>
        <d v="2023-04-06T05:24:00"/>
        <d v="2023-04-06T02:55:00"/>
        <d v="2023-04-06T05:02:00"/>
        <d v="2023-04-06T07:41:00"/>
        <d v="2023-04-06T07:39:00"/>
        <d v="2023-04-06T03:06:00"/>
        <d v="2023-04-06T03:59:00"/>
        <d v="2023-04-06T03:17:00"/>
        <d v="2023-04-06T03:39:00"/>
        <d v="2023-04-06T06:20:00"/>
        <d v="2023-04-06T02:23:00"/>
        <d v="2023-04-06T05:16:00"/>
        <d v="2023-04-06T03:05:00"/>
        <d v="2023-04-06T04:27:00"/>
        <d v="2023-04-06T06:27:00"/>
        <d v="2023-04-06T07:09:00"/>
        <d v="2023-04-06T03:08:00"/>
        <d v="2023-04-06T04:44:00"/>
        <d v="2023-04-06T07:06:00"/>
        <d v="2023-04-06T06:40:00"/>
        <d v="2023-04-06T04:24:00"/>
        <d v="2023-04-06T02:17:00"/>
        <d v="2023-04-06T01:18:00"/>
        <d v="2023-04-06T05:08:00"/>
        <d v="2023-04-06T05:09:00"/>
        <d v="2023-04-06T03:34:00"/>
        <d v="2023-04-06T06:59:00"/>
        <d v="2023-04-06T03:55:00"/>
        <d v="2023-04-06T05:58:00"/>
        <d v="2023-04-06T05:57:00"/>
        <d v="2023-04-06T06:19:00"/>
        <d v="2023-04-06T02:40:00"/>
        <d v="2023-04-06T03:51:00"/>
        <d v="2023-04-06T04:21:00"/>
        <d v="2023-04-06T05:01:00"/>
        <d v="2023-04-06T06:15:00"/>
        <d v="2023-04-06T06:24:00"/>
        <d v="2023-04-06T06:06:00"/>
        <d v="2023-04-06T03:29:00"/>
        <d v="2023-04-06T07:20:00"/>
        <d v="2023-04-06T07:02:00"/>
        <d v="2023-04-06T04:11:00"/>
        <d v="2023-04-06T07:43:00"/>
        <d v="2023-04-06T05:00:00"/>
        <d v="2023-04-06T03:35:00"/>
        <d v="2023-04-06T04:37:00"/>
        <d v="2023-04-06T01:53:00"/>
        <d v="2023-04-06T03:36:00"/>
        <d v="2023-04-06T05:17:00"/>
        <d v="2023-04-06T03:12:00"/>
        <d v="2023-04-06T02:41:00"/>
        <d v="2023-04-06T02:27:00"/>
        <d v="2023-04-06T05:31:00"/>
        <d v="2023-04-06T03:10:00"/>
        <d v="2023-04-06T03:26:00"/>
        <d v="2023-04-06T03:22:00"/>
        <d v="2023-04-06T04:13:00"/>
        <d v="2023-04-06T01:37:00"/>
        <d v="2023-04-06T02:49:00"/>
        <d v="2023-04-06T02:51:00"/>
        <d v="2023-04-06T05:28:00"/>
        <d v="2023-04-06T03:04:00"/>
        <d v="2023-04-06T05:48:00"/>
        <d v="2023-04-06T02:16:00"/>
        <d v="2023-04-06T05:19:00"/>
        <d v="2023-04-06T01:50:00"/>
        <d v="2023-04-06T03:52:00"/>
        <d v="2023-04-06T01:56:00"/>
        <d v="2023-04-06T07:10:00"/>
        <d v="2023-04-06T06:25:00"/>
        <d v="2023-04-06T06:38:00"/>
        <d v="2023-04-06T04:55:00"/>
        <d v="2023-04-06T03:45:00"/>
        <d v="2023-04-07T05:02:00"/>
        <d v="2023-04-07T05:44:00"/>
        <d v="2023-04-07T02:26:00"/>
        <d v="2023-04-07T04:20:00"/>
        <d v="2023-04-07T01:44:00"/>
        <d v="2023-04-07T04:49:00"/>
        <d v="2023-04-07T06:40:00"/>
        <d v="2023-04-07T04:07:00"/>
        <d v="2023-04-07T04:03:00"/>
        <d v="2023-04-07T05:51:00"/>
        <d v="2023-04-07T06:52:00"/>
        <d v="2023-04-07T03:47:00"/>
        <d v="2023-04-07T03:53:00"/>
        <d v="2023-04-07T05:56:00"/>
        <d v="2023-04-07T04:57:00"/>
        <d v="2023-04-07T07:07:00"/>
        <d v="2023-04-07T04:41:00"/>
        <d v="2023-04-07T04:34:00"/>
        <d v="2023-04-07T03:12:00"/>
        <d v="2023-04-07T03:30:00"/>
        <d v="2023-04-07T03:51:00"/>
        <d v="2023-04-07T02:52:00"/>
        <d v="2023-04-07T01:30:00"/>
        <d v="2023-04-07T04:33:00"/>
        <d v="2023-04-07T03:45:00"/>
        <d v="2023-04-07T02:37:00"/>
        <d v="2023-04-07T05:22:00"/>
        <d v="2023-04-07T03:03:00"/>
        <d v="2023-04-07T05:20:00"/>
        <d v="2023-04-07T06:50:00"/>
        <d v="2023-04-07T04:05:00"/>
        <d v="2023-04-07T06:22:00"/>
        <d v="2023-04-07T04:40:00"/>
        <d v="2023-04-07T01:43:00"/>
        <d v="2023-04-07T03:39:00"/>
        <d v="2023-04-07T05:39:00"/>
        <d v="2023-04-07T05:03:00"/>
        <d v="2023-04-07T02:22:00"/>
        <d v="2023-04-07T05:43:00"/>
        <d v="2023-04-07T05:17:00"/>
        <d v="2023-04-07T04:26:00"/>
        <d v="2023-04-07T07:31:00"/>
        <d v="2023-04-07T05:13:00"/>
        <d v="2023-04-07T05:32:00"/>
        <d v="2023-04-07T06:11:00"/>
        <d v="2023-04-07T06:42:00"/>
        <d v="2023-04-07T06:25:00"/>
        <d v="2023-04-07T02:56:00"/>
        <d v="2023-04-07T02:50:00"/>
        <d v="2023-04-07T05:45:00"/>
        <d v="2023-04-07T05:15:00"/>
        <d v="2023-04-07T02:19:00"/>
        <d v="2023-04-07T04:29:00"/>
        <d v="2023-04-07T02:53:00"/>
        <d v="2023-04-07T04:54:00"/>
        <d v="2023-04-07T05:23:00"/>
        <d v="2023-04-07T07:24:00"/>
        <d v="2023-04-07T03:40:00"/>
        <d v="2023-04-07T03:38:00"/>
        <d v="2023-04-07T05:18:00"/>
        <d v="2023-04-07T02:27:00"/>
        <d v="2023-04-07T04:15:00"/>
        <d v="2023-04-07T04:44:00"/>
        <d v="2023-04-07T06:03:00"/>
        <d v="2023-04-07T07:06:00"/>
        <d v="2023-04-07T02:49:00"/>
        <d v="2023-04-07T05:46:00"/>
        <d v="2023-04-07T07:01:00"/>
        <d v="2023-04-07T04:08:00"/>
        <d v="2023-04-07T03:20:00"/>
        <d v="2023-04-07T03:02:00"/>
        <d v="2023-04-07T06:05:00"/>
        <d v="2023-04-07T02:33:00"/>
        <d v="2023-04-07T07:13:00"/>
        <d v="2023-04-07T05:28:00"/>
        <d v="2023-04-07T03:24:00"/>
        <d v="2023-04-07T03:06:00"/>
        <d v="2023-04-07T02:04:00"/>
        <d v="2023-04-07T06:10:00"/>
        <d v="2023-04-07T06:24:00"/>
        <d v="2023-04-07T04:23:00"/>
        <d v="2023-04-07T07:44:00"/>
        <d v="2023-04-07T05:49:00"/>
        <d v="2023-04-07T04:52:00"/>
        <d v="2023-04-07T06:27:00"/>
        <d v="2023-04-07T05:58:00"/>
        <d v="2023-04-07T03:00:00"/>
        <d v="2023-04-07T03:10:00"/>
        <d v="2023-04-07T04:38:00"/>
        <d v="2023-04-07T04:36:00"/>
        <d v="2023-04-07T04:27:00"/>
        <d v="2023-04-07T07:51:00"/>
        <d v="2023-04-07T04:42:00"/>
        <d v="2023-04-07T02:10:00"/>
        <d v="2023-04-07T01:40:00"/>
        <d v="2023-04-07T03:42:00"/>
        <d v="2023-04-07T03:25:00"/>
        <d v="2023-04-07T05:12:00"/>
        <d v="2023-04-07T01:37:00"/>
        <d v="2023-04-07T04:50:00"/>
        <d v="2023-04-07T03:57:00"/>
      </sharedItems>
      <fieldGroup par="26"/>
    </cacheField>
    <cacheField name="Mesero Asignado" numFmtId="0">
      <sharedItems count="5">
        <s v="Mesero_3"/>
        <s v="Mesero_1"/>
        <s v="Mesero_2"/>
        <s v="Mesero_5"/>
        <s v="Mesero_4"/>
      </sharedItems>
    </cacheField>
    <cacheField name="Tipo de Servicio" numFmtId="0">
      <sharedItems count="3">
        <s v="Almuerzo"/>
        <s v="Desayuno"/>
        <s v="Cena"/>
      </sharedItems>
    </cacheField>
    <cacheField name="Método de Pago" numFmtId="0">
      <sharedItems count="3">
        <s v="Tarjeta de débito"/>
        <s v="Efectivo"/>
        <s v="Tarjeta de crédito"/>
      </sharedItems>
    </cacheField>
    <cacheField name="Propina" numFmtId="2">
      <sharedItems containsSemiMixedTypes="0" containsString="0" containsNumber="1" minValue="1.23" maxValue="49.88"/>
    </cacheField>
    <cacheField name="Estado de la Mesa" numFmtId="0">
      <sharedItems count="3">
        <s v="Reservada"/>
        <s v="Libre"/>
        <s v="Ocupada"/>
      </sharedItems>
    </cacheField>
    <cacheField name="Número de Orden" numFmtId="0">
      <sharedItems containsSemiMixedTypes="0" containsString="0" containsNumber="1" containsInteger="1" minValue="1" maxValue="767"/>
    </cacheField>
    <cacheField name="País de Origen" numFmtId="0">
      <sharedItems count="11">
        <s v="España"/>
        <s v="Colombia"/>
        <s v="Brasil"/>
        <s v="Paraguay"/>
        <s v="Perú"/>
        <s v="Venezuela"/>
        <s v="Bolivia"/>
        <s v="Uruguay"/>
        <s v="Ecuador"/>
        <s v="Chile"/>
        <s v="Argentina"/>
      </sharedItems>
    </cacheField>
    <cacheField name="Platos Ordenados" numFmtId="0">
      <sharedItems/>
    </cacheField>
    <cacheField name="Monto total " numFmtId="0">
      <sharedItems containsSemiMixedTypes="0" containsString="0" containsNumber="1" containsInteger="1" minValue="8" maxValue="147"/>
    </cacheField>
    <cacheField name="Fecha de factura" numFmtId="14">
      <sharedItems containsSemiMixedTypes="0" containsNonDate="0" containsDate="1" containsString="0" minDate="2023-04-01T00:01:00" maxDate="2023-04-07T03:56:00" count="601">
        <d v="2023-04-01T01:07:00"/>
        <d v="2023-04-01T01:28:00"/>
        <d v="2023-04-01T00:29:00"/>
        <d v="2023-04-01T03:03:00"/>
        <d v="2023-04-01T00:01:00"/>
        <d v="2023-04-01T01:24:00"/>
        <d v="2023-04-01T01:57:00"/>
        <d v="2023-04-01T02:11:00"/>
        <d v="2023-04-01T02:03:00"/>
        <d v="2023-04-01T00:02:00"/>
        <d v="2023-04-01T03:46:00"/>
        <d v="2023-04-01T00:04:00"/>
        <d v="2023-04-01T03:09:00"/>
        <d v="2023-04-01T00:18:00"/>
        <d v="2023-04-01T03:24:00"/>
        <d v="2023-04-01T02:31:00"/>
        <d v="2023-04-01T00:09:00"/>
        <d v="2023-04-01T02:06:00"/>
        <d v="2023-04-01T00:35:00"/>
        <d v="2023-04-01T01:25:00"/>
        <d v="2023-04-01T03:39:00"/>
        <d v="2023-04-01T02:16:00"/>
        <d v="2023-04-01T02:44:00"/>
        <d v="2023-04-01T03:01:00"/>
        <d v="2023-04-01T02:04:00"/>
        <d v="2023-04-01T01:19:00"/>
        <d v="2023-04-01T00:49:00"/>
        <d v="2023-04-01T03:02:00"/>
        <d v="2023-04-01T02:55:00"/>
        <d v="2023-04-01T02:51:00"/>
        <d v="2023-04-01T03:08:00"/>
        <d v="2023-04-01T03:33:00"/>
        <d v="2023-04-01T03:18:00"/>
        <d v="2023-04-01T03:27:00"/>
        <d v="2023-04-01T02:38:00"/>
        <d v="2023-04-01T03:41:00"/>
        <d v="2023-04-01T02:00:00"/>
        <d v="2023-04-01T02:14:00"/>
        <d v="2023-04-01T00:25:00"/>
        <d v="2023-04-01T01:02:00"/>
        <d v="2023-04-01T03:06:00"/>
        <d v="2023-04-01T02:15:00"/>
        <d v="2023-04-01T01:47:00"/>
        <d v="2023-04-01T03:30:00"/>
        <d v="2023-04-01T00:28:00"/>
        <d v="2023-04-01T01:44:00"/>
        <d v="2023-04-01T03:54:00"/>
        <d v="2023-04-01T01:42:00"/>
        <d v="2023-04-01T00:40:00"/>
        <d v="2023-04-01T01:30:00"/>
        <d v="2023-04-01T01:20:00"/>
        <d v="2023-04-01T03:04:00"/>
        <d v="2023-04-01T01:31:00"/>
        <d v="2023-04-01T01:21:00"/>
        <d v="2023-04-01T02:09:00"/>
        <d v="2023-04-01T03:49:00"/>
        <d v="2023-04-01T02:47:00"/>
        <d v="2023-04-01T00:41:00"/>
        <d v="2023-04-01T01:40:00"/>
        <d v="2023-04-01T01:54:00"/>
        <d v="2023-04-01T02:28:00"/>
        <d v="2023-04-01T03:45:00"/>
        <d v="2023-04-01T02:02:00"/>
        <d v="2023-04-01T00:11:00"/>
        <d v="2023-04-01T02:42:00"/>
        <d v="2023-04-01T02:39:00"/>
        <d v="2023-04-01T01:04:00"/>
        <d v="2023-04-01T03:36:00"/>
        <d v="2023-04-01T02:57:00"/>
        <d v="2023-04-01T02:46:00"/>
        <d v="2023-04-01T01:34:00"/>
        <d v="2023-04-01T03:40:00"/>
        <d v="2023-04-01T03:25:00"/>
        <d v="2023-04-01T03:42:00"/>
        <d v="2023-04-01T02:35:00"/>
        <d v="2023-04-01T01:46:00"/>
        <d v="2023-04-01T00:42:00"/>
        <d v="2023-04-01T01:17:00"/>
        <d v="2023-04-01T03:38:00"/>
        <d v="2023-04-01T03:35:00"/>
        <d v="2023-04-01T01:39:00"/>
        <d v="2023-04-01T01:52:00"/>
        <d v="2023-04-01T03:19:00"/>
        <d v="2023-04-01T01:59:00"/>
        <d v="2023-04-01T01:01:00"/>
        <d v="2023-04-01T02:22:00"/>
        <d v="2023-04-01T03:32:00"/>
        <d v="2023-04-01T00:14:00"/>
        <d v="2023-04-01T01:33:00"/>
        <d v="2023-04-01T01:18:00"/>
        <d v="2023-04-01T01:29:00"/>
        <d v="2023-04-01T01:32:00"/>
        <d v="2023-04-01T01:48:00"/>
        <d v="2023-04-01T01:49:00"/>
        <d v="2023-04-01T01:12:00"/>
        <d v="2023-04-01T03:43:00"/>
        <d v="2023-04-01T03:15:00"/>
        <d v="2023-04-01T00:34:00"/>
        <d v="2023-04-02T03:24:00"/>
        <d v="2023-04-02T00:38:00"/>
        <d v="2023-04-02T03:45:00"/>
        <d v="2023-04-02T01:23:00"/>
        <d v="2023-04-02T03:09:00"/>
        <d v="2023-04-02T03:39:00"/>
        <d v="2023-04-02T02:56:00"/>
        <d v="2023-04-02T02:45:00"/>
        <d v="2023-04-02T00:42:00"/>
        <d v="2023-04-02T01:31:00"/>
        <d v="2023-04-02T00:41:00"/>
        <d v="2023-04-02T00:26:00"/>
        <d v="2023-04-02T00:43:00"/>
        <d v="2023-04-02T01:26:00"/>
        <d v="2023-04-02T00:54:00"/>
        <d v="2023-04-02T00:07:00"/>
        <d v="2023-04-02T01:00:00"/>
        <d v="2023-04-02T01:50:00"/>
        <d v="2023-04-02T01:21:00"/>
        <d v="2023-04-02T03:48:00"/>
        <d v="2023-04-02T00:40:00"/>
        <d v="2023-04-02T03:49:00"/>
        <d v="2023-04-02T01:58:00"/>
        <d v="2023-04-02T02:05:00"/>
        <d v="2023-04-02T00:32:00"/>
        <d v="2023-04-02T02:58:00"/>
        <d v="2023-04-02T00:37:00"/>
        <d v="2023-04-02T01:40:00"/>
        <d v="2023-04-02T03:18:00"/>
        <d v="2023-04-02T03:52:00"/>
        <d v="2023-04-02T01:35:00"/>
        <d v="2023-04-02T03:15:00"/>
        <d v="2023-04-02T01:14:00"/>
        <d v="2023-04-02T03:06:00"/>
        <d v="2023-04-02T02:09:00"/>
        <d v="2023-04-02T01:53:00"/>
        <d v="2023-04-02T03:22:00"/>
        <d v="2023-04-02T00:10:00"/>
        <d v="2023-04-02T01:06:00"/>
        <d v="2023-04-02T00:45:00"/>
        <d v="2023-04-02T00:57:00"/>
        <d v="2023-04-02T02:34:00"/>
        <d v="2023-04-02T02:21:00"/>
        <d v="2023-04-02T01:18:00"/>
        <d v="2023-04-02T01:19:00"/>
        <d v="2023-04-02T01:56:00"/>
        <d v="2023-04-02T02:37:00"/>
        <d v="2023-04-02T02:49:00"/>
        <d v="2023-04-02T00:18:00"/>
        <d v="2023-04-02T00:09:00"/>
        <d v="2023-04-02T01:27:00"/>
        <d v="2023-04-02T02:27:00"/>
        <d v="2023-04-02T00:14:00"/>
        <d v="2023-04-02T00:44:00"/>
        <d v="2023-04-02T03:53:00"/>
        <d v="2023-04-02T02:46:00"/>
        <d v="2023-04-02T03:55:00"/>
        <d v="2023-04-02T02:47:00"/>
        <d v="2023-04-02T02:23:00"/>
        <d v="2023-04-02T03:40:00"/>
        <d v="2023-04-02T00:00:00"/>
        <d v="2023-04-02T02:36:00"/>
        <d v="2023-04-02T00:12:00"/>
        <d v="2023-04-02T02:40:00"/>
        <d v="2023-04-02T03:04:00"/>
        <d v="2023-04-02T00:11:00"/>
        <d v="2023-04-02T00:36:00"/>
        <d v="2023-04-02T02:35:00"/>
        <d v="2023-04-02T00:58:00"/>
        <d v="2023-04-02T03:57:00"/>
        <d v="2023-04-02T00:17:00"/>
        <d v="2023-04-02T02:15:00"/>
        <d v="2023-04-02T03:27:00"/>
        <d v="2023-04-02T03:33:00"/>
        <d v="2023-04-02T02:43:00"/>
        <d v="2023-04-02T01:46:00"/>
        <d v="2023-04-02T00:27:00"/>
        <d v="2023-04-02T02:33:00"/>
        <d v="2023-04-02T01:01:00"/>
        <d v="2023-04-02T01:51:00"/>
        <d v="2023-04-02T03:38:00"/>
        <d v="2023-04-02T01:16:00"/>
        <d v="2023-04-02T02:07:00"/>
        <d v="2023-04-02T01:49:00"/>
        <d v="2023-04-02T01:12:00"/>
        <d v="2023-04-02T02:04:00"/>
        <d v="2023-04-02T00:52:00"/>
        <d v="2023-04-02T00:22:00"/>
        <d v="2023-04-02T02:17:00"/>
        <d v="2023-04-02T00:16:00"/>
        <d v="2023-04-02T00:04:00"/>
        <d v="2023-04-02T03:42:00"/>
        <d v="2023-04-02T03:44:00"/>
        <d v="2023-04-02T03:31:00"/>
        <d v="2023-04-02T01:20:00"/>
        <d v="2023-04-02T00:39:00"/>
        <d v="2023-04-02T03:05:00"/>
        <d v="2023-04-02T00:23:00"/>
        <d v="2023-04-02T02:08:00"/>
        <d v="2023-04-02T01:08:00"/>
        <d v="2023-04-02T02:53:00"/>
        <d v="2023-04-02T03:11:00"/>
        <d v="2023-04-02T02:54:00"/>
        <d v="2023-04-02T00:30:00"/>
        <d v="2023-04-03T02:07:00"/>
        <d v="2023-04-03T00:46:00"/>
        <d v="2023-04-03T02:58:00"/>
        <d v="2023-04-03T01:11:00"/>
        <d v="2023-04-03T01:40:00"/>
        <d v="2023-04-03T00:34:00"/>
        <d v="2023-04-03T01:47:00"/>
        <d v="2023-04-03T03:15:00"/>
        <d v="2023-04-03T02:13:00"/>
        <d v="2023-04-03T02:35:00"/>
        <d v="2023-04-03T01:28:00"/>
        <d v="2023-04-03T03:10:00"/>
        <d v="2023-04-03T00:15:00"/>
        <d v="2023-04-03T00:30:00"/>
        <d v="2023-04-03T03:52:00"/>
        <d v="2023-04-03T01:04:00"/>
        <d v="2023-04-03T02:28:00"/>
        <d v="2023-04-03T03:03:00"/>
        <d v="2023-04-03T00:22:00"/>
        <d v="2023-04-03T03:37:00"/>
        <d v="2023-04-03T02:08:00"/>
        <d v="2023-04-03T03:08:00"/>
        <d v="2023-04-03T02:06:00"/>
        <d v="2023-04-03T03:18:00"/>
        <d v="2023-04-03T00:09:00"/>
        <d v="2023-04-03T02:55:00"/>
        <d v="2023-04-03T00:26:00"/>
        <d v="2023-04-03T00:10:00"/>
        <d v="2023-04-03T02:49:00"/>
        <d v="2023-04-03T01:03:00"/>
        <d v="2023-04-03T03:14:00"/>
        <d v="2023-04-03T01:19:00"/>
        <d v="2023-04-03T02:17:00"/>
        <d v="2023-04-03T02:14:00"/>
        <d v="2023-04-03T01:20:00"/>
        <d v="2023-04-03T03:38:00"/>
        <d v="2023-04-03T03:24:00"/>
        <d v="2023-04-03T00:45:00"/>
        <d v="2023-04-03T00:03:00"/>
        <d v="2023-04-03T03:09:00"/>
        <d v="2023-04-03T01:55:00"/>
        <d v="2023-04-03T00:28:00"/>
        <d v="2023-04-03T03:04:00"/>
        <d v="2023-04-03T03:07:00"/>
        <d v="2023-04-03T02:23:00"/>
        <d v="2023-04-03T00:12:00"/>
        <d v="2023-04-03T01:38:00"/>
        <d v="2023-04-03T02:25:00"/>
        <d v="2023-04-03T03:33:00"/>
        <d v="2023-04-03T00:48:00"/>
        <d v="2023-04-03T01:30:00"/>
        <d v="2023-04-03T02:04:00"/>
        <d v="2023-04-03T03:41:00"/>
        <d v="2023-04-03T01:23:00"/>
        <d v="2023-04-03T00:43:00"/>
        <d v="2023-04-03T01:00:00"/>
        <d v="2023-04-04T01:39:00"/>
        <d v="2023-04-04T02:59:00"/>
        <d v="2023-04-04T01:44:00"/>
        <d v="2023-04-04T00:26:00"/>
        <d v="2023-04-04T01:50:00"/>
        <d v="2023-04-04T03:06:00"/>
        <d v="2023-04-04T00:14:00"/>
        <d v="2023-04-04T03:10:00"/>
        <d v="2023-04-04T02:51:00"/>
        <d v="2023-04-04T01:56:00"/>
        <d v="2023-04-04T01:35:00"/>
        <d v="2023-04-04T01:38:00"/>
        <d v="2023-04-04T00:32:00"/>
        <d v="2023-04-04T00:00:00"/>
        <d v="2023-04-04T01:12:00"/>
        <d v="2023-04-04T02:05:00"/>
        <d v="2023-04-04T02:30:00"/>
        <d v="2023-04-04T03:56:00"/>
        <d v="2023-04-04T00:46:00"/>
        <d v="2023-04-04T01:18:00"/>
        <d v="2023-04-04T00:40:00"/>
        <d v="2023-04-04T01:49:00"/>
        <d v="2023-04-04T01:17:00"/>
        <d v="2023-04-04T03:48:00"/>
        <d v="2023-04-04T00:35:00"/>
        <d v="2023-04-04T03:52:00"/>
        <d v="2023-04-04T00:17:00"/>
        <d v="2023-04-04T03:46:00"/>
        <d v="2023-04-04T01:41:00"/>
        <d v="2023-04-04T00:12:00"/>
        <d v="2023-04-04T01:19:00"/>
        <d v="2023-04-04T02:37:00"/>
        <d v="2023-04-04T00:41:00"/>
        <d v="2023-04-04T01:10:00"/>
        <d v="2023-04-04T01:53:00"/>
        <d v="2023-04-04T02:03:00"/>
        <d v="2023-04-04T01:46:00"/>
        <d v="2023-04-04T03:50:00"/>
        <d v="2023-04-04T01:03:00"/>
        <d v="2023-04-04T01:33:00"/>
        <d v="2023-04-04T00:53:00"/>
        <d v="2023-04-04T03:24:00"/>
        <d v="2023-04-04T02:11:00"/>
        <d v="2023-04-04T02:20:00"/>
        <d v="2023-04-04T01:16:00"/>
        <d v="2023-04-04T02:46:00"/>
        <d v="2023-04-04T00:37:00"/>
        <d v="2023-04-04T03:19:00"/>
        <d v="2023-04-04T02:53:00"/>
        <d v="2023-04-04T03:55:00"/>
        <d v="2023-04-04T01:31:00"/>
        <d v="2023-04-04T00:58:00"/>
        <d v="2023-04-04T00:57:00"/>
        <d v="2023-04-04T03:09:00"/>
        <d v="2023-04-04T03:29:00"/>
        <d v="2023-04-04T00:11:00"/>
        <d v="2023-04-05T03:37:00"/>
        <d v="2023-04-05T00:33:00"/>
        <d v="2023-04-05T03:09:00"/>
        <d v="2023-04-05T00:02:00"/>
        <d v="2023-04-05T02:59:00"/>
        <d v="2023-04-05T02:05:00"/>
        <d v="2023-04-05T02:33:00"/>
        <d v="2023-04-05T03:26:00"/>
        <d v="2023-04-05T01:37:00"/>
        <d v="2023-04-05T00:32:00"/>
        <d v="2023-04-05T00:20:00"/>
        <d v="2023-04-05T03:10:00"/>
        <d v="2023-04-05T02:48:00"/>
        <d v="2023-04-05T02:11:00"/>
        <d v="2023-04-05T03:51:00"/>
        <d v="2023-04-05T02:41:00"/>
        <d v="2023-04-05T02:15:00"/>
        <d v="2023-04-05T00:38:00"/>
        <d v="2023-04-05T02:39:00"/>
        <d v="2023-04-05T00:29:00"/>
        <d v="2023-04-05T02:13:00"/>
        <d v="2023-04-05T00:56:00"/>
        <d v="2023-04-05T01:55:00"/>
        <d v="2023-04-05T02:47:00"/>
        <d v="2023-04-05T00:22:00"/>
        <d v="2023-04-05T02:36:00"/>
        <d v="2023-04-05T03:43:00"/>
        <d v="2023-04-05T00:39:00"/>
        <d v="2023-04-05T03:03:00"/>
        <d v="2023-04-05T03:25:00"/>
        <d v="2023-04-05T00:52:00"/>
        <d v="2023-04-05T03:14:00"/>
        <d v="2023-04-05T02:18:00"/>
        <d v="2023-04-05T00:36:00"/>
        <d v="2023-04-05T02:34:00"/>
        <d v="2023-04-05T01:08:00"/>
        <d v="2023-04-05T01:24:00"/>
        <d v="2023-04-05T03:11:00"/>
        <d v="2023-04-05T03:18:00"/>
        <d v="2023-04-05T00:10:00"/>
        <d v="2023-04-05T02:21:00"/>
        <d v="2023-04-05T03:33:00"/>
        <d v="2023-04-05T03:31:00"/>
        <d v="2023-04-05T01:14:00"/>
        <d v="2023-04-05T00:15:00"/>
        <d v="2023-04-05T03:53:00"/>
        <d v="2023-04-05T00:12:00"/>
        <d v="2023-04-05T03:02:00"/>
        <d v="2023-04-05T03:58:00"/>
        <d v="2023-04-05T00:00:00"/>
        <d v="2023-04-05T01:59:00"/>
        <d v="2023-04-05T01:04:00"/>
        <d v="2023-04-05T02:04:00"/>
        <d v="2023-04-05T01:15:00"/>
        <d v="2023-04-05T03:23:00"/>
        <d v="2023-04-05T01:01:00"/>
        <d v="2023-04-05T00:07:00"/>
        <d v="2023-04-05T01:17:00"/>
        <d v="2023-04-05T02:53:00"/>
        <d v="2023-04-05T03:42:00"/>
        <d v="2023-04-05T02:12:00"/>
        <d v="2023-04-05T03:48:00"/>
        <d v="2023-04-05T00:24:00"/>
        <d v="2023-04-05T03:27:00"/>
        <d v="2023-04-05T02:43:00"/>
        <d v="2023-04-05T00:53:00"/>
        <d v="2023-04-05T01:21:00"/>
        <d v="2023-04-05T01:11:00"/>
        <d v="2023-04-05T01:54:00"/>
        <d v="2023-04-05T02:42:00"/>
        <d v="2023-04-05T02:57:00"/>
        <d v="2023-04-05T01:41:00"/>
        <d v="2023-04-05T03:36:00"/>
        <d v="2023-04-05T03:57:00"/>
        <d v="2023-04-06T03:36:00"/>
        <d v="2023-04-06T01:52:00"/>
        <d v="2023-04-06T03:17:00"/>
        <d v="2023-04-06T00:03:00"/>
        <d v="2023-04-06T01:39:00"/>
        <d v="2023-04-06T00:01:00"/>
        <d v="2023-04-06T00:42:00"/>
        <d v="2023-04-06T03:26:00"/>
        <d v="2023-04-06T01:57:00"/>
        <d v="2023-04-06T00:41:00"/>
        <d v="2023-04-06T03:50:00"/>
        <d v="2023-04-06T01:33:00"/>
        <d v="2023-04-06T01:00:00"/>
        <d v="2023-04-06T02:47:00"/>
        <d v="2023-04-06T01:34:00"/>
        <d v="2023-04-06T00:00:00"/>
        <d v="2023-04-06T02:57:00"/>
        <d v="2023-04-06T03:20:00"/>
        <d v="2023-04-06T00:07:00"/>
        <d v="2023-04-06T01:03:00"/>
        <d v="2023-04-06T00:31:00"/>
        <d v="2023-04-06T01:28:00"/>
        <d v="2023-04-06T03:01:00"/>
        <d v="2023-04-06T02:34:00"/>
        <d v="2023-04-06T03:30:00"/>
        <d v="2023-04-06T00:17:00"/>
        <d v="2023-04-06T01:21:00"/>
        <d v="2023-04-06T01:17:00"/>
        <d v="2023-04-06T03:44:00"/>
        <d v="2023-04-06T00:45:00"/>
        <d v="2023-04-06T02:20:00"/>
        <d v="2023-04-06T02:10:00"/>
        <d v="2023-04-06T02:38:00"/>
        <d v="2023-04-06T02:01:00"/>
        <d v="2023-04-06T02:50:00"/>
        <d v="2023-04-06T03:12:00"/>
        <d v="2023-04-06T03:32:00"/>
        <d v="2023-04-06T01:38:00"/>
        <d v="2023-04-06T01:19:00"/>
        <d v="2023-04-06T00:58:00"/>
        <d v="2023-04-06T03:55:00"/>
        <d v="2023-04-06T01:35:00"/>
        <d v="2023-04-06T02:08:00"/>
        <d v="2023-04-06T00:48:00"/>
        <d v="2023-04-06T03:35:00"/>
        <d v="2023-04-06T00:43:00"/>
        <d v="2023-04-06T03:27:00"/>
        <d v="2023-04-06T03:41:00"/>
        <d v="2023-04-06T01:47:00"/>
        <d v="2023-04-06T01:58:00"/>
        <d v="2023-04-06T02:13:00"/>
        <d v="2023-04-06T03:03:00"/>
        <d v="2023-04-06T01:48:00"/>
        <d v="2023-04-06T03:14:00"/>
        <d v="2023-04-06T01:02:00"/>
        <d v="2023-04-06T00:57:00"/>
        <d v="2023-04-06T02:31:00"/>
        <d v="2023-04-06T00:24:00"/>
        <d v="2023-04-06T03:19:00"/>
        <d v="2023-04-06T03:51:00"/>
        <d v="2023-04-06T03:46:00"/>
        <d v="2023-04-06T00:33:00"/>
        <d v="2023-04-06T00:47:00"/>
        <d v="2023-04-06T02:39:00"/>
        <d v="2023-04-06T02:43:00"/>
        <d v="2023-04-06T00:55:00"/>
        <d v="2023-04-06T01:08:00"/>
        <d v="2023-04-06T02:58:00"/>
        <d v="2023-04-06T00:26:00"/>
        <d v="2023-04-06T02:45:00"/>
        <d v="2023-04-06T01:30:00"/>
        <d v="2023-04-06T01:59:00"/>
        <d v="2023-04-06T03:57:00"/>
        <d v="2023-04-06T03:52:00"/>
        <d v="2023-04-06T00:18:00"/>
        <d v="2023-04-06T00:14:00"/>
        <d v="2023-04-06T00:15:00"/>
        <d v="2023-04-06T01:13:00"/>
        <d v="2023-04-06T02:36:00"/>
        <d v="2023-04-06T03:04:00"/>
        <d v="2023-04-06T01:45:00"/>
        <d v="2023-04-06T02:40:00"/>
        <d v="2023-04-06T02:53:00"/>
        <d v="2023-04-06T01:36:00"/>
        <d v="2023-04-06T03:13:00"/>
        <d v="2023-04-06T02:11:00"/>
        <d v="2023-04-06T00:10:00"/>
        <d v="2023-04-06T00:06:00"/>
        <d v="2023-04-06T03:33:00"/>
        <d v="2023-04-06T03:48:00"/>
        <d v="2023-04-06T01:41:00"/>
        <d v="2023-04-06T01:23:00"/>
        <d v="2023-04-06T00:44:00"/>
        <d v="2023-04-06T03:38:00"/>
        <d v="2023-04-06T00:25:00"/>
        <d v="2023-04-06T00:51:00"/>
        <d v="2023-04-06T03:16:00"/>
        <d v="2023-04-06T00:34:00"/>
        <d v="2023-04-06T03:58:00"/>
        <d v="2023-04-06T01:18:00"/>
        <d v="2023-04-06T02:49:00"/>
        <d v="2023-04-06T01:24:00"/>
        <d v="2023-04-06T03:23:00"/>
        <d v="2023-04-06T02:12:00"/>
        <d v="2023-04-06T01:12:00"/>
        <d v="2023-04-06T02:32:00"/>
        <d v="2023-04-06T00:46:00"/>
        <d v="2023-04-06T01:20:00"/>
        <d v="2023-04-06T00:56:00"/>
        <d v="2023-04-06T00:16:00"/>
        <d v="2023-04-06T02:07:00"/>
        <d v="2023-04-06T01:56:00"/>
        <d v="2023-04-06T00:09:00"/>
        <d v="2023-04-06T02:23:00"/>
        <d v="2023-04-06T00:02:00"/>
        <d v="2023-04-06T00:21:00"/>
        <d v="2023-04-06T03:43:00"/>
        <d v="2023-04-06T01:55:00"/>
        <d v="2023-04-06T00:54:00"/>
        <d v="2023-04-06T02:17:00"/>
        <d v="2023-04-06T03:59:00"/>
        <d v="2023-04-06T02:55:00"/>
        <d v="2023-04-06T02:59:00"/>
        <d v="2023-04-07T03:33:00"/>
        <d v="2023-04-07T02:04:00"/>
        <d v="2023-04-07T00:06:00"/>
        <d v="2023-04-07T02:31:00"/>
        <d v="2023-04-07T00:02:00"/>
        <d v="2023-04-07T01:15:00"/>
        <d v="2023-04-07T03:36:00"/>
        <d v="2023-04-07T00:51:00"/>
        <d v="2023-04-07T01:43:00"/>
        <d v="2023-04-07T02:50:00"/>
        <d v="2023-04-07T01:56:00"/>
        <d v="2023-04-07T03:22:00"/>
        <d v="2023-04-07T02:01:00"/>
        <d v="2023-04-07T01:09:00"/>
        <d v="2023-04-07T01:35:00"/>
        <d v="2023-04-07T02:05:00"/>
        <d v="2023-04-07T01:04:00"/>
        <d v="2023-04-07T03:39:00"/>
        <d v="2023-04-07T01:01:00"/>
        <d v="2023-04-07T01:52:00"/>
        <d v="2023-04-07T02:18:00"/>
        <d v="2023-04-07T01:24:00"/>
        <d v="2023-04-07T00:37:00"/>
        <d v="2023-04-07T00:03:00"/>
        <d v="2023-04-07T00:54:00"/>
        <d v="2023-04-07T00:28:00"/>
        <d v="2023-04-07T00:34:00"/>
        <d v="2023-04-07T03:01:00"/>
        <d v="2023-04-07T01:23:00"/>
        <d v="2023-04-07T02:56:00"/>
        <d v="2023-04-07T01:26:00"/>
        <d v="2023-04-07T03:56:00"/>
        <d v="2023-04-07T03:29:00"/>
        <d v="2023-04-07T01:12:00"/>
        <d v="2023-04-07T01:54:00"/>
        <d v="2023-04-07T03:26:00"/>
        <d v="2023-04-07T00:36:00"/>
        <d v="2023-04-07T02:43:00"/>
        <d v="2023-04-07T00:53:00"/>
        <d v="2023-04-07T03:44:00"/>
        <d v="2023-04-07T01:51:00"/>
        <d v="2023-04-07T02:02:00"/>
        <d v="2023-04-07T02:16:00"/>
        <d v="2023-04-07T03:48:00"/>
        <d v="2023-04-07T02:30:00"/>
        <d v="2023-04-07T00:23:00"/>
        <d v="2023-04-07T03:20:00"/>
        <d v="2023-04-07T00:17:00"/>
        <d v="2023-04-07T01:40:00"/>
        <d v="2023-04-07T01:48:00"/>
        <d v="2023-04-07T01:14:00"/>
        <d v="2023-04-07T03:05:00"/>
        <d v="2023-04-07T01:55:00"/>
        <d v="2023-04-07T02:28:00"/>
        <d v="2023-04-07T00:15:00"/>
        <d v="2023-04-07T02:21:00"/>
        <d v="2023-04-07T01:45:00"/>
        <d v="2023-04-07T01:47:00"/>
        <d v="2023-04-07T03:18:00"/>
        <d v="2023-04-07T01:18:00"/>
        <d v="2023-04-07T02:13:00"/>
        <d v="2023-04-07T03:53:00"/>
        <d v="2023-04-07T02:51:00"/>
        <d v="2023-04-07T00:31:00"/>
        <d v="2023-04-07T02:06:00"/>
        <d v="2023-04-07T02:49:00"/>
        <d v="2023-04-07T00:29:00"/>
        <d v="2023-04-07T03:16:00"/>
        <d v="2023-04-07T03:17:00"/>
        <d v="2023-04-07T03:40:00"/>
        <d v="2023-04-07T02:27:00"/>
        <d v="2023-04-07T01:08:00"/>
        <d v="2023-04-07T00:39:00"/>
        <d v="2023-04-07T03:49:00"/>
        <d v="2023-04-07T03:47:00"/>
        <d v="2023-04-07T01:59:00"/>
        <d v="2023-04-07T02:34:00"/>
        <d v="2023-04-07T03:10:00"/>
        <d v="2023-04-07T02:53:00"/>
        <d v="2023-04-07T02:32:00"/>
        <d v="2023-04-07T01:21:00"/>
        <d v="2023-04-07T01:46:00"/>
        <d v="2023-04-07T01:32:00"/>
        <d v="2023-04-07T03:21:00"/>
        <d v="2023-04-07T00:40:00"/>
        <d v="2023-04-07T00:25:00"/>
        <d v="2023-04-07T02:39:00"/>
        <d v="2023-04-07T03:30:00"/>
        <d v="2023-04-07T00:24:00"/>
        <d v="2023-04-07T01:34:00"/>
      </sharedItems>
      <fieldGroup par="23"/>
    </cacheField>
    <cacheField name="Hora de llegada2" numFmtId="164">
      <sharedItems containsSemiMixedTypes="0" containsNonDate="0" containsDate="1" containsString="0" minDate="2023-04-01T00:01:00" maxDate="2023-04-07T03:56:00"/>
    </cacheField>
    <cacheField name="Hora de salida2" numFmtId="164">
      <sharedItems containsSemiMixedTypes="0" containsNonDate="0" containsDate="1" containsString="0" minDate="2023-04-01T01:11:00" maxDate="2023-04-07T07:51:00"/>
    </cacheField>
    <cacheField name="Tiempo de permanencia" numFmtId="164">
      <sharedItems containsSemiMixedTypes="0" containsNonDate="0" containsDate="1" containsString="0" minDate="1899-12-30T01:01:00" maxDate="1899-12-30T04:14:00"/>
    </cacheField>
    <cacheField name="Tiempo de preparación total" numFmtId="164">
      <sharedItems containsSemiMixedTypes="0" containsNonDate="0" containsDate="1" containsString="0" minDate="1899-12-30T00:05:00" maxDate="1899-12-30T03:23:00" count="173">
        <d v="1899-12-30T00:57:00"/>
        <d v="1899-12-30T01:25:00"/>
        <d v="1899-12-30T02:06:00"/>
        <d v="1899-12-30T00:40:00"/>
        <d v="1899-12-30T00:17:00"/>
        <d v="1899-12-30T00:11:00"/>
        <d v="1899-12-30T00:41:00"/>
        <d v="1899-12-30T00:55:00"/>
        <d v="1899-12-30T02:26:00"/>
        <d v="1899-12-30T00:29:00"/>
        <d v="1899-12-30T00:56:00"/>
        <d v="1899-12-30T01:35:00"/>
        <d v="1899-12-30T00:59:00"/>
        <d v="1899-12-30T02:34:00"/>
        <d v="1899-12-30T01:43:00"/>
        <d v="1899-12-30T00:38:00"/>
        <d v="1899-12-30T02:38:00"/>
        <d v="1899-12-30T02:14:00"/>
        <d v="1899-12-30T00:44:00"/>
        <d v="1899-12-30T01:10:00"/>
        <d v="1899-12-30T02:32:00"/>
        <d v="1899-12-30T02:03:00"/>
        <d v="1899-12-30T01:03:00"/>
        <d v="1899-12-30T03:00:00"/>
        <d v="1899-12-30T00:35:00"/>
        <d v="1899-12-30T01:49:00"/>
        <d v="1899-12-30T01:11:00"/>
        <d v="1899-12-30T01:09:00"/>
        <d v="1899-12-30T01:45:00"/>
        <d v="1899-12-30T02:08:00"/>
        <d v="1899-12-30T02:10:00"/>
        <d v="1899-12-30T01:05:00"/>
        <d v="1899-12-30T00:47:00"/>
        <d v="1899-12-30T01:38:00"/>
        <d v="1899-12-30T01:18:00"/>
        <d v="1899-12-30T01:29:00"/>
        <d v="1899-12-30T01:26:00"/>
        <d v="1899-12-30T01:27:00"/>
        <d v="1899-12-30T02:04:00"/>
        <d v="1899-12-30T01:21:00"/>
        <d v="1899-12-30T00:21:00"/>
        <d v="1899-12-30T02:44:00"/>
        <d v="1899-12-30T01:02:00"/>
        <d v="1899-12-30T01:52:00"/>
        <d v="1899-12-30T03:23:00"/>
        <d v="1899-12-30T01:36:00"/>
        <d v="1899-12-30T01:08:00"/>
        <d v="1899-12-30T01:13:00"/>
        <d v="1899-12-30T00:48:00"/>
        <d v="1899-12-30T00:43:00"/>
        <d v="1899-12-30T02:39:00"/>
        <d v="1899-12-30T02:35:00"/>
        <d v="1899-12-30T00:30:00"/>
        <d v="1899-12-30T01:22:00"/>
        <d v="1899-12-30T01:54:00"/>
        <d v="1899-12-30T02:11:00"/>
        <d v="1899-12-30T02:25:00"/>
        <d v="1899-12-30T01:32:00"/>
        <d v="1899-12-30T00:49:00"/>
        <d v="1899-12-30T00:54:00"/>
        <d v="1899-12-30T00:20:00"/>
        <d v="1899-12-30T01:40:00"/>
        <d v="1899-12-30T00:51:00"/>
        <d v="1899-12-30T01:37:00"/>
        <d v="1899-12-30T01:07:00"/>
        <d v="1899-12-30T00:19:00"/>
        <d v="1899-12-30T01:34:00"/>
        <d v="1899-12-30T00:10:00"/>
        <d v="1899-12-30T02:22:00"/>
        <d v="1899-12-30T00:08:00"/>
        <d v="1899-12-30T01:57:00"/>
        <d v="1899-12-30T02:12:00"/>
        <d v="1899-12-30T00:42:00"/>
        <d v="1899-12-30T00:18:00"/>
        <d v="1899-12-30T02:09:00"/>
        <d v="1899-12-30T01:16:00"/>
        <d v="1899-12-30T01:19:00"/>
        <d v="1899-12-30T02:20:00"/>
        <d v="1899-12-30T00:46:00"/>
        <d v="1899-12-30T01:39:00"/>
        <d v="1899-12-30T02:21:00"/>
        <d v="1899-12-30T01:55:00"/>
        <d v="1899-12-30T01:58:00"/>
        <d v="1899-12-30T02:01:00"/>
        <d v="1899-12-30T02:17:00"/>
        <d v="1899-12-30T00:16:00"/>
        <d v="1899-12-30T02:16:00"/>
        <d v="1899-12-30T00:32:00"/>
        <d v="1899-12-30T00:33:00"/>
        <d v="1899-12-30T02:18:00"/>
        <d v="1899-12-30T01:24:00"/>
        <d v="1899-12-30T02:19:00"/>
        <d v="1899-12-30T02:52:00"/>
        <d v="1899-12-30T01:20:00"/>
        <d v="1899-12-30T00:25:00"/>
        <d v="1899-12-30T02:00:00"/>
        <d v="1899-12-30T01:42:00"/>
        <d v="1899-12-30T01:47:00"/>
        <d v="1899-12-30T01:28:00"/>
        <d v="1899-12-30T00:13:00"/>
        <d v="1899-12-30T00:26:00"/>
        <d v="1899-12-30T00:28:00"/>
        <d v="1899-12-30T02:30:00"/>
        <d v="1899-12-30T01:46:00"/>
        <d v="1899-12-30T00:12:00"/>
        <d v="1899-12-30T00:06:00"/>
        <d v="1899-12-30T02:15:00"/>
        <d v="1899-12-30T01:14:00"/>
        <d v="1899-12-30T00:22:00"/>
        <d v="1899-12-30T00:07:00"/>
        <d v="1899-12-30T01:50:00"/>
        <d v="1899-12-30T00:27:00"/>
        <d v="1899-12-30T02:41:00"/>
        <d v="1899-12-30T02:46:00"/>
        <d v="1899-12-30T01:33:00"/>
        <d v="1899-12-30T02:51:00"/>
        <d v="1899-12-30T02:56:00"/>
        <d v="1899-12-30T01:12:00"/>
        <d v="1899-12-30T00:58:00"/>
        <d v="1899-12-30T02:36:00"/>
        <d v="1899-12-30T01:51:00"/>
        <d v="1899-12-30T00:23:00"/>
        <d v="1899-12-30T01:48:00"/>
        <d v="1899-12-30T00:53:00"/>
        <d v="1899-12-30T01:59:00"/>
        <d v="1899-12-30T01:31:00"/>
        <d v="1899-12-30T00:31:00"/>
        <d v="1899-12-30T01:41:00"/>
        <d v="1899-12-30T00:37:00"/>
        <d v="1899-12-30T00:45:00"/>
        <d v="1899-12-30T01:56:00"/>
        <d v="1899-12-30T02:02:00"/>
        <d v="1899-12-30T02:29:00"/>
        <d v="1899-12-30T01:23:00"/>
        <d v="1899-12-30T01:15:00"/>
        <d v="1899-12-30T01:01:00"/>
        <d v="1899-12-30T00:09:00"/>
        <d v="1899-12-30T03:15:00"/>
        <d v="1899-12-30T02:57:00"/>
        <d v="1899-12-30T01:53:00"/>
        <d v="1899-12-30T03:03:00"/>
        <d v="1899-12-30T00:15:00"/>
        <d v="1899-12-30T00:39:00"/>
        <d v="1899-12-30T03:06:00"/>
        <d v="1899-12-30T00:05:00"/>
        <d v="1899-12-30T01:00:00"/>
        <d v="1899-12-30T01:30:00"/>
        <d v="1899-12-30T02:23:00"/>
        <d v="1899-12-30T00:24:00"/>
        <d v="1899-12-30T01:06:00"/>
        <d v="1899-12-30T00:50:00"/>
        <d v="1899-12-30T02:43:00"/>
        <d v="1899-12-30T01:04:00"/>
        <d v="1899-12-30T00:34:00"/>
        <d v="1899-12-30T02:59:00"/>
        <d v="1899-12-30T02:33:00"/>
        <d v="1899-12-30T00:14:00"/>
        <d v="1899-12-30T02:13:00"/>
        <d v="1899-12-30T01:17:00"/>
        <d v="1899-12-30T02:37:00"/>
        <d v="1899-12-30T03:19:00"/>
        <d v="1899-12-30T03:18:00"/>
        <d v="1899-12-30T02:58:00"/>
        <d v="1899-12-30T02:47:00"/>
        <d v="1899-12-30T02:48:00"/>
        <d v="1899-12-30T02:42:00"/>
        <d v="1899-12-30T02:31:00"/>
        <d v="1899-12-30T00:36:00"/>
        <d v="1899-12-30T02:28:00"/>
        <d v="1899-12-30T02:05:00"/>
        <d v="1899-12-30T00:52:00"/>
        <d v="1899-12-30T02:45:00"/>
        <d v="1899-12-30T03:16:00"/>
      </sharedItems>
      <fieldGroup par="28"/>
    </cacheField>
    <cacheField name="Tiempo degustación" numFmtId="164">
      <sharedItems containsSemiMixedTypes="0" containsNonDate="0" containsDate="1" containsString="0" minDate="1899-12-30T00:00:00" maxDate="1899-12-30T04:04:00" count="209">
        <d v="1899-12-30T01:46:00"/>
        <d v="1899-12-30T00:56:00"/>
        <d v="1899-12-30T01:21:00"/>
        <d v="1899-12-30T00:48:00"/>
        <d v="1899-12-30T01:48:00"/>
        <d v="1899-12-30T01:57:00"/>
        <d v="1899-12-30T01:59:00"/>
        <d v="1899-12-30T01:43:00"/>
        <d v="1899-12-30T00:00:00"/>
        <d v="1899-12-30T01:37:00"/>
        <d v="1899-12-30T01:51:00"/>
        <d v="1899-12-30T01:39:00"/>
        <d v="1899-12-30T00:07:00"/>
        <d v="1899-12-30T01:15:00"/>
        <d v="1899-12-30T00:40:00"/>
        <d v="1899-12-30T00:06:00"/>
        <d v="1899-12-30T02:10:00"/>
        <d v="1899-12-30T02:37:00"/>
        <d v="1899-12-30T00:28:00"/>
        <d v="1899-12-30T00:22:00"/>
        <d v="1899-12-30T00:34:00"/>
        <d v="1899-12-30T01:38:00"/>
        <d v="1899-12-30T02:09:00"/>
        <d v="1899-12-30T01:31:00"/>
        <d v="1899-12-30T02:12:00"/>
        <d v="1899-12-30T01:41:00"/>
        <d v="1899-12-30T00:53:00"/>
        <d v="1899-12-30T02:46:00"/>
        <d v="1899-12-30T01:47:00"/>
        <d v="1899-12-30T02:36:00"/>
        <d v="1899-12-30T02:06:00"/>
        <d v="1899-12-30T03:16:00"/>
        <d v="1899-12-30T00:47:00"/>
        <d v="1899-12-30T00:52:00"/>
        <d v="1899-12-30T00:12:00"/>
        <d v="1899-12-30T00:01:00"/>
        <d v="1899-12-30T00:59:00"/>
        <d v="1899-12-30T00:26:00"/>
        <d v="1899-12-30T02:47:00"/>
        <d v="1899-12-30T01:30:00"/>
        <d v="1899-12-30T02:24:00"/>
        <d v="1899-12-30T02:57:00"/>
        <d v="1899-12-30T00:08:00"/>
        <d v="1899-12-30T00:11:00"/>
        <d v="1899-12-30T02:19:00"/>
        <d v="1899-12-30T02:55:00"/>
        <d v="1899-12-30T02:54:00"/>
        <d v="1899-12-30T00:09:00"/>
        <d v="1899-12-30T01:17:00"/>
        <d v="1899-12-30T01:00:00"/>
        <d v="1899-12-30T01:56:00"/>
        <d v="1899-12-30T01:03:00"/>
        <d v="1899-12-30T00:23:00"/>
        <d v="1899-12-30T00:31:00"/>
        <d v="1899-12-30T03:25:00"/>
        <d v="1899-12-30T02:15:00"/>
        <d v="1899-12-30T03:10:00"/>
        <d v="1899-12-30T01:29:00"/>
        <d v="1899-12-30T00:37:00"/>
        <d v="1899-12-30T00:50:00"/>
        <d v="1899-12-30T01:52:00"/>
        <d v="1899-12-30T00:35:00"/>
        <d v="1899-12-30T01:58:00"/>
        <d v="1899-12-30T00:25:00"/>
        <d v="1899-12-30T02:07:00"/>
        <d v="1899-12-30T03:26:00"/>
        <d v="1899-12-30T00:36:00"/>
        <d v="1899-12-30T01:13:00"/>
        <d v="1899-12-30T01:08:00"/>
        <d v="1899-12-30T01:07:00"/>
        <d v="1899-12-30T02:22:00"/>
        <d v="1899-12-30T02:11:00"/>
        <d v="1899-12-30T00:13:00"/>
        <d v="1899-12-30T00:16:00"/>
        <d v="1899-12-30T02:45:00"/>
        <d v="1899-12-30T01:55:00"/>
        <d v="1899-12-30T01:49:00"/>
        <d v="1899-12-30T00:21:00"/>
        <d v="1899-12-30T02:39:00"/>
        <d v="1899-12-30T00:10:00"/>
        <d v="1899-12-30T01:04:00"/>
        <d v="1899-12-30T01:02:00"/>
        <d v="1899-12-30T02:33:00"/>
        <d v="1899-12-30T00:45:00"/>
        <d v="1899-12-30T01:20:00"/>
        <d v="1899-12-30T01:24:00"/>
        <d v="1899-12-30T01:50:00"/>
        <d v="1899-12-30T01:53:00"/>
        <d v="1899-12-30T01:16:00"/>
        <d v="1899-12-30T00:41:00"/>
        <d v="1899-12-30T01:26:00"/>
        <d v="1899-12-30T03:13:00"/>
        <d v="1899-12-30T03:33:00"/>
        <d v="1899-12-30T00:42:00"/>
        <d v="1899-12-30T03:19:00"/>
        <d v="1899-12-30T01:05:00"/>
        <d v="1899-12-30T03:42:00"/>
        <d v="1899-12-30T00:19:00"/>
        <d v="1899-12-30T00:27:00"/>
        <d v="1899-12-30T01:11:00"/>
        <d v="1899-12-30T03:34:00"/>
        <d v="1899-12-30T01:06:00"/>
        <d v="1899-12-30T00:05:00"/>
        <d v="1899-12-30T03:31:00"/>
        <d v="1899-12-30T00:38:00"/>
        <d v="1899-12-30T02:20:00"/>
        <d v="1899-12-30T02:41:00"/>
        <d v="1899-12-30T01:12:00"/>
        <d v="1899-12-30T01:19:00"/>
        <d v="1899-12-30T01:28:00"/>
        <d v="1899-12-30T01:36:00"/>
        <d v="1899-12-30T00:20:00"/>
        <d v="1899-12-30T03:05:00"/>
        <d v="1899-12-30T00:51:00"/>
        <d v="1899-12-30T01:32:00"/>
        <d v="1899-12-30T00:29:00"/>
        <d v="1899-12-30T02:26:00"/>
        <d v="1899-12-30T02:52:00"/>
        <d v="1899-12-30T02:59:00"/>
        <d v="1899-12-30T02:01:00"/>
        <d v="1899-12-30T01:22:00"/>
        <d v="1899-12-30T01:44:00"/>
        <d v="1899-12-30T02:02:00"/>
        <d v="1899-12-30T03:53:00"/>
        <d v="1899-12-30T02:43:00"/>
        <d v="1899-12-30T03:43:00"/>
        <d v="1899-12-30T03:35:00"/>
        <d v="1899-12-30T02:53:00"/>
        <d v="1899-12-30T01:54:00"/>
        <d v="1899-12-30T02:08:00"/>
        <d v="1899-12-30T03:07:00"/>
        <d v="1899-12-30T02:03:00"/>
        <d v="1899-12-30T01:23:00"/>
        <d v="1899-12-30T03:08:00"/>
        <d v="1899-12-30T02:21:00"/>
        <d v="1899-12-30T02:48:00"/>
        <d v="1899-12-30T03:04:00"/>
        <d v="1899-12-30T00:04:00"/>
        <d v="1899-12-30T01:35:00"/>
        <d v="1899-12-30T03:22:00"/>
        <d v="1899-12-30T02:50:00"/>
        <d v="1899-12-30T02:27:00"/>
        <d v="1899-12-30T01:34:00"/>
        <d v="1899-12-30T01:01:00"/>
        <d v="1899-12-30T04:04:00"/>
        <d v="1899-12-30T03:38:00"/>
        <d v="1899-12-30T01:45:00"/>
        <d v="1899-12-30T02:05:00"/>
        <d v="1899-12-30T02:38:00"/>
        <d v="1899-12-30T03:21:00"/>
        <d v="1899-12-30T02:23:00"/>
        <d v="1899-12-30T01:42:00"/>
        <d v="1899-12-30T03:17:00"/>
        <d v="1899-12-30T00:57:00"/>
        <d v="1899-12-30T00:39:00"/>
        <d v="1899-12-30T00:54:00"/>
        <d v="1899-12-30T00:02:00"/>
        <d v="1899-12-30T01:10:00"/>
        <d v="1899-12-30T00:58:00"/>
        <d v="1899-12-30T00:18:00"/>
        <d v="1899-12-30T00:46:00"/>
        <d v="1899-12-30T02:58:00"/>
        <d v="1899-12-30T02:29:00"/>
        <d v="1899-12-30T02:14:00"/>
        <d v="1899-12-30T03:20:00"/>
        <d v="1899-12-30T03:01:00"/>
        <d v="1899-12-30T00:30:00"/>
        <d v="1899-12-30T03:06:00"/>
        <d v="1899-12-30T02:25:00"/>
        <d v="1899-12-30T02:42:00"/>
        <d v="1899-12-30T02:35:00"/>
        <d v="1899-12-30T00:32:00"/>
        <d v="1899-12-30T02:00:00"/>
        <d v="1899-12-30T02:56:00"/>
        <d v="1899-12-30T03:49:00"/>
        <d v="1899-12-30T02:44:00"/>
        <d v="1899-12-30T00:44:00"/>
        <d v="1899-12-30T02:51:00"/>
        <d v="1899-12-30T01:40:00"/>
        <d v="1899-12-30T03:09:00"/>
        <d v="1899-12-30T00:49:00"/>
        <d v="1899-12-30T03:32:00"/>
        <d v="1899-12-30T01:09:00"/>
        <d v="1899-12-30T01:33:00"/>
        <d v="1899-12-30T01:25:00"/>
        <d v="1899-12-30T02:04:00"/>
        <d v="1899-12-30T02:13:00"/>
        <d v="1899-12-30T02:18:00"/>
        <d v="1899-12-30T00:33:00"/>
        <d v="1899-12-30T00:17:00"/>
        <d v="1899-12-30T03:11:00"/>
        <d v="1899-12-30T01:18:00"/>
        <d v="1899-12-30T00:55:00"/>
        <d v="1899-12-30T02:17:00"/>
        <d v="1899-12-30T02:16:00"/>
        <d v="1899-12-30T03:03:00"/>
        <d v="1899-12-30T01:14:00"/>
        <d v="1899-12-30T03:02:00"/>
        <d v="1899-12-30T00:43:00"/>
        <d v="1899-12-30T03:12:00"/>
        <d v="1899-12-30T01:27:00"/>
        <d v="1899-12-30T02:40:00"/>
        <d v="1899-12-30T02:31:00"/>
        <d v="1899-12-30T02:49:00"/>
        <d v="1899-12-30T03:15:00"/>
        <d v="1899-12-30T03:47:00"/>
        <d v="1899-12-30T03:39:00"/>
        <d v="1899-12-30T00:03:00"/>
        <d v="1899-12-30T03:24:00"/>
      </sharedItems>
      <fieldGroup par="30"/>
    </cacheField>
    <cacheField name="Mesa pagada" numFmtId="164">
      <sharedItems count="2">
        <s v="PAGADA"/>
        <s v="NO PAGADA"/>
      </sharedItems>
    </cacheField>
    <cacheField name="Minutos (Fecha de factura)" numFmtId="0" databaseField="0">
      <fieldGroup base="14">
        <rangePr groupBy="minutes" startDate="2023-04-01T00:01:00" endDate="2023-04-07T03:56:00"/>
        <groupItems count="62">
          <s v="&lt;01/04/2023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7/04/2023"/>
        </groupItems>
      </fieldGroup>
    </cacheField>
    <cacheField name="Horas (Fecha de factura)" numFmtId="0" databaseField="0">
      <fieldGroup base="14">
        <rangePr groupBy="hours" startDate="2023-04-01T00:01:00" endDate="2023-04-07T03:56:00"/>
        <groupItems count="26">
          <s v="&lt;01/04/2023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7/04/2023"/>
        </groupItems>
      </fieldGroup>
    </cacheField>
    <cacheField name="Días (Fecha de factura)" numFmtId="0" databaseField="0">
      <fieldGroup base="14">
        <rangePr groupBy="days" startDate="2023-04-01T00:01:00" endDate="2023-04-07T03:56:00"/>
        <groupItems count="368">
          <s v="&lt;01/04/2023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7/04/2023"/>
        </groupItems>
      </fieldGroup>
    </cacheField>
    <cacheField name="Minutos (Hora de Salida)" numFmtId="0" databaseField="0">
      <fieldGroup base="4">
        <rangePr groupBy="minutes" startDate="2023-04-01T01:11:00" endDate="2023-04-07T07:51:00"/>
        <groupItems count="62">
          <s v="&lt;01/04/2023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7/04/2023"/>
        </groupItems>
      </fieldGroup>
    </cacheField>
    <cacheField name="Horas (Hora de Salida)" numFmtId="0" databaseField="0">
      <fieldGroup base="4">
        <rangePr groupBy="hours" startDate="2023-04-01T01:11:00" endDate="2023-04-07T07:51:00"/>
        <groupItems count="26">
          <s v="&lt;01/04/2023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7/04/2023"/>
        </groupItems>
      </fieldGroup>
    </cacheField>
    <cacheField name="Días (Hora de Salida)" numFmtId="0" databaseField="0">
      <fieldGroup base="4">
        <rangePr groupBy="days" startDate="2023-04-01T01:11:00" endDate="2023-04-07T07:51:00"/>
        <groupItems count="368">
          <s v="&lt;01/04/2023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7/04/2023"/>
        </groupItems>
      </fieldGroup>
    </cacheField>
    <cacheField name="Minutos (Tiempo de preparación total)" numFmtId="0" databaseField="0">
      <fieldGroup base="18">
        <rangePr groupBy="minutes" startDate="1899-12-30T00:05:00" endDate="1899-12-30T03:23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ras (Tiempo de preparación total)" numFmtId="0" databaseField="0">
      <fieldGroup base="18">
        <rangePr groupBy="hours" startDate="1899-12-30T00:05:00" endDate="1899-12-30T03:23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  <cacheField name="Minutos (Tiempo degustación)" numFmtId="0" databaseField="0">
      <fieldGroup base="19">
        <rangePr groupBy="minutes" startDate="1899-12-30T00:00:00" endDate="1899-12-30T04:04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ras (Tiempo degustación)" numFmtId="0" databaseField="0">
      <fieldGroup base="19">
        <rangePr groupBy="hours" startDate="1899-12-30T00:00:00" endDate="1899-12-30T04:04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4480799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7">
  <r>
    <s v="1"/>
    <s v="Cliente_742"/>
    <n v="4"/>
    <d v="2023-04-01T02:39:00"/>
    <d v="2023-04-01T06:09:00"/>
    <s v="Mesero_4"/>
    <s v="Desayuno"/>
    <s v="Tarjeta de crédito"/>
    <n v="34.51"/>
    <s v="Libre"/>
    <n v="73"/>
    <s v="Argentina"/>
    <s v="Plato_6"/>
  </r>
  <r>
    <s v="1"/>
    <s v="Cliente_124"/>
    <n v="2"/>
    <d v="2023-04-02T00:54:00"/>
    <d v="2023-04-02T04:45:00"/>
    <s v="Mesero_3"/>
    <s v="Cena"/>
    <s v="Tarjeta de crédito"/>
    <n v="31.17"/>
    <s v="Ocupada"/>
    <n v="217"/>
    <s v="Colombia"/>
    <s v="Plato_15"/>
  </r>
  <r>
    <s v="1"/>
    <s v="Cliente_289"/>
    <n v="5"/>
    <d v="2023-04-04T00:40:00"/>
    <d v="2023-04-04T03:56:00"/>
    <s v="Mesero_5"/>
    <s v="Almuerzo"/>
    <s v="Tarjeta de débito"/>
    <n v="35.93"/>
    <s v="Reservada"/>
    <n v="346"/>
    <s v="Argentina"/>
    <s v="Plato_19"/>
  </r>
  <r>
    <s v="1"/>
    <s v="Cliente_780"/>
    <n v="3"/>
    <d v="2023-04-04T00:17:00"/>
    <d v="2023-04-04T02:53:00"/>
    <s v="Mesero_3"/>
    <s v="Desayuno"/>
    <s v="Efectivo"/>
    <n v="17.55"/>
    <s v="Reservada"/>
    <n v="352"/>
    <s v="Paraguay"/>
    <s v="Plato_11"/>
  </r>
  <r>
    <s v="1"/>
    <s v="Cliente_498"/>
    <n v="1"/>
    <d v="2023-04-04T00:12:00"/>
    <d v="2023-04-04T02:18:00"/>
    <s v="Mesero_3"/>
    <s v="Desayuno"/>
    <s v="Tarjeta de crédito"/>
    <n v="28.92"/>
    <s v="Ocupada"/>
    <n v="356"/>
    <s v="Brasil"/>
    <s v="Plato_4"/>
  </r>
  <r>
    <s v="1"/>
    <s v="Cliente_331"/>
    <n v="4"/>
    <d v="2023-04-06T03:23:00"/>
    <d v="2023-04-06T07:02:00"/>
    <s v="Mesero_1"/>
    <s v="Almuerzo"/>
    <s v="Tarjeta de crédito"/>
    <n v="23.29"/>
    <s v="Reservada"/>
    <n v="609"/>
    <s v="Ecuador"/>
    <s v="Plato_15"/>
  </r>
  <r>
    <s v="1"/>
    <s v="Cliente_36"/>
    <n v="5"/>
    <d v="2023-04-07T01:26:00"/>
    <d v="2023-04-07T04:05:00"/>
    <s v="Mesero_5"/>
    <s v="Desayuno"/>
    <s v="Tarjeta de crédito"/>
    <n v="21.04"/>
    <s v="Ocupada"/>
    <n v="682"/>
    <s v="Venezuela"/>
    <s v="Plato_14"/>
  </r>
  <r>
    <s v="1"/>
    <s v="Cliente_446"/>
    <n v="2"/>
    <d v="2023-04-07T01:21:00"/>
    <d v="2023-04-07T02:52:00"/>
    <s v="Mesero_4"/>
    <s v="Almuerzo"/>
    <s v="Tarjeta de débito"/>
    <n v="24.12"/>
    <s v="Ocupada"/>
    <n v="749"/>
    <s v="Perú"/>
    <s v="Plato_8"/>
  </r>
  <r>
    <s v="2"/>
    <s v="Cliente_873"/>
    <n v="1"/>
    <d v="2023-04-01T03:09:00"/>
    <d v="2023-04-01T05:32:00"/>
    <s v="Mesero_5"/>
    <s v="Almuerzo"/>
    <s v="Efectivo"/>
    <n v="22.06"/>
    <s v="Ocupada"/>
    <n v="13"/>
    <s v="Brasil"/>
    <s v="Plato_9"/>
  </r>
  <r>
    <s v="2"/>
    <s v="Cliente_612"/>
    <n v="2"/>
    <d v="2023-04-01T01:39:00"/>
    <d v="2023-04-01T03:48:00"/>
    <s v="Mesero_2"/>
    <s v="Almuerzo"/>
    <s v="Tarjeta de crédito"/>
    <n v="45.66"/>
    <s v="Libre"/>
    <n v="93"/>
    <s v="Perú"/>
    <s v="Plato_9"/>
  </r>
  <r>
    <s v="2"/>
    <s v="Cliente_318"/>
    <n v="1"/>
    <d v="2023-04-02T03:04:00"/>
    <d v="2023-04-02T04:09:00"/>
    <s v="Mesero_3"/>
    <s v="Almuerzo"/>
    <s v="Tarjeta de débito"/>
    <n v="10.06"/>
    <s v="Ocupada"/>
    <n v="195"/>
    <s v="Colombia"/>
    <s v="Plato_1"/>
  </r>
  <r>
    <s v="2"/>
    <s v="Cliente_563"/>
    <n v="1"/>
    <d v="2023-04-05T01:37:00"/>
    <d v="2023-04-05T05:34:00"/>
    <s v="Mesero_2"/>
    <s v="Almuerzo"/>
    <s v="Tarjeta de débito"/>
    <n v="4.09"/>
    <s v="Libre"/>
    <n v="395"/>
    <s v="Ecuador"/>
    <s v="Plato_12"/>
  </r>
  <r>
    <s v="2"/>
    <s v="Cliente_732"/>
    <n v="1"/>
    <d v="2023-04-05T03:58:00"/>
    <d v="2023-04-05T07:33:00"/>
    <s v="Mesero_1"/>
    <s v="Almuerzo"/>
    <s v="Tarjeta de crédito"/>
    <n v="1.93"/>
    <s v="Libre"/>
    <n v="438"/>
    <s v="Argentina"/>
    <s v="Plato_11"/>
  </r>
  <r>
    <s v="2"/>
    <s v="Cliente_527"/>
    <n v="4"/>
    <d v="2023-04-06T03:50:00"/>
    <d v="2023-04-06T07:01:00"/>
    <s v="Mesero_1"/>
    <s v="Almuerzo"/>
    <s v="Tarjeta de crédito"/>
    <n v="12.74"/>
    <s v="Reservada"/>
    <n v="483"/>
    <s v="Ecuador"/>
    <s v="Plato_6"/>
  </r>
  <r>
    <s v="2"/>
    <s v="Cliente_140"/>
    <n v="2"/>
    <d v="2023-04-06T00:31:00"/>
    <d v="2023-04-06T01:46:00"/>
    <s v="Mesero_5"/>
    <s v="Almuerzo"/>
    <s v="Tarjeta de crédito"/>
    <n v="32.67"/>
    <s v="Ocupada"/>
    <n v="493"/>
    <s v="Perú"/>
    <s v="Plato_4"/>
  </r>
  <r>
    <s v="2"/>
    <s v="Cliente_172"/>
    <n v="5"/>
    <d v="2023-04-06T02:10:00"/>
    <d v="2023-04-06T04:48:00"/>
    <s v="Mesero_5"/>
    <s v="Cena"/>
    <s v="Efectivo"/>
    <n v="31.31"/>
    <s v="Reservada"/>
    <n v="504"/>
    <s v="Brasil"/>
    <s v="Plato_6"/>
  </r>
  <r>
    <s v="2"/>
    <s v="Cliente_740"/>
    <n v="5"/>
    <d v="2023-04-06T01:38:00"/>
    <d v="2023-04-06T04:26:00"/>
    <s v="Mesero_4"/>
    <s v="Almuerzo"/>
    <s v="Efectivo"/>
    <n v="35.35"/>
    <s v="Libre"/>
    <n v="522"/>
    <s v="Uruguay"/>
    <s v="Plato_16"/>
  </r>
  <r>
    <s v="2"/>
    <s v="Cliente_778"/>
    <n v="6"/>
    <d v="2023-04-07T01:54:00"/>
    <d v="2023-04-07T05:39:00"/>
    <s v="Mesero_4"/>
    <s v="Almuerzo"/>
    <s v="Efectivo"/>
    <n v="10.53"/>
    <s v="Libre"/>
    <n v="687"/>
    <s v="España"/>
    <s v="Plato_19"/>
  </r>
  <r>
    <s v="2"/>
    <s v="Cliente_282"/>
    <n v="6"/>
    <d v="2023-04-07T02:16:00"/>
    <d v="2023-04-07T06:11:00"/>
    <s v="Mesero_1"/>
    <s v="Cena"/>
    <s v="Tarjeta de crédito"/>
    <n v="18.760000000000002"/>
    <s v="Ocupada"/>
    <n v="696"/>
    <s v="Perú"/>
    <s v="Plato_14"/>
  </r>
  <r>
    <s v="3"/>
    <s v="Cliente_679"/>
    <n v="5"/>
    <d v="2023-04-02T00:18:00"/>
    <d v="2023-04-02T01:50:00"/>
    <s v="Mesero_1"/>
    <s v="Cena"/>
    <s v="Tarjeta de crédito"/>
    <n v="19.84"/>
    <s v="Reservada"/>
    <n v="201"/>
    <s v="Perú"/>
    <s v="Plato_7"/>
  </r>
  <r>
    <s v="3"/>
    <s v="Cliente_928"/>
    <n v="3"/>
    <d v="2023-04-03T01:40:00"/>
    <d v="2023-04-03T05:10:00"/>
    <s v="Mesero_3"/>
    <s v="Almuerzo"/>
    <s v="Tarjeta de crédito"/>
    <n v="16.11"/>
    <s v="Ocupada"/>
    <n v="271"/>
    <s v="Bolivia"/>
    <s v="Plato_5"/>
  </r>
  <r>
    <s v="3"/>
    <s v="Cliente_717"/>
    <n v="3"/>
    <d v="2023-04-05T03:25:00"/>
    <d v="2023-04-05T05:02:00"/>
    <s v="Mesero_3"/>
    <s v="Almuerzo"/>
    <s v="Efectivo"/>
    <n v="42.25"/>
    <s v="Ocupada"/>
    <n v="449"/>
    <s v="Brasil"/>
    <s v="Plato_15"/>
  </r>
  <r>
    <s v="3"/>
    <s v="Cliente_372"/>
    <n v="1"/>
    <d v="2023-04-06T03:48:00"/>
    <d v="2023-04-06T05:09:00"/>
    <s v="Mesero_2"/>
    <s v="Almuerzo"/>
    <s v="Tarjeta de crédito"/>
    <n v="20.23"/>
    <s v="Reservada"/>
    <n v="582"/>
    <s v="Uruguay"/>
    <s v="Plato_6"/>
  </r>
  <r>
    <s v="3"/>
    <s v="Cliente_725"/>
    <n v="1"/>
    <d v="2023-04-07T03:26:00"/>
    <d v="2023-04-07T05:03:00"/>
    <s v="Mesero_1"/>
    <s v="Almuerzo"/>
    <s v="Tarjeta de crédito"/>
    <n v="4.87"/>
    <s v="Ocupada"/>
    <n v="688"/>
    <s v="Argentina"/>
    <s v="Plato_9"/>
  </r>
  <r>
    <s v="3"/>
    <s v="Cliente_736"/>
    <n v="5"/>
    <d v="2023-04-07T02:05:00"/>
    <d v="2023-04-07T04:23:00"/>
    <s v="Mesero_3"/>
    <s v="Almuerzo"/>
    <s v="Tarjeta de crédito"/>
    <n v="46.27"/>
    <s v="Libre"/>
    <n v="752"/>
    <s v="Perú"/>
    <s v="Plato_2"/>
  </r>
  <r>
    <s v="3"/>
    <s v="Cliente_750"/>
    <n v="6"/>
    <d v="2023-04-07T01:47:00"/>
    <d v="2023-04-07T04:42:00"/>
    <s v="Mesero_2"/>
    <s v="Almuerzo"/>
    <s v="Tarjeta de débito"/>
    <n v="10.029999999999999"/>
    <s v="Reservada"/>
    <n v="757"/>
    <s v="Brasil"/>
    <s v="Plato_2"/>
  </r>
  <r>
    <s v="4"/>
    <s v="Cliente_627"/>
    <n v="2"/>
    <d v="2023-04-01T01:12:00"/>
    <d v="2023-04-01T04:21:00"/>
    <s v="Mesero_3"/>
    <s v="Almuerzo"/>
    <s v="Tarjeta de crédito"/>
    <n v="29.74"/>
    <s v="Ocupada"/>
    <n v="113"/>
    <s v="Brasil"/>
    <s v="Plato_18"/>
  </r>
  <r>
    <s v="4"/>
    <s v="Cliente_569"/>
    <n v="4"/>
    <d v="2023-04-02T01:58:00"/>
    <d v="2023-04-02T05:45:00"/>
    <s v="Mesero_3"/>
    <s v="Desayuno"/>
    <s v="Tarjeta de crédito"/>
    <n v="41.56"/>
    <s v="Reservada"/>
    <n v="141"/>
    <s v="Ecuador"/>
    <s v="Plato_13"/>
  </r>
  <r>
    <s v="4"/>
    <s v="Cliente_339"/>
    <n v="6"/>
    <d v="2023-04-02T03:27:00"/>
    <d v="2023-04-02T06:09:00"/>
    <s v="Mesero_4"/>
    <s v="Almuerzo"/>
    <s v="Tarjeta de crédito"/>
    <n v="36.96"/>
    <s v="Ocupada"/>
    <n v="206"/>
    <s v="Bolivia"/>
    <s v="Plato_2"/>
  </r>
  <r>
    <s v="4"/>
    <s v="Cliente_924"/>
    <n v="4"/>
    <d v="2023-04-02T00:42:00"/>
    <d v="2023-04-02T04:11:00"/>
    <s v="Mesero_2"/>
    <s v="Almuerzo"/>
    <s v="Tarjeta de crédito"/>
    <n v="21.45"/>
    <s v="Libre"/>
    <n v="243"/>
    <s v="España"/>
    <s v="Plato_20"/>
  </r>
  <r>
    <s v="4"/>
    <s v="Cliente_243"/>
    <n v="2"/>
    <d v="2023-04-03T01:28:00"/>
    <d v="2023-04-03T03:56:00"/>
    <s v="Mesero_5"/>
    <s v="Almuerzo"/>
    <s v="Tarjeta de crédito"/>
    <n v="10.29"/>
    <s v="Libre"/>
    <n v="277"/>
    <s v="España"/>
    <s v="Plato_17"/>
  </r>
  <r>
    <s v="4"/>
    <s v="Cliente_350"/>
    <n v="3"/>
    <d v="2023-04-04T01:44:00"/>
    <d v="2023-04-04T04:07:00"/>
    <s v="Mesero_2"/>
    <s v="Cena"/>
    <s v="Tarjeta de crédito"/>
    <n v="13.85"/>
    <s v="Reservada"/>
    <n v="328"/>
    <s v="Chile"/>
    <s v="Plato_8"/>
  </r>
  <r>
    <s v="4"/>
    <s v="Cliente_523"/>
    <n v="4"/>
    <d v="2023-04-04T01:41:00"/>
    <d v="2023-04-04T05:07:00"/>
    <s v="Mesero_5"/>
    <s v="Desayuno"/>
    <s v="Tarjeta de crédito"/>
    <n v="30.53"/>
    <s v="Reservada"/>
    <n v="355"/>
    <s v="España"/>
    <s v="Plato_10"/>
  </r>
  <r>
    <s v="4"/>
    <s v="Cliente_54"/>
    <n v="1"/>
    <d v="2023-04-04T01:03:00"/>
    <d v="2023-04-04T04:33:00"/>
    <s v="Mesero_3"/>
    <s v="Almuerzo"/>
    <s v="Efectivo"/>
    <n v="34.97"/>
    <s v="Ocupada"/>
    <n v="365"/>
    <s v="Chile"/>
    <s v="Plato_19"/>
  </r>
  <r>
    <s v="4"/>
    <s v="Cliente_442"/>
    <n v="2"/>
    <d v="2023-04-04T01:31:00"/>
    <d v="2023-04-04T03:57:00"/>
    <s v="Mesero_3"/>
    <s v="Desayuno"/>
    <s v="Tarjeta de crédito"/>
    <n v="10.61"/>
    <s v="Ocupada"/>
    <n v="379"/>
    <s v="Chile"/>
    <s v="Plato_8"/>
  </r>
  <r>
    <s v="4"/>
    <s v="Cliente_930"/>
    <n v="3"/>
    <d v="2023-04-06T01:39:00"/>
    <d v="2023-04-06T04:42:00"/>
    <s v="Mesero_5"/>
    <s v="Almuerzo"/>
    <s v="Tarjeta de crédito"/>
    <n v="45.41"/>
    <s v="Ocupada"/>
    <n v="523"/>
    <s v="Argentina"/>
    <s v="Plato_6"/>
  </r>
  <r>
    <s v="4"/>
    <s v="Cliente_257"/>
    <n v="6"/>
    <d v="2023-04-06T03:44:00"/>
    <d v="2023-04-06T05:41:00"/>
    <s v="Mesero_4"/>
    <s v="Cena"/>
    <s v="Tarjeta de débito"/>
    <n v="43.02"/>
    <s v="Libre"/>
    <n v="526"/>
    <s v="Bolivia"/>
    <s v="Plato_11"/>
  </r>
  <r>
    <s v="4"/>
    <s v="Cliente_88"/>
    <n v="3"/>
    <d v="2023-04-06T01:45:00"/>
    <d v="2023-04-06T04:57:00"/>
    <s v="Mesero_3"/>
    <s v="Almuerzo"/>
    <s v="Tarjeta de crédito"/>
    <n v="42.62"/>
    <s v="Libre"/>
    <n v="566"/>
    <s v="Uruguay"/>
    <s v="Plato_10"/>
  </r>
  <r>
    <s v="4"/>
    <s v="Cliente_336"/>
    <n v="3"/>
    <d v="2023-04-06T02:23:00"/>
    <d v="2023-04-06T04:13:00"/>
    <s v="Mesero_3"/>
    <s v="Almuerzo"/>
    <s v="Tarjeta de crédito"/>
    <n v="44.24"/>
    <s v="Ocupada"/>
    <n v="627"/>
    <s v="Ecuador"/>
    <s v="Plato_13"/>
  </r>
  <r>
    <s v="5"/>
    <s v="Cliente_874"/>
    <n v="5"/>
    <d v="2023-04-01T03:27:00"/>
    <d v="2023-04-01T06:26:00"/>
    <s v="Mesero_2"/>
    <s v="Almuerzo"/>
    <s v="Tarjeta de crédito"/>
    <n v="45.28"/>
    <s v="Ocupada"/>
    <n v="36"/>
    <s v="Bolivia"/>
    <s v="Plato_2"/>
  </r>
  <r>
    <s v="5"/>
    <s v="Cliente_416"/>
    <n v="4"/>
    <d v="2023-04-02T03:45:00"/>
    <d v="2023-04-02T06:13:00"/>
    <s v="Mesero_4"/>
    <s v="Almuerzo"/>
    <s v="Tarjeta de crédito"/>
    <n v="1.23"/>
    <s v="Reservada"/>
    <n v="121"/>
    <s v="Paraguay"/>
    <s v="Plato_10"/>
  </r>
  <r>
    <s v="5"/>
    <s v="Cliente_380"/>
    <n v="6"/>
    <d v="2023-04-02T01:14:00"/>
    <d v="2023-04-02T02:52:00"/>
    <s v="Mesero_4"/>
    <s v="Almuerzo"/>
    <s v="Tarjeta de débito"/>
    <n v="25.57"/>
    <s v="Reservada"/>
    <n v="152"/>
    <s v="Ecuador"/>
    <s v="Plato_16"/>
  </r>
  <r>
    <s v="5"/>
    <s v="Cliente_577"/>
    <n v="2"/>
    <d v="2023-04-02T00:23:00"/>
    <d v="2023-04-02T03:27:00"/>
    <s v="Mesero_5"/>
    <s v="Desayuno"/>
    <s v="Efectivo"/>
    <n v="49.88"/>
    <s v="Reservada"/>
    <n v="256"/>
    <s v="Argentina"/>
    <s v="Plato_13"/>
  </r>
  <r>
    <s v="5"/>
    <s v="Cliente_929"/>
    <n v="2"/>
    <d v="2023-04-03T01:20:00"/>
    <d v="2023-04-03T04:56:00"/>
    <s v="Mesero_1"/>
    <s v="Desayuno"/>
    <s v="Tarjeta de crédito"/>
    <n v="39.89"/>
    <s v="Reservada"/>
    <n v="302"/>
    <s v="Colombia"/>
    <s v="Plato_15"/>
  </r>
  <r>
    <s v="5"/>
    <s v="Cliente_436"/>
    <n v="2"/>
    <d v="2023-04-05T00:33:00"/>
    <d v="2023-04-05T02:58:00"/>
    <s v="Mesero_4"/>
    <s v="Almuerzo"/>
    <s v="Tarjeta de débito"/>
    <n v="28.96"/>
    <s v="Ocupada"/>
    <n v="386"/>
    <s v="Venezuela"/>
    <s v="Plato_11"/>
  </r>
  <r>
    <s v="5"/>
    <s v="Cliente_977"/>
    <n v="3"/>
    <d v="2023-04-06T03:12:00"/>
    <d v="2023-04-06T06:02:00"/>
    <s v="Mesero_1"/>
    <s v="Desayuno"/>
    <s v="Tarjeta de crédito"/>
    <n v="16.260000000000002"/>
    <s v="Ocupada"/>
    <n v="509"/>
    <s v="Brasil"/>
    <s v="Plato_20"/>
  </r>
  <r>
    <s v="5"/>
    <s v="Cliente_575"/>
    <n v="2"/>
    <d v="2023-04-06T01:08:00"/>
    <d v="2023-04-06T02:27:00"/>
    <s v="Mesero_2"/>
    <s v="Almuerzo"/>
    <s v="Tarjeta de crédito"/>
    <n v="42.27"/>
    <s v="Ocupada"/>
    <n v="621"/>
    <s v="Ecuador"/>
    <s v="Plato_8"/>
  </r>
  <r>
    <s v="5"/>
    <s v="Cliente_19"/>
    <n v="2"/>
    <d v="2023-04-06T00:17:00"/>
    <d v="2023-04-06T03:04:00"/>
    <s v="Mesero_2"/>
    <s v="Almuerzo"/>
    <s v="Tarjeta de crédito"/>
    <n v="22.15"/>
    <s v="Libre"/>
    <n v="635"/>
    <s v="Perú"/>
    <s v="Plato_9"/>
  </r>
  <r>
    <s v="5"/>
    <s v="Cliente_626"/>
    <n v="4"/>
    <d v="2023-04-07T01:15:00"/>
    <d v="2023-04-07T04:49:00"/>
    <s v="Mesero_5"/>
    <s v="Almuerzo"/>
    <s v="Efectivo"/>
    <n v="2.17"/>
    <s v="Reservada"/>
    <n v="655"/>
    <s v="Brasil"/>
    <s v="Plato_17"/>
  </r>
  <r>
    <s v="5"/>
    <s v="Cliente_485"/>
    <n v="5"/>
    <d v="2023-04-07T00:28:00"/>
    <d v="2023-04-07T01:43:00"/>
    <s v="Mesero_2"/>
    <s v="Almuerzo"/>
    <s v="Tarjeta de débito"/>
    <n v="19.89"/>
    <s v="Libre"/>
    <n v="685"/>
    <s v="España"/>
    <s v="Plato_6"/>
  </r>
  <r>
    <s v="5"/>
    <s v="Cliente_804"/>
    <n v="2"/>
    <d v="2023-04-07T03:36:00"/>
    <d v="2023-04-07T07:24:00"/>
    <s v="Mesero_3"/>
    <s v="Cena"/>
    <s v="Tarjeta de crédito"/>
    <n v="4.18"/>
    <s v="Ocupada"/>
    <n v="708"/>
    <s v="España"/>
    <s v="Plato_6"/>
  </r>
  <r>
    <s v="5"/>
    <s v="Cliente_721"/>
    <n v="6"/>
    <d v="2023-04-07T00:25:00"/>
    <d v="2023-04-07T01:40:00"/>
    <s v="Mesero_4"/>
    <s v="Almuerzo"/>
    <s v="Tarjeta de crédito"/>
    <n v="39.42"/>
    <s v="Libre"/>
    <n v="760"/>
    <s v="Argentina"/>
    <s v="Plato_8"/>
  </r>
  <r>
    <s v="6"/>
    <s v="Cliente_1000"/>
    <n v="3"/>
    <d v="2023-04-01T01:17:00"/>
    <d v="2023-04-01T03:13:00"/>
    <s v="Mesero_5"/>
    <s v="Almuerzo"/>
    <s v="Tarjeta de débito"/>
    <n v="30.69"/>
    <s v="Reservada"/>
    <n v="90"/>
    <s v="Ecuador"/>
    <s v="Plato_18"/>
  </r>
  <r>
    <s v="6"/>
    <s v="Cliente_552"/>
    <n v="2"/>
    <d v="2023-04-01T01:49:00"/>
    <d v="2023-04-01T04:01:00"/>
    <s v="Mesero_2"/>
    <s v="Cena"/>
    <s v="Efectivo"/>
    <n v="35.36"/>
    <s v="Ocupada"/>
    <n v="112"/>
    <s v="Perú"/>
    <s v="Plato_3"/>
  </r>
  <r>
    <s v="6"/>
    <s v="Cliente_346"/>
    <n v="6"/>
    <d v="2023-04-02T01:23:00"/>
    <d v="2023-04-02T02:48:00"/>
    <s v="Mesero_1"/>
    <s v="Almuerzo"/>
    <s v="Tarjeta de débito"/>
    <n v="20.38"/>
    <s v="Ocupada"/>
    <n v="122"/>
    <s v="Colombia"/>
    <s v="Plato_8"/>
  </r>
  <r>
    <s v="6"/>
    <s v="Cliente_541"/>
    <n v="4"/>
    <d v="2023-04-02T00:42:00"/>
    <d v="2023-04-02T02:28:00"/>
    <s v="Mesero_4"/>
    <s v="Almuerzo"/>
    <s v="Tarjeta de crédito"/>
    <n v="32.82"/>
    <s v="Libre"/>
    <n v="127"/>
    <s v="Argentina"/>
    <s v="Plato_19"/>
  </r>
  <r>
    <s v="6"/>
    <s v="Cliente_8"/>
    <n v="1"/>
    <d v="2023-04-02T01:50:00"/>
    <d v="2023-04-02T05:01:00"/>
    <s v="Mesero_1"/>
    <s v="Almuerzo"/>
    <s v="Tarjeta de crédito"/>
    <n v="30.25"/>
    <s v="Ocupada"/>
    <n v="136"/>
    <s v="Bolivia"/>
    <s v="Plato_20"/>
  </r>
  <r>
    <s v="6"/>
    <s v="Cliente_536"/>
    <n v="4"/>
    <d v="2023-04-02T00:40:00"/>
    <d v="2023-04-02T04:17:00"/>
    <s v="Mesero_3"/>
    <s v="Cena"/>
    <s v="Tarjeta de crédito"/>
    <n v="19.03"/>
    <s v="Libre"/>
    <n v="156"/>
    <s v="España"/>
    <s v="Plato_16"/>
  </r>
  <r>
    <s v="6"/>
    <s v="Cliente_823"/>
    <n v="1"/>
    <d v="2023-04-04T00:14:00"/>
    <d v="2023-04-04T01:29:00"/>
    <s v="Mesero_2"/>
    <s v="Almuerzo"/>
    <s v="Tarjeta de débito"/>
    <n v="25.21"/>
    <s v="Reservada"/>
    <n v="332"/>
    <s v="Argentina"/>
    <s v="Plato_20"/>
  </r>
  <r>
    <s v="6"/>
    <s v="Cliente_992"/>
    <n v="6"/>
    <d v="2023-04-04T03:29:00"/>
    <d v="2023-04-04T06:33:00"/>
    <s v="Mesero_4"/>
    <s v="Almuerzo"/>
    <s v="Tarjeta de crédito"/>
    <n v="31.33"/>
    <s v="Libre"/>
    <n v="383"/>
    <s v="Chile"/>
    <s v="Plato_19"/>
  </r>
  <r>
    <s v="6"/>
    <s v="Cliente_508"/>
    <n v="6"/>
    <d v="2023-04-05T03:37:00"/>
    <d v="2023-04-05T06:43:00"/>
    <s v="Mesero_3"/>
    <s v="Desayuno"/>
    <s v="Tarjeta de crédito"/>
    <n v="11.14"/>
    <s v="Ocupada"/>
    <n v="385"/>
    <s v="España"/>
    <s v="Plato_2"/>
  </r>
  <r>
    <s v="6"/>
    <s v="Cliente_676"/>
    <n v="5"/>
    <d v="2023-04-05T03:09:00"/>
    <d v="2023-04-05T06:10:00"/>
    <s v="Mesero_5"/>
    <s v="Almuerzo"/>
    <s v="Efectivo"/>
    <n v="20.84"/>
    <s v="Ocupada"/>
    <n v="387"/>
    <s v="Venezuela"/>
    <s v="Plato_17"/>
  </r>
  <r>
    <s v="6"/>
    <s v="Cliente_473"/>
    <n v="5"/>
    <d v="2023-04-05T01:01:00"/>
    <d v="2023-04-05T03:09:00"/>
    <s v="Mesero_1"/>
    <s v="Desayuno"/>
    <s v="Tarjeta de crédito"/>
    <n v="14.28"/>
    <s v="Libre"/>
    <n v="445"/>
    <s v="Paraguay"/>
    <s v="Plato_6"/>
  </r>
  <r>
    <s v="6"/>
    <s v="Cliente_821"/>
    <n v="1"/>
    <d v="2023-04-06T02:50:00"/>
    <d v="2023-04-06T06:35:00"/>
    <s v="Mesero_5"/>
    <s v="Almuerzo"/>
    <s v="Tarjeta de crédito"/>
    <n v="4.28"/>
    <s v="Reservada"/>
    <n v="508"/>
    <s v="Brasil"/>
    <s v="Plato_15"/>
  </r>
  <r>
    <s v="6"/>
    <s v="Cliente_509"/>
    <n v="4"/>
    <d v="2023-04-06T03:32:00"/>
    <d v="2023-04-06T04:33:00"/>
    <s v="Mesero_4"/>
    <s v="Almuerzo"/>
    <s v="Tarjeta de crédito"/>
    <n v="14.97"/>
    <s v="Libre"/>
    <n v="510"/>
    <s v="Paraguay"/>
    <s v="Plato_19"/>
  </r>
  <r>
    <s v="6"/>
    <s v="Cliente_841"/>
    <n v="1"/>
    <d v="2023-04-06T00:21:00"/>
    <d v="2023-04-06T02:51:00"/>
    <s v="Mesero_5"/>
    <s v="Cena"/>
    <s v="Tarjeta de crédito"/>
    <n v="39.71"/>
    <s v="Reservada"/>
    <n v="631"/>
    <s v="Colombia"/>
    <s v="Plato_5"/>
  </r>
  <r>
    <s v="6"/>
    <s v="Cliente_368"/>
    <n v="5"/>
    <d v="2023-04-07T03:39:00"/>
    <d v="2023-04-07T07:07:00"/>
    <s v="Mesero_3"/>
    <s v="Almuerzo"/>
    <s v="Tarjeta de crédito"/>
    <n v="20.49"/>
    <s v="Reservada"/>
    <n v="667"/>
    <s v="Perú"/>
    <s v="Plato_19"/>
  </r>
  <r>
    <s v="7"/>
    <s v="Cliente_965"/>
    <n v="5"/>
    <d v="2023-04-01T01:24:00"/>
    <d v="2023-04-01T03:32:00"/>
    <s v="Mesero_4"/>
    <s v="Cena"/>
    <s v="Tarjeta de crédito"/>
    <n v="26.57"/>
    <s v="Libre"/>
    <n v="6"/>
    <s v="Perú"/>
    <s v="Plato_8"/>
  </r>
  <r>
    <s v="7"/>
    <s v="Cliente_636"/>
    <n v="4"/>
    <d v="2023-04-01T01:34:00"/>
    <d v="2023-04-01T03:03:00"/>
    <s v="Mesero_3"/>
    <s v="Almuerzo"/>
    <s v="Tarjeta de crédito"/>
    <n v="20.02"/>
    <s v="Libre"/>
    <n v="78"/>
    <s v="Colombia"/>
    <s v="Plato_12"/>
  </r>
  <r>
    <s v="7"/>
    <s v="Cliente_474"/>
    <n v="6"/>
    <d v="2023-04-02T02:07:00"/>
    <d v="2023-04-02T05:47:00"/>
    <s v="Mesero_3"/>
    <s v="Almuerzo"/>
    <s v="Tarjeta de crédito"/>
    <n v="17.61"/>
    <s v="Ocupada"/>
    <n v="224"/>
    <s v="Bolivia"/>
    <s v="Plato_10"/>
  </r>
  <r>
    <s v="7"/>
    <s v="Cliente_702"/>
    <n v="4"/>
    <d v="2023-04-03T00:03:00"/>
    <d v="2023-04-03T02:32:00"/>
    <s v="Mesero_5"/>
    <s v="Almuerzo"/>
    <s v="Tarjeta de crédito"/>
    <n v="16.96"/>
    <s v="Ocupada"/>
    <n v="306"/>
    <s v="Chile"/>
    <s v="Plato_15"/>
  </r>
  <r>
    <s v="7"/>
    <s v="Cliente_476"/>
    <n v="4"/>
    <d v="2023-04-04T01:49:00"/>
    <d v="2023-04-04T04:34:00"/>
    <s v="Mesero_4"/>
    <s v="Almuerzo"/>
    <s v="Tarjeta de crédito"/>
    <n v="48.52"/>
    <s v="Reservada"/>
    <n v="347"/>
    <s v="Chile"/>
    <s v="Plato_8"/>
  </r>
  <r>
    <s v="7"/>
    <s v="Cliente_259"/>
    <n v="3"/>
    <d v="2023-04-05T02:21:00"/>
    <d v="2023-04-05T03:59:00"/>
    <s v="Mesero_4"/>
    <s v="Almuerzo"/>
    <s v="Tarjeta de débito"/>
    <n v="42.09"/>
    <s v="Reservada"/>
    <n v="430"/>
    <s v="Venezuela"/>
    <s v="Plato_1"/>
  </r>
  <r>
    <s v="7"/>
    <s v="Cliente_194"/>
    <n v="2"/>
    <d v="2023-04-05T00:53:00"/>
    <d v="2023-04-05T03:13:00"/>
    <s v="Mesero_2"/>
    <s v="Almuerzo"/>
    <s v="Tarjeta de débito"/>
    <n v="17.07"/>
    <s v="Ocupada"/>
    <n v="463"/>
    <s v="Paraguay"/>
    <s v="Plato_17"/>
  </r>
  <r>
    <s v="7"/>
    <s v="Cliente_696"/>
    <n v="6"/>
    <d v="2023-04-05T03:36:00"/>
    <d v="2023-04-05T05:38:00"/>
    <s v="Mesero_4"/>
    <s v="Desayuno"/>
    <s v="Tarjeta de débito"/>
    <n v="28.49"/>
    <s v="Reservada"/>
    <n v="471"/>
    <s v="Perú"/>
    <s v="Plato_8"/>
  </r>
  <r>
    <s v="7"/>
    <s v="Cliente_392"/>
    <n v="4"/>
    <d v="2023-04-06T03:17:00"/>
    <d v="2023-04-06T04:45:00"/>
    <s v="Mesero_5"/>
    <s v="Almuerzo"/>
    <s v="Tarjeta de crédito"/>
    <n v="44.91"/>
    <s v="Ocupada"/>
    <n v="544"/>
    <s v="Ecuador"/>
    <s v="Plato_8"/>
  </r>
  <r>
    <s v="7"/>
    <s v="Cliente_208"/>
    <n v="4"/>
    <d v="2023-04-06T03:38:00"/>
    <d v="2023-04-06T04:42:00"/>
    <s v="Mesero_3"/>
    <s v="Desayuno"/>
    <s v="Tarjeta de crédito"/>
    <n v="35.03"/>
    <s v="Ocupada"/>
    <n v="587"/>
    <s v="Uruguay"/>
    <s v="Plato_7"/>
  </r>
  <r>
    <s v="7"/>
    <s v="Cliente_657"/>
    <n v="6"/>
    <d v="2023-04-06T03:58:00"/>
    <d v="2023-04-06T07:20:00"/>
    <s v="Mesero_3"/>
    <s v="Almuerzo"/>
    <s v="Tarjeta de crédito"/>
    <n v="36.549999999999997"/>
    <s v="Reservada"/>
    <n v="608"/>
    <s v="España"/>
    <s v="Plato_9"/>
  </r>
  <r>
    <s v="7"/>
    <s v="Cliente_489"/>
    <n v="6"/>
    <d v="2023-04-07T03:18:00"/>
    <d v="2023-04-07T07:06:00"/>
    <s v="Mesero_2"/>
    <s v="Desayuno"/>
    <s v="Tarjeta de crédito"/>
    <n v="37.21"/>
    <s v="Libre"/>
    <n v="718"/>
    <s v="Venezuela"/>
    <s v="Plato_3"/>
  </r>
  <r>
    <s v="8"/>
    <s v="Cliente_863"/>
    <n v="4"/>
    <d v="2023-04-01T02:55:00"/>
    <d v="2023-04-01T05:45:00"/>
    <s v="Mesero_3"/>
    <s v="Desayuno"/>
    <s v="Tarjeta de crédito"/>
    <n v="11.65"/>
    <s v="Ocupada"/>
    <n v="117"/>
    <s v="Chile"/>
    <s v="Plato_8"/>
  </r>
  <r>
    <s v="8"/>
    <s v="Cliente_670"/>
    <n v="6"/>
    <d v="2023-04-02T01:40:00"/>
    <d v="2023-04-02T02:54:00"/>
    <s v="Mesero_3"/>
    <s v="Almuerzo"/>
    <s v="Tarjeta de crédito"/>
    <n v="3.84"/>
    <s v="Reservada"/>
    <n v="146"/>
    <s v="Paraguay"/>
    <s v="Plato_17"/>
  </r>
  <r>
    <s v="8"/>
    <s v="Cliente_881"/>
    <n v="1"/>
    <d v="2023-04-02T00:52:00"/>
    <d v="2023-04-02T02:39:00"/>
    <s v="Mesero_2"/>
    <s v="Desayuno"/>
    <s v="Tarjeta de débito"/>
    <n v="45.64"/>
    <s v="Libre"/>
    <n v="233"/>
    <s v="Argentina"/>
    <s v="Plato_12"/>
  </r>
  <r>
    <s v="8"/>
    <s v="Cliente_539"/>
    <n v="2"/>
    <d v="2023-04-02T02:56:00"/>
    <d v="2023-04-02T06:33:00"/>
    <s v="Mesero_4"/>
    <s v="Almuerzo"/>
    <s v="Tarjeta de crédito"/>
    <n v="23.21"/>
    <s v="Libre"/>
    <n v="250"/>
    <s v="España"/>
    <s v="Plato_3"/>
  </r>
  <r>
    <s v="8"/>
    <s v="Cliente_978"/>
    <n v="4"/>
    <d v="2023-04-02T02:23:00"/>
    <d v="2023-04-02T03:59:00"/>
    <s v="Mesero_2"/>
    <s v="Cena"/>
    <s v="Efectivo"/>
    <n v="13.34"/>
    <s v="Reservada"/>
    <n v="255"/>
    <s v="Uruguay"/>
    <s v="Plato_1"/>
  </r>
  <r>
    <s v="8"/>
    <s v="Cliente_348"/>
    <n v="1"/>
    <d v="2023-04-05T00:10:00"/>
    <d v="2023-04-05T03:46:00"/>
    <s v="Mesero_4"/>
    <s v="Almuerzo"/>
    <s v="Tarjeta de crédito"/>
    <n v="10.95"/>
    <s v="Reservada"/>
    <n v="429"/>
    <s v="Brasil"/>
    <s v="Plato_10"/>
  </r>
  <r>
    <s v="8"/>
    <s v="Cliente_873"/>
    <n v="6"/>
    <d v="2023-04-06T01:28:00"/>
    <d v="2023-04-06T04:51:00"/>
    <s v="Mesero_3"/>
    <s v="Desayuno"/>
    <s v="Tarjeta de crédito"/>
    <n v="22.74"/>
    <s v="Ocupada"/>
    <n v="513"/>
    <s v="Bolivia"/>
    <s v="Plato_4"/>
  </r>
  <r>
    <s v="8"/>
    <s v="Cliente_593"/>
    <n v="4"/>
    <d v="2023-04-07T01:04:00"/>
    <d v="2023-04-07T04:57:00"/>
    <s v="Mesero_2"/>
    <s v="Almuerzo"/>
    <s v="Tarjeta de crédito"/>
    <n v="11.86"/>
    <s v="Libre"/>
    <n v="666"/>
    <s v="Paraguay"/>
    <s v="Plato_3"/>
  </r>
  <r>
    <s v="8"/>
    <s v="Cliente_143"/>
    <n v="6"/>
    <d v="2023-04-07T01:35:00"/>
    <d v="2023-04-07T02:56:00"/>
    <s v="Mesero_2"/>
    <s v="Almuerzo"/>
    <s v="Tarjeta de crédito"/>
    <n v="38.44"/>
    <s v="Reservada"/>
    <n v="699"/>
    <s v="España"/>
    <s v="Plato_9"/>
  </r>
  <r>
    <s v="8"/>
    <s v="Cliente_929"/>
    <n v="6"/>
    <d v="2023-04-07T02:56:00"/>
    <d v="2023-04-07T04:15:00"/>
    <s v="Mesero_5"/>
    <s v="Cena"/>
    <s v="Efectivo"/>
    <n v="14.12"/>
    <s v="Libre"/>
    <n v="724"/>
    <s v="Venezuela"/>
    <s v="Plato_5"/>
  </r>
  <r>
    <s v="9"/>
    <s v="Cliente_199"/>
    <n v="4"/>
    <d v="2023-04-02T00:32:00"/>
    <d v="2023-04-02T04:30:00"/>
    <s v="Mesero_4"/>
    <s v="Almuerzo"/>
    <s v="Efectivo"/>
    <n v="48.26"/>
    <s v="Libre"/>
    <n v="143"/>
    <s v="Perú"/>
    <s v="Plato_1"/>
  </r>
  <r>
    <s v="9"/>
    <s v="Cliente_560"/>
    <n v="4"/>
    <d v="2023-04-02T00:36:00"/>
    <d v="2023-04-02T03:05:00"/>
    <s v="Mesero_1"/>
    <s v="Almuerzo"/>
    <s v="Tarjeta de crédito"/>
    <n v="36.72"/>
    <s v="Reservada"/>
    <n v="198"/>
    <s v="España"/>
    <s v="Plato_6"/>
  </r>
  <r>
    <s v="9"/>
    <s v="Cliente_27"/>
    <n v="2"/>
    <d v="2023-04-05T02:12:00"/>
    <d v="2023-04-05T04:27:00"/>
    <s v="Mesero_2"/>
    <s v="Almuerzo"/>
    <s v="Tarjeta de crédito"/>
    <n v="21.17"/>
    <s v="Reservada"/>
    <n v="462"/>
    <s v="España"/>
    <s v="Plato_11"/>
  </r>
  <r>
    <s v="9"/>
    <s v="Cliente_618"/>
    <n v="4"/>
    <d v="2023-04-06T01:57:00"/>
    <d v="2023-04-06T04:43:00"/>
    <s v="Mesero_1"/>
    <s v="Almuerzo"/>
    <s v="Tarjeta de crédito"/>
    <n v="42.02"/>
    <s v="Reservada"/>
    <n v="481"/>
    <s v="Perú"/>
    <s v="Plato_10"/>
  </r>
  <r>
    <s v="9"/>
    <s v="Cliente_115"/>
    <n v="4"/>
    <d v="2023-04-06T00:41:00"/>
    <d v="2023-04-06T02:59:00"/>
    <s v="Mesero_3"/>
    <s v="Desayuno"/>
    <s v="Tarjeta de crédito"/>
    <n v="18.84"/>
    <s v="Libre"/>
    <n v="482"/>
    <s v="Colombia"/>
    <s v="Plato_13"/>
  </r>
  <r>
    <s v="9"/>
    <s v="Cliente_988"/>
    <n v="2"/>
    <d v="2023-04-06T00:10:00"/>
    <d v="2023-04-06T02:17:00"/>
    <s v="Mesero_3"/>
    <s v="Almuerzo"/>
    <s v="Tarjeta de crédito"/>
    <n v="35.96"/>
    <s v="Libre"/>
    <n v="579"/>
    <s v="Paraguay"/>
    <s v="Plato_1"/>
  </r>
  <r>
    <s v="9"/>
    <s v="Cliente_799"/>
    <n v="6"/>
    <d v="2023-04-06T03:44:00"/>
    <d v="2023-04-06T07:10:00"/>
    <s v="Mesero_1"/>
    <s v="Almuerzo"/>
    <s v="Tarjeta de débito"/>
    <n v="13.86"/>
    <s v="Reservada"/>
    <n v="644"/>
    <s v="Ecuador"/>
    <s v="Plato_17"/>
  </r>
  <r>
    <s v="9"/>
    <s v="Cliente_946"/>
    <n v="1"/>
    <d v="2023-04-06T02:59:00"/>
    <d v="2023-04-06T04:55:00"/>
    <s v="Mesero_2"/>
    <s v="Cena"/>
    <s v="Tarjeta de crédito"/>
    <n v="17.43"/>
    <s v="Libre"/>
    <n v="648"/>
    <s v="Brasil"/>
    <s v="Plato_16"/>
  </r>
  <r>
    <s v="9"/>
    <s v="Cliente_539"/>
    <n v="4"/>
    <d v="2023-04-07T02:50:00"/>
    <d v="2023-04-07T04:03:00"/>
    <s v="Mesero_4"/>
    <s v="Almuerzo"/>
    <s v="Tarjeta de crédito"/>
    <n v="35.24"/>
    <s v="Ocupada"/>
    <n v="659"/>
    <s v="Perú"/>
    <s v="Plato_9"/>
  </r>
  <r>
    <s v="9"/>
    <s v="Cliente_714"/>
    <n v="5"/>
    <d v="2023-04-07T00:17:00"/>
    <d v="2023-04-07T02:19:00"/>
    <s v="Mesero_1"/>
    <s v="Almuerzo"/>
    <s v="Tarjeta de crédito"/>
    <n v="22.24"/>
    <s v="Ocupada"/>
    <n v="703"/>
    <s v="Venezuela"/>
    <s v="Plato_13"/>
  </r>
  <r>
    <s v="10"/>
    <s v="Cliente_486"/>
    <n v="4"/>
    <d v="2023-04-02T00:26:00"/>
    <d v="2023-04-02T01:32:00"/>
    <s v="Mesero_2"/>
    <s v="Almuerzo"/>
    <s v="Tarjeta de crédito"/>
    <n v="38.130000000000003"/>
    <s v="Libre"/>
    <n v="130"/>
    <s v="Colombia"/>
    <s v="Plato_8"/>
  </r>
  <r>
    <s v="10"/>
    <s v="Cliente_124"/>
    <n v="5"/>
    <d v="2023-04-02T00:09:00"/>
    <d v="2023-04-02T01:12:00"/>
    <s v="Mesero_4"/>
    <s v="Almuerzo"/>
    <s v="Tarjeta de crédito"/>
    <n v="48.24"/>
    <s v="Reservada"/>
    <n v="174"/>
    <s v="Venezuela"/>
    <s v="Plato_2"/>
  </r>
  <r>
    <s v="10"/>
    <s v="Cliente_553"/>
    <n v="5"/>
    <d v="2023-04-02T03:27:00"/>
    <d v="2023-04-02T06:16:00"/>
    <s v="Mesero_1"/>
    <s v="Almuerzo"/>
    <s v="Tarjeta de crédito"/>
    <n v="46.72"/>
    <s v="Ocupada"/>
    <n v="259"/>
    <s v="Venezuela"/>
    <s v="Plato_6"/>
  </r>
  <r>
    <s v="10"/>
    <s v="Cliente_775"/>
    <n v="1"/>
    <d v="2023-04-03T01:11:00"/>
    <d v="2023-04-03T04:59:00"/>
    <s v="Mesero_4"/>
    <s v="Almuerzo"/>
    <s v="Tarjeta de crédito"/>
    <n v="10.130000000000001"/>
    <s v="Libre"/>
    <n v="270"/>
    <s v="Ecuador"/>
    <s v="Plato_18"/>
  </r>
  <r>
    <s v="10"/>
    <s v="Cliente_746"/>
    <n v="3"/>
    <d v="2023-04-03T00:09:00"/>
    <d v="2023-04-03T01:51:00"/>
    <s v="Mesero_3"/>
    <s v="Cena"/>
    <s v="Tarjeta de débito"/>
    <n v="29.72"/>
    <s v="Reservada"/>
    <n v="292"/>
    <s v="Argentina"/>
    <s v="Plato_16"/>
  </r>
  <r>
    <s v="10"/>
    <s v="Cliente_316"/>
    <n v="3"/>
    <d v="2023-04-05T00:12:00"/>
    <d v="2023-04-05T04:04:00"/>
    <s v="Mesero_5"/>
    <s v="Almuerzo"/>
    <s v="Tarjeta de crédito"/>
    <n v="10.14"/>
    <s v="Ocupada"/>
    <n v="436"/>
    <s v="Brasil"/>
    <s v="Plato_16"/>
  </r>
  <r>
    <s v="10"/>
    <s v="Cliente_606"/>
    <n v="5"/>
    <d v="2023-04-06T00:06:00"/>
    <d v="2023-04-06T01:18:00"/>
    <s v="Mesero_4"/>
    <s v="Almuerzo"/>
    <s v="Tarjeta de débito"/>
    <n v="44.54"/>
    <s v="Libre"/>
    <n v="580"/>
    <s v="Uruguay"/>
    <s v="Plato_11"/>
  </r>
  <r>
    <s v="10"/>
    <s v="Cliente_786"/>
    <n v="5"/>
    <d v="2023-04-07T00:06:00"/>
    <d v="2023-04-07T02:27:00"/>
    <s v="Mesero_2"/>
    <s v="Desayuno"/>
    <s v="Efectivo"/>
    <n v="42.21"/>
    <s v="Reservada"/>
    <n v="712"/>
    <s v="Perú"/>
    <s v="Plato_7"/>
  </r>
  <r>
    <s v="10"/>
    <s v="Cliente_484"/>
    <n v="5"/>
    <d v="2023-04-07T03:53:00"/>
    <d v="2023-04-07T06:10:00"/>
    <s v="Mesero_2"/>
    <s v="Almuerzo"/>
    <s v="Tarjeta de débito"/>
    <n v="33.69"/>
    <s v="Reservada"/>
    <n v="739"/>
    <s v="Colombia"/>
    <s v="Plato_14"/>
  </r>
  <r>
    <s v="11"/>
    <s v="Cliente_788"/>
    <n v="6"/>
    <d v="2023-04-02T02:34:00"/>
    <d v="2023-04-02T05:21:00"/>
    <s v="Mesero_2"/>
    <s v="Almuerzo"/>
    <s v="Tarjeta de crédito"/>
    <n v="49.07"/>
    <s v="Ocupada"/>
    <n v="247"/>
    <s v="Ecuador"/>
    <s v="Plato_11"/>
  </r>
  <r>
    <s v="11"/>
    <s v="Cliente_912"/>
    <n v="4"/>
    <d v="2023-04-05T00:22:00"/>
    <d v="2023-04-05T02:03:00"/>
    <s v="Mesero_5"/>
    <s v="Cena"/>
    <s v="Tarjeta de crédito"/>
    <n v="12.94"/>
    <s v="Ocupada"/>
    <n v="412"/>
    <s v="Perú"/>
    <s v="Plato_17"/>
  </r>
  <r>
    <s v="11"/>
    <s v="Cliente_728"/>
    <n v="1"/>
    <d v="2023-04-06T00:14:00"/>
    <d v="2023-04-06T03:59:00"/>
    <s v="Mesero_2"/>
    <s v="Almuerzo"/>
    <s v="Tarjeta de crédito"/>
    <n v="24.36"/>
    <s v="Reservada"/>
    <n v="559"/>
    <s v="Uruguay"/>
    <s v="Plato_11"/>
  </r>
  <r>
    <s v="11"/>
    <s v="Cliente_83"/>
    <n v="6"/>
    <d v="2023-04-06T02:11:00"/>
    <d v="2023-04-06T04:24:00"/>
    <s v="Mesero_3"/>
    <s v="Almuerzo"/>
    <s v="Tarjeta de crédito"/>
    <n v="3.28"/>
    <s v="Ocupada"/>
    <n v="578"/>
    <s v="España"/>
    <s v="Plato_2"/>
  </r>
  <r>
    <s v="11"/>
    <s v="Cliente_138"/>
    <n v="6"/>
    <d v="2023-04-06T03:44:00"/>
    <d v="2023-04-06T06:19:00"/>
    <s v="Mesero_3"/>
    <s v="Desayuno"/>
    <s v="Tarjeta de crédito"/>
    <n v="44.33"/>
    <s v="Libre"/>
    <n v="591"/>
    <s v="Bolivia"/>
    <s v="Plato_20"/>
  </r>
  <r>
    <s v="12"/>
    <s v="Cliente_824"/>
    <n v="5"/>
    <d v="2023-04-01T03:01:00"/>
    <d v="2023-04-01T04:59:00"/>
    <s v="Mesero_5"/>
    <s v="Cena"/>
    <s v="Tarjeta de débito"/>
    <n v="46.15"/>
    <s v="Ocupada"/>
    <n v="25"/>
    <s v="Colombia"/>
    <s v="Plato_18"/>
  </r>
  <r>
    <s v="12"/>
    <s v="Cliente_768"/>
    <n v="1"/>
    <d v="2023-04-02T01:18:00"/>
    <d v="2023-04-02T02:44:00"/>
    <s v="Mesero_4"/>
    <s v="Almuerzo"/>
    <s v="Efectivo"/>
    <n v="43.95"/>
    <s v="Ocupada"/>
    <n v="166"/>
    <s v="Perú"/>
    <s v="Plato_14"/>
  </r>
  <r>
    <s v="12"/>
    <s v="Cliente_850"/>
    <n v="3"/>
    <d v="2023-04-02T02:49:00"/>
    <d v="2023-04-02T06:06:00"/>
    <s v="Mesero_1"/>
    <s v="Almuerzo"/>
    <s v="Tarjeta de crédito"/>
    <n v="45.17"/>
    <s v="Ocupada"/>
    <n v="172"/>
    <s v="Bolivia"/>
    <s v="Plato_18"/>
  </r>
  <r>
    <s v="12"/>
    <s v="Cliente_173"/>
    <n v="2"/>
    <d v="2023-04-02T00:44:00"/>
    <d v="2023-04-02T03:08:00"/>
    <s v="Mesero_4"/>
    <s v="Desayuno"/>
    <s v="Tarjeta de crédito"/>
    <n v="1.33"/>
    <s v="Reservada"/>
    <n v="179"/>
    <s v="Colombia"/>
    <s v="Plato_17"/>
  </r>
  <r>
    <s v="12"/>
    <s v="Cliente_935"/>
    <n v="4"/>
    <d v="2023-04-02T00:04:00"/>
    <d v="2023-04-02T01:04:00"/>
    <s v="Mesero_5"/>
    <s v="Almuerzo"/>
    <s v="Tarjeta de crédito"/>
    <n v="38.97"/>
    <s v="Ocupada"/>
    <n v="241"/>
    <s v="Brasil"/>
    <s v="Plato_4"/>
  </r>
  <r>
    <s v="12"/>
    <s v="Cliente_429"/>
    <n v="5"/>
    <d v="2023-04-02T02:08:00"/>
    <d v="2023-04-02T03:17:00"/>
    <s v="Mesero_2"/>
    <s v="Almuerzo"/>
    <s v="Tarjeta de crédito"/>
    <n v="26.78"/>
    <s v="Reservada"/>
    <n v="257"/>
    <s v="Ecuador"/>
    <s v="Plato_14"/>
  </r>
  <r>
    <s v="12"/>
    <s v="Cliente_606"/>
    <n v="2"/>
    <d v="2023-04-05T02:48:00"/>
    <d v="2023-04-05T06:13:00"/>
    <s v="Mesero_1"/>
    <s v="Almuerzo"/>
    <s v="Tarjeta de crédito"/>
    <n v="35.24"/>
    <s v="Libre"/>
    <n v="446"/>
    <s v="Ecuador"/>
    <s v="Plato_13"/>
  </r>
  <r>
    <s v="12"/>
    <s v="Cliente_665"/>
    <n v="6"/>
    <d v="2023-04-05T03:58:00"/>
    <d v="2023-04-05T05:54:00"/>
    <s v="Mesero_5"/>
    <s v="Desayuno"/>
    <s v="Tarjeta de débito"/>
    <n v="1.97"/>
    <s v="Reservada"/>
    <n v="455"/>
    <s v="Colombia"/>
    <s v="Plato_7"/>
  </r>
  <r>
    <s v="12"/>
    <s v="Cliente_865"/>
    <n v="3"/>
    <d v="2023-04-06T03:04:00"/>
    <d v="2023-04-06T04:43:00"/>
    <s v="Mesero_5"/>
    <s v="Desayuno"/>
    <s v="Efectivo"/>
    <n v="20.07"/>
    <s v="Ocupada"/>
    <n v="563"/>
    <s v="Argentina"/>
    <s v="Plato_6"/>
  </r>
  <r>
    <s v="12"/>
    <s v="Cliente_623"/>
    <n v="2"/>
    <d v="2023-04-06T03:59:00"/>
    <d v="2023-04-06T06:38:00"/>
    <s v="Mesero_2"/>
    <s v="Almuerzo"/>
    <s v="Tarjeta de débito"/>
    <n v="12.59"/>
    <s v="Libre"/>
    <n v="646"/>
    <s v="Bolivia"/>
    <s v="Plato_8"/>
  </r>
  <r>
    <s v="13"/>
    <s v="Cliente_31"/>
    <n v="3"/>
    <d v="2023-04-02T01:21:00"/>
    <d v="2023-04-02T04:11:00"/>
    <s v="Mesero_4"/>
    <s v="Desayuno"/>
    <s v="Tarjeta de crédito"/>
    <n v="1.24"/>
    <s v="Ocupada"/>
    <n v="137"/>
    <s v="Colombia"/>
    <s v="Plato_13"/>
  </r>
  <r>
    <s v="13"/>
    <s v="Cliente_892"/>
    <n v="6"/>
    <d v="2023-04-02T00:45:00"/>
    <d v="2023-04-02T04:23:00"/>
    <s v="Mesero_2"/>
    <s v="Almuerzo"/>
    <s v="Tarjeta de crédito"/>
    <n v="18.86"/>
    <s v="Reservada"/>
    <n v="161"/>
    <s v="Paraguay"/>
    <s v="Plato_16"/>
  </r>
  <r>
    <s v="13"/>
    <s v="Cliente_230"/>
    <n v="5"/>
    <d v="2023-04-02T00:22:00"/>
    <d v="2023-04-02T02:48:00"/>
    <s v="Mesero_3"/>
    <s v="Cena"/>
    <s v="Tarjeta de crédito"/>
    <n v="26.37"/>
    <s v="Reservada"/>
    <n v="235"/>
    <s v="España"/>
    <s v="Plato_11"/>
  </r>
  <r>
    <s v="13"/>
    <s v="Cliente_599"/>
    <n v="6"/>
    <d v="2023-04-02T02:17:00"/>
    <d v="2023-04-02T04:56:00"/>
    <s v="Mesero_2"/>
    <s v="Desayuno"/>
    <s v="Tarjeta de crédito"/>
    <n v="33.020000000000003"/>
    <s v="Libre"/>
    <n v="238"/>
    <s v="Brasil"/>
    <s v="Plato_19"/>
  </r>
  <r>
    <s v="13"/>
    <s v="Cliente_269"/>
    <n v="3"/>
    <d v="2023-04-03T03:33:00"/>
    <d v="2023-04-03T05:09:00"/>
    <s v="Mesero_3"/>
    <s v="Cena"/>
    <s v="Tarjeta de crédito"/>
    <n v="10.08"/>
    <s v="Reservada"/>
    <n v="318"/>
    <s v="Venezuela"/>
    <s v="Plato_9"/>
  </r>
  <r>
    <s v="13"/>
    <s v="Cliente_666"/>
    <n v="6"/>
    <d v="2023-04-04T02:20:00"/>
    <d v="2023-04-04T03:23:00"/>
    <s v="Mesero_3"/>
    <s v="Almuerzo"/>
    <s v="Tarjeta de crédito"/>
    <n v="47.79"/>
    <s v="Libre"/>
    <n v="370"/>
    <s v="Uruguay"/>
    <s v="Plato_19"/>
  </r>
  <r>
    <s v="13"/>
    <s v="Cliente_736"/>
    <n v="3"/>
    <d v="2023-04-05T02:36:00"/>
    <d v="2023-04-05T04:58:00"/>
    <s v="Mesero_4"/>
    <s v="Cena"/>
    <s v="Tarjeta de crédito"/>
    <n v="23.01"/>
    <s v="Ocupada"/>
    <n v="413"/>
    <s v="Argentina"/>
    <s v="Plato_8"/>
  </r>
  <r>
    <s v="13"/>
    <s v="Cliente_950"/>
    <n v="6"/>
    <d v="2023-04-07T01:40:00"/>
    <d v="2023-04-07T04:29:00"/>
    <s v="Mesero_2"/>
    <s v="Cena"/>
    <s v="Tarjeta de crédito"/>
    <n v="33.29"/>
    <s v="Reservada"/>
    <n v="704"/>
    <s v="Bolivia"/>
    <s v="Plato_4"/>
  </r>
  <r>
    <s v="14"/>
    <s v="Cliente_406"/>
    <n v="4"/>
    <d v="2023-04-02T00:57:00"/>
    <d v="2023-04-02T02:34:00"/>
    <s v="Mesero_1"/>
    <s v="Almuerzo"/>
    <s v="Tarjeta de crédito"/>
    <n v="17.55"/>
    <s v="Reservada"/>
    <n v="162"/>
    <s v="Paraguay"/>
    <s v="Plato_7"/>
  </r>
  <r>
    <s v="14"/>
    <s v="Cliente_858"/>
    <n v="5"/>
    <d v="2023-04-04T02:46:00"/>
    <d v="2023-04-04T06:14:00"/>
    <s v="Mesero_2"/>
    <s v="Almuerzo"/>
    <s v="Tarjeta de crédito"/>
    <n v="17.170000000000002"/>
    <s v="Reservada"/>
    <n v="372"/>
    <s v="Brasil"/>
    <s v="Plato_4"/>
  </r>
  <r>
    <s v="14"/>
    <s v="Cliente_328"/>
    <n v="6"/>
    <d v="2023-04-05T03:43:00"/>
    <d v="2023-04-05T07:12:00"/>
    <s v="Mesero_5"/>
    <s v="Desayuno"/>
    <s v="Tarjeta de crédito"/>
    <n v="13.17"/>
    <s v="Reservada"/>
    <n v="414"/>
    <s v="España"/>
    <s v="Plato_11"/>
  </r>
  <r>
    <s v="14"/>
    <s v="Cliente_959"/>
    <n v="5"/>
    <d v="2023-04-06T01:18:00"/>
    <d v="2023-04-06T05:16:00"/>
    <s v="Mesero_2"/>
    <s v="Almuerzo"/>
    <s v="Tarjeta de crédito"/>
    <n v="4.26"/>
    <s v="Ocupada"/>
    <n v="604"/>
    <s v="Ecuador"/>
    <s v="Plato_8"/>
  </r>
  <r>
    <s v="15"/>
    <s v="Cliente_606"/>
    <n v="3"/>
    <d v="2023-04-01T03:41:00"/>
    <d v="2023-04-01T07:39:00"/>
    <s v="Mesero_2"/>
    <s v="Cena"/>
    <s v="Efectivo"/>
    <n v="48.36"/>
    <s v="Ocupada"/>
    <n v="39"/>
    <s v="Bolivia"/>
    <s v="Plato_19"/>
  </r>
  <r>
    <s v="15"/>
    <s v="Cliente_711"/>
    <n v="3"/>
    <d v="2023-04-01T02:00:00"/>
    <d v="2023-04-01T05:08:00"/>
    <s v="Mesero_4"/>
    <s v="Desayuno"/>
    <s v="Efectivo"/>
    <n v="22.72"/>
    <s v="Libre"/>
    <n v="106"/>
    <s v="Uruguay"/>
    <s v="Plato_18"/>
  </r>
  <r>
    <s v="15"/>
    <s v="Cliente_653"/>
    <n v="1"/>
    <d v="2023-04-02T02:45:00"/>
    <d v="2023-04-02T03:54:00"/>
    <s v="Mesero_1"/>
    <s v="Cena"/>
    <s v="Tarjeta de crédito"/>
    <n v="42.58"/>
    <s v="Ocupada"/>
    <n v="181"/>
    <s v="Paraguay"/>
    <s v="Plato_6"/>
  </r>
  <r>
    <s v="15"/>
    <s v="Cliente_151"/>
    <n v="6"/>
    <d v="2023-04-02T01:01:00"/>
    <d v="2023-04-02T04:57:00"/>
    <s v="Mesero_5"/>
    <s v="Almuerzo"/>
    <s v="Tarjeta de crédito"/>
    <n v="4.8499999999999996"/>
    <s v="Reservada"/>
    <n v="220"/>
    <s v="Ecuador"/>
    <s v="Plato_7"/>
  </r>
  <r>
    <s v="15"/>
    <s v="Cliente_244"/>
    <n v="6"/>
    <d v="2023-04-03T00:22:00"/>
    <d v="2023-04-03T02:28:00"/>
    <s v="Mesero_3"/>
    <s v="Almuerzo"/>
    <s v="Tarjeta de crédito"/>
    <n v="41.96"/>
    <s v="Ocupada"/>
    <n v="286"/>
    <s v="Argentina"/>
    <s v="Plato_18"/>
  </r>
  <r>
    <s v="15"/>
    <s v="Cliente_609"/>
    <n v="1"/>
    <d v="2023-04-05T02:05:00"/>
    <d v="2023-04-05T04:09:00"/>
    <s v="Mesero_3"/>
    <s v="Almuerzo"/>
    <s v="Tarjeta de crédito"/>
    <n v="4.8600000000000003"/>
    <s v="Reservada"/>
    <n v="391"/>
    <s v="Ecuador"/>
    <s v="Plato_5"/>
  </r>
  <r>
    <s v="15"/>
    <s v="Cliente_243"/>
    <n v="5"/>
    <d v="2023-04-05T03:33:00"/>
    <d v="2023-04-05T07:25:00"/>
    <s v="Mesero_5"/>
    <s v="Almuerzo"/>
    <s v="Tarjeta de crédito"/>
    <n v="39.82"/>
    <s v="Libre"/>
    <n v="431"/>
    <s v="Argentina"/>
    <s v="Plato_2"/>
  </r>
  <r>
    <s v="15"/>
    <s v="Cliente_710"/>
    <n v="2"/>
    <d v="2023-04-06T01:21:00"/>
    <d v="2023-04-06T02:54:00"/>
    <s v="Mesero_5"/>
    <s v="Almuerzo"/>
    <s v="Tarjeta de crédito"/>
    <n v="49.54"/>
    <s v="Libre"/>
    <n v="571"/>
    <s v="Perú"/>
    <s v="Plato_6"/>
  </r>
  <r>
    <s v="15"/>
    <s v="Cliente_268"/>
    <n v="4"/>
    <d v="2023-04-06T01:36:00"/>
    <d v="2023-04-06T04:44:00"/>
    <s v="Mesero_4"/>
    <s v="Almuerzo"/>
    <s v="Tarjeta de crédito"/>
    <n v="33.520000000000003"/>
    <s v="Libre"/>
    <n v="575"/>
    <s v="Paraguay"/>
    <s v="Plato_4"/>
  </r>
  <r>
    <s v="16"/>
    <s v="Cliente_381"/>
    <n v="6"/>
    <d v="2023-04-02T03:09:00"/>
    <d v="2023-04-02T04:10:00"/>
    <s v="Mesero_4"/>
    <s v="Almuerzo"/>
    <s v="Tarjeta de débito"/>
    <n v="46.88"/>
    <s v="Reservada"/>
    <n v="123"/>
    <s v="Argentina"/>
    <s v="Plato_7"/>
  </r>
  <r>
    <s v="16"/>
    <s v="Cliente_773"/>
    <n v="3"/>
    <d v="2023-04-02T00:40:00"/>
    <d v="2023-04-02T04:39:00"/>
    <s v="Mesero_2"/>
    <s v="Almuerzo"/>
    <s v="Tarjeta de crédito"/>
    <n v="4.72"/>
    <s v="Libre"/>
    <n v="139"/>
    <s v="Chile"/>
    <s v="Plato_8"/>
  </r>
  <r>
    <s v="16"/>
    <s v="Cliente_331"/>
    <n v="5"/>
    <d v="2023-04-02T00:17:00"/>
    <d v="2023-04-02T02:25:00"/>
    <s v="Mesero_1"/>
    <s v="Almuerzo"/>
    <s v="Efectivo"/>
    <n v="49.56"/>
    <s v="Libre"/>
    <n v="204"/>
    <s v="Uruguay"/>
    <s v="Plato_7"/>
  </r>
  <r>
    <s v="16"/>
    <s v="Cliente_445"/>
    <n v="4"/>
    <d v="2023-04-02T01:40:00"/>
    <d v="2023-04-02T04:02:00"/>
    <s v="Mesero_3"/>
    <s v="Almuerzo"/>
    <s v="Tarjeta de crédito"/>
    <n v="10.66"/>
    <s v="Ocupada"/>
    <n v="228"/>
    <s v="Ecuador"/>
    <s v="Plato_14"/>
  </r>
  <r>
    <s v="16"/>
    <s v="Cliente_755"/>
    <n v="3"/>
    <d v="2023-04-04T01:18:00"/>
    <d v="2023-04-04T04:19:00"/>
    <s v="Mesero_4"/>
    <s v="Almuerzo"/>
    <s v="Tarjeta de crédito"/>
    <n v="13.98"/>
    <s v="Ocupada"/>
    <n v="345"/>
    <s v="Chile"/>
    <s v="Plato_12"/>
  </r>
  <r>
    <s v="16"/>
    <s v="Cliente_183"/>
    <n v="4"/>
    <d v="2023-04-04T02:53:00"/>
    <d v="2023-04-04T05:12:00"/>
    <s v="Mesero_1"/>
    <s v="Almuerzo"/>
    <s v="Efectivo"/>
    <n v="27.51"/>
    <s v="Ocupada"/>
    <n v="376"/>
    <s v="Ecuador"/>
    <s v="Plato_14"/>
  </r>
  <r>
    <s v="16"/>
    <s v="Cliente_12"/>
    <n v="2"/>
    <d v="2023-04-05T03:51:00"/>
    <d v="2023-04-05T06:57:00"/>
    <s v="Mesero_2"/>
    <s v="Almuerzo"/>
    <s v="Tarjeta de crédito"/>
    <n v="15.87"/>
    <s v="Ocupada"/>
    <n v="401"/>
    <s v="Paraguay"/>
    <s v="Plato_13"/>
  </r>
  <r>
    <s v="16"/>
    <s v="Cliente_600"/>
    <n v="6"/>
    <d v="2023-04-05T03:02:00"/>
    <d v="2023-04-05T05:25:00"/>
    <s v="Mesero_3"/>
    <s v="Almuerzo"/>
    <s v="Tarjeta de crédito"/>
    <n v="12.56"/>
    <s v="Reservada"/>
    <n v="437"/>
    <s v="Paraguay"/>
    <s v="Plato_8"/>
  </r>
  <r>
    <s v="16"/>
    <s v="Cliente_592"/>
    <n v="3"/>
    <d v="2023-04-06T02:49:00"/>
    <d v="2023-04-06T06:07:00"/>
    <s v="Mesero_4"/>
    <s v="Almuerzo"/>
    <s v="Tarjeta de crédito"/>
    <n v="26.64"/>
    <s v="Reservada"/>
    <n v="620"/>
    <s v="Paraguay"/>
    <s v="Plato_12"/>
  </r>
  <r>
    <s v="16"/>
    <s v="Cliente_406"/>
    <n v="6"/>
    <d v="2023-04-06T00:54:00"/>
    <d v="2023-04-06T02:16:00"/>
    <s v="Mesero_3"/>
    <s v="Cena"/>
    <s v="Tarjeta de crédito"/>
    <n v="30.71"/>
    <s v="Ocupada"/>
    <n v="638"/>
    <s v="Argentina"/>
    <s v="Plato_2"/>
  </r>
  <r>
    <s v="16"/>
    <s v="Cliente_446"/>
    <n v="3"/>
    <d v="2023-04-07T02:53:00"/>
    <d v="2023-04-07T04:49:00"/>
    <s v="Mesero_1"/>
    <s v="Desayuno"/>
    <s v="Tarjeta de débito"/>
    <n v="37.229999999999997"/>
    <s v="Reservada"/>
    <n v="747"/>
    <s v="Uruguay"/>
    <s v="Plato_1"/>
  </r>
  <r>
    <s v="17"/>
    <s v="Cliente_640"/>
    <n v="2"/>
    <d v="2023-04-01T02:15:00"/>
    <d v="2023-04-01T04:01:00"/>
    <s v="Mesero_2"/>
    <s v="Almuerzo"/>
    <s v="Tarjeta de crédito"/>
    <n v="25.41"/>
    <s v="Reservada"/>
    <n v="45"/>
    <s v="Perú"/>
    <s v="Plato_4"/>
  </r>
  <r>
    <s v="17"/>
    <s v="Cliente_969"/>
    <n v="4"/>
    <d v="2023-04-01T03:40:00"/>
    <d v="2023-04-01T06:31:00"/>
    <s v="Mesero_5"/>
    <s v="Cena"/>
    <s v="Tarjeta de crédito"/>
    <n v="23.69"/>
    <s v="Ocupada"/>
    <n v="81"/>
    <s v="Uruguay"/>
    <s v="Plato_17"/>
  </r>
  <r>
    <s v="17"/>
    <s v="Cliente_131"/>
    <n v="4"/>
    <d v="2023-04-02T02:05:00"/>
    <d v="2023-04-02T03:23:00"/>
    <s v="Mesero_1"/>
    <s v="Almuerzo"/>
    <s v="Tarjeta de crédito"/>
    <n v="17.09"/>
    <s v="Reservada"/>
    <n v="168"/>
    <s v="Venezuela"/>
    <s v="Plato_5"/>
  </r>
  <r>
    <s v="17"/>
    <s v="Cliente_412"/>
    <n v="4"/>
    <d v="2023-04-02T02:36:00"/>
    <d v="2023-04-02T04:53:00"/>
    <s v="Mesero_2"/>
    <s v="Desayuno"/>
    <s v="Efectivo"/>
    <n v="15.99"/>
    <s v="Libre"/>
    <n v="192"/>
    <s v="Chile"/>
    <s v="Plato_1"/>
  </r>
  <r>
    <s v="17"/>
    <s v="Cliente_59"/>
    <n v="2"/>
    <d v="2023-04-06T00:17:00"/>
    <d v="2023-04-06T01:56:00"/>
    <s v="Mesero_2"/>
    <s v="Desayuno"/>
    <s v="Tarjeta de débito"/>
    <n v="28.81"/>
    <s v="Ocupada"/>
    <n v="643"/>
    <s v="Uruguay"/>
    <s v="Plato_11"/>
  </r>
  <r>
    <s v="17"/>
    <s v="Cliente_117"/>
    <n v="6"/>
    <d v="2023-04-07T00:31:00"/>
    <d v="2023-04-07T03:02:00"/>
    <s v="Mesero_2"/>
    <s v="Cena"/>
    <s v="Tarjeta de débito"/>
    <n v="13.24"/>
    <s v="Reservada"/>
    <n v="727"/>
    <s v="Colombia"/>
    <s v="Plato_3"/>
  </r>
  <r>
    <s v="17"/>
    <s v="Cliente_239"/>
    <n v="3"/>
    <d v="2023-04-07T03:16:00"/>
    <d v="2023-04-07T06:25:00"/>
    <s v="Mesero_2"/>
    <s v="Almuerzo"/>
    <s v="Tarjeta de crédito"/>
    <n v="14.35"/>
    <s v="Reservada"/>
    <n v="731"/>
    <s v="Chile"/>
    <s v="Plato_15"/>
  </r>
  <r>
    <s v="18"/>
    <s v="Cliente_290"/>
    <n v="3"/>
    <d v="2023-04-01T00:35:00"/>
    <d v="2023-04-01T03:29:00"/>
    <s v="Mesero_2"/>
    <s v="Almuerzo"/>
    <s v="Tarjeta de crédito"/>
    <n v="17.45"/>
    <s v="Libre"/>
    <n v="19"/>
    <s v="Chile"/>
    <s v="Plato_20"/>
  </r>
  <r>
    <s v="18"/>
    <s v="Cliente_628"/>
    <n v="2"/>
    <d v="2023-04-02T03:53:00"/>
    <d v="2023-04-02T06:30:00"/>
    <s v="Mesero_3"/>
    <s v="Almuerzo"/>
    <s v="Tarjeta de débito"/>
    <n v="38.36"/>
    <s v="Libre"/>
    <n v="182"/>
    <s v="Paraguay"/>
    <s v="Plato_12"/>
  </r>
  <r>
    <s v="18"/>
    <s v="Cliente_617"/>
    <n v="2"/>
    <d v="2023-04-03T03:52:00"/>
    <d v="2023-04-03T07:50:00"/>
    <s v="Mesero_4"/>
    <s v="Desayuno"/>
    <s v="Efectivo"/>
    <n v="4.43"/>
    <s v="Ocupada"/>
    <n v="281"/>
    <s v="Perú"/>
    <s v="Plato_11"/>
  </r>
  <r>
    <s v="18"/>
    <s v="Cliente_277"/>
    <n v="6"/>
    <d v="2023-04-03T03:03:00"/>
    <d v="2023-04-03T06:05:00"/>
    <s v="Mesero_4"/>
    <s v="Almuerzo"/>
    <s v="Tarjeta de débito"/>
    <n v="10.94"/>
    <s v="Reservada"/>
    <n v="285"/>
    <s v="España"/>
    <s v="Plato_13"/>
  </r>
  <r>
    <s v="18"/>
    <s v="Cliente_275"/>
    <n v="3"/>
    <d v="2023-04-04T03:19:00"/>
    <d v="2023-04-04T04:24:00"/>
    <s v="Mesero_2"/>
    <s v="Almuerzo"/>
    <s v="Tarjeta de crédito"/>
    <n v="33.35"/>
    <s v="Libre"/>
    <n v="374"/>
    <s v="Paraguay"/>
    <s v="Plato_8"/>
  </r>
  <r>
    <s v="18"/>
    <s v="Cliente_871"/>
    <n v="1"/>
    <d v="2023-04-04T00:17:00"/>
    <d v="2023-04-04T03:09:00"/>
    <s v="Mesero_3"/>
    <s v="Almuerzo"/>
    <s v="Tarjeta de crédito"/>
    <n v="2.23"/>
    <s v="Reservada"/>
    <n v="375"/>
    <s v="España"/>
    <s v="Plato_17"/>
  </r>
  <r>
    <s v="18"/>
    <s v="Cliente_332"/>
    <n v="3"/>
    <d v="2023-04-05T01:24:00"/>
    <d v="2023-04-05T03:45:00"/>
    <s v="Mesero_2"/>
    <s v="Almuerzo"/>
    <s v="Tarjeta de crédito"/>
    <n v="49.43"/>
    <s v="Reservada"/>
    <n v="425"/>
    <s v="Perú"/>
    <s v="Plato_12"/>
  </r>
  <r>
    <s v="18"/>
    <s v="Cliente_71"/>
    <n v="2"/>
    <d v="2023-04-06T01:33:00"/>
    <d v="2023-04-06T04:31:00"/>
    <s v="Mesero_4"/>
    <s v="Almuerzo"/>
    <s v="Tarjeta de crédito"/>
    <n v="22.76"/>
    <s v="Libre"/>
    <n v="484"/>
    <s v="Chile"/>
    <s v="Plato_1"/>
  </r>
  <r>
    <s v="18"/>
    <s v="Cliente_835"/>
    <n v="2"/>
    <d v="2023-04-06T02:01:00"/>
    <d v="2023-04-06T04:02:00"/>
    <s v="Mesero_3"/>
    <s v="Cena"/>
    <s v="Tarjeta de crédito"/>
    <n v="11.65"/>
    <s v="Ocupada"/>
    <n v="506"/>
    <s v="Paraguay"/>
    <s v="Plato_8"/>
  </r>
  <r>
    <s v="18"/>
    <s v="Cliente_486"/>
    <n v="6"/>
    <d v="2023-04-06T00:24:00"/>
    <d v="2023-04-06T02:09:00"/>
    <s v="Mesero_3"/>
    <s v="Desayuno"/>
    <s v="Tarjeta de débito"/>
    <n v="28.68"/>
    <s v="Ocupada"/>
    <n v="537"/>
    <s v="Perú"/>
    <s v="Plato_13"/>
  </r>
  <r>
    <s v="19"/>
    <s v="Cliente_148"/>
    <n v="5"/>
    <d v="2023-04-01T01:42:00"/>
    <d v="2023-04-01T03:18:00"/>
    <s v="Mesero_4"/>
    <s v="Almuerzo"/>
    <s v="Tarjeta de crédito"/>
    <n v="15.11"/>
    <s v="Ocupada"/>
    <n v="84"/>
    <s v="Perú"/>
    <s v="Plato_2"/>
  </r>
  <r>
    <s v="19"/>
    <s v="Cliente_576"/>
    <n v="2"/>
    <d v="2023-04-02T01:16:00"/>
    <d v="2023-04-02T02:50:00"/>
    <s v="Mesero_5"/>
    <s v="Cena"/>
    <s v="Tarjeta de crédito"/>
    <n v="49.62"/>
    <s v="Reservada"/>
    <n v="223"/>
    <s v="Argentina"/>
    <s v="Plato_15"/>
  </r>
  <r>
    <s v="19"/>
    <s v="Cliente_184"/>
    <n v="5"/>
    <d v="2023-04-03T01:04:00"/>
    <d v="2023-04-03T04:48:00"/>
    <s v="Mesero_5"/>
    <s v="Cena"/>
    <s v="Tarjeta de crédito"/>
    <n v="43.07"/>
    <s v="Libre"/>
    <n v="283"/>
    <s v="Brasil"/>
    <s v="Plato_10"/>
  </r>
  <r>
    <s v="19"/>
    <s v="Cliente_26"/>
    <n v="3"/>
    <d v="2023-04-03T02:06:00"/>
    <d v="2023-04-03T04:33:00"/>
    <s v="Mesero_3"/>
    <s v="Almuerzo"/>
    <s v="Tarjeta de crédito"/>
    <n v="14.59"/>
    <s v="Ocupada"/>
    <n v="290"/>
    <s v="España"/>
    <s v="Plato_20"/>
  </r>
  <r>
    <s v="19"/>
    <s v="Cliente_667"/>
    <n v="5"/>
    <d v="2023-04-05T00:02:00"/>
    <d v="2023-04-05T02:15:00"/>
    <s v="Mesero_3"/>
    <s v="Almuerzo"/>
    <s v="Tarjeta de crédito"/>
    <n v="39.14"/>
    <s v="Reservada"/>
    <n v="389"/>
    <s v="Venezuela"/>
    <s v="Plato_11"/>
  </r>
  <r>
    <s v="19"/>
    <s v="Cliente_690"/>
    <n v="2"/>
    <d v="2023-04-06T00:58:00"/>
    <d v="2023-04-06T02:03:00"/>
    <s v="Mesero_2"/>
    <s v="Almuerzo"/>
    <s v="Tarjeta de crédito"/>
    <n v="43.79"/>
    <s v="Ocupada"/>
    <n v="515"/>
    <s v="Chile"/>
    <s v="Plato_4"/>
  </r>
  <r>
    <s v="19"/>
    <s v="Cliente_112"/>
    <n v="4"/>
    <d v="2023-04-06T03:41:00"/>
    <d v="2023-04-06T05:55:00"/>
    <s v="Mesero_1"/>
    <s v="Desayuno"/>
    <s v="Efectivo"/>
    <n v="22.95"/>
    <s v="Ocupada"/>
    <n v="527"/>
    <s v="España"/>
    <s v="Plato_6"/>
  </r>
  <r>
    <s v="19"/>
    <s v="Cliente_798"/>
    <n v="6"/>
    <d v="2023-04-06T00:51:00"/>
    <d v="2023-04-06T04:21:00"/>
    <s v="Mesero_1"/>
    <s v="Almuerzo"/>
    <s v="Tarjeta de crédito"/>
    <n v="2.42"/>
    <s v="Libre"/>
    <n v="603"/>
    <s v="Uruguay"/>
    <s v="Plato_17"/>
  </r>
  <r>
    <s v="19"/>
    <s v="Cliente_823"/>
    <n v="6"/>
    <d v="2023-04-06T02:32:00"/>
    <d v="2023-04-06T04:37:00"/>
    <s v="Mesero_1"/>
    <s v="Desayuno"/>
    <s v="Tarjeta de débito"/>
    <n v="26.48"/>
    <s v="Reservada"/>
    <n v="614"/>
    <s v="Venezuela"/>
    <s v="Plato_7"/>
  </r>
  <r>
    <s v="19"/>
    <s v="Cliente_103"/>
    <n v="4"/>
    <d v="2023-04-07T01:43:00"/>
    <d v="2023-04-07T05:17:00"/>
    <s v="Mesero_3"/>
    <s v="Cena"/>
    <s v="Tarjeta de débito"/>
    <n v="1.39"/>
    <s v="Ocupada"/>
    <n v="691"/>
    <s v="Colombia"/>
    <s v="Plato_5"/>
  </r>
  <r>
    <s v="20"/>
    <s v="Cliente_175"/>
    <n v="5"/>
    <d v="2023-04-01T02:31:00"/>
    <d v="2023-04-01T04:24:00"/>
    <s v="Mesero_4"/>
    <s v="Almuerzo"/>
    <s v="Efectivo"/>
    <n v="3.79"/>
    <s v="Reservada"/>
    <n v="16"/>
    <s v="Bolivia"/>
    <s v="Plato_16"/>
  </r>
  <r>
    <s v="20"/>
    <s v="Cliente_999"/>
    <n v="1"/>
    <d v="2023-04-01T03:24:00"/>
    <d v="2023-04-01T06:02:00"/>
    <s v="Mesero_5"/>
    <s v="Cena"/>
    <s v="Tarjeta de crédito"/>
    <n v="10.39"/>
    <s v="Ocupada"/>
    <n v="37"/>
    <s v="Brasil"/>
    <s v="Plato_13"/>
  </r>
  <r>
    <s v="20"/>
    <s v="Cliente_501"/>
    <n v="3"/>
    <d v="2023-04-01T00:02:00"/>
    <d v="2023-04-01T02:08:00"/>
    <s v="Mesero_5"/>
    <s v="Almuerzo"/>
    <s v="Tarjeta de débito"/>
    <n v="11.84"/>
    <s v="Libre"/>
    <n v="86"/>
    <s v="España"/>
    <s v="Plato_1"/>
  </r>
  <r>
    <s v="20"/>
    <s v="Cliente_741"/>
    <n v="4"/>
    <d v="2023-04-02T02:27:00"/>
    <d v="2023-04-02T04:32:00"/>
    <s v="Mesero_2"/>
    <s v="Almuerzo"/>
    <s v="Tarjeta de crédito"/>
    <n v="3.05"/>
    <s v="Ocupada"/>
    <n v="176"/>
    <s v="Chile"/>
    <s v="Plato_13"/>
  </r>
  <r>
    <s v="20"/>
    <s v="Cliente_228"/>
    <n v="6"/>
    <d v="2023-04-02T01:23:00"/>
    <d v="2023-04-02T04:38:00"/>
    <s v="Mesero_5"/>
    <s v="Almuerzo"/>
    <s v="Efectivo"/>
    <n v="47.55"/>
    <s v="Ocupada"/>
    <n v="260"/>
    <s v="Uruguay"/>
    <s v="Plato_14"/>
  </r>
  <r>
    <s v="20"/>
    <s v="Cliente_175"/>
    <n v="5"/>
    <d v="2023-04-03T03:09:00"/>
    <d v="2023-04-03T05:39:00"/>
    <s v="Mesero_1"/>
    <s v="Almuerzo"/>
    <s v="Efectivo"/>
    <n v="31.66"/>
    <s v="Libre"/>
    <n v="307"/>
    <s v="Perú"/>
    <s v="Plato_13"/>
  </r>
  <r>
    <s v="20"/>
    <s v="Cliente_161"/>
    <n v="5"/>
    <d v="2023-04-03T00:46:00"/>
    <d v="2023-04-03T03:53:00"/>
    <s v="Mesero_4"/>
    <s v="Almuerzo"/>
    <s v="Tarjeta de débito"/>
    <n v="32.18"/>
    <s v="Ocupada"/>
    <n v="314"/>
    <s v="Chile"/>
    <s v="Plato_6"/>
  </r>
  <r>
    <s v="20"/>
    <s v="Cliente_742"/>
    <n v="6"/>
    <d v="2023-04-04T03:09:00"/>
    <d v="2023-04-04T06:27:00"/>
    <s v="Mesero_2"/>
    <s v="Cena"/>
    <s v="Tarjeta de débito"/>
    <n v="1.98"/>
    <s v="Reservada"/>
    <n v="382"/>
    <s v="Ecuador"/>
    <s v="Plato_9"/>
  </r>
  <r>
    <s v="20"/>
    <s v="Cliente_958"/>
    <n v="2"/>
    <d v="2023-04-05T03:03:00"/>
    <d v="2023-04-05T06:37:00"/>
    <s v="Mesero_1"/>
    <s v="Cena"/>
    <s v="Tarjeta de crédito"/>
    <n v="1.29"/>
    <s v="Reservada"/>
    <n v="416"/>
    <s v="Uruguay"/>
    <s v="Plato_1"/>
  </r>
  <r>
    <s v="20"/>
    <s v="Cliente_989"/>
    <n v="1"/>
    <d v="2023-04-05T00:24:00"/>
    <d v="2023-04-05T02:12:00"/>
    <s v="Mesero_1"/>
    <s v="Almuerzo"/>
    <s v="Tarjeta de crédito"/>
    <n v="32.770000000000003"/>
    <s v="Ocupada"/>
    <n v="459"/>
    <s v="Argentina"/>
    <s v="Plato_16"/>
  </r>
  <r>
    <s v="20"/>
    <s v="Cliente_259"/>
    <n v="3"/>
    <d v="2023-04-06T00:17:00"/>
    <d v="2023-04-06T03:46:00"/>
    <s v="Mesero_3"/>
    <s v="Almuerzo"/>
    <s v="Tarjeta de crédito"/>
    <n v="21.99"/>
    <s v="Libre"/>
    <n v="498"/>
    <s v="España"/>
    <s v="Plato_12"/>
  </r>
  <r>
    <s v="20"/>
    <s v="Cliente_110"/>
    <n v="1"/>
    <d v="2023-04-06T01:59:00"/>
    <d v="2023-04-06T05:02:00"/>
    <s v="Mesero_2"/>
    <s v="Desayuno"/>
    <s v="Efectivo"/>
    <n v="41.08"/>
    <s v="Libre"/>
    <n v="555"/>
    <s v="Brasil"/>
    <s v="Plato_2"/>
  </r>
  <r>
    <s v="20"/>
    <s v="Cliente_663"/>
    <n v="6"/>
    <d v="2023-04-07T01:14:00"/>
    <d v="2023-04-07T04:54:00"/>
    <s v="Mesero_1"/>
    <s v="Almuerzo"/>
    <s v="Tarjeta de crédito"/>
    <n v="44.45"/>
    <s v="Ocupada"/>
    <n v="706"/>
    <s v="Argentina"/>
    <s v="Plato_4"/>
  </r>
  <r>
    <n v="1"/>
    <s v="Cliente_113"/>
    <n v="6"/>
    <d v="2023-04-06T01:02:00"/>
    <d v="2023-04-06T04:29:00"/>
    <s v="Mesero_4"/>
    <s v="Cena"/>
    <s v="Tarjeta de crédito"/>
    <n v="23.59"/>
    <s v="Reservada"/>
    <n v="534"/>
    <s v="Brasil"/>
    <s v="Plato_7, Plato_9, Plato_8"/>
  </r>
  <r>
    <n v="1"/>
    <s v="Cliente_12"/>
    <n v="1"/>
    <d v="2023-04-03T00:48:00"/>
    <d v="2023-04-03T03:59:00"/>
    <s v="Mesero_1"/>
    <s v="Almuerzo"/>
    <s v="Efectivo"/>
    <n v="30.05"/>
    <s v="Libre"/>
    <n v="319"/>
    <s v="Bolivia"/>
    <s v="Plato_15, Plato_8, Plato_20, Plato_17"/>
  </r>
  <r>
    <n v="1"/>
    <s v="Cliente_123"/>
    <n v="2"/>
    <d v="2023-04-07T00:51:00"/>
    <d v="2023-04-07T04:07:00"/>
    <s v="Mesero_1"/>
    <s v="Almuerzo"/>
    <s v="Efectivo"/>
    <n v="44.2"/>
    <s v="Reservada"/>
    <n v="657"/>
    <s v="Chile"/>
    <s v="Plato_20, Plato_14, Plato_8"/>
  </r>
  <r>
    <n v="1"/>
    <s v="Cliente_125"/>
    <n v="5"/>
    <d v="2023-04-06T03:26:00"/>
    <d v="2023-04-06T07:19:00"/>
    <s v="Mesero_5"/>
    <s v="Desayuno"/>
    <s v="Efectivo"/>
    <n v="18.63"/>
    <s v="Reservada"/>
    <n v="480"/>
    <s v="Uruguay"/>
    <s v="Plato_8, Plato_6"/>
  </r>
  <r>
    <n v="1"/>
    <s v="Cliente_157"/>
    <n v="3"/>
    <d v="2023-04-05T02:47:00"/>
    <d v="2023-04-05T05:23:00"/>
    <s v="Mesero_4"/>
    <s v="Cena"/>
    <s v="Tarjeta de crédito"/>
    <n v="43.65"/>
    <s v="Reservada"/>
    <n v="410"/>
    <s v="Perú"/>
    <s v="Plato_3, Plato_19"/>
  </r>
  <r>
    <n v="1"/>
    <s v="Cliente_194"/>
    <n v="2"/>
    <d v="2023-04-06T03:20:00"/>
    <d v="2023-04-06T04:57:00"/>
    <s v="Mesero_5"/>
    <s v="Almuerzo"/>
    <s v="Tarjeta de crédito"/>
    <n v="26.79"/>
    <s v="Libre"/>
    <n v="490"/>
    <s v="Colombia"/>
    <s v="Plato_10, Plato_15, Plato_18"/>
  </r>
  <r>
    <n v="1"/>
    <s v="Cliente_212"/>
    <n v="2"/>
    <d v="2023-04-02T03:40:00"/>
    <d v="2023-04-02T05:26:00"/>
    <s v="Mesero_1"/>
    <s v="Almuerzo"/>
    <s v="Tarjeta de débito"/>
    <n v="11.13"/>
    <s v="Reservada"/>
    <n v="211"/>
    <s v="Argentina"/>
    <s v="Plato_13, Plato_4, Plato_1, Plato_3"/>
  </r>
  <r>
    <n v="1"/>
    <s v="Cliente_230"/>
    <n v="5"/>
    <d v="2023-04-06T01:57:00"/>
    <d v="2023-04-06T03:35:00"/>
    <s v="Mesero_2"/>
    <s v="Desayuno"/>
    <s v="Efectivo"/>
    <n v="23.56"/>
    <s v="Reservada"/>
    <n v="613"/>
    <s v="España"/>
    <s v="Plato_12, Plato_14, Plato_4, Plato_8"/>
  </r>
  <r>
    <n v="1"/>
    <s v="Cliente_313"/>
    <n v="5"/>
    <d v="2023-04-01T00:14:00"/>
    <d v="2023-04-01T02:15:00"/>
    <s v="Mesero_4"/>
    <s v="Almuerzo"/>
    <s v="Tarjeta de crédito"/>
    <n v="15.09"/>
    <s v="Libre"/>
    <n v="101"/>
    <s v="Venezuela"/>
    <s v="Plato_17, Plato_1, Plato_5, Plato_8"/>
  </r>
  <r>
    <n v="1"/>
    <s v="Cliente_336"/>
    <n v="3"/>
    <d v="2023-04-06T03:14:00"/>
    <d v="2023-04-06T05:20:00"/>
    <s v="Mesero_5"/>
    <s v="Cena"/>
    <s v="Tarjeta de débito"/>
    <n v="20.09"/>
    <s v="Libre"/>
    <n v="533"/>
    <s v="Ecuador"/>
    <s v="Plato_3, Plato_13"/>
  </r>
  <r>
    <n v="1"/>
    <s v="Cliente_342"/>
    <n v="3"/>
    <d v="2023-04-05T03:26:00"/>
    <d v="2023-04-05T04:53:00"/>
    <s v="Mesero_1"/>
    <s v="Almuerzo"/>
    <s v="Tarjeta de crédito"/>
    <n v="39.619999999999997"/>
    <s v="Libre"/>
    <n v="454"/>
    <s v="Colombia"/>
    <s v="Plato_6, Plato_12, Plato_19, Plato_1"/>
  </r>
  <r>
    <n v="1"/>
    <s v="Cliente_402"/>
    <n v="3"/>
    <d v="2023-04-06T02:34:00"/>
    <d v="2023-04-06T06:22:00"/>
    <s v="Mesero_1"/>
    <s v="Almuerzo"/>
    <s v="Tarjeta de crédito"/>
    <n v="39.42"/>
    <s v="Reservada"/>
    <n v="496"/>
    <s v="Argentina"/>
    <s v="Plato_11, Plato_18, Plato_12, Plato_17"/>
  </r>
  <r>
    <n v="1"/>
    <s v="Cliente_427"/>
    <n v="5"/>
    <d v="2023-04-01T02:44:00"/>
    <d v="2023-04-01T04:09:00"/>
    <s v="Mesero_5"/>
    <s v="Cena"/>
    <s v="Tarjeta de crédito"/>
    <n v="38.46"/>
    <s v="Libre"/>
    <n v="23"/>
    <s v="Chile"/>
    <s v="Plato_12, Plato_6"/>
  </r>
  <r>
    <n v="1"/>
    <s v="Cliente_434"/>
    <n v="2"/>
    <d v="2023-04-06T03:14:00"/>
    <d v="2023-04-06T06:06:00"/>
    <s v="Mesero_5"/>
    <s v="Almuerzo"/>
    <s v="Tarjeta de crédito"/>
    <n v="31.58"/>
    <s v="Ocupada"/>
    <n v="606"/>
    <s v="Venezuela"/>
    <s v="Plato_1, Plato_6, Plato_10"/>
  </r>
  <r>
    <n v="1"/>
    <s v="Cliente_535"/>
    <n v="2"/>
    <d v="2023-04-05T02:57:00"/>
    <d v="2023-04-05T05:22:00"/>
    <s v="Mesero_1"/>
    <s v="Cena"/>
    <s v="Tarjeta de crédito"/>
    <n v="25.26"/>
    <s v="Reservada"/>
    <n v="469"/>
    <s v="Colombia"/>
    <s v="Plato_8, Plato_15"/>
  </r>
  <r>
    <n v="1"/>
    <s v="Cliente_607"/>
    <n v="5"/>
    <d v="2023-04-01T03:38:00"/>
    <d v="2023-04-01T05:24:00"/>
    <s v="Mesero_5"/>
    <s v="Almuerzo"/>
    <s v="Tarjeta de crédito"/>
    <n v="39.1"/>
    <s v="Reservada"/>
    <n v="91"/>
    <s v="España"/>
    <s v="Plato_8, Plato_13, Plato_5, Plato_6"/>
  </r>
  <r>
    <n v="1"/>
    <s v="Cliente_619"/>
    <n v="6"/>
    <d v="2023-04-04T03:52:00"/>
    <d v="2023-04-04T06:09:00"/>
    <s v="Mesero_1"/>
    <s v="Desayuno"/>
    <s v="Tarjeta de crédito"/>
    <n v="48.93"/>
    <s v="Libre"/>
    <n v="351"/>
    <s v="Brasil"/>
    <s v="Plato_15, Plato_8"/>
  </r>
  <r>
    <n v="1"/>
    <s v="Cliente_622"/>
    <n v="5"/>
    <d v="2023-04-04T00:11:00"/>
    <d v="2023-04-04T02:33:00"/>
    <s v="Mesero_1"/>
    <s v="Desayuno"/>
    <s v="Tarjeta de débito"/>
    <n v="39.32"/>
    <s v="Reservada"/>
    <n v="384"/>
    <s v="Venezuela"/>
    <s v="Plato_4, Plato_12, Plato_6"/>
  </r>
  <r>
    <n v="1"/>
    <s v="Cliente_648"/>
    <n v="2"/>
    <d v="2023-04-03T00:45:00"/>
    <d v="2023-04-03T04:13:00"/>
    <s v="Mesero_1"/>
    <s v="Almuerzo"/>
    <s v="Tarjeta de crédito"/>
    <n v="37.92"/>
    <s v="Reservada"/>
    <n v="305"/>
    <s v="Chile"/>
    <s v="Plato_8, Plato_14"/>
  </r>
  <r>
    <n v="1"/>
    <s v="Cliente_708"/>
    <n v="3"/>
    <d v="2023-04-06T00:42:00"/>
    <d v="2023-04-06T04:30:00"/>
    <s v="Mesero_3"/>
    <s v="Almuerzo"/>
    <s v="Tarjeta de débito"/>
    <n v="39.58"/>
    <s v="Reservada"/>
    <n v="479"/>
    <s v="Argentina"/>
    <s v="Plato_4, Plato_18"/>
  </r>
  <r>
    <n v="1"/>
    <s v="Cliente_710"/>
    <n v="1"/>
    <d v="2023-04-01T02:00:00"/>
    <d v="2023-04-01T04:05:00"/>
    <s v="Mesero_3"/>
    <s v="Almuerzo"/>
    <s v="Efectivo"/>
    <n v="13.68"/>
    <s v="Libre"/>
    <n v="40"/>
    <s v="Argentina"/>
    <s v="Plato_9, Plato_11, Plato_16"/>
  </r>
  <r>
    <n v="1"/>
    <s v="Cliente_728"/>
    <n v="3"/>
    <d v="2023-04-01T01:20:00"/>
    <d v="2023-04-01T04:57:00"/>
    <s v="Mesero_5"/>
    <s v="Almuerzo"/>
    <s v="Tarjeta de débito"/>
    <n v="43.2"/>
    <s v="Libre"/>
    <n v="56"/>
    <s v="Ecuador"/>
    <s v="Plato_9, Plato_12"/>
  </r>
  <r>
    <n v="1"/>
    <s v="Cliente_833"/>
    <n v="4"/>
    <d v="2023-04-06T01:56:00"/>
    <d v="2023-04-06T03:26:00"/>
    <s v="Mesero_1"/>
    <s v="Cena"/>
    <s v="Tarjeta de crédito"/>
    <n v="38"/>
    <s v="Reservada"/>
    <n v="624"/>
    <s v="Argentina"/>
    <s v="Plato_19, Plato_7, Plato_13"/>
  </r>
  <r>
    <n v="1"/>
    <s v="Cliente_834"/>
    <n v="3"/>
    <d v="2023-04-07T00:03:00"/>
    <d v="2023-04-07T01:30:00"/>
    <s v="Mesero_5"/>
    <s v="Cena"/>
    <s v="Tarjeta de crédito"/>
    <n v="41.29"/>
    <s v="Libre"/>
    <n v="674"/>
    <s v="Paraguay"/>
    <s v="Plato_12, Plato_4, Plato_17, Plato_13"/>
  </r>
  <r>
    <n v="1"/>
    <s v="Cliente_866"/>
    <n v="2"/>
    <d v="2023-04-06T01:58:00"/>
    <d v="2023-04-06T04:42:00"/>
    <s v="Mesero_3"/>
    <s v="Almuerzo"/>
    <s v="Tarjeta de crédito"/>
    <n v="25.91"/>
    <s v="Ocupada"/>
    <n v="529"/>
    <s v="España"/>
    <s v="Plato_18, Plato_19, Plato_14, Plato_16"/>
  </r>
  <r>
    <n v="1"/>
    <s v="Cliente_887"/>
    <n v="6"/>
    <d v="2023-04-06T02:40:00"/>
    <d v="2023-04-06T04:27:00"/>
    <s v="Mesero_5"/>
    <s v="Almuerzo"/>
    <s v="Tarjeta de crédito"/>
    <n v="38.4"/>
    <s v="Libre"/>
    <n v="570"/>
    <s v="Colombia"/>
    <s v="Plato_11, Plato_10"/>
  </r>
  <r>
    <n v="1"/>
    <s v="Cliente_900"/>
    <n v="6"/>
    <d v="2023-04-06T01:08:00"/>
    <d v="2023-04-06T02:39:00"/>
    <s v="Mesero_3"/>
    <s v="Almuerzo"/>
    <s v="Tarjeta de crédito"/>
    <n v="28.33"/>
    <s v="Ocupada"/>
    <n v="550"/>
    <s v="Brasil"/>
    <s v="Plato_2, Plato_7, Plato_3"/>
  </r>
  <r>
    <n v="1"/>
    <s v="Cliente_959"/>
    <n v="5"/>
    <d v="2023-04-02T02:33:00"/>
    <d v="2023-04-02T04:49:00"/>
    <s v="Mesero_3"/>
    <s v="Almuerzo"/>
    <s v="Tarjeta de crédito"/>
    <n v="46.96"/>
    <s v="Libre"/>
    <n v="219"/>
    <s v="Venezuela"/>
    <s v="Plato_14, Plato_17"/>
  </r>
  <r>
    <n v="10"/>
    <s v="Cliente_116"/>
    <n v="2"/>
    <d v="2023-04-01T01:25:00"/>
    <d v="2023-04-01T02:26:00"/>
    <s v="Mesero_4"/>
    <s v="Desayuno"/>
    <s v="Tarjeta de crédito"/>
    <n v="42.95"/>
    <s v="Libre"/>
    <n v="109"/>
    <s v="Ecuador"/>
    <s v="Plato_18, Plato_14, Plato_5"/>
  </r>
  <r>
    <n v="10"/>
    <s v="Cliente_146"/>
    <n v="4"/>
    <d v="2023-04-02T02:43:00"/>
    <d v="2023-04-02T04:29:00"/>
    <s v="Mesero_2"/>
    <s v="Desayuno"/>
    <s v="Tarjeta de crédito"/>
    <n v="14.67"/>
    <s v="Libre"/>
    <n v="210"/>
    <s v="Venezuela"/>
    <s v="Plato_13, Plato_2, Plato_7, Plato_20"/>
  </r>
  <r>
    <n v="10"/>
    <s v="Cliente_156"/>
    <n v="3"/>
    <d v="2023-04-02T02:21:00"/>
    <d v="2023-04-02T05:12:00"/>
    <s v="Mesero_3"/>
    <s v="Cena"/>
    <s v="Tarjeta de crédito"/>
    <n v="41.9"/>
    <s v="Ocupada"/>
    <n v="165"/>
    <s v="Perú"/>
    <s v="Plato_7, Plato_13"/>
  </r>
  <r>
    <n v="10"/>
    <s v="Cliente_160"/>
    <n v="1"/>
    <d v="2023-04-05T01:37:00"/>
    <d v="2023-04-05T04:07:00"/>
    <s v="Mesero_1"/>
    <s v="Almuerzo"/>
    <s v="Tarjeta de crédito"/>
    <n v="17.57"/>
    <s v="Ocupada"/>
    <n v="421"/>
    <s v="Chile"/>
    <s v="Plato_17, Plato_4"/>
  </r>
  <r>
    <n v="10"/>
    <s v="Cliente_167"/>
    <n v="6"/>
    <d v="2023-04-01T02:38:00"/>
    <d v="2023-04-01T03:53:00"/>
    <s v="Mesero_4"/>
    <s v="Almuerzo"/>
    <s v="Tarjeta de débito"/>
    <n v="16.309999999999999"/>
    <s v="Reservada"/>
    <n v="38"/>
    <s v="Chile"/>
    <s v="Plato_17, Plato_8, Plato_19"/>
  </r>
  <r>
    <n v="10"/>
    <s v="Cliente_21"/>
    <n v="6"/>
    <d v="2023-04-06T01:30:00"/>
    <d v="2023-04-06T02:55:00"/>
    <s v="Mesero_3"/>
    <s v="Almuerzo"/>
    <s v="Tarjeta de débito"/>
    <n v="19.600000000000001"/>
    <s v="Ocupada"/>
    <n v="554"/>
    <s v="España"/>
    <s v="Plato_14, Plato_20"/>
  </r>
  <r>
    <n v="10"/>
    <s v="Cliente_306"/>
    <n v="4"/>
    <d v="2023-04-05T01:14:00"/>
    <d v="2023-04-05T03:09:00"/>
    <s v="Mesero_4"/>
    <s v="Almuerzo"/>
    <s v="Tarjeta de crédito"/>
    <n v="45.77"/>
    <s v="Reservada"/>
    <n v="433"/>
    <s v="Bolivia"/>
    <s v="Plato_2, Plato_7"/>
  </r>
  <r>
    <n v="10"/>
    <s v="Cliente_353"/>
    <n v="4"/>
    <d v="2023-04-07T01:48:00"/>
    <d v="2023-04-07T03:20:00"/>
    <s v="Mesero_4"/>
    <s v="Almuerzo"/>
    <s v="Efectivo"/>
    <n v="18.66"/>
    <s v="Ocupada"/>
    <n v="725"/>
    <s v="Chile"/>
    <s v="Plato_18, Plato_5"/>
  </r>
  <r>
    <n v="10"/>
    <s v="Cliente_377"/>
    <n v="1"/>
    <d v="2023-04-06T01:24:00"/>
    <d v="2023-04-06T03:29:00"/>
    <s v="Mesero_5"/>
    <s v="Almuerzo"/>
    <s v="Tarjeta de crédito"/>
    <n v="28.9"/>
    <s v="Ocupada"/>
    <n v="607"/>
    <s v="Paraguay"/>
    <s v="Plato_20, Plato_16"/>
  </r>
  <r>
    <n v="10"/>
    <s v="Cliente_402"/>
    <n v="6"/>
    <d v="2023-04-02T03:52:00"/>
    <d v="2023-04-02T05:59:00"/>
    <s v="Mesero_3"/>
    <s v="Almuerzo"/>
    <s v="Tarjeta de débito"/>
    <n v="46.26"/>
    <s v="Ocupada"/>
    <n v="148"/>
    <s v="Colombia"/>
    <s v="Plato_9, Plato_18, Plato_3, Plato_10"/>
  </r>
  <r>
    <n v="10"/>
    <s v="Cliente_436"/>
    <n v="6"/>
    <d v="2023-04-04T01:50:00"/>
    <d v="2023-04-04T03:57:00"/>
    <s v="Mesero_3"/>
    <s v="Desayuno"/>
    <s v="Tarjeta de crédito"/>
    <n v="32.17"/>
    <s v="Ocupada"/>
    <n v="330"/>
    <s v="Bolivia"/>
    <s v="Plato_1, Plato_16, Plato_14, Plato_13"/>
  </r>
  <r>
    <n v="10"/>
    <s v="Cliente_443"/>
    <n v="4"/>
    <d v="2023-04-06T03:14:00"/>
    <d v="2023-04-06T05:57:00"/>
    <s v="Mesero_4"/>
    <s v="Almuerzo"/>
    <s v="Tarjeta de débito"/>
    <n v="28.96"/>
    <s v="Libre"/>
    <n v="589"/>
    <s v="Uruguay"/>
    <s v="Plato_14, Plato_18, Plato_13, Plato_15"/>
  </r>
  <r>
    <n v="10"/>
    <s v="Cliente_514"/>
    <n v="6"/>
    <d v="2023-04-07T03:29:00"/>
    <d v="2023-04-07T04:40:00"/>
    <s v="Mesero_4"/>
    <s v="Cena"/>
    <s v="Tarjeta de crédito"/>
    <n v="48.15"/>
    <s v="Ocupada"/>
    <n v="684"/>
    <s v="Chile"/>
    <s v="Plato_19, Plato_17, Plato_10, Plato_9"/>
  </r>
  <r>
    <n v="10"/>
    <s v="Cliente_55"/>
    <n v="1"/>
    <d v="2023-04-02T02:21:00"/>
    <d v="2023-04-02T05:09:00"/>
    <s v="Mesero_2"/>
    <s v="Cena"/>
    <s v="Tarjeta de crédito"/>
    <n v="46.61"/>
    <s v="Reservada"/>
    <n v="180"/>
    <s v="Brasil"/>
    <s v="Plato_9, Plato_2, Plato_3, Plato_6"/>
  </r>
  <r>
    <n v="10"/>
    <s v="Cliente_553"/>
    <n v="5"/>
    <d v="2023-04-01T03:49:00"/>
    <d v="2023-04-01T06:22:00"/>
    <s v="Mesero_2"/>
    <s v="Almuerzo"/>
    <s v="Tarjeta de crédito"/>
    <n v="42.87"/>
    <s v="Ocupada"/>
    <n v="61"/>
    <s v="Chile"/>
    <s v="Plato_20, Plato_4, Plato_2, Plato_16"/>
  </r>
  <r>
    <n v="10"/>
    <s v="Cliente_623"/>
    <n v="1"/>
    <d v="2023-04-01T01:47:00"/>
    <d v="2023-04-01T03:39:00"/>
    <s v="Mesero_5"/>
    <s v="Almuerzo"/>
    <s v="Tarjeta de crédito"/>
    <n v="27.97"/>
    <s v="Libre"/>
    <n v="46"/>
    <s v="Chile"/>
    <s v="Plato_2, Plato_18, Plato_14"/>
  </r>
  <r>
    <n v="10"/>
    <s v="Cliente_665"/>
    <n v="6"/>
    <d v="2023-04-02T03:05:00"/>
    <d v="2023-04-02T05:47:00"/>
    <s v="Mesero_1"/>
    <s v="Cena"/>
    <s v="Tarjeta de crédito"/>
    <n v="36.43"/>
    <s v="Reservada"/>
    <n v="254"/>
    <s v="Paraguay"/>
    <s v="Plato_17, Plato_10, Plato_18, Plato_16"/>
  </r>
  <r>
    <n v="10"/>
    <s v="Cliente_693"/>
    <n v="4"/>
    <d v="2023-04-07T01:01:00"/>
    <d v="2023-04-07T04:34:00"/>
    <s v="Mesero_3"/>
    <s v="Almuerzo"/>
    <s v="Tarjeta de crédito"/>
    <n v="10.68"/>
    <s v="Libre"/>
    <n v="669"/>
    <s v="Venezuela"/>
    <s v="Plato_17, Plato_6, Plato_15"/>
  </r>
  <r>
    <n v="10"/>
    <s v="Cliente_719"/>
    <n v="4"/>
    <d v="2023-04-06T00:00:00"/>
    <d v="2023-04-06T01:58:00"/>
    <s v="Mesero_3"/>
    <s v="Almuerzo"/>
    <s v="Tarjeta de débito"/>
    <n v="37.380000000000003"/>
    <s v="Libre"/>
    <n v="488"/>
    <s v="Argentina"/>
    <s v="Plato_4, Plato_14, Plato_17"/>
  </r>
  <r>
    <n v="10"/>
    <s v="Cliente_724"/>
    <n v="6"/>
    <d v="2023-04-01T01:07:00"/>
    <d v="2023-04-01T03:50:00"/>
    <s v="Mesero_3"/>
    <s v="Almuerzo"/>
    <s v="Tarjeta de débito"/>
    <n v="48.55"/>
    <s v="Reservada"/>
    <n v="1"/>
    <s v="España"/>
    <s v="Plato_7, Plato_2"/>
  </r>
  <r>
    <n v="10"/>
    <s v="Cliente_757"/>
    <n v="3"/>
    <d v="2023-04-07T01:08:00"/>
    <d v="2023-04-07T03:57:00"/>
    <s v="Mesero_2"/>
    <s v="Desayuno"/>
    <s v="Tarjeta de crédito"/>
    <n v="15.98"/>
    <s v="Reservada"/>
    <n v="767"/>
    <s v="Ecuador"/>
    <s v="Plato_9, Plato_7, Plato_13"/>
  </r>
  <r>
    <n v="10"/>
    <s v="Cliente_832"/>
    <n v="6"/>
    <d v="2023-04-07T01:12:00"/>
    <d v="2023-04-07T03:39:00"/>
    <s v="Mesero_1"/>
    <s v="Almuerzo"/>
    <s v="Efectivo"/>
    <n v="15.83"/>
    <s v="Reservada"/>
    <n v="686"/>
    <s v="Paraguay"/>
    <s v="Plato_17, Plato_3"/>
  </r>
  <r>
    <n v="10"/>
    <s v="Cliente_869"/>
    <n v="2"/>
    <d v="2023-04-05T03:31:00"/>
    <d v="2023-04-05T05:54:00"/>
    <s v="Mesero_4"/>
    <s v="Cena"/>
    <s v="Tarjeta de crédito"/>
    <n v="18.71"/>
    <s v="Libre"/>
    <n v="432"/>
    <s v="Colombia"/>
    <s v="Plato_3, Plato_13, Plato_16"/>
  </r>
  <r>
    <n v="10"/>
    <s v="Cliente_870"/>
    <n v="1"/>
    <d v="2023-04-02T03:06:00"/>
    <d v="2023-04-02T05:26:00"/>
    <s v="Mesero_2"/>
    <s v="Desayuno"/>
    <s v="Tarjeta de débito"/>
    <n v="42.84"/>
    <s v="Ocupada"/>
    <n v="153"/>
    <s v="Paraguay"/>
    <s v="Plato_11, Plato_7, Plato_20"/>
  </r>
  <r>
    <n v="10"/>
    <s v="Cliente_974"/>
    <n v="3"/>
    <d v="2023-04-03T02:23:00"/>
    <d v="2023-04-03T05:46:00"/>
    <s v="Mesero_1"/>
    <s v="Desayuno"/>
    <s v="Tarjeta de débito"/>
    <n v="43.14"/>
    <s v="Reservada"/>
    <n v="313"/>
    <s v="España"/>
    <s v="Plato_12, Plato_17, Plato_19, Plato_7"/>
  </r>
  <r>
    <n v="11"/>
    <s v="Cliente_158"/>
    <n v="4"/>
    <d v="2023-04-02T03:49:00"/>
    <d v="2023-04-02T06:29:00"/>
    <s v="Mesero_2"/>
    <s v="Almuerzo"/>
    <s v="Efectivo"/>
    <n v="32.130000000000003"/>
    <s v="Libre"/>
    <n v="140"/>
    <s v="Paraguay"/>
    <s v="Plato_1, Plato_8, Plato_4"/>
  </r>
  <r>
    <n v="11"/>
    <s v="Cliente_193"/>
    <n v="2"/>
    <d v="2023-04-04T01:38:00"/>
    <d v="2023-04-04T04:31:00"/>
    <s v="Mesero_5"/>
    <s v="Cena"/>
    <s v="Tarjeta de crédito"/>
    <n v="19.28"/>
    <s v="Reservada"/>
    <n v="337"/>
    <s v="Brasil"/>
    <s v="Plato_7, Plato_16"/>
  </r>
  <r>
    <n v="11"/>
    <s v="Cliente_195"/>
    <n v="4"/>
    <d v="2023-04-03T03:14:00"/>
    <d v="2023-04-03T05:29:00"/>
    <s v="Mesero_5"/>
    <s v="Desayuno"/>
    <s v="Tarjeta de crédito"/>
    <n v="23.24"/>
    <s v="Reservada"/>
    <n v="298"/>
    <s v="Bolivia"/>
    <s v="Plato_6, Plato_19, Plato_5"/>
  </r>
  <r>
    <n v="11"/>
    <s v="Cliente_232"/>
    <n v="3"/>
    <d v="2023-04-07T03:33:00"/>
    <d v="2023-04-07T05:02:00"/>
    <s v="Mesero_3"/>
    <s v="Almuerzo"/>
    <s v="Tarjeta de débito"/>
    <n v="38.21"/>
    <s v="Libre"/>
    <n v="650"/>
    <s v="Argentina"/>
    <s v="Plato_13, Plato_9, Plato_15, Plato_8"/>
  </r>
  <r>
    <n v="11"/>
    <s v="Cliente_300"/>
    <n v="2"/>
    <d v="2023-04-03T02:58:00"/>
    <d v="2023-04-03T04:15:00"/>
    <s v="Mesero_2"/>
    <s v="Almuerzo"/>
    <s v="Tarjeta de débito"/>
    <n v="39.17"/>
    <s v="Libre"/>
    <n v="269"/>
    <s v="Venezuela"/>
    <s v="Plato_19, Plato_20, Plato_18"/>
  </r>
  <r>
    <n v="11"/>
    <s v="Cliente_301"/>
    <n v="3"/>
    <d v="2023-04-02T00:18:00"/>
    <d v="2023-04-02T03:43:00"/>
    <s v="Mesero_4"/>
    <s v="Almuerzo"/>
    <s v="Tarjeta de crédito"/>
    <n v="48.73"/>
    <s v="Ocupada"/>
    <n v="173"/>
    <s v="Chile"/>
    <s v="Plato_6, Plato_15"/>
  </r>
  <r>
    <n v="11"/>
    <s v="Cliente_345"/>
    <n v="4"/>
    <d v="2023-04-03T02:28:00"/>
    <d v="2023-04-03T04:37:00"/>
    <s v="Mesero_5"/>
    <s v="Almuerzo"/>
    <s v="Tarjeta de débito"/>
    <n v="29.99"/>
    <s v="Ocupada"/>
    <n v="284"/>
    <s v="Perú"/>
    <s v="Plato_3, Plato_6, Plato_12, Plato_11"/>
  </r>
  <r>
    <n v="11"/>
    <s v="Cliente_367"/>
    <n v="5"/>
    <d v="2023-04-02T01:56:00"/>
    <d v="2023-04-02T05:40:00"/>
    <s v="Mesero_2"/>
    <s v="Cena"/>
    <s v="Tarjeta de débito"/>
    <n v="13.26"/>
    <s v="Libre"/>
    <n v="199"/>
    <s v="Paraguay"/>
    <s v="Plato_9, Plato_8, Plato_13, Plato_6"/>
  </r>
  <r>
    <n v="11"/>
    <s v="Cliente_428"/>
    <n v="1"/>
    <d v="2023-04-07T03:53:00"/>
    <d v="2023-04-07T07:51:00"/>
    <s v="Mesero_1"/>
    <s v="Cena"/>
    <s v="Tarjeta de crédito"/>
    <n v="31.75"/>
    <s v="Libre"/>
    <n v="756"/>
    <s v="Perú"/>
    <s v="Plato_17, Plato_12"/>
  </r>
  <r>
    <n v="11"/>
    <s v="Cliente_462"/>
    <n v="6"/>
    <d v="2023-04-06T00:26:00"/>
    <d v="2023-04-06T03:54:00"/>
    <s v="Mesero_3"/>
    <s v="Cena"/>
    <s v="Tarjeta de débito"/>
    <n v="10.28"/>
    <s v="Libre"/>
    <n v="552"/>
    <s v="España"/>
    <s v="Plato_20, Plato_13, Plato_3"/>
  </r>
  <r>
    <n v="11"/>
    <s v="Cliente_479"/>
    <n v="4"/>
    <d v="2023-04-05T03:14:00"/>
    <d v="2023-04-05T05:43:00"/>
    <s v="Mesero_5"/>
    <s v="Almuerzo"/>
    <s v="Tarjeta de crédito"/>
    <n v="14.09"/>
    <s v="Ocupada"/>
    <n v="419"/>
    <s v="Argentina"/>
    <s v="Plato_18, Plato_11"/>
  </r>
  <r>
    <n v="11"/>
    <s v="Cliente_510"/>
    <n v="5"/>
    <d v="2023-04-03T00:15:00"/>
    <d v="2023-04-03T02:35:00"/>
    <s v="Mesero_2"/>
    <s v="Cena"/>
    <s v="Tarjeta de crédito"/>
    <n v="43.53"/>
    <s v="Libre"/>
    <n v="279"/>
    <s v="Venezuela"/>
    <s v="Plato_20, Plato_8, Plato_4, Plato_16"/>
  </r>
  <r>
    <n v="11"/>
    <s v="Cliente_548"/>
    <n v="4"/>
    <d v="2023-04-02T03:48:00"/>
    <d v="2023-04-02T06:10:00"/>
    <s v="Mesero_2"/>
    <s v="Almuerzo"/>
    <s v="Tarjeta de crédito"/>
    <n v="41.66"/>
    <s v="Reservada"/>
    <n v="189"/>
    <s v="España"/>
    <s v="Plato_18, Plato_10, Plato_7"/>
  </r>
  <r>
    <n v="11"/>
    <s v="Cliente_553"/>
    <n v="4"/>
    <d v="2023-04-01T00:42:00"/>
    <d v="2023-04-01T02:19:00"/>
    <s v="Mesero_5"/>
    <s v="Desayuno"/>
    <s v="Tarjeta de débito"/>
    <n v="12.28"/>
    <s v="Libre"/>
    <n v="89"/>
    <s v="Uruguay"/>
    <s v="Plato_14, Plato_18, Plato_5"/>
  </r>
  <r>
    <n v="11"/>
    <s v="Cliente_564"/>
    <n v="3"/>
    <d v="2023-04-06T00:34:00"/>
    <d v="2023-04-06T04:21:00"/>
    <s v="Mesero_2"/>
    <s v="Almuerzo"/>
    <s v="Tarjeta de crédito"/>
    <n v="30.97"/>
    <s v="Libre"/>
    <n v="599"/>
    <s v="Paraguay"/>
    <s v="Plato_18, Plato_17, Plato_8"/>
  </r>
  <r>
    <n v="11"/>
    <s v="Cliente_579"/>
    <n v="1"/>
    <d v="2023-04-02T03:31:00"/>
    <d v="2023-04-02T06:57:00"/>
    <s v="Mesero_1"/>
    <s v="Almuerzo"/>
    <s v="Tarjeta de crédito"/>
    <n v="14.82"/>
    <s v="Reservada"/>
    <n v="245"/>
    <s v="Bolivia"/>
    <s v="Plato_4, Plato_17, Plato_20, Plato_19"/>
  </r>
  <r>
    <n v="11"/>
    <s v="Cliente_651"/>
    <n v="5"/>
    <d v="2023-04-01T01:29:00"/>
    <d v="2023-04-01T02:58:00"/>
    <s v="Mesero_2"/>
    <s v="Almuerzo"/>
    <s v="Tarjeta de débito"/>
    <n v="48.77"/>
    <s v="Reservada"/>
    <n v="107"/>
    <s v="Bolivia"/>
    <s v="Plato_15, Plato_9, Plato_18"/>
  </r>
  <r>
    <n v="11"/>
    <s v="Cliente_680"/>
    <n v="4"/>
    <d v="2023-04-06T01:12:00"/>
    <d v="2023-04-06T05:00:00"/>
    <s v="Mesero_5"/>
    <s v="Almuerzo"/>
    <s v="Tarjeta de crédito"/>
    <n v="23.54"/>
    <s v="Reservada"/>
    <n v="612"/>
    <s v="Paraguay"/>
    <s v="Plato_6, Plato_19, Plato_16, Plato_3"/>
  </r>
  <r>
    <n v="11"/>
    <s v="Cliente_681"/>
    <n v="6"/>
    <d v="2023-04-02T01:53:00"/>
    <d v="2023-04-02T05:18:00"/>
    <s v="Mesero_3"/>
    <s v="Cena"/>
    <s v="Tarjeta de crédito"/>
    <n v="31.6"/>
    <s v="Reservada"/>
    <n v="178"/>
    <s v="Venezuela"/>
    <s v="Plato_2, Plato_8, Plato_5, Plato_11"/>
  </r>
  <r>
    <n v="11"/>
    <s v="Cliente_715"/>
    <n v="2"/>
    <d v="2023-04-07T02:28:00"/>
    <d v="2023-04-07T05:43:00"/>
    <s v="Mesero_5"/>
    <s v="Desayuno"/>
    <s v="Tarjeta de crédito"/>
    <n v="41.38"/>
    <s v="Reservada"/>
    <n v="726"/>
    <s v="España"/>
    <s v="Plato_5, Plato_19, Plato_14"/>
  </r>
  <r>
    <n v="11"/>
    <s v="Cliente_765"/>
    <n v="4"/>
    <d v="2023-04-02T02:35:00"/>
    <d v="2023-04-02T05:26:00"/>
    <s v="Mesero_3"/>
    <s v="Almuerzo"/>
    <s v="Tarjeta de crédito"/>
    <n v="48.73"/>
    <s v="Reservada"/>
    <n v="200"/>
    <s v="Colombia"/>
    <s v="Plato_12, Plato_1"/>
  </r>
  <r>
    <n v="11"/>
    <s v="Cliente_778"/>
    <n v="6"/>
    <d v="2023-04-06T03:01:00"/>
    <d v="2023-04-06T06:50:00"/>
    <s v="Mesero_2"/>
    <s v="Desayuno"/>
    <s v="Tarjeta de crédito"/>
    <n v="33.96"/>
    <s v="Libre"/>
    <n v="495"/>
    <s v="Venezuela"/>
    <s v="Plato_20, Plato_6, Plato_16, Plato_11"/>
  </r>
  <r>
    <n v="11"/>
    <s v="Cliente_798"/>
    <n v="1"/>
    <d v="2023-04-02T01:00:00"/>
    <d v="2023-04-02T03:01:00"/>
    <s v="Mesero_5"/>
    <s v="Cena"/>
    <s v="Tarjeta de crédito"/>
    <n v="34.700000000000003"/>
    <s v="Ocupada"/>
    <n v="135"/>
    <s v="Brasil"/>
    <s v="Plato_17, Plato_20, Plato_9"/>
  </r>
  <r>
    <n v="11"/>
    <s v="Cliente_827"/>
    <n v="4"/>
    <d v="2023-04-07T02:27:00"/>
    <d v="2023-04-07T04:38:00"/>
    <s v="Mesero_4"/>
    <s v="Almuerzo"/>
    <s v="Tarjeta de débito"/>
    <n v="26.24"/>
    <s v="Libre"/>
    <n v="753"/>
    <s v="Chile"/>
    <s v="Plato_15, Plato_14, Plato_7, Plato_19"/>
  </r>
  <r>
    <n v="11"/>
    <s v="Cliente_92"/>
    <n v="2"/>
    <d v="2023-04-04T00:41:00"/>
    <d v="2023-04-04T04:10:00"/>
    <s v="Mesero_2"/>
    <s v="Almuerzo"/>
    <s v="Tarjeta de crédito"/>
    <n v="12.2"/>
    <s v="Reservada"/>
    <n v="359"/>
    <s v="Perú"/>
    <s v="Plato_5, Plato_16, Plato_9, Plato_10"/>
  </r>
  <r>
    <n v="11"/>
    <s v="Cliente_964"/>
    <n v="6"/>
    <d v="2023-04-02T02:09:00"/>
    <d v="2023-04-02T03:36:00"/>
    <s v="Mesero_1"/>
    <s v="Desayuno"/>
    <s v="Tarjeta de crédito"/>
    <n v="17.2"/>
    <s v="Libre"/>
    <n v="154"/>
    <s v="Ecuador"/>
    <s v="Plato_19, Plato_4"/>
  </r>
  <r>
    <n v="11"/>
    <s v="Cliente_974"/>
    <n v="1"/>
    <d v="2023-04-01T02:11:00"/>
    <d v="2023-04-01T04:49:00"/>
    <s v="Mesero_2"/>
    <s v="Desayuno"/>
    <s v="Tarjeta de crédito"/>
    <n v="49.18"/>
    <s v="Reservada"/>
    <n v="8"/>
    <s v="Paraguay"/>
    <s v="Plato_5, Plato_16, Plato_20"/>
  </r>
  <r>
    <n v="11"/>
    <s v="Cliente_974"/>
    <n v="1"/>
    <d v="2023-04-07T01:59:00"/>
    <d v="2023-04-07T05:49:00"/>
    <s v="Mesero_1"/>
    <s v="Almuerzo"/>
    <s v="Tarjeta de crédito"/>
    <n v="26.5"/>
    <s v="Libre"/>
    <n v="744"/>
    <s v="España"/>
    <s v="Plato_4, Plato_9"/>
  </r>
  <r>
    <n v="11"/>
    <s v="Cliente_991"/>
    <n v="1"/>
    <d v="2023-04-05T00:32:00"/>
    <d v="2023-04-05T03:36:00"/>
    <s v="Mesero_2"/>
    <s v="Cena"/>
    <s v="Efectivo"/>
    <n v="34.5"/>
    <s v="Libre"/>
    <n v="396"/>
    <s v="Perú"/>
    <s v="Plato_3, Plato_13"/>
  </r>
  <r>
    <n v="12"/>
    <s v="Cliente_109"/>
    <n v="6"/>
    <d v="2023-04-05T00:36:00"/>
    <d v="2023-04-05T03:09:00"/>
    <s v="Mesero_2"/>
    <s v="Almuerzo"/>
    <s v="Tarjeta de crédito"/>
    <n v="39.72"/>
    <s v="Reservada"/>
    <n v="422"/>
    <s v="España"/>
    <s v="Plato_10, Plato_19"/>
  </r>
  <r>
    <n v="12"/>
    <s v="Cliente_116"/>
    <n v="2"/>
    <d v="2023-04-07T01:35:00"/>
    <d v="2023-04-07T04:49:00"/>
    <s v="Mesero_4"/>
    <s v="Desayuno"/>
    <s v="Efectivo"/>
    <n v="27.79"/>
    <s v="Libre"/>
    <n v="723"/>
    <s v="Chile"/>
    <s v="Plato_16, Plato_8"/>
  </r>
  <r>
    <n v="12"/>
    <s v="Cliente_142"/>
    <n v="2"/>
    <d v="2023-04-02T00:52:00"/>
    <d v="2023-04-02T02:26:00"/>
    <s v="Mesero_3"/>
    <s v="Almuerzo"/>
    <s v="Tarjeta de crédito"/>
    <n v="39.81"/>
    <s v="Libre"/>
    <n v="236"/>
    <s v="Argentina"/>
    <s v="Plato_11, Plato_5, Plato_8, Plato_15"/>
  </r>
  <r>
    <n v="12"/>
    <s v="Cliente_165"/>
    <n v="3"/>
    <d v="2023-04-06T03:52:00"/>
    <d v="2023-04-06T07:00:00"/>
    <s v="Mesero_2"/>
    <s v="Almuerzo"/>
    <s v="Efectivo"/>
    <n v="16.5"/>
    <s v="Reservada"/>
    <n v="602"/>
    <s v="España"/>
    <s v="Plato_8, Plato_5, Plato_2, Plato_20"/>
  </r>
  <r>
    <n v="12"/>
    <s v="Cliente_195"/>
    <n v="2"/>
    <d v="2023-04-06T01:33:00"/>
    <d v="2023-04-06T05:26:00"/>
    <s v="Mesero_1"/>
    <s v="Almuerzo"/>
    <s v="Tarjeta de crédito"/>
    <n v="35.340000000000003"/>
    <s v="Libre"/>
    <n v="549"/>
    <s v="Colombia"/>
    <s v="Plato_1, Plato_8, Plato_18"/>
  </r>
  <r>
    <n v="12"/>
    <s v="Cliente_210"/>
    <n v="2"/>
    <d v="2023-04-01T03:39:00"/>
    <d v="2023-04-01T05:52:00"/>
    <s v="Mesero_3"/>
    <s v="Almuerzo"/>
    <s v="Tarjeta de crédito"/>
    <n v="20.53"/>
    <s v="Reservada"/>
    <n v="21"/>
    <s v="Uruguay"/>
    <s v="Plato_20, Plato_3, Plato_15, Plato_1"/>
  </r>
  <r>
    <n v="12"/>
    <s v="Cliente_216"/>
    <n v="4"/>
    <d v="2023-04-04T02:51:00"/>
    <d v="2023-04-04T06:31:00"/>
    <s v="Mesero_1"/>
    <s v="Desayuno"/>
    <s v="Tarjeta de crédito"/>
    <n v="17.5"/>
    <s v="Libre"/>
    <n v="334"/>
    <s v="Argentina"/>
    <s v="Plato_13, Plato_14, Plato_7, Plato_2"/>
  </r>
  <r>
    <n v="12"/>
    <s v="Cliente_244"/>
    <n v="5"/>
    <d v="2023-04-01T03:19:00"/>
    <d v="2023-04-01T06:07:00"/>
    <s v="Mesero_2"/>
    <s v="Cena"/>
    <s v="Tarjeta de crédito"/>
    <n v="24.68"/>
    <s v="Ocupada"/>
    <n v="95"/>
    <s v="España"/>
    <s v="Plato_12, Plato_15"/>
  </r>
  <r>
    <n v="12"/>
    <s v="Cliente_30"/>
    <n v="6"/>
    <d v="2023-04-02T00:00:00"/>
    <d v="2023-04-02T02:36:00"/>
    <s v="Mesero_2"/>
    <s v="Almuerzo"/>
    <s v="Tarjeta de crédito"/>
    <n v="24.36"/>
    <s v="Ocupada"/>
    <n v="191"/>
    <s v="Paraguay"/>
    <s v="Plato_1, Plato_9"/>
  </r>
  <r>
    <n v="12"/>
    <s v="Cliente_313"/>
    <n v="6"/>
    <d v="2023-04-01T03:43:00"/>
    <d v="2023-04-01T06:26:00"/>
    <s v="Mesero_1"/>
    <s v="Cena"/>
    <s v="Tarjeta de débito"/>
    <n v="46.46"/>
    <s v="Ocupada"/>
    <n v="115"/>
    <s v="Uruguay"/>
    <s v="Plato_6, Plato_2, Plato_15"/>
  </r>
  <r>
    <n v="12"/>
    <s v="Cliente_336"/>
    <n v="5"/>
    <d v="2023-04-04T02:59:00"/>
    <d v="2023-04-04T04:36:00"/>
    <s v="Mesero_5"/>
    <s v="Cena"/>
    <s v="Tarjeta de crédito"/>
    <n v="15.08"/>
    <s v="Reservada"/>
    <n v="327"/>
    <s v="Colombia"/>
    <s v="Plato_18, Plato_4, Plato_6"/>
  </r>
  <r>
    <n v="12"/>
    <s v="Cliente_372"/>
    <n v="3"/>
    <d v="2023-04-07T01:48:00"/>
    <d v="2023-04-07T02:53:00"/>
    <s v="Mesero_2"/>
    <s v="Almuerzo"/>
    <s v="Tarjeta de crédito"/>
    <n v="43.07"/>
    <s v="Libre"/>
    <n v="705"/>
    <s v="Venezuela"/>
    <s v="Plato_3, Plato_10"/>
  </r>
  <r>
    <n v="12"/>
    <s v="Cliente_396"/>
    <n v="6"/>
    <d v="2023-04-07T01:45:00"/>
    <d v="2023-04-07T04:15:00"/>
    <s v="Mesero_3"/>
    <s v="Almuerzo"/>
    <s v="Tarjeta de débito"/>
    <n v="39.909999999999997"/>
    <s v="Ocupada"/>
    <n v="715"/>
    <s v="Perú"/>
    <s v="Plato_2, Plato_6, Plato_1, Plato_4"/>
  </r>
  <r>
    <n v="12"/>
    <s v="Cliente_418"/>
    <n v="4"/>
    <d v="2023-04-07T01:43:00"/>
    <d v="2023-04-07T04:41:00"/>
    <s v="Mesero_1"/>
    <s v="Desayuno"/>
    <s v="Tarjeta de crédito"/>
    <n v="18.61"/>
    <s v="Reservada"/>
    <n v="668"/>
    <s v="Bolivia"/>
    <s v="Plato_10, Plato_7, Plato_1"/>
  </r>
  <r>
    <n v="12"/>
    <s v="Cliente_452"/>
    <n v="1"/>
    <d v="2023-04-01T01:52:00"/>
    <d v="2023-04-01T04:53:00"/>
    <s v="Mesero_4"/>
    <s v="Almuerzo"/>
    <s v="Tarjeta de crédito"/>
    <n v="28.36"/>
    <s v="Ocupada"/>
    <n v="94"/>
    <s v="Chile"/>
    <s v="Plato_2, Plato_15, Plato_11"/>
  </r>
  <r>
    <n v="12"/>
    <s v="Cliente_453"/>
    <n v="2"/>
    <d v="2023-04-04T00:53:00"/>
    <d v="2023-04-04T03:45:00"/>
    <s v="Mesero_3"/>
    <s v="Cena"/>
    <s v="Tarjeta de crédito"/>
    <n v="12.62"/>
    <s v="Libre"/>
    <n v="367"/>
    <s v="Chile"/>
    <s v="Plato_10, Plato_9, Plato_3"/>
  </r>
  <r>
    <n v="12"/>
    <s v="Cliente_47"/>
    <n v="1"/>
    <d v="2023-04-03T03:41:00"/>
    <d v="2023-04-03T05:47:00"/>
    <s v="Mesero_2"/>
    <s v="Cena"/>
    <s v="Tarjeta de crédito"/>
    <n v="24.69"/>
    <s v="Ocupada"/>
    <n v="322"/>
    <s v="Ecuador"/>
    <s v="Plato_15, Plato_13"/>
  </r>
  <r>
    <n v="12"/>
    <s v="Cliente_493"/>
    <n v="2"/>
    <d v="2023-04-02T02:37:00"/>
    <d v="2023-04-02T05:26:00"/>
    <s v="Mesero_2"/>
    <s v="Cena"/>
    <s v="Tarjeta de crédito"/>
    <n v="25.98"/>
    <s v="Libre"/>
    <n v="170"/>
    <s v="Colombia"/>
    <s v="Plato_3, Plato_9, Plato_19, Plato_2"/>
  </r>
  <r>
    <n v="12"/>
    <s v="Cliente_517"/>
    <n v="6"/>
    <d v="2023-04-07T01:24:00"/>
    <d v="2023-04-07T03:51:00"/>
    <s v="Mesero_4"/>
    <s v="Cena"/>
    <s v="Tarjeta de crédito"/>
    <n v="29.19"/>
    <s v="Reservada"/>
    <n v="672"/>
    <s v="Chile"/>
    <s v="Plato_15, Plato_13, Plato_12"/>
  </r>
  <r>
    <n v="12"/>
    <s v="Cliente_52"/>
    <n v="2"/>
    <d v="2023-04-06T02:55:00"/>
    <d v="2023-04-06T06:25:00"/>
    <s v="Mesero_2"/>
    <s v="Almuerzo"/>
    <s v="Tarjeta de crédito"/>
    <n v="42.79"/>
    <s v="Reservada"/>
    <n v="647"/>
    <s v="Bolivia"/>
    <s v="Plato_4, Plato_17"/>
  </r>
  <r>
    <n v="12"/>
    <s v="Cliente_555"/>
    <n v="5"/>
    <d v="2023-04-06T01:28:00"/>
    <d v="2023-04-06T03:05:00"/>
    <s v="Mesero_1"/>
    <s v="Almuerzo"/>
    <s v="Tarjeta de crédito"/>
    <n v="28.52"/>
    <s v="Reservada"/>
    <n v="569"/>
    <s v="Bolivia"/>
    <s v="Plato_18, Plato_13"/>
  </r>
  <r>
    <n v="12"/>
    <s v="Cliente_567"/>
    <n v="6"/>
    <d v="2023-04-02T00:26:00"/>
    <d v="2023-04-02T02:18:00"/>
    <s v="Mesero_2"/>
    <s v="Almuerzo"/>
    <s v="Tarjeta de débito"/>
    <n v="18.690000000000001"/>
    <s v="Ocupada"/>
    <n v="248"/>
    <s v="Chile"/>
    <s v="Plato_18, Plato_9, Plato_6, Plato_1"/>
  </r>
  <r>
    <n v="12"/>
    <s v="Cliente_631"/>
    <n v="1"/>
    <d v="2023-04-01T01:42:00"/>
    <d v="2023-04-01T03:02:00"/>
    <s v="Mesero_5"/>
    <s v="Cena"/>
    <s v="Tarjeta de crédito"/>
    <n v="37.08"/>
    <s v="Reservada"/>
    <n v="51"/>
    <s v="España"/>
    <s v="Plato_14, Plato_11, Plato_5, Plato_4"/>
  </r>
  <r>
    <n v="12"/>
    <s v="Cliente_707"/>
    <n v="4"/>
    <d v="2023-04-07T01:47:00"/>
    <d v="2023-04-07T04:44:00"/>
    <s v="Mesero_2"/>
    <s v="Cena"/>
    <s v="Tarjeta de crédito"/>
    <n v="44.73"/>
    <s v="Ocupada"/>
    <n v="716"/>
    <s v="Brasil"/>
    <s v="Plato_13, Plato_1, Plato_17"/>
  </r>
  <r>
    <n v="12"/>
    <s v="Cliente_743"/>
    <n v="3"/>
    <d v="2023-04-07T02:01:00"/>
    <d v="2023-04-07T04:27:00"/>
    <s v="Mesero_2"/>
    <s v="Almuerzo"/>
    <s v="Tarjeta de crédito"/>
    <n v="26.65"/>
    <s v="Ocupada"/>
    <n v="755"/>
    <s v="Brasil"/>
    <s v="Plato_13, Plato_1, Plato_12, Plato_9"/>
  </r>
  <r>
    <n v="12"/>
    <s v="Cliente_770"/>
    <n v="3"/>
    <d v="2023-04-07T03:17:00"/>
    <d v="2023-04-07T07:13:00"/>
    <s v="Mesero_4"/>
    <s v="Almuerzo"/>
    <s v="Tarjeta de crédito"/>
    <n v="43.35"/>
    <s v="Reservada"/>
    <n v="732"/>
    <s v="Brasil"/>
    <s v="Plato_20, Plato_10, Plato_19"/>
  </r>
  <r>
    <n v="12"/>
    <s v="Cliente_811"/>
    <n v="1"/>
    <d v="2023-04-02T00:39:00"/>
    <d v="2023-04-02T04:32:00"/>
    <s v="Mesero_2"/>
    <s v="Desayuno"/>
    <s v="Tarjeta de crédito"/>
    <n v="47.99"/>
    <s v="Reservada"/>
    <n v="258"/>
    <s v="Bolivia"/>
    <s v="Plato_1, Plato_3, Plato_15, Plato_20"/>
  </r>
  <r>
    <n v="12"/>
    <s v="Cliente_816"/>
    <n v="1"/>
    <d v="2023-04-04T03:56:00"/>
    <d v="2023-04-04T05:45:00"/>
    <s v="Mesero_5"/>
    <s v="Almuerzo"/>
    <s v="Tarjeta de crédito"/>
    <n v="23.01"/>
    <s v="Ocupada"/>
    <n v="343"/>
    <s v="Perú"/>
    <s v="Plato_18, Plato_14"/>
  </r>
  <r>
    <n v="12"/>
    <s v="Cliente_856"/>
    <n v="6"/>
    <d v="2023-04-02T02:46:00"/>
    <d v="2023-04-02T06:07:00"/>
    <s v="Mesero_4"/>
    <s v="Almuerzo"/>
    <s v="Efectivo"/>
    <n v="11.76"/>
    <s v="Reservada"/>
    <n v="239"/>
    <s v="Brasil"/>
    <s v="Plato_10, Plato_7"/>
  </r>
  <r>
    <n v="12"/>
    <s v="Cliente_872"/>
    <n v="6"/>
    <d v="2023-04-02T01:20:00"/>
    <d v="2023-04-02T04:24:00"/>
    <s v="Mesero_1"/>
    <s v="Almuerzo"/>
    <s v="Tarjeta de crédito"/>
    <n v="13.69"/>
    <s v="Ocupada"/>
    <n v="251"/>
    <s v="Uruguay"/>
    <s v="Plato_10, Plato_5, Plato_14, Plato_12"/>
  </r>
  <r>
    <n v="12"/>
    <s v="Cliente_880"/>
    <n v="5"/>
    <d v="2023-04-07T00:02:00"/>
    <d v="2023-04-07T01:44:00"/>
    <s v="Mesero_5"/>
    <s v="Cena"/>
    <s v="Tarjeta de crédito"/>
    <n v="23.98"/>
    <s v="Ocupada"/>
    <n v="654"/>
    <s v="Uruguay"/>
    <s v="Plato_5, Plato_3"/>
  </r>
  <r>
    <n v="12"/>
    <s v="Cliente_899"/>
    <n v="6"/>
    <d v="2023-04-04T00:26:00"/>
    <d v="2023-04-04T03:24:00"/>
    <s v="Mesero_5"/>
    <s v="Desayuno"/>
    <s v="Tarjeta de crédito"/>
    <n v="29.58"/>
    <s v="Ocupada"/>
    <n v="354"/>
    <s v="Paraguay"/>
    <s v="Plato_12, Plato_15, Plato_4, Plato_7"/>
  </r>
  <r>
    <n v="12"/>
    <s v="Cliente_961"/>
    <n v="2"/>
    <d v="2023-04-02T03:42:00"/>
    <d v="2023-04-02T05:09:00"/>
    <s v="Mesero_2"/>
    <s v="Almuerzo"/>
    <s v="Tarjeta de crédito"/>
    <n v="31.29"/>
    <s v="Reservada"/>
    <n v="242"/>
    <s v="Venezuela"/>
    <s v="Plato_10, Plato_1, Plato_11"/>
  </r>
  <r>
    <n v="13"/>
    <s v="Cliente_14"/>
    <n v="1"/>
    <d v="2023-04-04T03:24:00"/>
    <d v="2023-04-04T05:33:00"/>
    <s v="Mesero_1"/>
    <s v="Desayuno"/>
    <s v="Tarjeta de débito"/>
    <n v="37.65"/>
    <s v="Ocupada"/>
    <n v="368"/>
    <s v="Colombia"/>
    <s v="Plato_11, Plato_7"/>
  </r>
  <r>
    <n v="13"/>
    <s v="Cliente_140"/>
    <n v="1"/>
    <d v="2023-04-01T00:34:00"/>
    <d v="2023-04-01T01:45:00"/>
    <s v="Mesero_5"/>
    <s v="Cena"/>
    <s v="Tarjeta de débito"/>
    <n v="49.32"/>
    <s v="Libre"/>
    <n v="118"/>
    <s v="Bolivia"/>
    <s v="Plato_4, Plato_14, Plato_6, Plato_15"/>
  </r>
  <r>
    <n v="13"/>
    <s v="Cliente_143"/>
    <n v="6"/>
    <d v="2023-04-05T01:04:00"/>
    <d v="2023-04-05T03:23:00"/>
    <s v="Mesero_2"/>
    <s v="Almuerzo"/>
    <s v="Efectivo"/>
    <n v="23.31"/>
    <s v="Ocupada"/>
    <n v="441"/>
    <s v="España"/>
    <s v="Plato_8, Plato_10"/>
  </r>
  <r>
    <n v="13"/>
    <s v="Cliente_196"/>
    <n v="3"/>
    <d v="2023-04-05T02:33:00"/>
    <d v="2023-04-05T05:17:00"/>
    <s v="Mesero_4"/>
    <s v="Almuerzo"/>
    <s v="Tarjeta de crédito"/>
    <n v="12.54"/>
    <s v="Ocupada"/>
    <n v="393"/>
    <s v="Colombia"/>
    <s v="Plato_12, Plato_8, Plato_13, Plato_5"/>
  </r>
  <r>
    <n v="13"/>
    <s v="Cliente_2"/>
    <n v="5"/>
    <d v="2023-04-07T02:31:00"/>
    <d v="2023-04-07T04:20:00"/>
    <s v="Mesero_1"/>
    <s v="Almuerzo"/>
    <s v="Tarjeta de crédito"/>
    <n v="34.33"/>
    <s v="Libre"/>
    <n v="653"/>
    <s v="Venezuela"/>
    <s v="Plato_16, Plato_2, Plato_8"/>
  </r>
  <r>
    <n v="13"/>
    <s v="Cliente_207"/>
    <n v="6"/>
    <d v="2023-04-05T02:12:00"/>
    <d v="2023-04-05T05:15:00"/>
    <s v="Mesero_4"/>
    <s v="Almuerzo"/>
    <s v="Tarjeta de crédito"/>
    <n v="21.94"/>
    <s v="Libre"/>
    <n v="456"/>
    <s v="Argentina"/>
    <s v="Plato_20, Plato_18"/>
  </r>
  <r>
    <n v="13"/>
    <s v="Cliente_224"/>
    <n v="1"/>
    <d v="2023-04-06T03:55:00"/>
    <d v="2023-04-06T07:43:00"/>
    <s v="Mesero_1"/>
    <s v="Almuerzo"/>
    <s v="Tarjeta de crédito"/>
    <n v="44.28"/>
    <s v="Ocupada"/>
    <n v="611"/>
    <s v="Brasil"/>
    <s v="Plato_13, Plato_19"/>
  </r>
  <r>
    <n v="13"/>
    <s v="Cliente_229"/>
    <n v="3"/>
    <d v="2023-04-01T02:51:00"/>
    <d v="2023-04-01T06:02:00"/>
    <s v="Mesero_2"/>
    <s v="Desayuno"/>
    <s v="Tarjeta de crédito"/>
    <n v="19.809999999999999"/>
    <s v="Ocupada"/>
    <n v="31"/>
    <s v="Argentina"/>
    <s v="Plato_9, Plato_12"/>
  </r>
  <r>
    <n v="13"/>
    <s v="Cliente_27"/>
    <n v="5"/>
    <d v="2023-04-06T01:20:00"/>
    <d v="2023-04-06T05:17:00"/>
    <s v="Mesero_2"/>
    <s v="Almuerzo"/>
    <s v="Tarjeta de crédito"/>
    <n v="38.18"/>
    <s v="Libre"/>
    <n v="617"/>
    <s v="Uruguay"/>
    <s v="Plato_10, Plato_2"/>
  </r>
  <r>
    <n v="13"/>
    <s v="Cliente_3"/>
    <n v="6"/>
    <d v="2023-04-02T01:46:00"/>
    <d v="2023-04-02T04:58:00"/>
    <s v="Mesero_5"/>
    <s v="Almuerzo"/>
    <s v="Tarjeta de crédito"/>
    <n v="28.1"/>
    <s v="Libre"/>
    <n v="213"/>
    <s v="Perú"/>
    <s v="Plato_6, Plato_2"/>
  </r>
  <r>
    <n v="13"/>
    <s v="Cliente_342"/>
    <n v="3"/>
    <d v="2023-04-05T01:08:00"/>
    <d v="2023-04-05T03:17:00"/>
    <s v="Mesero_2"/>
    <s v="Cena"/>
    <s v="Efectivo"/>
    <n v="11.02"/>
    <s v="Reservada"/>
    <n v="424"/>
    <s v="Colombia"/>
    <s v="Plato_5, Plato_6"/>
  </r>
  <r>
    <n v="13"/>
    <s v="Cliente_388"/>
    <n v="3"/>
    <d v="2023-04-01T01:42:00"/>
    <d v="2023-04-01T05:10:00"/>
    <s v="Mesero_4"/>
    <s v="Almuerzo"/>
    <s v="Tarjeta de débito"/>
    <n v="26.75"/>
    <s v="Reservada"/>
    <n v="103"/>
    <s v="Brasil"/>
    <s v="Plato_13, Plato_18, Plato_4"/>
  </r>
  <r>
    <n v="13"/>
    <s v="Cliente_395"/>
    <n v="1"/>
    <d v="2023-04-06T00:45:00"/>
    <d v="2023-04-06T03:10:00"/>
    <s v="Mesero_3"/>
    <s v="Almuerzo"/>
    <s v="Efectivo"/>
    <n v="22.05"/>
    <s v="Libre"/>
    <n v="623"/>
    <s v="Uruguay"/>
    <s v="Plato_5, Plato_8, Plato_1, Plato_15"/>
  </r>
  <r>
    <n v="13"/>
    <s v="Cliente_434"/>
    <n v="2"/>
    <d v="2023-04-06T00:03:00"/>
    <d v="2023-04-06T01:47:00"/>
    <s v="Mesero_3"/>
    <s v="Desayuno"/>
    <s v="Tarjeta de débito"/>
    <n v="43.53"/>
    <s v="Ocupada"/>
    <n v="476"/>
    <s v="Paraguay"/>
    <s v="Plato_7, Plato_18, Plato_15, Plato_20"/>
  </r>
  <r>
    <n v="13"/>
    <s v="Cliente_438"/>
    <n v="5"/>
    <d v="2023-04-07T02:51:00"/>
    <d v="2023-04-07T04:08:00"/>
    <s v="Mesero_2"/>
    <s v="Almuerzo"/>
    <s v="Tarjeta de crédito"/>
    <n v="20.62"/>
    <s v="Libre"/>
    <n v="722"/>
    <s v="Ecuador"/>
    <s v="Plato_13, Plato_5"/>
  </r>
  <r>
    <n v="13"/>
    <s v="Cliente_442"/>
    <n v="6"/>
    <d v="2023-04-02T00:40:00"/>
    <d v="2023-04-02T04:14:00"/>
    <s v="Mesero_1"/>
    <s v="Almuerzo"/>
    <s v="Tarjeta de crédito"/>
    <n v="17.55"/>
    <s v="Reservada"/>
    <n v="186"/>
    <s v="Colombia"/>
    <s v="Plato_6, Plato_15, Plato_17"/>
  </r>
  <r>
    <n v="13"/>
    <s v="Cliente_468"/>
    <n v="2"/>
    <d v="2023-04-07T02:30:00"/>
    <d v="2023-04-07T05:15:00"/>
    <s v="Mesero_3"/>
    <s v="Cena"/>
    <s v="Tarjeta de crédito"/>
    <n v="47.07"/>
    <s v="Libre"/>
    <n v="702"/>
    <s v="Brasil"/>
    <s v="Plato_4, Plato_13, Plato_6, Plato_16"/>
  </r>
  <r>
    <n v="13"/>
    <s v="Cliente_5"/>
    <n v="5"/>
    <d v="2023-04-02T03:22:00"/>
    <d v="2023-04-02T06:15:00"/>
    <s v="Mesero_3"/>
    <s v="Desayuno"/>
    <s v="Tarjeta de crédito"/>
    <n v="28.48"/>
    <s v="Ocupada"/>
    <n v="157"/>
    <s v="Perú"/>
    <s v="Plato_1, Plato_16, Plato_2, Plato_19"/>
  </r>
  <r>
    <n v="13"/>
    <s v="Cliente_602"/>
    <n v="2"/>
    <d v="2023-04-04T00:00:00"/>
    <d v="2023-04-04T02:01:00"/>
    <s v="Mesero_3"/>
    <s v="Desayuno"/>
    <s v="Tarjeta de débito"/>
    <n v="19.600000000000001"/>
    <s v="Reservada"/>
    <n v="339"/>
    <s v="Perú"/>
    <s v="Plato_9, Plato_14"/>
  </r>
  <r>
    <n v="13"/>
    <s v="Cliente_63"/>
    <n v="3"/>
    <d v="2023-04-06T01:48:00"/>
    <d v="2023-04-06T05:26:00"/>
    <s v="Mesero_3"/>
    <s v="Desayuno"/>
    <s v="Tarjeta de débito"/>
    <n v="17.95"/>
    <s v="Reservada"/>
    <n v="532"/>
    <s v="Argentina"/>
    <s v="Plato_13, Plato_10, Plato_15"/>
  </r>
  <r>
    <n v="13"/>
    <s v="Cliente_707"/>
    <n v="1"/>
    <d v="2023-04-04T03:48:00"/>
    <d v="2023-04-04T07:31:00"/>
    <s v="Mesero_5"/>
    <s v="Desayuno"/>
    <s v="Tarjeta de crédito"/>
    <n v="40.630000000000003"/>
    <s v="Ocupada"/>
    <n v="349"/>
    <s v="Brasil"/>
    <s v="Plato_2, Plato_12, Plato_8"/>
  </r>
  <r>
    <n v="13"/>
    <s v="Cliente_720"/>
    <n v="4"/>
    <d v="2023-04-06T03:36:00"/>
    <d v="2023-04-06T07:04:00"/>
    <s v="Mesero_2"/>
    <s v="Almuerzo"/>
    <s v="Tarjeta de débito"/>
    <n v="15.63"/>
    <s v="Ocupada"/>
    <n v="473"/>
    <s v="Paraguay"/>
    <s v="Plato_5, Plato_8"/>
  </r>
  <r>
    <n v="13"/>
    <s v="Cliente_759"/>
    <n v="3"/>
    <d v="2023-04-02T00:27:00"/>
    <d v="2023-04-02T03:41:00"/>
    <s v="Mesero_5"/>
    <s v="Almuerzo"/>
    <s v="Tarjeta de crédito"/>
    <n v="23.34"/>
    <s v="Ocupada"/>
    <n v="218"/>
    <s v="Argentina"/>
    <s v="Plato_12, Plato_6, Plato_14"/>
  </r>
  <r>
    <n v="13"/>
    <s v="Cliente_784"/>
    <n v="6"/>
    <d v="2023-04-06T03:30:00"/>
    <d v="2023-04-06T06:58:00"/>
    <s v="Mesero_3"/>
    <s v="Almuerzo"/>
    <s v="Tarjeta de débito"/>
    <n v="29.93"/>
    <s v="Reservada"/>
    <n v="497"/>
    <s v="Argentina"/>
    <s v="Plato_2, Plato_20"/>
  </r>
  <r>
    <n v="13"/>
    <s v="Cliente_797"/>
    <n v="1"/>
    <d v="2023-04-04T00:26:00"/>
    <d v="2023-04-04T02:41:00"/>
    <s v="Mesero_2"/>
    <s v="Almuerzo"/>
    <s v="Tarjeta de crédito"/>
    <n v="38.89"/>
    <s v="Ocupada"/>
    <n v="329"/>
    <s v="Bolivia"/>
    <s v="Plato_13, Plato_20, Plato_17, Plato_14"/>
  </r>
  <r>
    <n v="13"/>
    <s v="Cliente_827"/>
    <n v="5"/>
    <d v="2023-04-04T02:37:00"/>
    <d v="2023-04-04T05:57:00"/>
    <s v="Mesero_5"/>
    <s v="Cena"/>
    <s v="Tarjeta de crédito"/>
    <n v="42.1"/>
    <s v="Reservada"/>
    <n v="358"/>
    <s v="Uruguay"/>
    <s v="Plato_10, Plato_4, Plato_3"/>
  </r>
  <r>
    <n v="13"/>
    <s v="Cliente_828"/>
    <n v="2"/>
    <d v="2023-04-01T03:18:00"/>
    <d v="2023-04-01T05:55:00"/>
    <s v="Mesero_3"/>
    <s v="Almuerzo"/>
    <s v="Tarjeta de crédito"/>
    <n v="15.75"/>
    <s v="Ocupada"/>
    <n v="35"/>
    <s v="Perú"/>
    <s v="Plato_2, Plato_9, Plato_11, Plato_17"/>
  </r>
  <r>
    <n v="13"/>
    <s v="Cliente_88"/>
    <n v="1"/>
    <d v="2023-04-06T02:43:00"/>
    <d v="2023-04-06T06:15:00"/>
    <s v="Mesero_4"/>
    <s v="Cena"/>
    <s v="Tarjeta de crédito"/>
    <n v="16.809999999999999"/>
    <s v="Libre"/>
    <n v="601"/>
    <s v="Perú"/>
    <s v="Plato_20, Plato_16, Plato_14, Plato_8"/>
  </r>
  <r>
    <n v="13"/>
    <s v="Cliente_900"/>
    <n v="1"/>
    <d v="2023-04-05T01:59:00"/>
    <d v="2023-04-05T05:48:00"/>
    <s v="Mesero_2"/>
    <s v="Almuerzo"/>
    <s v="Tarjeta de crédito"/>
    <n v="38.85"/>
    <s v="Ocupada"/>
    <n v="440"/>
    <s v="Argentina"/>
    <s v="Plato_14, Plato_12"/>
  </r>
  <r>
    <n v="13"/>
    <s v="Cliente_950"/>
    <n v="2"/>
    <d v="2023-04-07T03:10:00"/>
    <d v="2023-04-07T06:27:00"/>
    <s v="Mesero_1"/>
    <s v="Almuerzo"/>
    <s v="Tarjeta de crédito"/>
    <n v="44.9"/>
    <s v="Ocupada"/>
    <n v="746"/>
    <s v="Chile"/>
    <s v="Plato_8, Plato_15"/>
  </r>
  <r>
    <n v="14"/>
    <s v="Cliente_114"/>
    <n v="1"/>
    <d v="2023-04-07T00:36:00"/>
    <d v="2023-04-07T02:22:00"/>
    <s v="Mesero_1"/>
    <s v="Almuerzo"/>
    <s v="Tarjeta de crédito"/>
    <n v="10.25"/>
    <s v="Ocupada"/>
    <n v="689"/>
    <s v="Paraguay"/>
    <s v="Plato_14, Plato_1, Plato_13"/>
  </r>
  <r>
    <n v="14"/>
    <s v="Cliente_196"/>
    <n v="4"/>
    <d v="2023-04-07T00:29:00"/>
    <d v="2023-04-07T04:23:00"/>
    <s v="Mesero_2"/>
    <s v="Almuerzo"/>
    <s v="Tarjeta de débito"/>
    <n v="40.31"/>
    <s v="Ocupada"/>
    <n v="741"/>
    <s v="Uruguay"/>
    <s v="Plato_7, Plato_9, Plato_11, Plato_16"/>
  </r>
  <r>
    <n v="14"/>
    <s v="Cliente_200"/>
    <n v="6"/>
    <d v="2023-04-01T00:09:00"/>
    <d v="2023-04-01T03:27:00"/>
    <s v="Mesero_2"/>
    <s v="Desayuno"/>
    <s v="Tarjeta de crédito"/>
    <n v="12.17"/>
    <s v="Libre"/>
    <n v="17"/>
    <s v="Ecuador"/>
    <s v="Plato_8, Plato_4, Plato_5"/>
  </r>
  <r>
    <n v="14"/>
    <s v="Cliente_230"/>
    <n v="1"/>
    <d v="2023-04-01T00:25:00"/>
    <d v="2023-04-01T01:46:00"/>
    <s v="Mesero_2"/>
    <s v="Almuerzo"/>
    <s v="Tarjeta de crédito"/>
    <n v="49.58"/>
    <s v="Reservada"/>
    <n v="42"/>
    <s v="Bolivia"/>
    <s v="Plato_5, Plato_20"/>
  </r>
  <r>
    <n v="14"/>
    <s v="Cliente_286"/>
    <n v="3"/>
    <d v="2023-04-02T02:05:00"/>
    <d v="2023-04-02T04:05:00"/>
    <s v="Mesero_4"/>
    <s v="Almuerzo"/>
    <s v="Tarjeta de crédito"/>
    <n v="16.29"/>
    <s v="Ocupada"/>
    <n v="142"/>
    <s v="Argentina"/>
    <s v="Plato_7, Plato_14, Plato_20"/>
  </r>
  <r>
    <n v="14"/>
    <s v="Cliente_331"/>
    <n v="6"/>
    <d v="2023-04-07T00:34:00"/>
    <d v="2023-04-07T02:37:00"/>
    <s v="Mesero_2"/>
    <s v="Almuerzo"/>
    <s v="Tarjeta de crédito"/>
    <n v="12.57"/>
    <s v="Ocupada"/>
    <n v="677"/>
    <s v="Bolivia"/>
    <s v="Plato_3, Plato_8, Plato_18"/>
  </r>
  <r>
    <n v="14"/>
    <s v="Cliente_359"/>
    <n v="6"/>
    <d v="2023-04-07T03:40:00"/>
    <d v="2023-04-07T05:28:00"/>
    <s v="Mesero_4"/>
    <s v="Cena"/>
    <s v="Tarjeta de crédito"/>
    <n v="35.090000000000003"/>
    <s v="Libre"/>
    <n v="733"/>
    <s v="Argentina"/>
    <s v="Plato_19, Plato_7, Plato_6"/>
  </r>
  <r>
    <n v="14"/>
    <s v="Cliente_36"/>
    <n v="6"/>
    <d v="2023-04-02T02:35:00"/>
    <d v="2023-04-02T03:40:00"/>
    <s v="Mesero_4"/>
    <s v="Almuerzo"/>
    <s v="Tarjeta de débito"/>
    <n v="18.850000000000001"/>
    <s v="Ocupada"/>
    <n v="212"/>
    <s v="Perú"/>
    <s v="Plato_2, Plato_10, Plato_13, Plato_16"/>
  </r>
  <r>
    <n v="14"/>
    <s v="Cliente_361"/>
    <n v="4"/>
    <d v="2023-04-01T02:55:00"/>
    <d v="2023-04-01T06:13:00"/>
    <s v="Mesero_4"/>
    <s v="Almuerzo"/>
    <s v="Efectivo"/>
    <n v="26.29"/>
    <s v="Libre"/>
    <n v="30"/>
    <s v="Venezuela"/>
    <s v="Plato_10, Plato_3"/>
  </r>
  <r>
    <n v="14"/>
    <s v="Cliente_384"/>
    <n v="4"/>
    <d v="2023-04-01T01:28:00"/>
    <d v="2023-04-01T02:44:00"/>
    <s v="Mesero_3"/>
    <s v="Desayuno"/>
    <s v="Tarjeta de débito"/>
    <n v="11.12"/>
    <s v="Reservada"/>
    <n v="104"/>
    <s v="Uruguay"/>
    <s v="Plato_14, Plato_17"/>
  </r>
  <r>
    <n v="14"/>
    <s v="Cliente_397"/>
    <n v="4"/>
    <d v="2023-04-06T03:19:00"/>
    <d v="2023-04-06T05:33:00"/>
    <s v="Mesero_4"/>
    <s v="Cena"/>
    <s v="Tarjeta de débito"/>
    <n v="41.35"/>
    <s v="Libre"/>
    <n v="538"/>
    <s v="Colombia"/>
    <s v="Plato_2, Plato_14, Plato_11, Plato_16"/>
  </r>
  <r>
    <n v="14"/>
    <s v="Cliente_456"/>
    <n v="3"/>
    <d v="2023-04-06T00:41:00"/>
    <d v="2023-04-06T01:50:00"/>
    <s v="Mesero_3"/>
    <s v="Almuerzo"/>
    <s v="Tarjeta de débito"/>
    <n v="49.29"/>
    <s v="Libre"/>
    <n v="640"/>
    <s v="Venezuela"/>
    <s v="Plato_10, Plato_13, Plato_11"/>
  </r>
  <r>
    <n v="14"/>
    <s v="Cliente_471"/>
    <n v="3"/>
    <d v="2023-04-05T00:33:00"/>
    <d v="2023-04-05T04:08:00"/>
    <s v="Mesero_2"/>
    <s v="Almuerzo"/>
    <s v="Tarjeta de crédito"/>
    <n v="32.729999999999997"/>
    <s v="Ocupada"/>
    <n v="392"/>
    <s v="Bolivia"/>
    <s v="Plato_15, Plato_7"/>
  </r>
  <r>
    <n v="14"/>
    <s v="Cliente_477"/>
    <n v="1"/>
    <d v="2023-04-03T00:46:00"/>
    <d v="2023-04-03T03:44:00"/>
    <s v="Mesero_3"/>
    <s v="Almuerzo"/>
    <s v="Tarjeta de débito"/>
    <n v="23.16"/>
    <s v="Libre"/>
    <n v="268"/>
    <s v="Uruguay"/>
    <s v="Plato_7, Plato_5"/>
  </r>
  <r>
    <n v="14"/>
    <s v="Cliente_489"/>
    <n v="4"/>
    <d v="2023-04-04T01:39:00"/>
    <d v="2023-04-04T05:34:00"/>
    <s v="Mesero_1"/>
    <s v="Desayuno"/>
    <s v="Tarjeta de débito"/>
    <n v="13.85"/>
    <s v="Ocupada"/>
    <n v="326"/>
    <s v="Perú"/>
    <s v="Plato_8, Plato_4, Plato_16"/>
  </r>
  <r>
    <n v="14"/>
    <s v="Cliente_517"/>
    <n v="6"/>
    <d v="2023-04-01T01:18:00"/>
    <d v="2023-04-01T04:00:00"/>
    <s v="Mesero_3"/>
    <s v="Almuerzo"/>
    <s v="Tarjeta de crédito"/>
    <n v="15.64"/>
    <s v="Libre"/>
    <n v="105"/>
    <s v="Brasil"/>
    <s v="Plato_3, Plato_6"/>
  </r>
  <r>
    <n v="14"/>
    <s v="Cliente_543"/>
    <n v="5"/>
    <d v="2023-04-05T02:15:00"/>
    <d v="2023-04-05T05:15:00"/>
    <s v="Mesero_1"/>
    <s v="Almuerzo"/>
    <s v="Tarjeta de crédito"/>
    <n v="14.76"/>
    <s v="Libre"/>
    <n v="403"/>
    <s v="Chile"/>
    <s v="Plato_5, Plato_4, Plato_15, Plato_7"/>
  </r>
  <r>
    <n v="14"/>
    <s v="Cliente_546"/>
    <n v="3"/>
    <d v="2023-04-04T01:56:00"/>
    <d v="2023-04-04T03:09:00"/>
    <s v="Mesero_4"/>
    <s v="Almuerzo"/>
    <s v="Tarjeta de débito"/>
    <n v="41.56"/>
    <s v="Libre"/>
    <n v="335"/>
    <s v="Brasil"/>
    <s v="Plato_2, Plato_16"/>
  </r>
  <r>
    <n v="14"/>
    <s v="Cliente_558"/>
    <n v="6"/>
    <d v="2023-04-05T02:59:00"/>
    <d v="2023-04-05T05:45:00"/>
    <s v="Mesero_2"/>
    <s v="Desayuno"/>
    <s v="Tarjeta de crédito"/>
    <n v="14.28"/>
    <s v="Reservada"/>
    <n v="468"/>
    <s v="Argentina"/>
    <s v="Plato_12, Plato_3, Plato_16"/>
  </r>
  <r>
    <n v="14"/>
    <s v="Cliente_565"/>
    <n v="1"/>
    <d v="2023-04-03T02:49:00"/>
    <d v="2023-04-03T05:58:00"/>
    <s v="Mesero_2"/>
    <s v="Cena"/>
    <s v="Tarjeta de crédito"/>
    <n v="29.07"/>
    <s v="Ocupada"/>
    <n v="296"/>
    <s v="España"/>
    <s v="Plato_14, Plato_19"/>
  </r>
  <r>
    <n v="14"/>
    <s v="Cliente_568"/>
    <n v="5"/>
    <d v="2023-04-04T02:05:00"/>
    <d v="2023-04-04T04:19:00"/>
    <s v="Mesero_3"/>
    <s v="Desayuno"/>
    <s v="Tarjeta de crédito"/>
    <n v="47.05"/>
    <s v="Libre"/>
    <n v="341"/>
    <s v="Perú"/>
    <s v="Plato_16, Plato_5, Plato_8"/>
  </r>
  <r>
    <n v="14"/>
    <s v="Cliente_586"/>
    <n v="3"/>
    <d v="2023-04-06T03:35:00"/>
    <d v="2023-04-06T05:48:00"/>
    <s v="Mesero_5"/>
    <s v="Cena"/>
    <s v="Tarjeta de débito"/>
    <n v="32.86"/>
    <s v="Libre"/>
    <n v="636"/>
    <s v="Ecuador"/>
    <s v="Plato_7, Plato_12, Plato_13"/>
  </r>
  <r>
    <n v="14"/>
    <s v="Cliente_600"/>
    <n v="1"/>
    <d v="2023-04-03T00:12:00"/>
    <d v="2023-04-03T03:29:00"/>
    <s v="Mesero_2"/>
    <s v="Almuerzo"/>
    <s v="Tarjeta de crédito"/>
    <n v="20.6"/>
    <s v="Libre"/>
    <n v="315"/>
    <s v="Chile"/>
    <s v="Plato_1, Plato_16, Plato_9, Plato_13"/>
  </r>
  <r>
    <n v="14"/>
    <s v="Cliente_697"/>
    <n v="2"/>
    <d v="2023-04-02T02:56:00"/>
    <d v="2023-04-02T06:13:00"/>
    <s v="Mesero_3"/>
    <s v="Almuerzo"/>
    <s v="Tarjeta de crédito"/>
    <n v="24.66"/>
    <s v="Libre"/>
    <n v="125"/>
    <s v="Bolivia"/>
    <s v="Plato_16, Plato_18, Plato_3"/>
  </r>
  <r>
    <n v="14"/>
    <s v="Cliente_730"/>
    <n v="6"/>
    <d v="2023-04-03T00:30:00"/>
    <d v="2023-04-03T02:41:00"/>
    <s v="Mesero_5"/>
    <s v="Almuerzo"/>
    <s v="Tarjeta de crédito"/>
    <n v="36.08"/>
    <s v="Reservada"/>
    <n v="280"/>
    <s v="Ecuador"/>
    <s v="Plato_7, Plato_14"/>
  </r>
  <r>
    <n v="14"/>
    <s v="Cliente_747"/>
    <n v="3"/>
    <d v="2023-04-02T01:27:00"/>
    <d v="2023-04-02T03:04:00"/>
    <s v="Mesero_3"/>
    <s v="Almuerzo"/>
    <s v="Tarjeta de crédito"/>
    <n v="27.94"/>
    <s v="Reservada"/>
    <n v="175"/>
    <s v="Colombia"/>
    <s v="Plato_15, Plato_7"/>
  </r>
  <r>
    <n v="14"/>
    <s v="Cliente_772"/>
    <n v="4"/>
    <d v="2023-04-06T02:45:00"/>
    <d v="2023-04-06T04:10:00"/>
    <s v="Mesero_4"/>
    <s v="Desayuno"/>
    <s v="Tarjeta de crédito"/>
    <n v="19.239999999999998"/>
    <s v="Libre"/>
    <n v="626"/>
    <s v="Argentina"/>
    <s v="Plato_2, Plato_7, Plato_9"/>
  </r>
  <r>
    <n v="14"/>
    <s v="Cliente_782"/>
    <n v="4"/>
    <d v="2023-04-06T03:58:00"/>
    <d v="2023-04-06T05:01:00"/>
    <s v="Mesero_3"/>
    <s v="Almuerzo"/>
    <s v="Tarjeta de débito"/>
    <n v="41.35"/>
    <s v="Ocupada"/>
    <n v="600"/>
    <s v="Chile"/>
    <s v="Plato_16, Plato_2"/>
  </r>
  <r>
    <n v="14"/>
    <s v="Cliente_809"/>
    <n v="2"/>
    <d v="2023-04-06T02:45:00"/>
    <d v="2023-04-06T05:24:00"/>
    <s v="Mesero_3"/>
    <s v="Almuerzo"/>
    <s v="Tarjeta de crédito"/>
    <n v="44.38"/>
    <s v="Libre"/>
    <n v="553"/>
    <s v="Brasil"/>
    <s v="Plato_2, Plato_1, Plato_5, Plato_12"/>
  </r>
  <r>
    <n v="14"/>
    <s v="Cliente_83"/>
    <n v="1"/>
    <d v="2023-04-02T02:15:00"/>
    <d v="2023-04-02T06:14:00"/>
    <s v="Mesero_2"/>
    <s v="Almuerzo"/>
    <s v="Tarjeta de débito"/>
    <n v="26.49"/>
    <s v="Libre"/>
    <n v="205"/>
    <s v="Chile"/>
    <s v="Plato_15, Plato_9"/>
  </r>
  <r>
    <n v="14"/>
    <s v="Cliente_846"/>
    <n v="6"/>
    <d v="2023-04-03T01:55:00"/>
    <d v="2023-04-03T04:39:00"/>
    <s v="Mesero_2"/>
    <s v="Almuerzo"/>
    <s v="Tarjeta de crédito"/>
    <n v="33.79"/>
    <s v="Reservada"/>
    <n v="308"/>
    <s v="Uruguay"/>
    <s v="Plato_18, Plato_8, Plato_17, Plato_16"/>
  </r>
  <r>
    <n v="14"/>
    <s v="Cliente_881"/>
    <n v="1"/>
    <d v="2023-04-01T03:46:00"/>
    <d v="2023-04-01T06:33:00"/>
    <s v="Mesero_1"/>
    <s v="Almuerzo"/>
    <s v="Tarjeta de crédito"/>
    <n v="32.89"/>
    <s v="Libre"/>
    <n v="11"/>
    <s v="Perú"/>
    <s v="Plato_16, Plato_2"/>
  </r>
  <r>
    <n v="14"/>
    <s v="Cliente_888"/>
    <n v="2"/>
    <d v="2023-04-07T02:27:00"/>
    <d v="2023-04-07T04:57:00"/>
    <s v="Mesero_2"/>
    <s v="Almuerzo"/>
    <s v="Efectivo"/>
    <n v="46.82"/>
    <s v="Libre"/>
    <n v="734"/>
    <s v="Venezuela"/>
    <s v="Plato_15, Plato_7, Plato_12"/>
  </r>
  <r>
    <n v="14"/>
    <s v="Cliente_890"/>
    <n v="6"/>
    <d v="2023-04-01T00:04:00"/>
    <d v="2023-04-01T03:23:00"/>
    <s v="Mesero_4"/>
    <s v="Cena"/>
    <s v="Tarjeta de crédito"/>
    <n v="45.27"/>
    <s v="Ocupada"/>
    <n v="12"/>
    <s v="Colombia"/>
    <s v="Plato_16, Plato_19, Plato_8, Plato_20"/>
  </r>
  <r>
    <n v="14"/>
    <s v="Cliente_919"/>
    <n v="4"/>
    <d v="2023-04-05T00:39:00"/>
    <d v="2023-04-05T04:35:00"/>
    <s v="Mesero_4"/>
    <s v="Cena"/>
    <s v="Tarjeta de crédito"/>
    <n v="20.51"/>
    <s v="Ocupada"/>
    <n v="415"/>
    <s v="Brasil"/>
    <s v="Plato_6, Plato_18, Plato_19"/>
  </r>
  <r>
    <n v="14"/>
    <s v="Cliente_927"/>
    <n v="5"/>
    <d v="2023-04-05T00:29:00"/>
    <d v="2023-04-05T02:37:00"/>
    <s v="Mesero_2"/>
    <s v="Cena"/>
    <s v="Efectivo"/>
    <n v="34.03"/>
    <s v="Ocupada"/>
    <n v="406"/>
    <s v="España"/>
    <s v="Plato_3, Plato_8, Plato_1"/>
  </r>
  <r>
    <n v="14"/>
    <s v="Cliente_95"/>
    <n v="2"/>
    <d v="2023-04-06T01:47:00"/>
    <d v="2023-04-06T03:48:00"/>
    <s v="Mesero_2"/>
    <s v="Almuerzo"/>
    <s v="Tarjeta de débito"/>
    <n v="15.62"/>
    <s v="Reservada"/>
    <n v="528"/>
    <s v="Bolivia"/>
    <s v="Plato_3, Plato_20, Plato_4"/>
  </r>
  <r>
    <n v="14"/>
    <s v="Cliente_968"/>
    <n v="5"/>
    <d v="2023-04-07T00:06:00"/>
    <d v="2023-04-07T02:26:00"/>
    <s v="Mesero_2"/>
    <s v="Almuerzo"/>
    <s v="Tarjeta de débito"/>
    <n v="23.26"/>
    <s v="Ocupada"/>
    <n v="652"/>
    <s v="Uruguay"/>
    <s v="Plato_17, Plato_19"/>
  </r>
  <r>
    <n v="14"/>
    <s v="Cliente_984"/>
    <n v="3"/>
    <d v="2023-04-02T02:34:00"/>
    <d v="2023-04-02T04:30:00"/>
    <s v="Mesero_2"/>
    <s v="Cena"/>
    <s v="Tarjeta de crédito"/>
    <n v="28.58"/>
    <s v="Reservada"/>
    <n v="229"/>
    <s v="Bolivia"/>
    <s v="Plato_1, Plato_8, Plato_19, Plato_16"/>
  </r>
  <r>
    <n v="14"/>
    <s v="Cliente_986"/>
    <n v="5"/>
    <d v="2023-04-03T03:38:00"/>
    <d v="2023-04-03T06:24:00"/>
    <s v="Mesero_5"/>
    <s v="Desayuno"/>
    <s v="Tarjeta de débito"/>
    <n v="16.489999999999998"/>
    <s v="Ocupada"/>
    <n v="303"/>
    <s v="Brasil"/>
    <s v="Plato_3, Plato_20, Plato_10, Plato_7"/>
  </r>
  <r>
    <n v="14"/>
    <s v="Cliente_993"/>
    <n v="2"/>
    <d v="2023-04-01T01:46:00"/>
    <d v="2023-04-01T03:03:00"/>
    <s v="Mesero_2"/>
    <s v="Cena"/>
    <s v="Tarjeta de crédito"/>
    <n v="19.22"/>
    <s v="Ocupada"/>
    <n v="97"/>
    <s v="Ecuador"/>
    <s v="Plato_10, Plato_3, Plato_18"/>
  </r>
  <r>
    <n v="15"/>
    <s v="Cliente_1"/>
    <n v="1"/>
    <d v="2023-04-01T02:16:00"/>
    <d v="2023-04-01T06:07:00"/>
    <s v="Mesero_4"/>
    <s v="Desayuno"/>
    <s v="Tarjeta de crédito"/>
    <n v="13.08"/>
    <s v="Libre"/>
    <n v="34"/>
    <s v="Perú"/>
    <s v="Plato_18, Plato_10"/>
  </r>
  <r>
    <n v="15"/>
    <s v="Cliente_166"/>
    <n v="5"/>
    <d v="2023-04-05T01:55:00"/>
    <d v="2023-04-05T03:01:00"/>
    <s v="Mesero_1"/>
    <s v="Almuerzo"/>
    <s v="Tarjeta de crédito"/>
    <n v="48.7"/>
    <s v="Reservada"/>
    <n v="409"/>
    <s v="Chile"/>
    <s v="Plato_13, Plato_20, Plato_16, Plato_7"/>
  </r>
  <r>
    <n v="15"/>
    <s v="Cliente_185"/>
    <n v="3"/>
    <d v="2023-04-05T02:42:00"/>
    <d v="2023-04-05T04:14:00"/>
    <s v="Mesero_1"/>
    <s v="Almuerzo"/>
    <s v="Tarjeta de débito"/>
    <n v="42.31"/>
    <s v="Reservada"/>
    <n v="467"/>
    <s v="Perú"/>
    <s v="Plato_11, Plato_5"/>
  </r>
  <r>
    <n v="15"/>
    <s v="Cliente_21"/>
    <n v="2"/>
    <d v="2023-04-06T02:20:00"/>
    <d v="2023-04-06T05:58:00"/>
    <s v="Mesero_3"/>
    <s v="Cena"/>
    <s v="Efectivo"/>
    <n v="33.93"/>
    <s v="Libre"/>
    <n v="588"/>
    <s v="Paraguay"/>
    <s v="Plato_10, Plato_1"/>
  </r>
  <r>
    <n v="15"/>
    <s v="Cliente_221"/>
    <n v="3"/>
    <d v="2023-04-04T00:46:00"/>
    <d v="2023-04-04T02:04:00"/>
    <s v="Mesero_2"/>
    <s v="Almuerzo"/>
    <s v="Tarjeta de crédito"/>
    <n v="33.01"/>
    <s v="Ocupada"/>
    <n v="344"/>
    <s v="Chile"/>
    <s v="Plato_8, Plato_17, Plato_15, Plato_5"/>
  </r>
  <r>
    <n v="15"/>
    <s v="Cliente_24"/>
    <n v="5"/>
    <d v="2023-04-03T03:08:00"/>
    <d v="2023-04-03T06:23:00"/>
    <s v="Mesero_5"/>
    <s v="Almuerzo"/>
    <s v="Tarjeta de débito"/>
    <n v="26.56"/>
    <s v="Libre"/>
    <n v="289"/>
    <s v="España"/>
    <s v="Plato_3, Plato_10"/>
  </r>
  <r>
    <n v="15"/>
    <s v="Cliente_292"/>
    <n v="1"/>
    <d v="2023-04-01T03:42:00"/>
    <d v="2023-04-01T06:39:00"/>
    <s v="Mesero_1"/>
    <s v="Cena"/>
    <s v="Tarjeta de crédito"/>
    <n v="24.94"/>
    <s v="Ocupada"/>
    <n v="83"/>
    <s v="Argentina"/>
    <s v="Plato_6, Plato_3, Plato_15"/>
  </r>
  <r>
    <n v="15"/>
    <s v="Cliente_296"/>
    <n v="1"/>
    <d v="2023-04-04T01:12:00"/>
    <d v="2023-04-04T04:38:00"/>
    <s v="Mesero_3"/>
    <s v="Almuerzo"/>
    <s v="Tarjeta de crédito"/>
    <n v="38.520000000000003"/>
    <s v="Libre"/>
    <n v="340"/>
    <s v="España"/>
    <s v="Plato_20, Plato_16"/>
  </r>
  <r>
    <n v="15"/>
    <s v="Cliente_330"/>
    <n v="4"/>
    <d v="2023-04-07T03:44:00"/>
    <d v="2023-04-07T07:31:00"/>
    <s v="Mesero_3"/>
    <s v="Almuerzo"/>
    <s v="Tarjeta de crédito"/>
    <n v="28.31"/>
    <s v="Libre"/>
    <n v="693"/>
    <s v="Ecuador"/>
    <s v="Plato_19, Plato_13"/>
  </r>
  <r>
    <n v="15"/>
    <s v="Cliente_405"/>
    <n v="3"/>
    <d v="2023-04-05T02:04:00"/>
    <d v="2023-04-05T03:18:00"/>
    <s v="Mesero_4"/>
    <s v="Cena"/>
    <s v="Tarjeta de crédito"/>
    <n v="21.07"/>
    <s v="Ocupada"/>
    <n v="442"/>
    <s v="Uruguay"/>
    <s v="Plato_18, Plato_1, Plato_19"/>
  </r>
  <r>
    <n v="15"/>
    <s v="Cliente_437"/>
    <n v="3"/>
    <d v="2023-04-06T02:47:00"/>
    <d v="2023-04-06T06:12:00"/>
    <s v="Mesero_1"/>
    <s v="Desayuno"/>
    <s v="Tarjeta de débito"/>
    <n v="12.66"/>
    <s v="Ocupada"/>
    <n v="486"/>
    <s v="Colombia"/>
    <s v="Plato_19, Plato_3, Plato_18, Plato_7"/>
  </r>
  <r>
    <n v="15"/>
    <s v="Cliente_495"/>
    <n v="2"/>
    <d v="2023-04-04T03:50:00"/>
    <d v="2023-04-04T07:10:00"/>
    <s v="Mesero_5"/>
    <s v="Almuerzo"/>
    <s v="Tarjeta de débito"/>
    <n v="48.28"/>
    <s v="Reservada"/>
    <n v="364"/>
    <s v="Brasil"/>
    <s v="Plato_16, Plato_5, Plato_1, Plato_9"/>
  </r>
  <r>
    <n v="15"/>
    <s v="Cliente_642"/>
    <n v="4"/>
    <d v="2023-04-07T02:01:00"/>
    <d v="2023-04-07T05:02:00"/>
    <s v="Mesero_1"/>
    <s v="Almuerzo"/>
    <s v="Tarjeta de crédito"/>
    <n v="11.64"/>
    <s v="Libre"/>
    <n v="662"/>
    <s v="Bolivia"/>
    <s v="Plato_7, Plato_1, Plato_19"/>
  </r>
  <r>
    <n v="15"/>
    <s v="Cliente_673"/>
    <n v="6"/>
    <d v="2023-04-03T02:35:00"/>
    <d v="2023-04-03T05:34:00"/>
    <s v="Mesero_4"/>
    <s v="Almuerzo"/>
    <s v="Tarjeta de débito"/>
    <n v="20.98"/>
    <s v="Reservada"/>
    <n v="276"/>
    <s v="Ecuador"/>
    <s v="Plato_5, Plato_10"/>
  </r>
  <r>
    <n v="15"/>
    <s v="Cliente_681"/>
    <n v="2"/>
    <d v="2023-04-04T02:03:00"/>
    <d v="2023-04-04T05:59:00"/>
    <s v="Mesero_1"/>
    <s v="Almuerzo"/>
    <s v="Tarjeta de crédito"/>
    <n v="47.21"/>
    <s v="Libre"/>
    <n v="362"/>
    <s v="Uruguay"/>
    <s v="Plato_3, Plato_7, Plato_4"/>
  </r>
  <r>
    <n v="15"/>
    <s v="Cliente_698"/>
    <n v="1"/>
    <d v="2023-04-06T02:36:00"/>
    <d v="2023-04-06T05:24:00"/>
    <s v="Mesero_2"/>
    <s v="Almuerzo"/>
    <s v="Tarjeta de crédito"/>
    <n v="11.11"/>
    <s v="Ocupada"/>
    <n v="642"/>
    <s v="Argentina"/>
    <s v="Plato_13, Plato_10, Plato_9"/>
  </r>
  <r>
    <n v="15"/>
    <s v="Cliente_70"/>
    <n v="1"/>
    <d v="2023-04-07T00:51:00"/>
    <d v="2023-04-07T02:04:00"/>
    <s v="Mesero_3"/>
    <s v="Almuerzo"/>
    <s v="Tarjeta de crédito"/>
    <n v="17.37"/>
    <s v="Ocupada"/>
    <n v="738"/>
    <s v="España"/>
    <s v="Plato_10, Plato_16, Plato_4"/>
  </r>
  <r>
    <n v="15"/>
    <s v="Cliente_711"/>
    <n v="3"/>
    <d v="2023-04-06T00:57:00"/>
    <d v="2023-04-06T03:32:00"/>
    <s v="Mesero_1"/>
    <s v="Desayuno"/>
    <s v="Tarjeta de crédito"/>
    <n v="39.450000000000003"/>
    <s v="Libre"/>
    <n v="535"/>
    <s v="Chile"/>
    <s v="Plato_20, Plato_9, Plato_7, Plato_13"/>
  </r>
  <r>
    <n v="15"/>
    <s v="Cliente_740"/>
    <n v="5"/>
    <d v="2023-04-01T02:03:00"/>
    <d v="2023-04-01T04:25:00"/>
    <s v="Mesero_2"/>
    <s v="Almuerzo"/>
    <s v="Tarjeta de débito"/>
    <n v="46.85"/>
    <s v="Libre"/>
    <n v="9"/>
    <s v="Bolivia"/>
    <s v="Plato_2, Plato_7, Plato_12, Plato_15"/>
  </r>
  <r>
    <n v="15"/>
    <s v="Cliente_789"/>
    <n v="4"/>
    <d v="2023-04-06T01:59:00"/>
    <d v="2023-04-06T05:16:00"/>
    <s v="Mesero_4"/>
    <s v="Almuerzo"/>
    <s v="Tarjeta de débito"/>
    <n v="42.83"/>
    <s v="Ocupada"/>
    <n v="567"/>
    <s v="Chile"/>
    <s v="Plato_16, Plato_11, Plato_18, Plato_13"/>
  </r>
  <r>
    <n v="15"/>
    <s v="Cliente_801"/>
    <n v="1"/>
    <d v="2023-04-07T03:05:00"/>
    <d v="2023-04-07T05:23:00"/>
    <s v="Mesero_2"/>
    <s v="Desayuno"/>
    <s v="Tarjeta de crédito"/>
    <n v="40.39"/>
    <s v="Reservada"/>
    <n v="707"/>
    <s v="Uruguay"/>
    <s v="Plato_15, Plato_13, Plato_2, Plato_19"/>
  </r>
  <r>
    <n v="15"/>
    <s v="Cliente_807"/>
    <n v="1"/>
    <d v="2023-04-05T00:00:00"/>
    <d v="2023-04-05T01:23:00"/>
    <s v="Mesero_3"/>
    <s v="Cena"/>
    <s v="Tarjeta de crédito"/>
    <n v="25.56"/>
    <s v="Libre"/>
    <n v="439"/>
    <s v="Bolivia"/>
    <s v="Plato_11, Plato_10"/>
  </r>
  <r>
    <n v="15"/>
    <s v="Cliente_842"/>
    <n v="4"/>
    <d v="2023-04-05T00:15:00"/>
    <d v="2023-04-05T03:55:00"/>
    <s v="Mesero_4"/>
    <s v="Almuerzo"/>
    <s v="Tarjeta de crédito"/>
    <n v="37.15"/>
    <s v="Reservada"/>
    <n v="434"/>
    <s v="Bolivia"/>
    <s v="Plato_10, Plato_5"/>
  </r>
  <r>
    <n v="15"/>
    <s v="Cliente_88"/>
    <n v="1"/>
    <d v="2023-04-01T02:16:00"/>
    <d v="2023-04-01T04:47:00"/>
    <s v="Mesero_4"/>
    <s v="Almuerzo"/>
    <s v="Tarjeta de crédito"/>
    <n v="45.41"/>
    <s v="Libre"/>
    <n v="22"/>
    <s v="Ecuador"/>
    <s v="Plato_4, Plato_18, Plato_9, Plato_8"/>
  </r>
  <r>
    <n v="15"/>
    <s v="Cliente_95"/>
    <n v="4"/>
    <d v="2023-04-07T02:43:00"/>
    <d v="2023-04-07T05:43:00"/>
    <s v="Mesero_5"/>
    <s v="Cena"/>
    <s v="Tarjeta de débito"/>
    <n v="37.22"/>
    <s v="Reservada"/>
    <n v="690"/>
    <s v="España"/>
    <s v="Plato_20, Plato_17, Plato_16, Plato_11"/>
  </r>
  <r>
    <n v="15"/>
    <s v="Cliente_981"/>
    <n v="3"/>
    <d v="2023-04-03T02:08:00"/>
    <d v="2023-04-03T05:33:00"/>
    <s v="Mesero_5"/>
    <s v="Cena"/>
    <s v="Tarjeta de crédito"/>
    <n v="13.3"/>
    <s v="Reservada"/>
    <n v="288"/>
    <s v="Uruguay"/>
    <s v="Plato_7, Plato_12"/>
  </r>
  <r>
    <n v="16"/>
    <s v="Cliente_183"/>
    <n v="1"/>
    <d v="2023-04-04T01:53:00"/>
    <d v="2023-04-04T05:28:00"/>
    <s v="Mesero_2"/>
    <s v="Cena"/>
    <s v="Efectivo"/>
    <n v="41.73"/>
    <s v="Libre"/>
    <n v="361"/>
    <s v="Colombia"/>
    <s v="Plato_9, Plato_7"/>
  </r>
  <r>
    <n v="16"/>
    <s v="Cliente_191"/>
    <n v="3"/>
    <d v="2023-04-04T01:10:00"/>
    <d v="2023-04-04T04:58:00"/>
    <s v="Mesero_3"/>
    <s v="Almuerzo"/>
    <s v="Tarjeta de crédito"/>
    <n v="39.26"/>
    <s v="Ocupada"/>
    <n v="360"/>
    <s v="Perú"/>
    <s v="Plato_13, Plato_2, Plato_10, Plato_15"/>
  </r>
  <r>
    <n v="16"/>
    <s v="Cliente_197"/>
    <n v="5"/>
    <d v="2023-04-06T03:43:00"/>
    <d v="2023-04-06T05:28:00"/>
    <s v="Mesero_3"/>
    <s v="Almuerzo"/>
    <s v="Tarjeta de crédito"/>
    <n v="11.19"/>
    <s v="Reservada"/>
    <n v="633"/>
    <s v="Bolivia"/>
    <s v="Plato_2, Plato_7, Plato_5, Plato_4"/>
  </r>
  <r>
    <n v="16"/>
    <s v="Cliente_218"/>
    <n v="4"/>
    <d v="2023-04-06T00:03:00"/>
    <d v="2023-04-06T02:32:00"/>
    <s v="Mesero_3"/>
    <s v="Almuerzo"/>
    <s v="Tarjeta de crédito"/>
    <n v="26.91"/>
    <s v="Ocupada"/>
    <n v="524"/>
    <s v="Perú"/>
    <s v="Plato_5, Plato_6"/>
  </r>
  <r>
    <n v="16"/>
    <s v="Cliente_226"/>
    <n v="6"/>
    <d v="2023-04-07T01:52:00"/>
    <d v="2023-04-07T03:12:00"/>
    <s v="Mesero_2"/>
    <s v="Almuerzo"/>
    <s v="Efectivo"/>
    <n v="37.93"/>
    <s v="Ocupada"/>
    <n v="670"/>
    <s v="Bolivia"/>
    <s v="Plato_14, Plato_8, Plato_19"/>
  </r>
  <r>
    <n v="16"/>
    <s v="Cliente_282"/>
    <n v="6"/>
    <d v="2023-04-02T01:53:00"/>
    <d v="2023-04-02T03:04:00"/>
    <s v="Mesero_2"/>
    <s v="Cena"/>
    <s v="Tarjeta de crédito"/>
    <n v="46.56"/>
    <s v="Libre"/>
    <n v="171"/>
    <s v="Brasil"/>
    <s v="Plato_10, Plato_9"/>
  </r>
  <r>
    <n v="16"/>
    <s v="Cliente_297"/>
    <n v="6"/>
    <d v="2023-04-07T03:49:00"/>
    <d v="2023-04-07T06:24:00"/>
    <s v="Mesero_1"/>
    <s v="Almuerzo"/>
    <s v="Tarjeta de débito"/>
    <n v="16.05"/>
    <s v="Reservada"/>
    <n v="740"/>
    <s v="Ecuador"/>
    <s v="Plato_16, Plato_15, Plato_19, Plato_14"/>
  </r>
  <r>
    <n v="16"/>
    <s v="Cliente_318"/>
    <n v="3"/>
    <d v="2023-04-06T03:27:00"/>
    <d v="2023-04-06T07:14:00"/>
    <s v="Mesero_3"/>
    <s v="Almuerzo"/>
    <s v="Tarjeta de crédito"/>
    <n v="32.869999999999997"/>
    <s v="Ocupada"/>
    <n v="525"/>
    <s v="Venezuela"/>
    <s v="Plato_14, Plato_8, Plato_17"/>
  </r>
  <r>
    <n v="16"/>
    <s v="Cliente_354"/>
    <n v="1"/>
    <d v="2023-04-06T00:51:00"/>
    <d v="2023-04-06T03:51:00"/>
    <s v="Mesero_1"/>
    <s v="Almuerzo"/>
    <s v="Tarjeta de crédito"/>
    <n v="45.46"/>
    <s v="Ocupada"/>
    <n v="597"/>
    <s v="Bolivia"/>
    <s v="Plato_16, Plato_4, Plato_20, Plato_7"/>
  </r>
  <r>
    <n v="16"/>
    <s v="Cliente_409"/>
    <n v="4"/>
    <d v="2023-04-03T02:55:00"/>
    <d v="2023-04-03T04:35:00"/>
    <s v="Mesero_3"/>
    <s v="Almuerzo"/>
    <s v="Tarjeta de débito"/>
    <n v="33.11"/>
    <s v="Reservada"/>
    <n v="293"/>
    <s v="Argentina"/>
    <s v="Plato_16, Plato_2, Plato_19"/>
  </r>
  <r>
    <n v="16"/>
    <s v="Cliente_440"/>
    <n v="1"/>
    <d v="2023-04-05T01:21:00"/>
    <d v="2023-04-05T04:39:00"/>
    <s v="Mesero_4"/>
    <s v="Almuerzo"/>
    <s v="Tarjeta de crédito"/>
    <n v="48.5"/>
    <s v="Reservada"/>
    <n v="464"/>
    <s v="Chile"/>
    <s v="Plato_10, Plato_6, Plato_5"/>
  </r>
  <r>
    <n v="16"/>
    <s v="Cliente_512"/>
    <n v="5"/>
    <d v="2023-04-02T00:58:00"/>
    <d v="2023-04-02T02:00:00"/>
    <s v="Mesero_3"/>
    <s v="Almuerzo"/>
    <s v="Tarjeta de crédito"/>
    <n v="24.19"/>
    <s v="Ocupada"/>
    <n v="202"/>
    <s v="Bolivia"/>
    <s v="Plato_19, Plato_20, Plato_7, Plato_2"/>
  </r>
  <r>
    <n v="16"/>
    <s v="Cliente_574"/>
    <n v="3"/>
    <d v="2023-04-01T03:25:00"/>
    <d v="2023-04-01T07:10:00"/>
    <s v="Mesero_5"/>
    <s v="Desayuno"/>
    <s v="Tarjeta de crédito"/>
    <n v="38.6"/>
    <s v="Libre"/>
    <n v="82"/>
    <s v="Paraguay"/>
    <s v="Plato_1, Plato_2"/>
  </r>
  <r>
    <n v="16"/>
    <s v="Cliente_580"/>
    <n v="1"/>
    <d v="2023-04-02T00:10:00"/>
    <d v="2023-04-02T01:15:00"/>
    <s v="Mesero_3"/>
    <s v="Desayuno"/>
    <s v="Tarjeta de crédito"/>
    <n v="47.81"/>
    <s v="Ocupada"/>
    <n v="159"/>
    <s v="Brasil"/>
    <s v="Plato_9, Plato_17, Plato_4, Plato_11"/>
  </r>
  <r>
    <n v="16"/>
    <s v="Cliente_595"/>
    <n v="4"/>
    <d v="2023-04-07T02:04:00"/>
    <d v="2023-04-07T05:44:00"/>
    <s v="Mesero_4"/>
    <s v="Cena"/>
    <s v="Tarjeta de crédito"/>
    <n v="20.27"/>
    <s v="Libre"/>
    <n v="651"/>
    <s v="Argentina"/>
    <s v="Plato_20, Plato_13, Plato_11"/>
  </r>
  <r>
    <n v="16"/>
    <s v="Cliente_605"/>
    <n v="2"/>
    <d v="2023-04-06T00:15:00"/>
    <d v="2023-04-06T02:55:00"/>
    <s v="Mesero_3"/>
    <s v="Desayuno"/>
    <s v="Tarjeta de crédito"/>
    <n v="22.41"/>
    <s v="Libre"/>
    <n v="632"/>
    <s v="Ecuador"/>
    <s v="Plato_15, Plato_11"/>
  </r>
  <r>
    <n v="16"/>
    <s v="Cliente_63"/>
    <n v="5"/>
    <d v="2023-04-01T03:01:00"/>
    <d v="2023-04-01T04:44:00"/>
    <s v="Mesero_5"/>
    <s v="Almuerzo"/>
    <s v="Tarjeta de débito"/>
    <n v="36.880000000000003"/>
    <s v="Libre"/>
    <n v="53"/>
    <s v="Paraguay"/>
    <s v="Plato_14, Plato_2, Plato_19"/>
  </r>
  <r>
    <n v="16"/>
    <s v="Cliente_656"/>
    <n v="5"/>
    <d v="2023-04-02T00:41:00"/>
    <d v="2023-04-02T02:41:00"/>
    <s v="Mesero_2"/>
    <s v="Almuerzo"/>
    <s v="Tarjeta de crédito"/>
    <n v="49.3"/>
    <s v="Reservada"/>
    <n v="129"/>
    <s v="Perú"/>
    <s v="Plato_12, Plato_3, Plato_9"/>
  </r>
  <r>
    <n v="16"/>
    <s v="Cliente_670"/>
    <n v="2"/>
    <d v="2023-04-02T02:47:00"/>
    <d v="2023-04-02T06:26:00"/>
    <s v="Mesero_1"/>
    <s v="Desayuno"/>
    <s v="Tarjeta de crédito"/>
    <n v="28.07"/>
    <s v="Libre"/>
    <n v="185"/>
    <s v="Uruguay"/>
    <s v="Plato_13, Plato_16"/>
  </r>
  <r>
    <n v="16"/>
    <s v="Cliente_678"/>
    <n v="4"/>
    <d v="2023-04-02T03:33:00"/>
    <d v="2023-04-02T06:36:00"/>
    <s v="Mesero_1"/>
    <s v="Almuerzo"/>
    <s v="Tarjeta de débito"/>
    <n v="36.700000000000003"/>
    <s v="Ocupada"/>
    <n v="208"/>
    <s v="Perú"/>
    <s v="Plato_15, Plato_19, Plato_3"/>
  </r>
  <r>
    <n v="16"/>
    <s v="Cliente_744"/>
    <n v="1"/>
    <d v="2023-04-02T01:51:00"/>
    <d v="2023-04-02T03:05:00"/>
    <s v="Mesero_3"/>
    <s v="Almuerzo"/>
    <s v="Tarjeta de crédito"/>
    <n v="17.829999999999998"/>
    <s v="Libre"/>
    <n v="221"/>
    <s v="Chile"/>
    <s v="Plato_15, Plato_18, Plato_9"/>
  </r>
  <r>
    <n v="16"/>
    <s v="Cliente_753"/>
    <n v="2"/>
    <d v="2023-04-01T01:34:00"/>
    <d v="2023-04-01T05:08:00"/>
    <s v="Mesero_3"/>
    <s v="Almuerzo"/>
    <s v="Tarjeta de crédito"/>
    <n v="34.01"/>
    <s v="Libre"/>
    <n v="79"/>
    <s v="Venezuela"/>
    <s v="Plato_9, Plato_11, Plato_3, Plato_13"/>
  </r>
  <r>
    <n v="16"/>
    <s v="Cliente_780"/>
    <n v="6"/>
    <d v="2023-04-01T00:18:00"/>
    <d v="2023-04-01T01:58:00"/>
    <s v="Mesero_2"/>
    <s v="Almuerzo"/>
    <s v="Efectivo"/>
    <n v="48.76"/>
    <s v="Libre"/>
    <n v="14"/>
    <s v="Perú"/>
    <s v="Plato_3, Plato_11, Plato_14, Plato_2"/>
  </r>
  <r>
    <n v="16"/>
    <s v="Cliente_791"/>
    <n v="5"/>
    <d v="2023-04-02T03:39:00"/>
    <d v="2023-04-02T05:22:00"/>
    <s v="Mesero_3"/>
    <s v="Almuerzo"/>
    <s v="Tarjeta de débito"/>
    <n v="10.85"/>
    <s v="Libre"/>
    <n v="124"/>
    <s v="España"/>
    <s v="Plato_3, Plato_1, Plato_11, Plato_9"/>
  </r>
  <r>
    <n v="16"/>
    <s v="Cliente_840"/>
    <n v="5"/>
    <d v="2023-04-01T01:59:00"/>
    <d v="2023-04-01T05:26:00"/>
    <s v="Mesero_4"/>
    <s v="Desayuno"/>
    <s v="Tarjeta de crédito"/>
    <n v="33.630000000000003"/>
    <s v="Libre"/>
    <n v="96"/>
    <s v="Bolivia"/>
    <s v="Plato_11, Plato_12, Plato_7"/>
  </r>
  <r>
    <n v="16"/>
    <s v="Cliente_940"/>
    <n v="2"/>
    <d v="2023-04-04T01:17:00"/>
    <d v="2023-04-04T04:59:00"/>
    <s v="Mesero_2"/>
    <s v="Almuerzo"/>
    <s v="Tarjeta de crédito"/>
    <n v="30.78"/>
    <s v="Ocupada"/>
    <n v="348"/>
    <s v="Paraguay"/>
    <s v="Plato_10, Plato_3"/>
  </r>
  <r>
    <n v="16"/>
    <s v="Cliente_949"/>
    <n v="4"/>
    <d v="2023-04-07T03:22:00"/>
    <d v="2023-04-07T06:52:00"/>
    <s v="Mesero_4"/>
    <s v="Cena"/>
    <s v="Tarjeta de crédito"/>
    <n v="32.54"/>
    <s v="Ocupada"/>
    <n v="661"/>
    <s v="Argentina"/>
    <s v="Plato_14, Plato_17, Plato_1, Plato_16"/>
  </r>
  <r>
    <n v="16"/>
    <s v="Cliente_954"/>
    <n v="3"/>
    <d v="2023-04-07T01:18:00"/>
    <d v="2023-04-07T02:49:00"/>
    <s v="Mesero_1"/>
    <s v="Almuerzo"/>
    <s v="Tarjeta de débito"/>
    <n v="17.23"/>
    <s v="Libre"/>
    <n v="719"/>
    <s v="Colombia"/>
    <s v="Plato_20, Plato_12, Plato_9"/>
  </r>
  <r>
    <n v="17"/>
    <s v="Cliente_157"/>
    <n v="6"/>
    <d v="2023-04-07T01:32:00"/>
    <d v="2023-04-07T03:10:00"/>
    <s v="Mesero_2"/>
    <s v="Desayuno"/>
    <s v="Tarjeta de crédito"/>
    <n v="49.35"/>
    <s v="Libre"/>
    <n v="751"/>
    <s v="Brasil"/>
    <s v="Plato_9, Plato_1, Plato_5"/>
  </r>
  <r>
    <n v="17"/>
    <s v="Cliente_175"/>
    <n v="6"/>
    <d v="2023-04-07T01:34:00"/>
    <d v="2023-04-07T04:50:00"/>
    <s v="Mesero_2"/>
    <s v="Cena"/>
    <s v="Tarjeta de crédito"/>
    <n v="12.57"/>
    <s v="Reservada"/>
    <n v="766"/>
    <s v="Argentina"/>
    <s v="Plato_2, Plato_12, Plato_3, Plato_14"/>
  </r>
  <r>
    <n v="17"/>
    <s v="Cliente_18"/>
    <n v="3"/>
    <d v="2023-04-05T01:41:00"/>
    <d v="2023-04-05T04:17:00"/>
    <s v="Mesero_4"/>
    <s v="Almuerzo"/>
    <s v="Tarjeta de crédito"/>
    <n v="47.46"/>
    <s v="Ocupada"/>
    <n v="470"/>
    <s v="Uruguay"/>
    <s v="Plato_7, Plato_4"/>
  </r>
  <r>
    <n v="17"/>
    <s v="Cliente_195"/>
    <n v="3"/>
    <d v="2023-04-05T00:56:00"/>
    <d v="2023-04-05T04:05:00"/>
    <s v="Mesero_2"/>
    <s v="Almuerzo"/>
    <s v="Tarjeta de crédito"/>
    <n v="10.14"/>
    <s v="Ocupada"/>
    <n v="408"/>
    <s v="Chile"/>
    <s v="Plato_1, Plato_7, Plato_18"/>
  </r>
  <r>
    <n v="17"/>
    <s v="Cliente_240"/>
    <n v="6"/>
    <d v="2023-04-02T01:46:00"/>
    <d v="2023-04-02T05:36:00"/>
    <s v="Mesero_2"/>
    <s v="Almuerzo"/>
    <s v="Tarjeta de crédito"/>
    <n v="35.69"/>
    <s v="Libre"/>
    <n v="216"/>
    <s v="Uruguay"/>
    <s v="Plato_1, Plato_13, Plato_6"/>
  </r>
  <r>
    <n v="17"/>
    <s v="Cliente_258"/>
    <n v="1"/>
    <d v="2023-04-01T02:42:00"/>
    <d v="2023-04-01T05:51:00"/>
    <s v="Mesero_2"/>
    <s v="Almuerzo"/>
    <s v="Tarjeta de crédito"/>
    <n v="15.28"/>
    <s v="Reservada"/>
    <n v="72"/>
    <s v="Perú"/>
    <s v="Plato_13, Plato_4"/>
  </r>
  <r>
    <n v="17"/>
    <s v="Cliente_264"/>
    <n v="6"/>
    <d v="2023-04-02T02:46:00"/>
    <d v="2023-04-02T05:28:00"/>
    <s v="Mesero_3"/>
    <s v="Desayuno"/>
    <s v="Tarjeta de crédito"/>
    <n v="10.220000000000001"/>
    <s v="Libre"/>
    <n v="234"/>
    <s v="Brasil"/>
    <s v="Plato_2, Plato_7, Plato_17"/>
  </r>
  <r>
    <n v="17"/>
    <s v="Cliente_287"/>
    <n v="4"/>
    <d v="2023-04-05T00:52:00"/>
    <d v="2023-04-05T03:31:00"/>
    <s v="Mesero_3"/>
    <s v="Cena"/>
    <s v="Tarjeta de crédito"/>
    <n v="35.51"/>
    <s v="Reservada"/>
    <n v="418"/>
    <s v="España"/>
    <s v="Plato_1, Plato_17"/>
  </r>
  <r>
    <n v="17"/>
    <s v="Cliente_301"/>
    <n v="2"/>
    <d v="2023-04-07T01:08:00"/>
    <d v="2023-04-07T03:24:00"/>
    <s v="Mesero_4"/>
    <s v="Desayuno"/>
    <s v="Tarjeta de crédito"/>
    <n v="25.91"/>
    <s v="Ocupada"/>
    <n v="736"/>
    <s v="España"/>
    <s v="Plato_5, Plato_16, Plato_17"/>
  </r>
  <r>
    <n v="17"/>
    <s v="Cliente_306"/>
    <n v="6"/>
    <d v="2023-04-01T01:57:00"/>
    <d v="2023-04-01T04:22:00"/>
    <s v="Mesero_2"/>
    <s v="Cena"/>
    <s v="Tarjeta de crédito"/>
    <n v="10.54"/>
    <s v="Ocupada"/>
    <n v="7"/>
    <s v="Venezuela"/>
    <s v="Plato_15, Plato_19"/>
  </r>
  <r>
    <n v="17"/>
    <s v="Cliente_33"/>
    <n v="1"/>
    <d v="2023-04-01T00:02:00"/>
    <d v="2023-04-01T01:53:00"/>
    <s v="Mesero_4"/>
    <s v="Almuerzo"/>
    <s v="Tarjeta de crédito"/>
    <n v="16.600000000000001"/>
    <s v="Ocupada"/>
    <n v="10"/>
    <s v="Uruguay"/>
    <s v="Plato_18, Plato_20"/>
  </r>
  <r>
    <n v="17"/>
    <s v="Cliente_339"/>
    <n v="6"/>
    <d v="2023-04-03T00:26:00"/>
    <d v="2023-04-03T03:57:00"/>
    <s v="Mesero_2"/>
    <s v="Desayuno"/>
    <s v="Tarjeta de crédito"/>
    <n v="20.36"/>
    <s v="Libre"/>
    <n v="294"/>
    <s v="Colombia"/>
    <s v="Plato_17, Plato_19, Plato_4, Plato_18"/>
  </r>
  <r>
    <n v="17"/>
    <s v="Cliente_349"/>
    <n v="6"/>
    <d v="2023-04-05T03:53:00"/>
    <d v="2023-04-05T06:01:00"/>
    <s v="Mesero_5"/>
    <s v="Almuerzo"/>
    <s v="Tarjeta de crédito"/>
    <n v="30.48"/>
    <s v="Ocupada"/>
    <n v="435"/>
    <s v="España"/>
    <s v="Plato_10, Plato_13, Plato_2"/>
  </r>
  <r>
    <n v="17"/>
    <s v="Cliente_378"/>
    <n v="6"/>
    <d v="2023-04-02T01:49:00"/>
    <d v="2023-04-02T04:52:00"/>
    <s v="Mesero_5"/>
    <s v="Almuerzo"/>
    <s v="Tarjeta de crédito"/>
    <n v="41.05"/>
    <s v="Libre"/>
    <n v="227"/>
    <s v="Chile"/>
    <s v="Plato_7, Plato_17, Plato_16, Plato_11"/>
  </r>
  <r>
    <n v="17"/>
    <s v="Cliente_390"/>
    <n v="6"/>
    <d v="2023-04-02T03:44:00"/>
    <d v="2023-04-02T06:01:00"/>
    <s v="Mesero_3"/>
    <s v="Almuerzo"/>
    <s v="Efectivo"/>
    <n v="17.649999999999999"/>
    <s v="Reservada"/>
    <n v="244"/>
    <s v="Perú"/>
    <s v="Plato_20, Plato_12"/>
  </r>
  <r>
    <n v="17"/>
    <s v="Cliente_42"/>
    <n v="3"/>
    <d v="2023-04-01T02:57:00"/>
    <d v="2023-04-01T05:24:00"/>
    <s v="Mesero_1"/>
    <s v="Almuerzo"/>
    <s v="Tarjeta de crédito"/>
    <n v="17.760000000000002"/>
    <s v="Reservada"/>
    <n v="76"/>
    <s v="Argentina"/>
    <s v="Plato_2, Plato_4, Plato_7, Plato_10"/>
  </r>
  <r>
    <n v="17"/>
    <s v="Cliente_440"/>
    <n v="2"/>
    <d v="2023-04-03T02:25:00"/>
    <d v="2023-04-03T06:16:00"/>
    <s v="Mesero_2"/>
    <s v="Desayuno"/>
    <s v="Efectivo"/>
    <n v="24.55"/>
    <s v="Libre"/>
    <n v="317"/>
    <s v="Uruguay"/>
    <s v="Plato_5, Plato_18, Plato_15"/>
  </r>
  <r>
    <n v="17"/>
    <s v="Cliente_470"/>
    <n v="2"/>
    <d v="2023-04-04T01:19:00"/>
    <d v="2023-04-04T04:26:00"/>
    <s v="Mesero_3"/>
    <s v="Desayuno"/>
    <s v="Tarjeta de débito"/>
    <n v="26.87"/>
    <s v="Ocupada"/>
    <n v="357"/>
    <s v="Chile"/>
    <s v="Plato_1, Plato_3, Plato_6, Plato_5"/>
  </r>
  <r>
    <n v="17"/>
    <s v="Cliente_480"/>
    <n v="1"/>
    <d v="2023-04-06T03:20:00"/>
    <d v="2023-04-06T04:49:00"/>
    <s v="Mesero_3"/>
    <s v="Almuerzo"/>
    <s v="Tarjeta de débito"/>
    <n v="46.01"/>
    <s v="Libre"/>
    <n v="594"/>
    <s v="Bolivia"/>
    <s v="Plato_11, Plato_5, Plato_3"/>
  </r>
  <r>
    <n v="17"/>
    <s v="Cliente_523"/>
    <n v="3"/>
    <d v="2023-04-02T03:24:00"/>
    <d v="2023-04-02T05:03:00"/>
    <s v="Mesero_2"/>
    <s v="Desayuno"/>
    <s v="Tarjeta de crédito"/>
    <n v="11.5"/>
    <s v="Reservada"/>
    <n v="119"/>
    <s v="Perú"/>
    <s v="Plato_10, Plato_19, Plato_4"/>
  </r>
  <r>
    <n v="17"/>
    <s v="Cliente_61"/>
    <n v="4"/>
    <d v="2023-04-01T00:11:00"/>
    <d v="2023-04-01T01:22:00"/>
    <s v="Mesero_4"/>
    <s v="Almuerzo"/>
    <s v="Tarjeta de débito"/>
    <n v="28.26"/>
    <s v="Libre"/>
    <n v="70"/>
    <s v="Paraguay"/>
    <s v="Plato_1, Plato_18"/>
  </r>
  <r>
    <n v="17"/>
    <s v="Cliente_672"/>
    <n v="3"/>
    <d v="2023-04-03T03:04:00"/>
    <d v="2023-04-03T06:23:00"/>
    <s v="Mesero_5"/>
    <s v="Cena"/>
    <s v="Tarjeta de crédito"/>
    <n v="11.47"/>
    <s v="Libre"/>
    <n v="310"/>
    <s v="Uruguay"/>
    <s v="Plato_10, Plato_2"/>
  </r>
  <r>
    <n v="17"/>
    <s v="Cliente_740"/>
    <n v="1"/>
    <d v="2023-04-05T03:26:00"/>
    <d v="2023-04-05T07:02:00"/>
    <s v="Mesero_3"/>
    <s v="Almuerzo"/>
    <s v="Tarjeta de crédito"/>
    <n v="18.05"/>
    <s v="Ocupada"/>
    <n v="394"/>
    <s v="Brasil"/>
    <s v="Plato_7, Plato_9"/>
  </r>
  <r>
    <n v="17"/>
    <s v="Cliente_759"/>
    <n v="3"/>
    <d v="2023-04-07T02:18:00"/>
    <d v="2023-04-07T03:30:00"/>
    <s v="Mesero_3"/>
    <s v="Almuerzo"/>
    <s v="Efectivo"/>
    <n v="32.200000000000003"/>
    <s v="Reservada"/>
    <n v="671"/>
    <s v="Bolivia"/>
    <s v="Plato_8, Plato_1, Plato_15"/>
  </r>
  <r>
    <n v="17"/>
    <s v="Cliente_828"/>
    <n v="2"/>
    <d v="2023-04-06T02:07:00"/>
    <d v="2023-04-06T05:55:00"/>
    <s v="Mesero_4"/>
    <s v="Cena"/>
    <s v="Tarjeta de débito"/>
    <n v="26.07"/>
    <s v="Ocupada"/>
    <n v="629"/>
    <s v="Argentina"/>
    <s v="Plato_18, Plato_3, Plato_4"/>
  </r>
  <r>
    <n v="17"/>
    <s v="Cliente_832"/>
    <n v="5"/>
    <d v="2023-04-06T00:25:00"/>
    <d v="2023-04-06T02:17:00"/>
    <s v="Mesero_4"/>
    <s v="Almuerzo"/>
    <s v="Tarjeta de débito"/>
    <n v="48.8"/>
    <s v="Reservada"/>
    <n v="593"/>
    <s v="España"/>
    <s v="Plato_20, Plato_17, Plato_11, Plato_19"/>
  </r>
  <r>
    <n v="17"/>
    <s v="Cliente_857"/>
    <n v="5"/>
    <d v="2023-04-06T00:44:00"/>
    <d v="2023-04-06T03:55:00"/>
    <s v="Mesero_3"/>
    <s v="Cena"/>
    <s v="Efectivo"/>
    <n v="32.79"/>
    <s v="Ocupada"/>
    <n v="586"/>
    <s v="Venezuela"/>
    <s v="Plato_11, Plato_7"/>
  </r>
  <r>
    <n v="17"/>
    <s v="Cliente_881"/>
    <n v="4"/>
    <d v="2023-04-01T00:41:00"/>
    <d v="2023-04-01T04:06:00"/>
    <s v="Mesero_4"/>
    <s v="Almuerzo"/>
    <s v="Tarjeta de crédito"/>
    <n v="33.340000000000003"/>
    <s v="Reservada"/>
    <n v="63"/>
    <s v="Colombia"/>
    <s v="Plato_3, Plato_8"/>
  </r>
  <r>
    <n v="17"/>
    <s v="Cliente_897"/>
    <n v="2"/>
    <d v="2023-04-05T00:38:00"/>
    <d v="2023-04-05T04:29:00"/>
    <s v="Mesero_5"/>
    <s v="Almuerzo"/>
    <s v="Tarjeta de crédito"/>
    <n v="32.56"/>
    <s v="Libre"/>
    <n v="404"/>
    <s v="España"/>
    <s v="Plato_13, Plato_3, Plato_20"/>
  </r>
  <r>
    <n v="17"/>
    <s v="Cliente_923"/>
    <n v="5"/>
    <d v="2023-04-04T01:33:00"/>
    <d v="2023-04-04T04:46:00"/>
    <s v="Mesero_3"/>
    <s v="Almuerzo"/>
    <s v="Efectivo"/>
    <n v="10.57"/>
    <s v="Reservada"/>
    <n v="366"/>
    <s v="Chile"/>
    <s v="Plato_6, Plato_8, Plato_20"/>
  </r>
  <r>
    <n v="17"/>
    <s v="Cliente_946"/>
    <n v="1"/>
    <d v="2023-04-06T01:34:00"/>
    <d v="2023-04-06T03:50:00"/>
    <s v="Mesero_1"/>
    <s v="Almuerzo"/>
    <s v="Tarjeta de crédito"/>
    <n v="45.76"/>
    <s v="Ocupada"/>
    <n v="487"/>
    <s v="Paraguay"/>
    <s v="Plato_18, Plato_17, Plato_5"/>
  </r>
  <r>
    <n v="17"/>
    <s v="Cliente_963"/>
    <n v="2"/>
    <d v="2023-04-01T00:28:00"/>
    <d v="2023-04-01T04:02:00"/>
    <s v="Mesero_3"/>
    <s v="Desayuno"/>
    <s v="Tarjeta de crédito"/>
    <n v="25.31"/>
    <s v="Libre"/>
    <n v="48"/>
    <s v="Bolivia"/>
    <s v="Plato_6, Plato_5, Plato_11"/>
  </r>
  <r>
    <n v="18"/>
    <s v="Cliente_107"/>
    <n v="2"/>
    <d v="2023-04-01T02:04:00"/>
    <d v="2023-04-01T05:47:00"/>
    <s v="Mesero_5"/>
    <s v="Desayuno"/>
    <s v="Tarjeta de crédito"/>
    <n v="10.37"/>
    <s v="Ocupada"/>
    <n v="26"/>
    <s v="Uruguay"/>
    <s v="Plato_4, Plato_13, Plato_7"/>
  </r>
  <r>
    <n v="18"/>
    <s v="Cliente_154"/>
    <n v="1"/>
    <d v="2023-04-03T01:00:00"/>
    <d v="2023-04-03T02:18:00"/>
    <s v="Mesero_2"/>
    <s v="Almuerzo"/>
    <s v="Tarjeta de crédito"/>
    <n v="32.5"/>
    <s v="Reservada"/>
    <n v="325"/>
    <s v="Perú"/>
    <s v="Plato_13, Plato_17, Plato_8, Plato_15"/>
  </r>
  <r>
    <n v="18"/>
    <s v="Cliente_289"/>
    <n v="4"/>
    <d v="2023-04-06T03:17:00"/>
    <d v="2023-04-06T05:50:00"/>
    <s v="Mesero_5"/>
    <s v="Cena"/>
    <s v="Tarjeta de débito"/>
    <n v="19.55"/>
    <s v="Ocupada"/>
    <n v="475"/>
    <s v="Paraguay"/>
    <s v="Plato_7, Plato_18"/>
  </r>
  <r>
    <n v="18"/>
    <s v="Cliente_326"/>
    <n v="4"/>
    <d v="2023-04-02T03:44:00"/>
    <d v="2023-04-02T07:21:00"/>
    <s v="Mesero_2"/>
    <s v="Almuerzo"/>
    <s v="Tarjeta de crédito"/>
    <n v="42.83"/>
    <s v="Ocupada"/>
    <n v="262"/>
    <s v="Venezuela"/>
    <s v="Plato_5, Plato_17"/>
  </r>
  <r>
    <n v="18"/>
    <s v="Cliente_33"/>
    <n v="6"/>
    <d v="2023-04-05T02:18:00"/>
    <d v="2023-04-05T05:29:00"/>
    <s v="Mesero_2"/>
    <s v="Almuerzo"/>
    <s v="Tarjeta de crédito"/>
    <n v="31.49"/>
    <s v="Ocupada"/>
    <n v="420"/>
    <s v="Bolivia"/>
    <s v="Plato_18, Plato_3, Plato_1, Plato_15"/>
  </r>
  <r>
    <n v="18"/>
    <s v="Cliente_351"/>
    <n v="2"/>
    <d v="2023-04-06T01:21:00"/>
    <d v="2023-04-06T03:39:00"/>
    <s v="Mesero_2"/>
    <s v="Almuerzo"/>
    <s v="Tarjeta de débito"/>
    <n v="23.7"/>
    <s v="Ocupada"/>
    <n v="596"/>
    <s v="Ecuador"/>
    <s v="Plato_14, Plato_7, Plato_15, Plato_1"/>
  </r>
  <r>
    <n v="18"/>
    <s v="Cliente_351"/>
    <n v="3"/>
    <d v="2023-04-07T03:49:00"/>
    <d v="2023-04-07T05:12:00"/>
    <s v="Mesero_4"/>
    <s v="Almuerzo"/>
    <s v="Tarjeta de crédito"/>
    <n v="22.88"/>
    <s v="Reservada"/>
    <n v="763"/>
    <s v="Argentina"/>
    <s v="Plato_11, Plato_12"/>
  </r>
  <r>
    <n v="18"/>
    <s v="Cliente_36"/>
    <n v="1"/>
    <d v="2023-04-01T03:30:00"/>
    <d v="2023-04-01T06:40:00"/>
    <s v="Mesero_4"/>
    <s v="Almuerzo"/>
    <s v="Tarjeta de débito"/>
    <n v="23.93"/>
    <s v="Reservada"/>
    <n v="88"/>
    <s v="Ecuador"/>
    <s v="Plato_20, Plato_12, Plato_10"/>
  </r>
  <r>
    <n v="18"/>
    <s v="Cliente_384"/>
    <n v="5"/>
    <d v="2023-04-06T03:33:00"/>
    <d v="2023-04-06T05:08:00"/>
    <s v="Mesero_4"/>
    <s v="Almuerzo"/>
    <s v="Tarjeta de crédito"/>
    <n v="13.27"/>
    <s v="Ocupada"/>
    <n v="581"/>
    <s v="Perú"/>
    <s v="Plato_11, Plato_2"/>
  </r>
  <r>
    <n v="18"/>
    <s v="Cliente_422"/>
    <n v="2"/>
    <d v="2023-04-06T00:43:00"/>
    <d v="2023-04-06T02:54:00"/>
    <s v="Mesero_4"/>
    <s v="Almuerzo"/>
    <s v="Tarjeta de crédito"/>
    <n v="15.18"/>
    <s v="Libre"/>
    <n v="521"/>
    <s v="Bolivia"/>
    <s v="Plato_1, Plato_9, Plato_18"/>
  </r>
  <r>
    <n v="18"/>
    <s v="Cliente_440"/>
    <n v="4"/>
    <d v="2023-04-01T01:57:00"/>
    <d v="2023-04-01T05:56:00"/>
    <s v="Mesero_3"/>
    <s v="Almuerzo"/>
    <s v="Tarjeta de crédito"/>
    <n v="24.01"/>
    <s v="Ocupada"/>
    <n v="71"/>
    <s v="Paraguay"/>
    <s v="Plato_2, Plato_14"/>
  </r>
  <r>
    <n v="18"/>
    <s v="Cliente_516"/>
    <n v="3"/>
    <d v="2023-04-02T02:45:00"/>
    <d v="2023-04-02T05:12:00"/>
    <s v="Mesero_1"/>
    <s v="Almuerzo"/>
    <s v="Tarjeta de crédito"/>
    <n v="41.82"/>
    <s v="Libre"/>
    <n v="126"/>
    <s v="Perú"/>
    <s v="Plato_16, Plato_8, Plato_7, Plato_2"/>
  </r>
  <r>
    <n v="18"/>
    <s v="Cliente_516"/>
    <n v="6"/>
    <d v="2023-04-03T02:17:00"/>
    <d v="2023-04-03T04:19:00"/>
    <s v="Mesero_2"/>
    <s v="Desayuno"/>
    <s v="Tarjeta de crédito"/>
    <n v="38.380000000000003"/>
    <s v="Reservada"/>
    <n v="300"/>
    <s v="Paraguay"/>
    <s v="Plato_20, Plato_4, Plato_10, Plato_2"/>
  </r>
  <r>
    <n v="18"/>
    <s v="Cliente_531"/>
    <n v="6"/>
    <d v="2023-04-05T03:48:00"/>
    <d v="2023-04-05T07:32:00"/>
    <s v="Mesero_2"/>
    <s v="Almuerzo"/>
    <s v="Efectivo"/>
    <n v="17.260000000000002"/>
    <s v="Reservada"/>
    <n v="457"/>
    <s v="Bolivia"/>
    <s v="Plato_11, Plato_12"/>
  </r>
  <r>
    <n v="18"/>
    <s v="Cliente_533"/>
    <n v="6"/>
    <d v="2023-04-02T00:37:00"/>
    <d v="2023-04-02T03:10:00"/>
    <s v="Mesero_1"/>
    <s v="Almuerzo"/>
    <s v="Tarjeta de débito"/>
    <n v="48.43"/>
    <s v="Libre"/>
    <n v="150"/>
    <s v="Argentina"/>
    <s v="Plato_5, Plato_11, Plato_3"/>
  </r>
  <r>
    <n v="18"/>
    <s v="Cliente_554"/>
    <n v="3"/>
    <d v="2023-04-06T03:51:00"/>
    <d v="2023-04-06T07:00:00"/>
    <s v="Mesero_2"/>
    <s v="Desayuno"/>
    <s v="Efectivo"/>
    <n v="20.9"/>
    <s v="Libre"/>
    <n v="539"/>
    <s v="Colombia"/>
    <s v="Plato_2, Plato_6, Plato_9, Plato_4"/>
  </r>
  <r>
    <n v="18"/>
    <s v="Cliente_614"/>
    <n v="2"/>
    <d v="2023-04-01T02:28:00"/>
    <d v="2023-04-01T06:18:00"/>
    <s v="Mesero_5"/>
    <s v="Almuerzo"/>
    <s v="Tarjeta de crédito"/>
    <n v="10.88"/>
    <s v="Reservada"/>
    <n v="66"/>
    <s v="España"/>
    <s v="Plato_19, Plato_20, Plato_4"/>
  </r>
  <r>
    <n v="18"/>
    <s v="Cliente_632"/>
    <n v="6"/>
    <d v="2023-04-01T02:14:00"/>
    <d v="2023-04-01T03:46:00"/>
    <s v="Mesero_4"/>
    <s v="Almuerzo"/>
    <s v="Tarjeta de crédito"/>
    <n v="39.049999999999997"/>
    <s v="Libre"/>
    <n v="80"/>
    <s v="Venezuela"/>
    <s v="Plato_5, Plato_9, Plato_7"/>
  </r>
  <r>
    <n v="18"/>
    <s v="Cliente_659"/>
    <n v="5"/>
    <d v="2023-04-03T02:04:00"/>
    <d v="2023-04-03T04:18:00"/>
    <s v="Mesero_1"/>
    <s v="Almuerzo"/>
    <s v="Tarjeta de crédito"/>
    <n v="23.59"/>
    <s v="Libre"/>
    <n v="321"/>
    <s v="Venezuela"/>
    <s v="Plato_16, Plato_5, Plato_14"/>
  </r>
  <r>
    <n v="18"/>
    <s v="Cliente_709"/>
    <n v="4"/>
    <d v="2023-04-02T01:35:00"/>
    <d v="2023-04-02T04:50:00"/>
    <s v="Mesero_5"/>
    <s v="Desayuno"/>
    <s v="Tarjeta de crédito"/>
    <n v="15.92"/>
    <s v="Ocupada"/>
    <n v="149"/>
    <s v="Brasil"/>
    <s v="Plato_18, Plato_2, Plato_4, Plato_9"/>
  </r>
  <r>
    <n v="18"/>
    <s v="Cliente_710"/>
    <n v="1"/>
    <d v="2023-04-01T03:06:00"/>
    <d v="2023-04-01T06:18:00"/>
    <s v="Mesero_4"/>
    <s v="Almuerzo"/>
    <s v="Tarjeta de crédito"/>
    <n v="42.6"/>
    <s v="Libre"/>
    <n v="44"/>
    <s v="España"/>
    <s v="Plato_10, Plato_1, Plato_13"/>
  </r>
  <r>
    <n v="18"/>
    <s v="Cliente_712"/>
    <n v="1"/>
    <d v="2023-04-02T02:58:00"/>
    <d v="2023-04-02T05:32:00"/>
    <s v="Mesero_4"/>
    <s v="Cena"/>
    <s v="Tarjeta de crédito"/>
    <n v="11.22"/>
    <s v="Ocupada"/>
    <n v="144"/>
    <s v="Perú"/>
    <s v="Plato_19, Plato_12, Plato_9, Plato_18"/>
  </r>
  <r>
    <n v="18"/>
    <s v="Cliente_715"/>
    <n v="1"/>
    <d v="2023-04-02T02:46:00"/>
    <d v="2023-04-02T06:28:00"/>
    <s v="Mesero_1"/>
    <s v="Almuerzo"/>
    <s v="Tarjeta de crédito"/>
    <n v="11.69"/>
    <s v="Ocupada"/>
    <n v="183"/>
    <s v="Uruguay"/>
    <s v="Plato_15, Plato_10, Plato_3, Plato_8"/>
  </r>
  <r>
    <n v="18"/>
    <s v="Cliente_716"/>
    <n v="1"/>
    <d v="2023-04-07T02:28:00"/>
    <d v="2023-04-07T03:38:00"/>
    <s v="Mesero_5"/>
    <s v="Almuerzo"/>
    <s v="Tarjeta de crédito"/>
    <n v="28.43"/>
    <s v="Ocupada"/>
    <n v="710"/>
    <s v="España"/>
    <s v="Plato_3, Plato_12, Plato_4, Plato_14"/>
  </r>
  <r>
    <n v="18"/>
    <s v="Cliente_72"/>
    <n v="3"/>
    <d v="2023-04-01T03:30:00"/>
    <d v="2023-04-01T07:29:00"/>
    <s v="Mesero_2"/>
    <s v="Almuerzo"/>
    <s v="Tarjeta de crédito"/>
    <n v="10.98"/>
    <s v="Ocupada"/>
    <n v="47"/>
    <s v="Brasil"/>
    <s v="Plato_11, Plato_14, Plato_3"/>
  </r>
  <r>
    <n v="18"/>
    <s v="Cliente_768"/>
    <n v="2"/>
    <d v="2023-04-05T00:33:00"/>
    <d v="2023-04-05T03:35:00"/>
    <s v="Mesero_2"/>
    <s v="Almuerzo"/>
    <s v="Tarjeta de crédito"/>
    <n v="27.03"/>
    <s v="Libre"/>
    <n v="388"/>
    <s v="España"/>
    <s v="Plato_17, Plato_19, Plato_9, Plato_11"/>
  </r>
  <r>
    <n v="18"/>
    <s v="Cliente_794"/>
    <n v="2"/>
    <d v="2023-04-04T00:32:00"/>
    <d v="2023-04-04T03:30:00"/>
    <s v="Mesero_5"/>
    <s v="Almuerzo"/>
    <s v="Tarjeta de débito"/>
    <n v="30.62"/>
    <s v="Reservada"/>
    <n v="338"/>
    <s v="Ecuador"/>
    <s v="Plato_18, Plato_13, Plato_15, Plato_3"/>
  </r>
  <r>
    <n v="18"/>
    <s v="Cliente_808"/>
    <n v="4"/>
    <d v="2023-04-07T00:17:00"/>
    <d v="2023-04-07T02:10:00"/>
    <s v="Mesero_3"/>
    <s v="Desayuno"/>
    <s v="Efectivo"/>
    <n v="27.04"/>
    <s v="Reservada"/>
    <n v="758"/>
    <s v="Perú"/>
    <s v="Plato_2, Plato_5"/>
  </r>
  <r>
    <n v="18"/>
    <s v="Cliente_819"/>
    <n v="5"/>
    <d v="2023-04-06T01:19:00"/>
    <d v="2023-04-06T04:36:00"/>
    <s v="Mesero_4"/>
    <s v="Almuerzo"/>
    <s v="Tarjeta de crédito"/>
    <n v="38.840000000000003"/>
    <s v="Libre"/>
    <n v="514"/>
    <s v="Chile"/>
    <s v="Plato_10, Plato_12, Plato_3, Plato_15"/>
  </r>
  <r>
    <n v="18"/>
    <s v="Cliente_886"/>
    <n v="2"/>
    <d v="2023-04-01T03:04:00"/>
    <d v="2023-04-01T04:52:00"/>
    <s v="Mesero_2"/>
    <s v="Almuerzo"/>
    <s v="Tarjeta de crédito"/>
    <n v="45.45"/>
    <s v="Libre"/>
    <n v="57"/>
    <s v="Colombia"/>
    <s v="Plato_8, Plato_20, Plato_5, Plato_19"/>
  </r>
  <r>
    <n v="18"/>
    <s v="Cliente_905"/>
    <n v="1"/>
    <d v="2023-04-05T02:41:00"/>
    <d v="2023-04-05T05:08:00"/>
    <s v="Mesero_3"/>
    <s v="Almuerzo"/>
    <s v="Tarjeta de crédito"/>
    <n v="31.02"/>
    <s v="Reservada"/>
    <n v="402"/>
    <s v="Colombia"/>
    <s v="Plato_1, Plato_12, Plato_5"/>
  </r>
  <r>
    <n v="18"/>
    <s v="Cliente_965"/>
    <n v="1"/>
    <d v="2023-04-01T03:32:00"/>
    <d v="2023-04-01T06:45:00"/>
    <s v="Mesero_1"/>
    <s v="Almuerzo"/>
    <s v="Tarjeta de crédito"/>
    <n v="15.15"/>
    <s v="Reservada"/>
    <n v="100"/>
    <s v="Paraguay"/>
    <s v="Plato_7, Plato_5, Plato_1"/>
  </r>
  <r>
    <n v="18"/>
    <s v="Cliente_989"/>
    <n v="4"/>
    <d v="2023-04-06T03:26:00"/>
    <d v="2023-04-06T04:30:00"/>
    <s v="Mesero_2"/>
    <s v="Desayuno"/>
    <s v="Tarjeta de crédito"/>
    <n v="43.42"/>
    <s v="Libre"/>
    <n v="507"/>
    <s v="Bolivia"/>
    <s v="Plato_18, Plato_19"/>
  </r>
  <r>
    <n v="19"/>
    <s v="Cliente_115"/>
    <n v="4"/>
    <d v="2023-04-07T02:30:00"/>
    <d v="2023-04-07T06:25:00"/>
    <s v="Mesero_1"/>
    <s v="Cena"/>
    <s v="Tarjeta de crédito"/>
    <n v="39.89"/>
    <s v="Libre"/>
    <n v="698"/>
    <s v="Bolivia"/>
    <s v="Plato_6, Plato_10, Plato_14, Plato_13"/>
  </r>
  <r>
    <n v="19"/>
    <s v="Cliente_281"/>
    <n v="2"/>
    <d v="2023-04-07T02:21:00"/>
    <d v="2023-04-07T04:05:00"/>
    <s v="Mesero_5"/>
    <s v="Almuerzo"/>
    <s v="Tarjeta de crédito"/>
    <n v="10.69"/>
    <s v="Libre"/>
    <n v="714"/>
    <s v="Colombia"/>
    <s v="Plato_18, Plato_2, Plato_11"/>
  </r>
  <r>
    <n v="19"/>
    <s v="Cliente_411"/>
    <n v="6"/>
    <d v="2023-04-07T03:36:00"/>
    <d v="2023-04-07T06:40:00"/>
    <s v="Mesero_1"/>
    <s v="Cena"/>
    <s v="Tarjeta de crédito"/>
    <n v="31.23"/>
    <s v="Reservada"/>
    <n v="656"/>
    <s v="Argentina"/>
    <s v="Plato_14, Plato_3, Plato_12, Plato_19"/>
  </r>
  <r>
    <n v="19"/>
    <s v="Cliente_427"/>
    <n v="2"/>
    <d v="2023-04-06T00:33:00"/>
    <d v="2023-04-06T04:32:00"/>
    <s v="Mesero_1"/>
    <s v="Desayuno"/>
    <s v="Tarjeta de débito"/>
    <n v="33.700000000000003"/>
    <s v="Reservada"/>
    <n v="541"/>
    <s v="Colombia"/>
    <s v="Plato_12, Plato_11, Plato_9, Plato_14"/>
  </r>
  <r>
    <n v="19"/>
    <s v="Cliente_483"/>
    <n v="1"/>
    <d v="2023-04-07T03:01:00"/>
    <d v="2023-04-07T05:22:00"/>
    <s v="Mesero_3"/>
    <s v="Almuerzo"/>
    <s v="Tarjeta de crédito"/>
    <n v="26.76"/>
    <s v="Ocupada"/>
    <n v="678"/>
    <s v="Chile"/>
    <s v="Plato_9, Plato_12, Plato_8, Plato_7"/>
  </r>
  <r>
    <n v="19"/>
    <s v="Cliente_483"/>
    <n v="4"/>
    <d v="2023-04-07T01:56:00"/>
    <d v="2023-04-07T05:51:00"/>
    <s v="Mesero_2"/>
    <s v="Desayuno"/>
    <s v="Tarjeta de crédito"/>
    <n v="15.91"/>
    <s v="Reservada"/>
    <n v="660"/>
    <s v="Brasil"/>
    <s v="Plato_12, Plato_2, Plato_20"/>
  </r>
  <r>
    <n v="19"/>
    <s v="Cliente_485"/>
    <n v="1"/>
    <d v="2023-04-02T01:56:00"/>
    <d v="2023-04-02T05:14:00"/>
    <s v="Mesero_3"/>
    <s v="Almuerzo"/>
    <s v="Tarjeta de débito"/>
    <n v="16.62"/>
    <s v="Libre"/>
    <n v="169"/>
    <s v="Paraguay"/>
    <s v="Plato_13, Plato_18, Plato_5"/>
  </r>
  <r>
    <n v="19"/>
    <s v="Cliente_520"/>
    <n v="2"/>
    <d v="2023-04-01T01:33:00"/>
    <d v="2023-04-01T04:14:00"/>
    <s v="Mesero_3"/>
    <s v="Almuerzo"/>
    <s v="Tarjeta de crédito"/>
    <n v="12.65"/>
    <s v="Reservada"/>
    <n v="102"/>
    <s v="Venezuela"/>
    <s v="Plato_16, Plato_9"/>
  </r>
  <r>
    <n v="19"/>
    <s v="Cliente_58"/>
    <n v="5"/>
    <d v="2023-04-07T03:20:00"/>
    <d v="2023-04-07T05:45:00"/>
    <s v="Mesero_4"/>
    <s v="Almuerzo"/>
    <s v="Tarjeta de crédito"/>
    <n v="39.83"/>
    <s v="Libre"/>
    <n v="701"/>
    <s v="Bolivia"/>
    <s v="Plato_11, Plato_4"/>
  </r>
  <r>
    <n v="19"/>
    <s v="Cliente_597"/>
    <n v="2"/>
    <d v="2023-04-07T03:47:00"/>
    <d v="2023-04-07T07:44:00"/>
    <s v="Mesero_3"/>
    <s v="Almuerzo"/>
    <s v="Tarjeta de débito"/>
    <n v="25.7"/>
    <s v="Ocupada"/>
    <n v="743"/>
    <s v="Brasil"/>
    <s v="Plato_10, Plato_4, Plato_14"/>
  </r>
  <r>
    <n v="19"/>
    <s v="Cliente_608"/>
    <n v="2"/>
    <d v="2023-04-06T02:49:00"/>
    <d v="2023-04-06T06:24:00"/>
    <s v="Mesero_3"/>
    <s v="Almuerzo"/>
    <s v="Efectivo"/>
    <n v="24.38"/>
    <s v="Ocupada"/>
    <n v="605"/>
    <s v="Uruguay"/>
    <s v="Plato_3, Plato_20, Plato_8, Plato_2"/>
  </r>
  <r>
    <n v="19"/>
    <s v="Cliente_708"/>
    <n v="5"/>
    <d v="2023-04-01T03:54:00"/>
    <d v="2023-04-01T06:57:00"/>
    <s v="Mesero_4"/>
    <s v="Almuerzo"/>
    <s v="Tarjeta de débito"/>
    <n v="16.739999999999998"/>
    <s v="Ocupada"/>
    <n v="50"/>
    <s v="Argentina"/>
    <s v="Plato_15, Plato_5"/>
  </r>
  <r>
    <n v="19"/>
    <s v="Cliente_728"/>
    <n v="4"/>
    <d v="2023-04-06T02:12:00"/>
    <d v="2023-04-06T04:11:00"/>
    <s v="Mesero_5"/>
    <s v="Cena"/>
    <s v="Tarjeta de crédito"/>
    <n v="37.9"/>
    <s v="Ocupada"/>
    <n v="610"/>
    <s v="Paraguay"/>
    <s v="Plato_10, Plato_4"/>
  </r>
  <r>
    <n v="19"/>
    <s v="Cliente_788"/>
    <n v="6"/>
    <d v="2023-04-02T01:06:00"/>
    <d v="2023-04-02T04:33:00"/>
    <s v="Mesero_2"/>
    <s v="Almuerzo"/>
    <s v="Tarjeta de crédito"/>
    <n v="26.02"/>
    <s v="Reservada"/>
    <n v="160"/>
    <s v="Colombia"/>
    <s v="Plato_19, Plato_7"/>
  </r>
  <r>
    <n v="19"/>
    <s v="Cliente_79"/>
    <n v="5"/>
    <d v="2023-04-01T03:36:00"/>
    <d v="2023-04-01T04:49:00"/>
    <s v="Mesero_5"/>
    <s v="Almuerzo"/>
    <s v="Tarjeta de crédito"/>
    <n v="45.23"/>
    <s v="Ocupada"/>
    <n v="75"/>
    <s v="Venezuela"/>
    <s v="Plato_20, Plato_14"/>
  </r>
  <r>
    <n v="19"/>
    <s v="Cliente_865"/>
    <n v="4"/>
    <d v="2023-04-01T01:04:00"/>
    <d v="2023-04-01T04:13:00"/>
    <s v="Mesero_4"/>
    <s v="Almuerzo"/>
    <s v="Tarjeta de crédito"/>
    <n v="30.83"/>
    <s v="Libre"/>
    <n v="74"/>
    <s v="Brasil"/>
    <s v="Plato_10, Plato_18, Plato_15"/>
  </r>
  <r>
    <n v="19"/>
    <s v="Cliente_882"/>
    <n v="2"/>
    <d v="2023-04-04T00:37:00"/>
    <d v="2023-04-04T03:11:00"/>
    <s v="Mesero_5"/>
    <s v="Desayuno"/>
    <s v="Tarjeta de débito"/>
    <n v="26.62"/>
    <s v="Ocupada"/>
    <n v="373"/>
    <s v="Argentina"/>
    <s v="Plato_13, Plato_8, Plato_5, Plato_3"/>
  </r>
  <r>
    <n v="19"/>
    <s v="Cliente_897"/>
    <n v="5"/>
    <d v="2023-04-04T02:30:00"/>
    <d v="2023-04-04T06:11:00"/>
    <s v="Mesero_3"/>
    <s v="Desayuno"/>
    <s v="Tarjeta de crédito"/>
    <n v="20.059999999999999"/>
    <s v="Libre"/>
    <n v="342"/>
    <s v="Bolivia"/>
    <s v="Plato_14, Plato_16"/>
  </r>
  <r>
    <n v="19"/>
    <s v="Cliente_910"/>
    <n v="5"/>
    <d v="2023-04-07T01:43:00"/>
    <d v="2023-04-07T05:02:00"/>
    <s v="Mesero_5"/>
    <s v="Desayuno"/>
    <s v="Efectivo"/>
    <n v="31.27"/>
    <s v="Reservada"/>
    <n v="658"/>
    <s v="Brasil"/>
    <s v="Plato_15, Plato_6"/>
  </r>
  <r>
    <n v="19"/>
    <s v="Cliente_913"/>
    <n v="3"/>
    <d v="2023-04-06T02:53:00"/>
    <d v="2023-04-06T06:27:00"/>
    <s v="Mesero_4"/>
    <s v="Almuerzo"/>
    <s v="Efectivo"/>
    <n v="46.21"/>
    <s v="Ocupada"/>
    <n v="572"/>
    <s v="Brasil"/>
    <s v="Plato_2, Plato_5"/>
  </r>
  <r>
    <n v="19"/>
    <s v="Cliente_964"/>
    <n v="6"/>
    <d v="2023-04-05T03:27:00"/>
    <d v="2023-04-05T06:56:00"/>
    <s v="Mesero_4"/>
    <s v="Cena"/>
    <s v="Tarjeta de crédito"/>
    <n v="49.6"/>
    <s v="Libre"/>
    <n v="460"/>
    <s v="Ecuador"/>
    <s v="Plato_16, Plato_10, Plato_1, Plato_7"/>
  </r>
  <r>
    <n v="19"/>
    <s v="Cliente_990"/>
    <n v="4"/>
    <d v="2023-04-02T00:14:00"/>
    <d v="2023-04-02T01:24:00"/>
    <s v="Mesero_3"/>
    <s v="Desayuno"/>
    <s v="Tarjeta de crédito"/>
    <n v="35.020000000000003"/>
    <s v="Reservada"/>
    <n v="225"/>
    <s v="Perú"/>
    <s v="Plato_11, Plato_14"/>
  </r>
  <r>
    <n v="19"/>
    <s v="Cliente_996"/>
    <n v="5"/>
    <d v="2023-04-06T00:47:00"/>
    <d v="2023-04-06T03:37:00"/>
    <s v="Mesero_4"/>
    <s v="Cena"/>
    <s v="Tarjeta de crédito"/>
    <n v="49.37"/>
    <s v="Reservada"/>
    <n v="543"/>
    <s v="Paraguay"/>
    <s v="Plato_16, Plato_6, Plato_15"/>
  </r>
  <r>
    <n v="2"/>
    <s v="Cliente_124"/>
    <n v="1"/>
    <d v="2023-04-06T00:09:00"/>
    <d v="2023-04-06T01:37:00"/>
    <s v="Mesero_3"/>
    <s v="Desayuno"/>
    <s v="Tarjeta de crédito"/>
    <n v="15.03"/>
    <s v="Reservada"/>
    <n v="628"/>
    <s v="Chile"/>
    <s v="Plato_7, Plato_20"/>
  </r>
  <r>
    <n v="2"/>
    <s v="Cliente_176"/>
    <n v="4"/>
    <d v="2023-04-02T03:18:00"/>
    <d v="2023-04-02T05:09:00"/>
    <s v="Mesero_1"/>
    <s v="Almuerzo"/>
    <s v="Tarjeta de débito"/>
    <n v="33.39"/>
    <s v="Ocupada"/>
    <n v="214"/>
    <s v="Argentina"/>
    <s v="Plato_18, Plato_20, Plato_3"/>
  </r>
  <r>
    <n v="2"/>
    <s v="Cliente_268"/>
    <n v="4"/>
    <d v="2023-04-03T03:07:00"/>
    <d v="2023-04-03T06:12:00"/>
    <s v="Mesero_3"/>
    <s v="Almuerzo"/>
    <s v="Tarjeta de crédito"/>
    <n v="30.89"/>
    <s v="Reservada"/>
    <n v="312"/>
    <s v="Uruguay"/>
    <s v="Plato_15, Plato_8"/>
  </r>
  <r>
    <n v="2"/>
    <s v="Cliente_281"/>
    <n v="1"/>
    <d v="2023-04-02T03:11:00"/>
    <d v="2023-04-02T04:26:00"/>
    <s v="Mesero_1"/>
    <s v="Almuerzo"/>
    <s v="Tarjeta de crédito"/>
    <n v="49.21"/>
    <s v="Libre"/>
    <n v="264"/>
    <s v="Bolivia"/>
    <s v="Plato_8, Plato_15, Plato_2, Plato_1"/>
  </r>
  <r>
    <n v="2"/>
    <s v="Cliente_285"/>
    <n v="1"/>
    <d v="2023-04-06T00:03:00"/>
    <d v="2023-04-06T03:36:00"/>
    <s v="Mesero_1"/>
    <s v="Desayuno"/>
    <s v="Tarjeta de crédito"/>
    <n v="29.25"/>
    <s v="Reservada"/>
    <n v="634"/>
    <s v="Venezuela"/>
    <s v="Plato_5, Plato_20, Plato_1, Plato_8"/>
  </r>
  <r>
    <n v="2"/>
    <s v="Cliente_285"/>
    <n v="1"/>
    <d v="2023-04-06T01:19:00"/>
    <d v="2023-04-06T02:26:00"/>
    <s v="Mesero_5"/>
    <s v="Almuerzo"/>
    <s v="Tarjeta de crédito"/>
    <n v="37.369999999999997"/>
    <s v="Ocupada"/>
    <n v="512"/>
    <s v="España"/>
    <s v="Plato_3, Plato_19"/>
  </r>
  <r>
    <n v="2"/>
    <s v="Cliente_298"/>
    <n v="4"/>
    <d v="2023-04-07T02:32:00"/>
    <d v="2023-04-07T05:58:00"/>
    <s v="Mesero_2"/>
    <s v="Almuerzo"/>
    <s v="Tarjeta de crédito"/>
    <n v="12.55"/>
    <s v="Reservada"/>
    <n v="748"/>
    <s v="Venezuela"/>
    <s v="Plato_15, Plato_10"/>
  </r>
  <r>
    <n v="2"/>
    <s v="Cliente_352"/>
    <n v="6"/>
    <d v="2023-04-01T03:45:00"/>
    <d v="2023-04-01T05:10:00"/>
    <s v="Mesero_2"/>
    <s v="Almuerzo"/>
    <s v="Tarjeta de débito"/>
    <n v="21.25"/>
    <s v="Reservada"/>
    <n v="67"/>
    <s v="Perú"/>
    <s v="Plato_20, Plato_19, Plato_10, Plato_2"/>
  </r>
  <r>
    <n v="2"/>
    <s v="Cliente_358"/>
    <n v="2"/>
    <d v="2023-04-01T00:49:00"/>
    <d v="2023-04-01T03:16:00"/>
    <s v="Mesero_4"/>
    <s v="Cena"/>
    <s v="Tarjeta de crédito"/>
    <n v="41.22"/>
    <s v="Reservada"/>
    <n v="28"/>
    <s v="Argentina"/>
    <s v="Plato_4, Plato_9"/>
  </r>
  <r>
    <n v="2"/>
    <s v="Cliente_385"/>
    <n v="2"/>
    <d v="2023-04-06T00:02:00"/>
    <d v="2023-04-06T02:49:00"/>
    <s v="Mesero_5"/>
    <s v="Almuerzo"/>
    <s v="Tarjeta de débito"/>
    <n v="36.619999999999997"/>
    <s v="Libre"/>
    <n v="630"/>
    <s v="Bolivia"/>
    <s v="Plato_17, Plato_20"/>
  </r>
  <r>
    <n v="2"/>
    <s v="Cliente_463"/>
    <n v="6"/>
    <d v="2023-04-03T03:18:00"/>
    <d v="2023-04-03T06:09:00"/>
    <s v="Mesero_2"/>
    <s v="Desayuno"/>
    <s v="Efectivo"/>
    <n v="15.44"/>
    <s v="Ocupada"/>
    <n v="291"/>
    <s v="Bolivia"/>
    <s v="Plato_18, Plato_1, Plato_8, Plato_17"/>
  </r>
  <r>
    <n v="2"/>
    <s v="Cliente_494"/>
    <n v="2"/>
    <d v="2023-04-02T02:04:00"/>
    <d v="2023-04-02T03:25:00"/>
    <s v="Mesero_1"/>
    <s v="Almuerzo"/>
    <s v="Tarjeta de crédito"/>
    <n v="15.43"/>
    <s v="Reservada"/>
    <n v="232"/>
    <s v="Argentina"/>
    <s v="Plato_7, Plato_6, Plato_2, Plato_10"/>
  </r>
  <r>
    <n v="2"/>
    <s v="Cliente_56"/>
    <n v="5"/>
    <d v="2023-04-02T00:37:00"/>
    <d v="2023-04-02T01:42:00"/>
    <s v="Mesero_2"/>
    <s v="Cena"/>
    <s v="Tarjeta de crédito"/>
    <n v="11.32"/>
    <s v="Ocupada"/>
    <n v="145"/>
    <s v="Venezuela"/>
    <s v="Plato_5, Plato_2"/>
  </r>
  <r>
    <n v="2"/>
    <s v="Cliente_624"/>
    <n v="6"/>
    <d v="2023-04-06T01:52:00"/>
    <d v="2023-04-06T03:32:00"/>
    <s v="Mesero_4"/>
    <s v="Almuerzo"/>
    <s v="Tarjeta de crédito"/>
    <n v="21.66"/>
    <s v="Libre"/>
    <n v="474"/>
    <s v="Perú"/>
    <s v="Plato_18, Plato_9, Plato_17, Plato_16"/>
  </r>
  <r>
    <n v="2"/>
    <s v="Cliente_644"/>
    <n v="6"/>
    <d v="2023-04-04T00:35:00"/>
    <d v="2023-04-04T02:59:00"/>
    <s v="Mesero_5"/>
    <s v="Desayuno"/>
    <s v="Tarjeta de débito"/>
    <n v="36.21"/>
    <s v="Reservada"/>
    <n v="350"/>
    <s v="Colombia"/>
    <s v="Plato_17, Plato_6"/>
  </r>
  <r>
    <n v="2"/>
    <s v="Cliente_654"/>
    <n v="2"/>
    <d v="2023-04-03T01:38:00"/>
    <d v="2023-04-03T05:32:00"/>
    <s v="Mesero_5"/>
    <s v="Desayuno"/>
    <s v="Tarjeta de crédito"/>
    <n v="31.13"/>
    <s v="Reservada"/>
    <n v="316"/>
    <s v="Perú"/>
    <s v="Plato_4, Plato_13, Plato_6, Plato_20"/>
  </r>
  <r>
    <n v="2"/>
    <s v="Cliente_792"/>
    <n v="1"/>
    <d v="2023-04-01T02:47:00"/>
    <d v="2023-04-01T06:24:00"/>
    <s v="Mesero_1"/>
    <s v="Cena"/>
    <s v="Tarjeta de crédito"/>
    <n v="37.93"/>
    <s v="Ocupada"/>
    <n v="62"/>
    <s v="Argentina"/>
    <s v="Plato_2, Plato_12, Plato_17"/>
  </r>
  <r>
    <n v="2"/>
    <s v="Cliente_820"/>
    <n v="4"/>
    <d v="2023-04-06T01:08:00"/>
    <d v="2023-04-06T03:52:00"/>
    <s v="Mesero_1"/>
    <s v="Almuerzo"/>
    <s v="Tarjeta de débito"/>
    <n v="39.68"/>
    <s v="Reservada"/>
    <n v="641"/>
    <s v="Ecuador"/>
    <s v="Plato_9, Plato_1, Plato_14"/>
  </r>
  <r>
    <n v="2"/>
    <s v="Cliente_830"/>
    <n v="5"/>
    <d v="2023-04-02T01:31:00"/>
    <d v="2023-04-02T03:28:00"/>
    <s v="Mesero_2"/>
    <s v="Almuerzo"/>
    <s v="Efectivo"/>
    <n v="49.36"/>
    <s v="Ocupada"/>
    <n v="128"/>
    <s v="Uruguay"/>
    <s v="Plato_1, Plato_4, Plato_7, Plato_17"/>
  </r>
  <r>
    <n v="2"/>
    <s v="Cliente_837"/>
    <n v="6"/>
    <d v="2023-04-07T03:56:00"/>
    <d v="2023-04-07T06:22:00"/>
    <s v="Mesero_5"/>
    <s v="Almuerzo"/>
    <s v="Tarjeta de crédito"/>
    <n v="40.42"/>
    <s v="Ocupada"/>
    <n v="683"/>
    <s v="Colombia"/>
    <s v="Plato_5, Plato_3, Plato_20, Plato_17"/>
  </r>
  <r>
    <n v="2"/>
    <s v="Cliente_840"/>
    <n v="4"/>
    <d v="2023-04-07T02:56:00"/>
    <d v="2023-04-07T06:50:00"/>
    <s v="Mesero_4"/>
    <s v="Almuerzo"/>
    <s v="Tarjeta de débito"/>
    <n v="37.07"/>
    <s v="Libre"/>
    <n v="681"/>
    <s v="Paraguay"/>
    <s v="Plato_11, Plato_13"/>
  </r>
  <r>
    <n v="2"/>
    <s v="Cliente_873"/>
    <n v="6"/>
    <d v="2023-04-01T02:22:00"/>
    <d v="2023-04-01T06:18:00"/>
    <s v="Mesero_2"/>
    <s v="Almuerzo"/>
    <s v="Tarjeta de crédito"/>
    <n v="33.549999999999997"/>
    <s v="Ocupada"/>
    <n v="99"/>
    <s v="Chile"/>
    <s v="Plato_2, Plato_17, Plato_12, Plato_9"/>
  </r>
  <r>
    <n v="2"/>
    <s v="Cliente_951"/>
    <n v="1"/>
    <d v="2023-04-06T01:38:00"/>
    <d v="2023-04-06T03:23:00"/>
    <s v="Mesero_1"/>
    <s v="Almuerzo"/>
    <s v="Tarjeta de crédito"/>
    <n v="35.950000000000003"/>
    <s v="Libre"/>
    <n v="511"/>
    <s v="Argentina"/>
    <s v="Plato_14, Plato_18"/>
  </r>
  <r>
    <n v="2"/>
    <s v="Cliente_953"/>
    <n v="4"/>
    <d v="2023-04-05T02:34:00"/>
    <d v="2023-04-05T03:43:00"/>
    <s v="Mesero_2"/>
    <s v="Almuerzo"/>
    <s v="Efectivo"/>
    <n v="43.74"/>
    <s v="Libre"/>
    <n v="427"/>
    <s v="Bolivia"/>
    <s v="Plato_1, Plato_8, Plato_14, Plato_12"/>
  </r>
  <r>
    <n v="2"/>
    <s v="Cliente_961"/>
    <n v="6"/>
    <d v="2023-04-02T01:50:00"/>
    <d v="2023-04-02T04:09:00"/>
    <s v="Mesero_2"/>
    <s v="Almuerzo"/>
    <s v="Tarjeta de crédito"/>
    <n v="42.75"/>
    <s v="Libre"/>
    <n v="246"/>
    <s v="Bolivia"/>
    <s v="Plato_6, Plato_7, Plato_8, Plato_17"/>
  </r>
  <r>
    <n v="20"/>
    <s v="Cliente_154"/>
    <n v="4"/>
    <d v="2023-04-07T01:52:00"/>
    <d v="2023-04-07T03:47:00"/>
    <s v="Mesero_3"/>
    <s v="Desayuno"/>
    <s v="Tarjeta de crédito"/>
    <n v="38.43"/>
    <s v="Libre"/>
    <n v="735"/>
    <s v="España"/>
    <s v="Plato_14, Plato_15"/>
  </r>
  <r>
    <n v="20"/>
    <s v="Cliente_227"/>
    <n v="1"/>
    <d v="2023-04-07T03:30:00"/>
    <d v="2023-04-07T05:46:00"/>
    <s v="Mesero_4"/>
    <s v="Cena"/>
    <s v="Tarjeta de crédito"/>
    <n v="20.41"/>
    <s v="Ocupada"/>
    <n v="764"/>
    <s v="Colombia"/>
    <s v="Plato_6, Plato_18, Plato_7"/>
  </r>
  <r>
    <n v="20"/>
    <s v="Cliente_26"/>
    <n v="6"/>
    <d v="2023-04-02T00:54:00"/>
    <d v="2023-04-02T03:52:00"/>
    <s v="Mesero_2"/>
    <s v="Almuerzo"/>
    <s v="Tarjeta de crédito"/>
    <n v="39.74"/>
    <s v="Ocupada"/>
    <n v="133"/>
    <s v="Chile"/>
    <s v="Plato_15, Plato_18, Plato_17, Plato_4"/>
  </r>
  <r>
    <n v="20"/>
    <s v="Cliente_264"/>
    <n v="2"/>
    <d v="2023-04-07T02:49:00"/>
    <d v="2023-04-07T06:05:00"/>
    <s v="Mesero_5"/>
    <s v="Desayuno"/>
    <s v="Tarjeta de crédito"/>
    <n v="18.97"/>
    <s v="Ocupada"/>
    <n v="729"/>
    <s v="Uruguay"/>
    <s v="Plato_18, Plato_3"/>
  </r>
  <r>
    <n v="20"/>
    <s v="Cliente_27"/>
    <n v="6"/>
    <d v="2023-04-07T01:51:00"/>
    <d v="2023-04-07T05:18:00"/>
    <s v="Mesero_1"/>
    <s v="Almuerzo"/>
    <s v="Tarjeta de débito"/>
    <n v="49.74"/>
    <s v="Ocupada"/>
    <n v="711"/>
    <s v="Uruguay"/>
    <s v="Plato_18, Plato_15"/>
  </r>
  <r>
    <n v="20"/>
    <s v="Cliente_286"/>
    <n v="2"/>
    <d v="2023-04-03T03:37:00"/>
    <d v="2023-04-03T04:44:00"/>
    <s v="Mesero_5"/>
    <s v="Almuerzo"/>
    <s v="Tarjeta de débito"/>
    <n v="31.67"/>
    <s v="Reservada"/>
    <n v="287"/>
    <s v="Colombia"/>
    <s v="Plato_15, Plato_14, Plato_2"/>
  </r>
  <r>
    <n v="20"/>
    <s v="Cliente_320"/>
    <n v="4"/>
    <d v="2023-04-07T00:36:00"/>
    <d v="2023-04-07T02:22:00"/>
    <s v="Mesero_2"/>
    <s v="Desayuno"/>
    <s v="Tarjeta de crédito"/>
    <n v="10.51"/>
    <s v="Reservada"/>
    <n v="742"/>
    <s v="Colombia"/>
    <s v="Plato_17, Plato_2, Plato_10, Plato_12"/>
  </r>
  <r>
    <n v="20"/>
    <s v="Cliente_323"/>
    <n v="3"/>
    <d v="2023-04-02T02:49:00"/>
    <d v="2023-04-02T04:02:00"/>
    <s v="Mesero_5"/>
    <s v="Cena"/>
    <s v="Tarjeta de crédito"/>
    <n v="46.54"/>
    <s v="Reservada"/>
    <n v="207"/>
    <s v="Brasil"/>
    <s v="Plato_10, Plato_8, Plato_17"/>
  </r>
  <r>
    <n v="20"/>
    <s v="Cliente_376"/>
    <n v="5"/>
    <d v="2023-04-07T00:40:00"/>
    <d v="2023-04-07T03:45:00"/>
    <s v="Mesero_1"/>
    <s v="Almuerzo"/>
    <s v="Tarjeta de crédito"/>
    <n v="13.7"/>
    <s v="Reservada"/>
    <n v="759"/>
    <s v="Argentina"/>
    <s v="Plato_11, Plato_6, Plato_1, Plato_9"/>
  </r>
  <r>
    <n v="20"/>
    <s v="Cliente_377"/>
    <n v="5"/>
    <d v="2023-04-01T03:02:00"/>
    <d v="2023-04-01T06:10:00"/>
    <s v="Mesero_2"/>
    <s v="Almuerzo"/>
    <s v="Tarjeta de crédito"/>
    <n v="14.83"/>
    <s v="Ocupada"/>
    <n v="29"/>
    <s v="Ecuador"/>
    <s v="Plato_1, Plato_4, Plato_17"/>
  </r>
  <r>
    <n v="20"/>
    <s v="Cliente_390"/>
    <n v="5"/>
    <d v="2023-04-01T01:30:00"/>
    <d v="2023-04-01T05:00:00"/>
    <s v="Mesero_4"/>
    <s v="Cena"/>
    <s v="Tarjeta de crédito"/>
    <n v="45.49"/>
    <s v="Ocupada"/>
    <n v="55"/>
    <s v="Perú"/>
    <s v="Plato_11, Plato_7, Plato_19, Plato_15"/>
  </r>
  <r>
    <n v="20"/>
    <s v="Cliente_454"/>
    <n v="3"/>
    <d v="2023-04-06T02:36:00"/>
    <d v="2023-04-06T06:20:00"/>
    <s v="Mesero_1"/>
    <s v="Cena"/>
    <s v="Tarjeta de crédito"/>
    <n v="21.49"/>
    <s v="Libre"/>
    <n v="562"/>
    <s v="Venezuela"/>
    <s v="Plato_20, Plato_9, Plato_7, Plato_17"/>
  </r>
  <r>
    <n v="20"/>
    <s v="Cliente_485"/>
    <n v="6"/>
    <d v="2023-04-07T00:37:00"/>
    <d v="2023-04-07T02:52:00"/>
    <s v="Mesero_5"/>
    <s v="Almuerzo"/>
    <s v="Tarjeta de crédito"/>
    <n v="36.5"/>
    <s v="Reservada"/>
    <n v="673"/>
    <s v="Venezuela"/>
    <s v="Plato_20, Plato_8, Plato_2, Plato_1"/>
  </r>
  <r>
    <n v="20"/>
    <s v="Cliente_546"/>
    <n v="5"/>
    <d v="2023-04-06T01:28:00"/>
    <d v="2023-04-06T04:49:00"/>
    <s v="Mesero_1"/>
    <s v="Desayuno"/>
    <s v="Tarjeta de crédito"/>
    <n v="11.85"/>
    <s v="Reservada"/>
    <n v="494"/>
    <s v="Paraguay"/>
    <s v="Plato_15, Plato_19"/>
  </r>
  <r>
    <n v="20"/>
    <s v="Cliente_597"/>
    <n v="3"/>
    <d v="2023-04-04T03:06:00"/>
    <d v="2023-04-04T06:17:00"/>
    <s v="Mesero_4"/>
    <s v="Cena"/>
    <s v="Tarjeta de débito"/>
    <n v="36.61"/>
    <s v="Reservada"/>
    <n v="331"/>
    <s v="Paraguay"/>
    <s v="Plato_12, Plato_8, Plato_7, Plato_1"/>
  </r>
  <r>
    <n v="20"/>
    <s v="Cliente_611"/>
    <n v="2"/>
    <d v="2023-04-04T02:11:00"/>
    <d v="2023-04-04T05:54:00"/>
    <s v="Mesero_5"/>
    <s v="Almuerzo"/>
    <s v="Tarjeta de crédito"/>
    <n v="34.83"/>
    <s v="Libre"/>
    <n v="369"/>
    <s v="Uruguay"/>
    <s v="Plato_17, Plato_14, Plato_16, Plato_10"/>
  </r>
  <r>
    <n v="20"/>
    <s v="Cliente_615"/>
    <n v="5"/>
    <d v="2023-04-06T02:39:00"/>
    <d v="2023-04-06T04:26:00"/>
    <s v="Mesero_2"/>
    <s v="Almuerzo"/>
    <s v="Efectivo"/>
    <n v="12.18"/>
    <s v="Ocupada"/>
    <n v="545"/>
    <s v="Chile"/>
    <s v="Plato_11, Plato_17"/>
  </r>
  <r>
    <n v="20"/>
    <s v="Cliente_704"/>
    <n v="2"/>
    <d v="2023-04-05T03:57:00"/>
    <d v="2023-04-05T06:52:00"/>
    <s v="Mesero_2"/>
    <s v="Almuerzo"/>
    <s v="Efectivo"/>
    <n v="36.79"/>
    <s v="Ocupada"/>
    <n v="472"/>
    <s v="Uruguay"/>
    <s v="Plato_8, Plato_5"/>
  </r>
  <r>
    <n v="20"/>
    <s v="Cliente_709"/>
    <n v="5"/>
    <d v="2023-04-03T01:47:00"/>
    <d v="2023-04-03T03:29:00"/>
    <s v="Mesero_2"/>
    <s v="Almuerzo"/>
    <s v="Efectivo"/>
    <n v="36.299999999999997"/>
    <s v="Ocupada"/>
    <n v="273"/>
    <s v="Colombia"/>
    <s v="Plato_15, Plato_5, Plato_1"/>
  </r>
  <r>
    <n v="20"/>
    <s v="Cliente_727"/>
    <n v="4"/>
    <d v="2023-04-02T03:40:00"/>
    <d v="2023-04-02T05:21:00"/>
    <s v="Mesero_3"/>
    <s v="Desayuno"/>
    <s v="Tarjeta de crédito"/>
    <n v="13.95"/>
    <s v="Reservada"/>
    <n v="188"/>
    <s v="Colombia"/>
    <s v="Plato_17, Plato_10"/>
  </r>
  <r>
    <n v="20"/>
    <s v="Cliente_738"/>
    <n v="3"/>
    <d v="2023-04-06T00:31:00"/>
    <d v="2023-04-06T03:08:00"/>
    <s v="Mesero_5"/>
    <s v="Almuerzo"/>
    <s v="Tarjeta de crédito"/>
    <n v="42.57"/>
    <s v="Libre"/>
    <n v="574"/>
    <s v="Brasil"/>
    <s v="Plato_10, Plato_19, Plato_4, Plato_13"/>
  </r>
  <r>
    <n v="20"/>
    <s v="Cliente_825"/>
    <n v="4"/>
    <d v="2023-04-07T00:24:00"/>
    <d v="2023-04-07T01:37:00"/>
    <s v="Mesero_3"/>
    <s v="Cena"/>
    <s v="Tarjeta de crédito"/>
    <n v="30.77"/>
    <s v="Libre"/>
    <n v="765"/>
    <s v="Chile"/>
    <s v="Plato_10, Plato_16, Plato_13, Plato_19"/>
  </r>
  <r>
    <n v="20"/>
    <s v="Cliente_883"/>
    <n v="6"/>
    <d v="2023-04-07T01:35:00"/>
    <d v="2023-04-07T03:53:00"/>
    <s v="Mesero_4"/>
    <s v="Desayuno"/>
    <s v="Tarjeta de débito"/>
    <n v="31.27"/>
    <s v="Reservada"/>
    <n v="664"/>
    <s v="Colombia"/>
    <s v="Plato_4, Plato_12, Plato_5"/>
  </r>
  <r>
    <n v="20"/>
    <s v="Cliente_911"/>
    <n v="1"/>
    <d v="2023-04-01T00:29:00"/>
    <d v="2023-04-01T03:56:00"/>
    <s v="Mesero_2"/>
    <s v="Desayuno"/>
    <s v="Tarjeta de crédito"/>
    <n v="30.87"/>
    <s v="Libre"/>
    <n v="3"/>
    <s v="Brasil"/>
    <s v="Plato_20, Plato_17, Plato_19, Plato_9"/>
  </r>
  <r>
    <n v="3"/>
    <s v="Cliente_129"/>
    <n v="1"/>
    <d v="2023-04-01T03:03:00"/>
    <d v="2023-04-01T04:31:00"/>
    <s v="Mesero_5"/>
    <s v="Almuerzo"/>
    <s v="Tarjeta de crédito"/>
    <n v="34.68"/>
    <s v="Libre"/>
    <n v="4"/>
    <s v="Paraguay"/>
    <s v="Plato_11, Plato_16"/>
  </r>
  <r>
    <n v="3"/>
    <s v="Cliente_134"/>
    <n v="6"/>
    <d v="2023-04-06T02:39:00"/>
    <d v="2023-04-06T05:29:00"/>
    <s v="Mesero_1"/>
    <s v="Almuerzo"/>
    <s v="Tarjeta de crédito"/>
    <n v="15.11"/>
    <s v="Libre"/>
    <n v="565"/>
    <s v="Venezuela"/>
    <s v="Plato_15, Plato_4, Plato_11, Plato_8"/>
  </r>
  <r>
    <n v="3"/>
    <s v="Cliente_151"/>
    <n v="6"/>
    <d v="2023-04-02T02:40:00"/>
    <d v="2023-04-02T03:56:00"/>
    <s v="Mesero_5"/>
    <s v="Almuerzo"/>
    <s v="Tarjeta de débito"/>
    <n v="11.41"/>
    <s v="Reservada"/>
    <n v="194"/>
    <s v="Perú"/>
    <s v="Plato_11, Plato_2"/>
  </r>
  <r>
    <n v="3"/>
    <s v="Cliente_189"/>
    <n v="3"/>
    <d v="2023-04-02T03:38:00"/>
    <d v="2023-04-02T06:42:00"/>
    <s v="Mesero_5"/>
    <s v="Cena"/>
    <s v="Tarjeta de débito"/>
    <n v="32.58"/>
    <s v="Libre"/>
    <n v="222"/>
    <s v="Ecuador"/>
    <s v="Plato_14, Plato_16"/>
  </r>
  <r>
    <n v="3"/>
    <s v="Cliente_212"/>
    <n v="3"/>
    <d v="2023-04-05T02:11:00"/>
    <d v="2023-04-05T05:04:00"/>
    <s v="Mesero_1"/>
    <s v="Almuerzo"/>
    <s v="Tarjeta de débito"/>
    <n v="21.88"/>
    <s v="Ocupada"/>
    <n v="411"/>
    <s v="Colombia"/>
    <s v="Plato_20, Plato_4, Plato_6"/>
  </r>
  <r>
    <n v="3"/>
    <s v="Cliente_240"/>
    <n v="1"/>
    <d v="2023-04-05T01:17:00"/>
    <d v="2023-04-05T02:26:00"/>
    <s v="Mesero_5"/>
    <s v="Desayuno"/>
    <s v="Tarjeta de crédito"/>
    <n v="46.37"/>
    <s v="Libre"/>
    <n v="451"/>
    <s v="Bolivia"/>
    <s v="Plato_8, Plato_14, Plato_18"/>
  </r>
  <r>
    <n v="3"/>
    <s v="Cliente_240"/>
    <n v="6"/>
    <d v="2023-04-06T02:45:00"/>
    <d v="2023-04-06T04:27:00"/>
    <s v="Mesero_2"/>
    <s v="Desayuno"/>
    <s v="Tarjeta de crédito"/>
    <n v="40.94"/>
    <s v="Ocupada"/>
    <n v="590"/>
    <s v="Venezuela"/>
    <s v="Plato_18, Plato_3"/>
  </r>
  <r>
    <n v="3"/>
    <s v="Cliente_265"/>
    <n v="3"/>
    <d v="2023-04-01T01:40:00"/>
    <d v="2023-04-01T04:02:00"/>
    <s v="Mesero_5"/>
    <s v="Desayuno"/>
    <s v="Efectivo"/>
    <n v="34.770000000000003"/>
    <s v="Reservada"/>
    <n v="64"/>
    <s v="Perú"/>
    <s v="Plato_3, Plato_20, Plato_19"/>
  </r>
  <r>
    <n v="3"/>
    <s v="Cliente_273"/>
    <n v="6"/>
    <d v="2023-04-02T00:07:00"/>
    <d v="2023-04-02T03:52:00"/>
    <s v="Mesero_1"/>
    <s v="Cena"/>
    <s v="Tarjeta de crédito"/>
    <n v="30.1"/>
    <s v="Libre"/>
    <n v="134"/>
    <s v="Uruguay"/>
    <s v="Plato_7, Plato_15"/>
  </r>
  <r>
    <n v="3"/>
    <s v="Cliente_354"/>
    <n v="1"/>
    <d v="2023-04-06T02:57:00"/>
    <d v="2023-04-06T05:27:00"/>
    <s v="Mesero_3"/>
    <s v="Desayuno"/>
    <s v="Tarjeta de crédito"/>
    <n v="22.27"/>
    <s v="Ocupada"/>
    <n v="489"/>
    <s v="Argentina"/>
    <s v="Plato_20, Plato_14"/>
  </r>
  <r>
    <n v="3"/>
    <s v="Cliente_374"/>
    <n v="1"/>
    <d v="2023-04-01T02:46:00"/>
    <d v="2023-04-01T06:15:00"/>
    <s v="Mesero_3"/>
    <s v="Cena"/>
    <s v="Tarjeta de crédito"/>
    <n v="19.88"/>
    <s v="Libre"/>
    <n v="77"/>
    <s v="Bolivia"/>
    <s v="Plato_4, Plato_7, Plato_11"/>
  </r>
  <r>
    <n v="3"/>
    <s v="Cliente_545"/>
    <n v="3"/>
    <d v="2023-04-01T01:32:00"/>
    <d v="2023-04-01T03:37:00"/>
    <s v="Mesero_4"/>
    <s v="Desayuno"/>
    <s v="Tarjeta de débito"/>
    <n v="23.26"/>
    <s v="Reservada"/>
    <n v="108"/>
    <s v="Paraguay"/>
    <s v="Plato_9, Plato_4, Plato_3, Plato_16"/>
  </r>
  <r>
    <n v="3"/>
    <s v="Cliente_646"/>
    <n v="5"/>
    <d v="2023-04-02T00:12:00"/>
    <d v="2023-04-02T03:04:00"/>
    <s v="Mesero_5"/>
    <s v="Desayuno"/>
    <s v="Tarjeta de crédito"/>
    <n v="24.85"/>
    <s v="Reservada"/>
    <n v="193"/>
    <s v="Argentina"/>
    <s v="Plato_10, Plato_19, Plato_6, Plato_14"/>
  </r>
  <r>
    <n v="3"/>
    <s v="Cliente_729"/>
    <n v="1"/>
    <d v="2023-04-03T00:10:00"/>
    <d v="2023-04-03T02:01:00"/>
    <s v="Mesero_2"/>
    <s v="Almuerzo"/>
    <s v="Tarjeta de crédito"/>
    <n v="46.42"/>
    <s v="Reservada"/>
    <n v="295"/>
    <s v="Uruguay"/>
    <s v="Plato_15, Plato_2, Plato_17, Plato_13"/>
  </r>
  <r>
    <n v="3"/>
    <s v="Cliente_733"/>
    <n v="2"/>
    <d v="2023-04-01T01:46:00"/>
    <d v="2023-04-01T03:18:00"/>
    <s v="Mesero_4"/>
    <s v="Almuerzo"/>
    <s v="Tarjeta de crédito"/>
    <n v="29.46"/>
    <s v="Ocupada"/>
    <n v="87"/>
    <s v="Venezuela"/>
    <s v="Plato_4, Plato_15, Plato_17"/>
  </r>
  <r>
    <n v="3"/>
    <s v="Cliente_789"/>
    <n v="1"/>
    <d v="2023-04-04T03:55:00"/>
    <d v="2023-04-04T05:18:00"/>
    <s v="Mesero_1"/>
    <s v="Almuerzo"/>
    <s v="Efectivo"/>
    <n v="40.31"/>
    <s v="Libre"/>
    <n v="378"/>
    <s v="Perú"/>
    <s v="Plato_2, Plato_12"/>
  </r>
  <r>
    <n v="3"/>
    <s v="Cliente_876"/>
    <n v="5"/>
    <d v="2023-04-06T01:23:00"/>
    <d v="2023-04-06T02:37:00"/>
    <s v="Mesero_3"/>
    <s v="Desayuno"/>
    <s v="Tarjeta de crédito"/>
    <n v="10.07"/>
    <s v="Libre"/>
    <n v="585"/>
    <s v="Ecuador"/>
    <s v="Plato_15, Plato_8, Plato_4, Plato_1"/>
  </r>
  <r>
    <n v="3"/>
    <s v="Cliente_90"/>
    <n v="1"/>
    <d v="2023-04-07T02:34:00"/>
    <d v="2023-04-07T04:52:00"/>
    <s v="Mesero_5"/>
    <s v="Almuerzo"/>
    <s v="Efectivo"/>
    <n v="18.75"/>
    <s v="Libre"/>
    <n v="745"/>
    <s v="Bolivia"/>
    <s v="Plato_8, Plato_7, Plato_1, Plato_6"/>
  </r>
  <r>
    <n v="3"/>
    <s v="Cliente_92"/>
    <n v="2"/>
    <d v="2023-04-01T01:48:00"/>
    <d v="2023-04-01T05:07:00"/>
    <s v="Mesero_3"/>
    <s v="Desayuno"/>
    <s v="Tarjeta de crédito"/>
    <n v="18.82"/>
    <s v="Reservada"/>
    <n v="111"/>
    <s v="Ecuador"/>
    <s v="Plato_15, Plato_5, Plato_7, Plato_9"/>
  </r>
  <r>
    <n v="3"/>
    <s v="Cliente_948"/>
    <n v="1"/>
    <d v="2023-04-06T02:20:00"/>
    <d v="2023-04-06T04:02:00"/>
    <s v="Mesero_3"/>
    <s v="Almuerzo"/>
    <s v="Tarjeta de crédito"/>
    <n v="35.840000000000003"/>
    <s v="Reservada"/>
    <n v="503"/>
    <s v="España"/>
    <s v="Plato_20, Plato_12"/>
  </r>
  <r>
    <n v="3"/>
    <s v="Cliente_962"/>
    <n v="1"/>
    <d v="2023-04-07T01:09:00"/>
    <d v="2023-04-07T03:47:00"/>
    <s v="Mesero_1"/>
    <s v="Almuerzo"/>
    <s v="Efectivo"/>
    <n v="41.8"/>
    <s v="Ocupada"/>
    <n v="663"/>
    <s v="España"/>
    <s v="Plato_4, Plato_9, Plato_3"/>
  </r>
  <r>
    <n v="3"/>
    <s v="Cliente_973"/>
    <n v="5"/>
    <d v="2023-04-06T00:56:00"/>
    <d v="2023-04-06T03:12:00"/>
    <s v="Mesero_4"/>
    <s v="Desayuno"/>
    <s v="Tarjeta de crédito"/>
    <n v="25.93"/>
    <s v="Libre"/>
    <n v="618"/>
    <s v="Chile"/>
    <s v="Plato_15, Plato_17, Plato_4, Plato_19"/>
  </r>
  <r>
    <n v="4"/>
    <s v="Cliente_103"/>
    <n v="5"/>
    <d v="2023-04-01T03:33:00"/>
    <d v="2023-04-01T06:21:00"/>
    <s v="Mesero_4"/>
    <s v="Cena"/>
    <s v="Tarjeta de débito"/>
    <n v="20.38"/>
    <s v="Ocupada"/>
    <n v="33"/>
    <s v="Perú"/>
    <s v="Plato_8, Plato_6, Plato_15, Plato_10"/>
  </r>
  <r>
    <n v="4"/>
    <s v="Cliente_141"/>
    <n v="1"/>
    <d v="2023-04-04T00:57:00"/>
    <d v="2023-04-04T04:32:00"/>
    <s v="Mesero_1"/>
    <s v="Desayuno"/>
    <s v="Tarjeta de débito"/>
    <n v="27.69"/>
    <s v="Libre"/>
    <n v="381"/>
    <s v="Uruguay"/>
    <s v="Plato_10, Plato_11"/>
  </r>
  <r>
    <n v="4"/>
    <s v="Cliente_151"/>
    <n v="2"/>
    <d v="2023-04-05T02:34:00"/>
    <d v="2023-04-05T04:57:00"/>
    <s v="Mesero_1"/>
    <s v="Almuerzo"/>
    <s v="Efectivo"/>
    <n v="34.130000000000003"/>
    <s v="Libre"/>
    <n v="423"/>
    <s v="Ecuador"/>
    <s v="Plato_16, Plato_15"/>
  </r>
  <r>
    <n v="4"/>
    <s v="Cliente_190"/>
    <n v="2"/>
    <d v="2023-04-06T01:13:00"/>
    <d v="2023-04-06T03:39:00"/>
    <s v="Mesero_1"/>
    <s v="Almuerzo"/>
    <s v="Tarjeta de crédito"/>
    <n v="44.24"/>
    <s v="Reservada"/>
    <n v="561"/>
    <s v="Chile"/>
    <s v="Plato_4, Plato_14"/>
  </r>
  <r>
    <n v="4"/>
    <s v="Cliente_216"/>
    <n v="5"/>
    <d v="2023-04-05T00:07:00"/>
    <d v="2023-04-05T03:35:00"/>
    <s v="Mesero_4"/>
    <s v="Cena"/>
    <s v="Tarjeta de crédito"/>
    <n v="35.68"/>
    <s v="Ocupada"/>
    <n v="448"/>
    <s v="Venezuela"/>
    <s v="Plato_12, Plato_11"/>
  </r>
  <r>
    <n v="4"/>
    <s v="Cliente_263"/>
    <n v="5"/>
    <d v="2023-04-07T02:13:00"/>
    <d v="2023-04-07T05:46:00"/>
    <s v="Mesero_3"/>
    <s v="Almuerzo"/>
    <s v="Tarjeta de crédito"/>
    <n v="40.28"/>
    <s v="Reservada"/>
    <n v="720"/>
    <s v="Paraguay"/>
    <s v="Plato_11, Plato_9, Plato_7"/>
  </r>
  <r>
    <n v="4"/>
    <s v="Cliente_289"/>
    <n v="2"/>
    <d v="2023-04-05T00:20:00"/>
    <d v="2023-04-05T01:34:00"/>
    <s v="Mesero_4"/>
    <s v="Desayuno"/>
    <s v="Tarjeta de débito"/>
    <n v="37.79"/>
    <s v="Libre"/>
    <n v="397"/>
    <s v="Chile"/>
    <s v="Plato_6, Plato_17"/>
  </r>
  <r>
    <n v="4"/>
    <s v="Cliente_315"/>
    <n v="1"/>
    <d v="2023-04-05T02:13:00"/>
    <d v="2023-04-05T04:51:00"/>
    <s v="Mesero_4"/>
    <s v="Desayuno"/>
    <s v="Tarjeta de débito"/>
    <n v="22.98"/>
    <s v="Reservada"/>
    <n v="407"/>
    <s v="Ecuador"/>
    <s v="Plato_3, Plato_8"/>
  </r>
  <r>
    <n v="4"/>
    <s v="Cliente_321"/>
    <n v="6"/>
    <d v="2023-04-02T03:55:00"/>
    <d v="2023-04-02T07:01:00"/>
    <s v="Mesero_5"/>
    <s v="Almuerzo"/>
    <s v="Tarjeta de crédito"/>
    <n v="24.24"/>
    <s v="Ocupada"/>
    <n v="184"/>
    <s v="Chile"/>
    <s v="Plato_16, Plato_6, Plato_3"/>
  </r>
  <r>
    <n v="4"/>
    <s v="Cliente_332"/>
    <n v="2"/>
    <d v="2023-04-05T01:15:00"/>
    <d v="2023-04-05T03:14:00"/>
    <s v="Mesero_2"/>
    <s v="Almuerzo"/>
    <s v="Tarjeta de débito"/>
    <n v="14.48"/>
    <s v="Libre"/>
    <n v="443"/>
    <s v="Venezuela"/>
    <s v="Plato_14, Plato_15, Plato_10, Plato_16"/>
  </r>
  <r>
    <n v="4"/>
    <s v="Cliente_354"/>
    <n v="5"/>
    <d v="2023-04-06T01:17:00"/>
    <d v="2023-04-06T05:15:00"/>
    <s v="Mesero_4"/>
    <s v="Desayuno"/>
    <s v="Tarjeta de débito"/>
    <n v="37.619999999999997"/>
    <s v="Ocupada"/>
    <n v="500"/>
    <s v="Argentina"/>
    <s v="Plato_6, Plato_5"/>
  </r>
  <r>
    <n v="4"/>
    <s v="Cliente_363"/>
    <n v="4"/>
    <d v="2023-04-06T01:03:00"/>
    <d v="2023-04-06T04:36:00"/>
    <s v="Mesero_1"/>
    <s v="Almuerzo"/>
    <s v="Tarjeta de crédito"/>
    <n v="16.62"/>
    <s v="Reservada"/>
    <n v="492"/>
    <s v="Colombia"/>
    <s v="Plato_11, Plato_13, Plato_7"/>
  </r>
  <r>
    <n v="4"/>
    <s v="Cliente_365"/>
    <n v="1"/>
    <d v="2023-04-05T01:54:00"/>
    <d v="2023-04-05T04:20:00"/>
    <s v="Mesero_1"/>
    <s v="Almuerzo"/>
    <s v="Tarjeta de crédito"/>
    <n v="26.63"/>
    <s v="Libre"/>
    <n v="466"/>
    <s v="Bolivia"/>
    <s v="Plato_5, Plato_2, Plato_16"/>
  </r>
  <r>
    <n v="4"/>
    <s v="Cliente_418"/>
    <n v="4"/>
    <d v="2023-04-02T00:30:00"/>
    <d v="2023-04-02T02:04:00"/>
    <s v="Mesero_2"/>
    <s v="Almuerzo"/>
    <s v="Tarjeta de crédito"/>
    <n v="24.75"/>
    <s v="Reservada"/>
    <n v="266"/>
    <s v="Paraguay"/>
    <s v="Plato_7, Plato_1"/>
  </r>
  <r>
    <n v="4"/>
    <s v="Cliente_420"/>
    <n v="3"/>
    <d v="2023-04-05T02:41:00"/>
    <d v="2023-04-05T04:21:00"/>
    <s v="Mesero_4"/>
    <s v="Almuerzo"/>
    <s v="Tarjeta de crédito"/>
    <n v="15.21"/>
    <s v="Ocupada"/>
    <n v="458"/>
    <s v="Bolivia"/>
    <s v="Plato_16, Plato_18, Plato_11, Plato_5"/>
  </r>
  <r>
    <n v="4"/>
    <s v="Cliente_421"/>
    <n v="3"/>
    <d v="2023-04-05T02:43:00"/>
    <d v="2023-04-05T05:55:00"/>
    <s v="Mesero_5"/>
    <s v="Cena"/>
    <s v="Efectivo"/>
    <n v="21.51"/>
    <s v="Libre"/>
    <n v="461"/>
    <s v="Perú"/>
    <s v="Plato_8, Plato_9"/>
  </r>
  <r>
    <n v="4"/>
    <s v="Cliente_425"/>
    <n v="3"/>
    <d v="2023-04-02T00:39:00"/>
    <d v="2023-04-02T04:24:00"/>
    <s v="Mesero_4"/>
    <s v="Almuerzo"/>
    <s v="Tarjeta de crédito"/>
    <n v="43.81"/>
    <s v="Libre"/>
    <n v="252"/>
    <s v="Colombia"/>
    <s v="Plato_1, Plato_10"/>
  </r>
  <r>
    <n v="4"/>
    <s v="Cliente_505"/>
    <n v="3"/>
    <d v="2023-04-04T01:16:00"/>
    <d v="2023-04-04T04:31:00"/>
    <s v="Mesero_4"/>
    <s v="Cena"/>
    <s v="Tarjeta de crédito"/>
    <n v="32.51"/>
    <s v="Ocupada"/>
    <n v="371"/>
    <s v="Ecuador"/>
    <s v="Plato_17, Plato_19, Plato_16, Plato_14"/>
  </r>
  <r>
    <n v="4"/>
    <s v="Cliente_508"/>
    <n v="5"/>
    <d v="2023-04-06T01:35:00"/>
    <d v="2023-04-06T05:30:00"/>
    <s v="Mesero_4"/>
    <s v="Almuerzo"/>
    <s v="Efectivo"/>
    <n v="23.92"/>
    <s v="Reservada"/>
    <n v="517"/>
    <s v="Ecuador"/>
    <s v="Plato_7, Plato_12, Plato_5"/>
  </r>
  <r>
    <n v="4"/>
    <s v="Cliente_524"/>
    <n v="5"/>
    <d v="2023-04-04T01:35:00"/>
    <d v="2023-04-04T04:51:00"/>
    <s v="Mesero_2"/>
    <s v="Cena"/>
    <s v="Tarjeta de crédito"/>
    <n v="17.93"/>
    <s v="Libre"/>
    <n v="336"/>
    <s v="Argentina"/>
    <s v="Plato_13, Plato_12, Plato_10"/>
  </r>
  <r>
    <n v="4"/>
    <s v="Cliente_55"/>
    <n v="6"/>
    <d v="2023-04-02T02:45:00"/>
    <d v="2023-04-02T06:00:00"/>
    <s v="Mesero_2"/>
    <s v="Almuerzo"/>
    <s v="Tarjeta de crédito"/>
    <n v="13.15"/>
    <s v="Ocupada"/>
    <n v="237"/>
    <s v="Perú"/>
    <s v="Plato_14, Plato_2"/>
  </r>
  <r>
    <n v="4"/>
    <s v="Cliente_608"/>
    <n v="4"/>
    <d v="2023-04-06T00:14:00"/>
    <d v="2023-04-06T03:36:00"/>
    <s v="Mesero_5"/>
    <s v="Cena"/>
    <s v="Tarjeta de crédito"/>
    <n v="23.89"/>
    <s v="Ocupada"/>
    <n v="616"/>
    <s v="Venezuela"/>
    <s v="Plato_7, Plato_2"/>
  </r>
  <r>
    <n v="4"/>
    <s v="Cliente_610"/>
    <n v="1"/>
    <d v="2023-04-02T00:14:00"/>
    <d v="2023-04-02T01:14:00"/>
    <s v="Mesero_4"/>
    <s v="Cena"/>
    <s v="Tarjeta de crédito"/>
    <n v="10.39"/>
    <s v="Ocupada"/>
    <n v="177"/>
    <s v="Perú"/>
    <s v="Plato_7, Plato_10, Plato_13, Plato_12"/>
  </r>
  <r>
    <n v="4"/>
    <s v="Cliente_616"/>
    <n v="4"/>
    <d v="2023-04-06T03:35:00"/>
    <d v="2023-04-06T06:23:00"/>
    <s v="Mesero_4"/>
    <s v="Cena"/>
    <s v="Tarjeta de crédito"/>
    <n v="43.99"/>
    <s v="Libre"/>
    <n v="520"/>
    <s v="Colombia"/>
    <s v="Plato_9, Plato_18, Plato_17, Plato_2"/>
  </r>
  <r>
    <n v="4"/>
    <s v="Cliente_669"/>
    <n v="2"/>
    <d v="2023-04-06T00:55:00"/>
    <d v="2023-04-06T04:03:00"/>
    <s v="Mesero_2"/>
    <s v="Almuerzo"/>
    <s v="Tarjeta de crédito"/>
    <n v="28.88"/>
    <s v="Libre"/>
    <n v="548"/>
    <s v="Chile"/>
    <s v="Plato_18, Plato_17"/>
  </r>
  <r>
    <n v="4"/>
    <s v="Cliente_705"/>
    <n v="2"/>
    <d v="2023-04-06T02:58:00"/>
    <d v="2023-04-06T04:10:00"/>
    <s v="Mesero_3"/>
    <s v="Desayuno"/>
    <s v="Tarjeta de crédito"/>
    <n v="17.54"/>
    <s v="Reservada"/>
    <n v="551"/>
    <s v="Paraguay"/>
    <s v="Plato_2, Plato_3, Plato_4, Plato_13"/>
  </r>
  <r>
    <n v="4"/>
    <s v="Cliente_729"/>
    <n v="3"/>
    <d v="2023-04-07T01:18:00"/>
    <d v="2023-04-07T03:25:00"/>
    <s v="Mesero_5"/>
    <s v="Desayuno"/>
    <s v="Tarjeta de crédito"/>
    <n v="49.45"/>
    <s v="Reservada"/>
    <n v="762"/>
    <s v="Uruguay"/>
    <s v="Plato_13, Plato_10"/>
  </r>
  <r>
    <n v="4"/>
    <s v="Cliente_775"/>
    <n v="2"/>
    <d v="2023-04-01T01:19:00"/>
    <d v="2023-04-01T02:27:00"/>
    <s v="Mesero_5"/>
    <s v="Almuerzo"/>
    <s v="Tarjeta de crédito"/>
    <n v="19.27"/>
    <s v="Ocupada"/>
    <n v="27"/>
    <s v="Brasil"/>
    <s v="Plato_8, Plato_10"/>
  </r>
  <r>
    <n v="4"/>
    <s v="Cliente_782"/>
    <n v="4"/>
    <d v="2023-04-07T02:39:00"/>
    <d v="2023-04-07T03:42:00"/>
    <s v="Mesero_3"/>
    <s v="Desayuno"/>
    <s v="Tarjeta de crédito"/>
    <n v="16.850000000000001"/>
    <s v="Libre"/>
    <n v="761"/>
    <s v="España"/>
    <s v="Plato_7, Plato_16, Plato_14"/>
  </r>
  <r>
    <n v="4"/>
    <s v="Cliente_873"/>
    <n v="3"/>
    <d v="2023-04-03T01:03:00"/>
    <d v="2023-04-03T04:27:00"/>
    <s v="Mesero_1"/>
    <s v="Almuerzo"/>
    <s v="Tarjeta de crédito"/>
    <n v="43.46"/>
    <s v="Ocupada"/>
    <n v="297"/>
    <s v="España"/>
    <s v="Plato_9, Plato_4, Plato_13"/>
  </r>
  <r>
    <n v="4"/>
    <s v="Cliente_876"/>
    <n v="2"/>
    <d v="2023-04-05T01:11:00"/>
    <d v="2023-04-05T03:38:00"/>
    <s v="Mesero_1"/>
    <s v="Almuerzo"/>
    <s v="Tarjeta de crédito"/>
    <n v="44.9"/>
    <s v="Ocupada"/>
    <n v="465"/>
    <s v="Uruguay"/>
    <s v="Plato_1, Plato_14"/>
  </r>
  <r>
    <n v="4"/>
    <s v="Cliente_90"/>
    <n v="1"/>
    <d v="2023-04-07T03:48:00"/>
    <d v="2023-04-07T06:42:00"/>
    <s v="Mesero_2"/>
    <s v="Almuerzo"/>
    <s v="Tarjeta de crédito"/>
    <n v="34.35"/>
    <s v="Reservada"/>
    <n v="697"/>
    <s v="Uruguay"/>
    <s v="Plato_14, Plato_11, Plato_2, Plato_6"/>
  </r>
  <r>
    <n v="4"/>
    <s v="Cliente_916"/>
    <n v="2"/>
    <d v="2023-04-02T00:38:00"/>
    <d v="2023-04-02T01:42:00"/>
    <s v="Mesero_1"/>
    <s v="Almuerzo"/>
    <s v="Efectivo"/>
    <n v="12.51"/>
    <s v="Reservada"/>
    <n v="120"/>
    <s v="Uruguay"/>
    <s v="Plato_17, Plato_10"/>
  </r>
  <r>
    <n v="4"/>
    <s v="Cliente_965"/>
    <n v="3"/>
    <d v="2023-04-02T00:11:00"/>
    <d v="2023-04-02T04:10:00"/>
    <s v="Mesero_2"/>
    <s v="Almuerzo"/>
    <s v="Tarjeta de crédito"/>
    <n v="42.65"/>
    <s v="Reservada"/>
    <n v="196"/>
    <s v="España"/>
    <s v="Plato_3, Plato_14, Plato_9, Plato_16"/>
  </r>
  <r>
    <n v="5"/>
    <s v="Cliente_104"/>
    <n v="2"/>
    <d v="2023-04-07T00:54:00"/>
    <d v="2023-04-07T04:33:00"/>
    <s v="Mesero_2"/>
    <s v="Cena"/>
    <s v="Efectivo"/>
    <n v="30.74"/>
    <s v="Reservada"/>
    <n v="675"/>
    <s v="Ecuador"/>
    <s v="Plato_1, Plato_3, Plato_19"/>
  </r>
  <r>
    <n v="5"/>
    <s v="Cliente_115"/>
    <n v="5"/>
    <d v="2023-04-02T02:45:00"/>
    <d v="2023-04-02T03:59:00"/>
    <s v="Mesero_3"/>
    <s v="Almuerzo"/>
    <s v="Tarjeta de crédito"/>
    <n v="48.75"/>
    <s v="Libre"/>
    <n v="158"/>
    <s v="Chile"/>
    <s v="Plato_12, Plato_10, Plato_19, Plato_8"/>
  </r>
  <r>
    <n v="5"/>
    <s v="Cliente_117"/>
    <n v="4"/>
    <d v="2023-04-06T03:13:00"/>
    <d v="2023-04-06T06:40:00"/>
    <s v="Mesero_4"/>
    <s v="Almuerzo"/>
    <s v="Tarjeta de crédito"/>
    <n v="34.119999999999997"/>
    <s v="Libre"/>
    <n v="577"/>
    <s v="Perú"/>
    <s v="Plato_4, Plato_5"/>
  </r>
  <r>
    <n v="5"/>
    <s v="Cliente_118"/>
    <n v="4"/>
    <d v="2023-04-01T02:02:00"/>
    <d v="2023-04-01T03:57:00"/>
    <s v="Mesero_2"/>
    <s v="Almuerzo"/>
    <s v="Tarjeta de crédito"/>
    <n v="31.49"/>
    <s v="Libre"/>
    <n v="69"/>
    <s v="Perú"/>
    <s v="Plato_13, Plato_7, Plato_11"/>
  </r>
  <r>
    <n v="5"/>
    <s v="Cliente_167"/>
    <n v="5"/>
    <d v="2023-04-02T02:15:00"/>
    <d v="2023-04-02T04:48:00"/>
    <s v="Mesero_2"/>
    <s v="Almuerzo"/>
    <s v="Tarjeta de crédito"/>
    <n v="15.84"/>
    <s v="Libre"/>
    <n v="230"/>
    <s v="Venezuela"/>
    <s v="Plato_15, Plato_16, Plato_17"/>
  </r>
  <r>
    <n v="5"/>
    <s v="Cliente_170"/>
    <n v="1"/>
    <d v="2023-04-01T03:32:00"/>
    <d v="2023-04-01T06:37:00"/>
    <s v="Mesero_1"/>
    <s v="Almuerzo"/>
    <s v="Tarjeta de crédito"/>
    <n v="47.91"/>
    <s v="Reservada"/>
    <n v="110"/>
    <s v="Paraguay"/>
    <s v="Plato_9, Plato_10, Plato_6"/>
  </r>
  <r>
    <n v="5"/>
    <s v="Cliente_177"/>
    <n v="1"/>
    <d v="2023-04-06T00:48:00"/>
    <d v="2023-04-06T02:40:00"/>
    <s v="Mesero_2"/>
    <s v="Almuerzo"/>
    <s v="Tarjeta de crédito"/>
    <n v="35.67"/>
    <s v="Reservada"/>
    <n v="592"/>
    <s v="Ecuador"/>
    <s v="Plato_5, Plato_1"/>
  </r>
  <r>
    <n v="5"/>
    <s v="Cliente_239"/>
    <n v="6"/>
    <d v="2023-04-05T02:39:00"/>
    <d v="2023-04-05T04:59:00"/>
    <s v="Mesero_2"/>
    <s v="Cena"/>
    <s v="Tarjeta de crédito"/>
    <n v="14.56"/>
    <s v="Reservada"/>
    <n v="405"/>
    <s v="Argentina"/>
    <s v="Plato_10, Plato_20, Plato_3"/>
  </r>
  <r>
    <n v="5"/>
    <s v="Cliente_27"/>
    <n v="1"/>
    <d v="2023-04-01T03:08:00"/>
    <d v="2023-04-01T06:49:00"/>
    <s v="Mesero_1"/>
    <s v="Almuerzo"/>
    <s v="Tarjeta de crédito"/>
    <n v="28.25"/>
    <s v="Ocupada"/>
    <n v="32"/>
    <s v="Uruguay"/>
    <s v="Plato_15, Plato_11, Plato_10, Plato_4"/>
  </r>
  <r>
    <n v="5"/>
    <s v="Cliente_336"/>
    <n v="6"/>
    <d v="2023-04-02T02:46:00"/>
    <d v="2023-04-02T04:54:00"/>
    <s v="Mesero_2"/>
    <s v="Desayuno"/>
    <s v="Tarjeta de débito"/>
    <n v="20.11"/>
    <s v="Ocupada"/>
    <n v="197"/>
    <s v="Colombia"/>
    <s v="Plato_18, Plato_6"/>
  </r>
  <r>
    <n v="5"/>
    <s v="Cliente_35"/>
    <n v="4"/>
    <d v="2023-04-07T01:23:00"/>
    <d v="2023-04-07T05:20:00"/>
    <s v="Mesero_3"/>
    <s v="Almuerzo"/>
    <s v="Efectivo"/>
    <n v="12.06"/>
    <s v="Reservada"/>
    <n v="680"/>
    <s v="Paraguay"/>
    <s v="Plato_4, Plato_3, Plato_11"/>
  </r>
  <r>
    <n v="5"/>
    <s v="Cliente_359"/>
    <n v="6"/>
    <d v="2023-04-02T01:19:00"/>
    <d v="2023-04-02T02:46:00"/>
    <s v="Mesero_2"/>
    <s v="Almuerzo"/>
    <s v="Tarjeta de débito"/>
    <n v="42.74"/>
    <s v="Reservada"/>
    <n v="167"/>
    <s v="Argentina"/>
    <s v="Plato_12, Plato_18, Plato_17"/>
  </r>
  <r>
    <n v="5"/>
    <s v="Cliente_424"/>
    <n v="5"/>
    <d v="2023-04-01T03:01:00"/>
    <d v="2023-04-01T06:20:00"/>
    <s v="Mesero_3"/>
    <s v="Almuerzo"/>
    <s v="Tarjeta de crédito"/>
    <n v="38.18"/>
    <s v="Ocupada"/>
    <n v="24"/>
    <s v="Venezuela"/>
    <s v="Plato_10, Plato_9, Plato_14, Plato_20"/>
  </r>
  <r>
    <n v="5"/>
    <s v="Cliente_499"/>
    <n v="2"/>
    <d v="2023-04-04T01:46:00"/>
    <d v="2023-04-04T03:29:00"/>
    <s v="Mesero_3"/>
    <s v="Almuerzo"/>
    <s v="Tarjeta de crédito"/>
    <n v="49.02"/>
    <s v="Ocupada"/>
    <n v="363"/>
    <s v="Brasil"/>
    <s v="Plato_2, Plato_7, Plato_19, Plato_11"/>
  </r>
  <r>
    <n v="5"/>
    <s v="Cliente_511"/>
    <n v="4"/>
    <d v="2023-04-06T00:09:00"/>
    <d v="2023-04-06T03:22:00"/>
    <s v="Mesero_4"/>
    <s v="Cena"/>
    <s v="Tarjeta de crédito"/>
    <n v="41.73"/>
    <s v="Ocupada"/>
    <n v="625"/>
    <s v="Chile"/>
    <s v="Plato_4, Plato_20, Plato_13"/>
  </r>
  <r>
    <n v="5"/>
    <s v="Cliente_63"/>
    <n v="1"/>
    <d v="2023-04-06T01:39:00"/>
    <d v="2023-04-06T03:28:00"/>
    <s v="Mesero_4"/>
    <s v="Almuerzo"/>
    <s v="Tarjeta de débito"/>
    <n v="21.13"/>
    <s v="Ocupada"/>
    <n v="568"/>
    <s v="Colombia"/>
    <s v="Plato_18, Plato_20"/>
  </r>
  <r>
    <n v="5"/>
    <s v="Cliente_689"/>
    <n v="2"/>
    <d v="2023-04-05T03:11:00"/>
    <d v="2023-04-05T05:02:00"/>
    <s v="Mesero_4"/>
    <s v="Almuerzo"/>
    <s v="Tarjeta de crédito"/>
    <n v="47.8"/>
    <s v="Reservada"/>
    <n v="426"/>
    <s v="Brasil"/>
    <s v="Plato_11, Plato_16, Plato_1, Plato_19"/>
  </r>
  <r>
    <n v="5"/>
    <s v="Cliente_697"/>
    <n v="1"/>
    <d v="2023-04-02T02:53:00"/>
    <d v="2023-04-02T05:26:00"/>
    <s v="Mesero_1"/>
    <s v="Desayuno"/>
    <s v="Tarjeta de crédito"/>
    <n v="42.96"/>
    <s v="Libre"/>
    <n v="263"/>
    <s v="Uruguay"/>
    <s v="Plato_15, Plato_8, Plato_2, Plato_7"/>
  </r>
  <r>
    <n v="5"/>
    <s v="Cliente_70"/>
    <n v="1"/>
    <d v="2023-04-06T02:38:00"/>
    <d v="2023-04-06T06:07:00"/>
    <s v="Mesero_2"/>
    <s v="Cena"/>
    <s v="Tarjeta de crédito"/>
    <n v="25.76"/>
    <s v="Reservada"/>
    <n v="505"/>
    <s v="Colombia"/>
    <s v="Plato_20, Plato_1"/>
  </r>
  <r>
    <n v="5"/>
    <s v="Cliente_701"/>
    <n v="2"/>
    <d v="2023-04-02T03:57:00"/>
    <d v="2023-04-02T05:21:00"/>
    <s v="Mesero_1"/>
    <s v="Almuerzo"/>
    <s v="Tarjeta de crédito"/>
    <n v="40.19"/>
    <s v="Libre"/>
    <n v="203"/>
    <s v="Perú"/>
    <s v="Plato_17, Plato_13"/>
  </r>
  <r>
    <n v="5"/>
    <s v="Cliente_709"/>
    <n v="2"/>
    <d v="2023-04-02T01:31:00"/>
    <d v="2023-04-02T03:22:00"/>
    <s v="Mesero_2"/>
    <s v="Almuerzo"/>
    <s v="Tarjeta de crédito"/>
    <n v="38.880000000000003"/>
    <s v="Libre"/>
    <n v="190"/>
    <s v="Colombia"/>
    <s v="Plato_4, Plato_20, Plato_8, Plato_14"/>
  </r>
  <r>
    <n v="5"/>
    <s v="Cliente_752"/>
    <n v="1"/>
    <d v="2023-04-02T02:23:00"/>
    <d v="2023-04-02T05:28:00"/>
    <s v="Mesero_4"/>
    <s v="Almuerzo"/>
    <s v="Tarjeta de crédito"/>
    <n v="17.399999999999999"/>
    <s v="Libre"/>
    <n v="187"/>
    <s v="Venezuela"/>
    <s v="Plato_18, Plato_10, Plato_9, Plato_6"/>
  </r>
  <r>
    <n v="5"/>
    <s v="Cliente_759"/>
    <n v="2"/>
    <d v="2023-04-06T00:45:00"/>
    <d v="2023-04-06T01:57:00"/>
    <s v="Mesero_5"/>
    <s v="Almuerzo"/>
    <s v="Tarjeta de crédito"/>
    <n v="32.9"/>
    <s v="Reservada"/>
    <n v="502"/>
    <s v="Bolivia"/>
    <s v="Plato_5, Plato_4, Plato_11"/>
  </r>
  <r>
    <n v="5"/>
    <s v="Cliente_765"/>
    <n v="3"/>
    <d v="2023-04-03T02:13:00"/>
    <d v="2023-04-03T05:58:00"/>
    <s v="Mesero_2"/>
    <s v="Almuerzo"/>
    <s v="Tarjeta de crédito"/>
    <n v="49.67"/>
    <s v="Reservada"/>
    <n v="275"/>
    <s v="Bolivia"/>
    <s v="Plato_11, Plato_17, Plato_10"/>
  </r>
  <r>
    <n v="5"/>
    <s v="Cliente_830"/>
    <n v="6"/>
    <d v="2023-04-06T02:08:00"/>
    <d v="2023-04-06T06:02:00"/>
    <s v="Mesero_4"/>
    <s v="Desayuno"/>
    <s v="Tarjeta de crédito"/>
    <n v="18.48"/>
    <s v="Ocupada"/>
    <n v="518"/>
    <s v="Colombia"/>
    <s v="Plato_11, Plato_5"/>
  </r>
  <r>
    <n v="5"/>
    <s v="Cliente_841"/>
    <n v="1"/>
    <d v="2023-04-04T01:18:00"/>
    <d v="2023-04-04T04:46:00"/>
    <s v="Mesero_4"/>
    <s v="Almuerzo"/>
    <s v="Tarjeta de crédito"/>
    <n v="14.96"/>
    <s v="Libre"/>
    <n v="377"/>
    <s v="Paraguay"/>
    <s v="Plato_18, Plato_15"/>
  </r>
  <r>
    <n v="5"/>
    <s v="Cliente_88"/>
    <n v="4"/>
    <d v="2023-04-07T01:51:00"/>
    <d v="2023-04-07T05:13:00"/>
    <s v="Mesero_2"/>
    <s v="Almuerzo"/>
    <s v="Tarjeta de crédito"/>
    <n v="23.66"/>
    <s v="Libre"/>
    <n v="694"/>
    <s v="Venezuela"/>
    <s v="Plato_3, Plato_4, Plato_20, Plato_13"/>
  </r>
  <r>
    <n v="5"/>
    <s v="Cliente_909"/>
    <n v="4"/>
    <d v="2023-04-02T03:18:00"/>
    <d v="2023-04-02T04:58:00"/>
    <s v="Mesero_3"/>
    <s v="Desayuno"/>
    <s v="Tarjeta de crédito"/>
    <n v="27.14"/>
    <s v="Reservada"/>
    <n v="147"/>
    <s v="Colombia"/>
    <s v="Plato_20, Plato_5"/>
  </r>
  <r>
    <n v="5"/>
    <s v="Cliente_919"/>
    <n v="5"/>
    <d v="2023-04-06T01:21:00"/>
    <d v="2023-04-06T04:28:00"/>
    <s v="Mesero_2"/>
    <s v="Cena"/>
    <s v="Tarjeta de débito"/>
    <n v="22.69"/>
    <s v="Reservada"/>
    <n v="499"/>
    <s v="Brasil"/>
    <s v="Plato_10, Plato_2, Plato_1"/>
  </r>
  <r>
    <n v="5"/>
    <s v="Cliente_946"/>
    <n v="1"/>
    <d v="2023-04-01T01:54:00"/>
    <d v="2023-04-01T03:03:00"/>
    <s v="Mesero_3"/>
    <s v="Almuerzo"/>
    <s v="Tarjeta de débito"/>
    <n v="14"/>
    <s v="Ocupada"/>
    <n v="65"/>
    <s v="Bolivia"/>
    <s v="Plato_16, Plato_17, Plato_12, Plato_20"/>
  </r>
  <r>
    <n v="5"/>
    <s v="Cliente_964"/>
    <n v="1"/>
    <d v="2023-04-04T00:58:00"/>
    <d v="2023-04-04T04:33:00"/>
    <s v="Mesero_3"/>
    <s v="Cena"/>
    <s v="Tarjeta de débito"/>
    <n v="22.53"/>
    <s v="Libre"/>
    <n v="380"/>
    <s v="Argentina"/>
    <s v="Plato_11, Plato_12"/>
  </r>
  <r>
    <n v="5"/>
    <s v="Cliente_968"/>
    <n v="2"/>
    <d v="2023-04-06T03:14:00"/>
    <d v="2023-04-06T05:29:00"/>
    <s v="Mesero_4"/>
    <s v="Almuerzo"/>
    <s v="Tarjeta de débito"/>
    <n v="47.81"/>
    <s v="Reservada"/>
    <n v="546"/>
    <s v="Bolivia"/>
    <s v="Plato_15, Plato_16"/>
  </r>
  <r>
    <n v="5"/>
    <s v="Cliente_999"/>
    <n v="4"/>
    <d v="2023-04-03T03:10:00"/>
    <d v="2023-04-03T05:12:00"/>
    <s v="Mesero_3"/>
    <s v="Almuerzo"/>
    <s v="Efectivo"/>
    <n v="41.36"/>
    <s v="Libre"/>
    <n v="278"/>
    <s v="Venezuela"/>
    <s v="Plato_17, Plato_7"/>
  </r>
  <r>
    <n v="6"/>
    <s v="Cliente_144"/>
    <n v="6"/>
    <d v="2023-04-01T00:40:00"/>
    <d v="2023-04-01T04:14:00"/>
    <s v="Mesero_4"/>
    <s v="Cena"/>
    <s v="Tarjeta de crédito"/>
    <n v="23.36"/>
    <s v="Reservada"/>
    <n v="54"/>
    <s v="Bolivia"/>
    <s v="Plato_8, Plato_17, Plato_4, Plato_11"/>
  </r>
  <r>
    <n v="6"/>
    <s v="Cliente_196"/>
    <n v="6"/>
    <d v="2023-04-06T02:50:00"/>
    <d v="2023-04-06T06:25:00"/>
    <s v="Mesero_3"/>
    <s v="Cena"/>
    <s v="Efectivo"/>
    <n v="40.03"/>
    <s v="Libre"/>
    <n v="645"/>
    <s v="Bolivia"/>
    <s v="Plato_11, Plato_6"/>
  </r>
  <r>
    <n v="6"/>
    <s v="Cliente_211"/>
    <n v="1"/>
    <d v="2023-04-03T01:19:00"/>
    <d v="2023-04-03T02:45:00"/>
    <s v="Mesero_5"/>
    <s v="Cena"/>
    <s v="Efectivo"/>
    <n v="29.68"/>
    <s v="Ocupada"/>
    <n v="299"/>
    <s v="Uruguay"/>
    <s v="Plato_3, Plato_19, Plato_7, Plato_4"/>
  </r>
  <r>
    <n v="6"/>
    <s v="Cliente_284"/>
    <n v="1"/>
    <d v="2023-04-05T03:42:00"/>
    <d v="2023-04-05T05:07:00"/>
    <s v="Mesero_2"/>
    <s v="Desayuno"/>
    <s v="Tarjeta de crédito"/>
    <n v="36.83"/>
    <s v="Libre"/>
    <n v="453"/>
    <s v="Chile"/>
    <s v="Plato_18, Plato_15"/>
  </r>
  <r>
    <n v="6"/>
    <s v="Cliente_284"/>
    <n v="4"/>
    <d v="2023-04-06T00:18:00"/>
    <d v="2023-04-06T03:06:00"/>
    <s v="Mesero_1"/>
    <s v="Almuerzo"/>
    <s v="Tarjeta de crédito"/>
    <n v="45.26"/>
    <s v="Reservada"/>
    <n v="558"/>
    <s v="Paraguay"/>
    <s v="Plato_15, Plato_1, Plato_11"/>
  </r>
  <r>
    <n v="6"/>
    <s v="Cliente_295"/>
    <n v="1"/>
    <d v="2023-04-02T01:35:00"/>
    <d v="2023-04-02T04:09:00"/>
    <s v="Mesero_5"/>
    <s v="Almuerzo"/>
    <s v="Tarjeta de crédito"/>
    <n v="14.94"/>
    <s v="Ocupada"/>
    <n v="163"/>
    <s v="Chile"/>
    <s v="Plato_17, Plato_2, Plato_11, Plato_5"/>
  </r>
  <r>
    <n v="6"/>
    <s v="Cliente_304"/>
    <n v="4"/>
    <d v="2023-04-07T01:46:00"/>
    <d v="2023-04-07T03:00:00"/>
    <s v="Mesero_1"/>
    <s v="Almuerzo"/>
    <s v="Tarjeta de crédito"/>
    <n v="21.82"/>
    <s v="Libre"/>
    <n v="750"/>
    <s v="Bolivia"/>
    <s v="Plato_17, Plato_10"/>
  </r>
  <r>
    <n v="6"/>
    <s v="Cliente_320"/>
    <n v="4"/>
    <d v="2023-04-06T03:46:00"/>
    <d v="2023-04-06T06:56:00"/>
    <s v="Mesero_1"/>
    <s v="Almuerzo"/>
    <s v="Tarjeta de crédito"/>
    <n v="47.85"/>
    <s v="Reservada"/>
    <n v="540"/>
    <s v="Uruguay"/>
    <s v="Plato_4, Plato_8"/>
  </r>
  <r>
    <n v="6"/>
    <s v="Cliente_378"/>
    <n v="2"/>
    <d v="2023-04-01T03:35:00"/>
    <d v="2023-04-01T06:09:00"/>
    <s v="Mesero_2"/>
    <s v="Desayuno"/>
    <s v="Tarjeta de crédito"/>
    <n v="12.75"/>
    <s v="Libre"/>
    <n v="92"/>
    <s v="Venezuela"/>
    <s v="Plato_9, Plato_7"/>
  </r>
  <r>
    <n v="6"/>
    <s v="Cliente_425"/>
    <n v="1"/>
    <d v="2023-04-07T02:05:00"/>
    <d v="2023-04-07T05:56:00"/>
    <s v="Mesero_5"/>
    <s v="Almuerzo"/>
    <s v="Tarjeta de crédito"/>
    <n v="25.32"/>
    <s v="Ocupada"/>
    <n v="665"/>
    <s v="Bolivia"/>
    <s v="Plato_1, Plato_6"/>
  </r>
  <r>
    <n v="6"/>
    <s v="Cliente_524"/>
    <n v="5"/>
    <d v="2023-04-06T01:00:00"/>
    <d v="2023-04-06T02:52:00"/>
    <s v="Mesero_5"/>
    <s v="Cena"/>
    <s v="Tarjeta de crédito"/>
    <n v="39.07"/>
    <s v="Reservada"/>
    <n v="485"/>
    <s v="Bolivia"/>
    <s v="Plato_7, Plato_19"/>
  </r>
  <r>
    <n v="6"/>
    <s v="Cliente_538"/>
    <n v="6"/>
    <d v="2023-04-01T01:28:00"/>
    <d v="2023-04-01T03:49:00"/>
    <s v="Mesero_1"/>
    <s v="Desayuno"/>
    <s v="Efectivo"/>
    <n v="43.3"/>
    <s v="Reservada"/>
    <n v="2"/>
    <s v="Colombia"/>
    <s v="Plato_17, Plato_6"/>
  </r>
  <r>
    <n v="6"/>
    <s v="Cliente_551"/>
    <n v="4"/>
    <d v="2023-04-02T03:52:00"/>
    <d v="2023-04-02T06:25:00"/>
    <s v="Mesero_3"/>
    <s v="Almuerzo"/>
    <s v="Tarjeta de débito"/>
    <n v="35.64"/>
    <s v="Ocupada"/>
    <n v="215"/>
    <s v="Uruguay"/>
    <s v="Plato_18, Plato_2"/>
  </r>
  <r>
    <n v="6"/>
    <s v="Cliente_594"/>
    <n v="4"/>
    <d v="2023-04-07T00:15:00"/>
    <d v="2023-04-07T02:52:00"/>
    <s v="Mesero_1"/>
    <s v="Cena"/>
    <s v="Tarjeta de crédito"/>
    <n v="35.11"/>
    <s v="Libre"/>
    <n v="713"/>
    <s v="Uruguay"/>
    <s v="Plato_11, Plato_9, Plato_15, Plato_10"/>
  </r>
  <r>
    <n v="6"/>
    <s v="Cliente_610"/>
    <n v="6"/>
    <d v="2023-04-06T00:15:00"/>
    <d v="2023-04-06T03:17:00"/>
    <s v="Mesero_5"/>
    <s v="Cena"/>
    <s v="Tarjeta de débito"/>
    <n v="31.53"/>
    <s v="Reservada"/>
    <n v="560"/>
    <s v="Argentina"/>
    <s v="Plato_4, Plato_1"/>
  </r>
  <r>
    <n v="6"/>
    <s v="Cliente_619"/>
    <n v="4"/>
    <d v="2023-04-06T00:16:00"/>
    <d v="2023-04-06T02:41:00"/>
    <s v="Mesero_5"/>
    <s v="Cena"/>
    <s v="Tarjeta de crédito"/>
    <n v="16.440000000000001"/>
    <s v="Reservada"/>
    <n v="619"/>
    <s v="Ecuador"/>
    <s v="Plato_6, Plato_10"/>
  </r>
  <r>
    <n v="6"/>
    <s v="Cliente_635"/>
    <n v="1"/>
    <d v="2023-04-07T00:39:00"/>
    <d v="2023-04-07T03:06:00"/>
    <s v="Mesero_2"/>
    <s v="Desayuno"/>
    <s v="Tarjeta de débito"/>
    <n v="24.09"/>
    <s v="Reservada"/>
    <n v="737"/>
    <s v="Paraguay"/>
    <s v="Plato_9, Plato_2"/>
  </r>
  <r>
    <n v="6"/>
    <s v="Cliente_658"/>
    <n v="2"/>
    <d v="2023-04-02T03:48:00"/>
    <d v="2023-04-02T05:09:00"/>
    <s v="Mesero_2"/>
    <s v="Desayuno"/>
    <s v="Tarjeta de débito"/>
    <n v="32.79"/>
    <s v="Ocupada"/>
    <n v="138"/>
    <s v="Venezuela"/>
    <s v="Plato_17, Plato_12, Plato_10, Plato_2"/>
  </r>
  <r>
    <n v="6"/>
    <s v="Cliente_686"/>
    <n v="1"/>
    <d v="2023-04-02T02:54:00"/>
    <d v="2023-04-02T06:15:00"/>
    <s v="Mesero_2"/>
    <s v="Desayuno"/>
    <s v="Tarjeta de débito"/>
    <n v="21.48"/>
    <s v="Libre"/>
    <n v="265"/>
    <s v="Chile"/>
    <s v="Plato_14, Plato_17, Plato_6, Plato_2"/>
  </r>
  <r>
    <n v="6"/>
    <s v="Cliente_687"/>
    <n v="3"/>
    <d v="2023-04-06T01:55:00"/>
    <d v="2023-04-06T04:32:00"/>
    <s v="Mesero_4"/>
    <s v="Almuerzo"/>
    <s v="Tarjeta de crédito"/>
    <n v="36.58"/>
    <s v="Reservada"/>
    <n v="637"/>
    <s v="Ecuador"/>
    <s v="Plato_11, Plato_18, Plato_1"/>
  </r>
  <r>
    <n v="6"/>
    <s v="Cliente_690"/>
    <n v="1"/>
    <d v="2023-04-04T03:10:00"/>
    <d v="2023-04-04T04:29:00"/>
    <s v="Mesero_4"/>
    <s v="Cena"/>
    <s v="Tarjeta de crédito"/>
    <n v="13.19"/>
    <s v="Libre"/>
    <n v="333"/>
    <s v="Paraguay"/>
    <s v="Plato_19, Plato_4"/>
  </r>
  <r>
    <n v="6"/>
    <s v="Cliente_728"/>
    <n v="4"/>
    <d v="2023-04-01T03:24:00"/>
    <d v="2023-04-01T04:59:00"/>
    <s v="Mesero_1"/>
    <s v="Desayuno"/>
    <s v="Tarjeta de crédito"/>
    <n v="28.77"/>
    <s v="Ocupada"/>
    <n v="15"/>
    <s v="Uruguay"/>
    <s v="Plato_16, Plato_13, Plato_8"/>
  </r>
  <r>
    <n v="6"/>
    <s v="Cliente_733"/>
    <n v="2"/>
    <d v="2023-04-07T03:53:00"/>
    <d v="2023-04-07T07:01:00"/>
    <s v="Mesero_2"/>
    <s v="Desayuno"/>
    <s v="Tarjeta de crédito"/>
    <n v="47.13"/>
    <s v="Libre"/>
    <n v="721"/>
    <s v="Paraguay"/>
    <s v="Plato_9, Plato_19, Plato_7, Plato_6"/>
  </r>
  <r>
    <n v="6"/>
    <s v="Cliente_735"/>
    <n v="4"/>
    <d v="2023-04-03T01:40:00"/>
    <d v="2023-04-03T02:43:00"/>
    <s v="Mesero_3"/>
    <s v="Desayuno"/>
    <s v="Efectivo"/>
    <n v="39.270000000000003"/>
    <s v="Ocupada"/>
    <n v="311"/>
    <s v="Paraguay"/>
    <s v="Plato_7, Plato_9"/>
  </r>
  <r>
    <n v="6"/>
    <s v="Cliente_787"/>
    <n v="2"/>
    <d v="2023-04-06T00:48:00"/>
    <d v="2023-04-06T03:49:00"/>
    <s v="Mesero_5"/>
    <s v="Almuerzo"/>
    <s v="Tarjeta de crédito"/>
    <n v="34.590000000000003"/>
    <s v="Libre"/>
    <n v="519"/>
    <s v="Paraguay"/>
    <s v="Plato_6, Plato_20, Plato_5"/>
  </r>
  <r>
    <n v="6"/>
    <s v="Cliente_827"/>
    <n v="1"/>
    <d v="2023-04-03T01:11:00"/>
    <d v="2023-04-03T05:02:00"/>
    <s v="Mesero_4"/>
    <s v="Almuerzo"/>
    <s v="Tarjeta de crédito"/>
    <n v="19.05"/>
    <s v="Libre"/>
    <n v="282"/>
    <s v="Uruguay"/>
    <s v="Plato_4, Plato_3"/>
  </r>
  <r>
    <n v="6"/>
    <s v="Cliente_953"/>
    <n v="2"/>
    <d v="2023-04-02T03:15:00"/>
    <d v="2023-04-02T06:53:00"/>
    <s v="Mesero_4"/>
    <s v="Cena"/>
    <s v="Tarjeta de crédito"/>
    <n v="41.51"/>
    <s v="Ocupada"/>
    <n v="151"/>
    <s v="Ecuador"/>
    <s v="Plato_14, Plato_13"/>
  </r>
  <r>
    <n v="6"/>
    <s v="Cliente_977"/>
    <n v="1"/>
    <d v="2023-04-01T02:09:00"/>
    <d v="2023-04-01T05:46:00"/>
    <s v="Mesero_1"/>
    <s v="Almuerzo"/>
    <s v="Tarjeta de crédito"/>
    <n v="19.54"/>
    <s v="Reservada"/>
    <n v="60"/>
    <s v="Bolivia"/>
    <s v="Plato_4, Plato_11"/>
  </r>
  <r>
    <n v="6"/>
    <s v="Cliente_994"/>
    <n v="4"/>
    <d v="2023-04-03T03:24:00"/>
    <d v="2023-04-03T04:40:00"/>
    <s v="Mesero_1"/>
    <s v="Almuerzo"/>
    <s v="Tarjeta de crédito"/>
    <n v="22.05"/>
    <s v="Reservada"/>
    <n v="304"/>
    <s v="Colombia"/>
    <s v="Plato_15, Plato_13, Plato_20, Plato_17"/>
  </r>
  <r>
    <n v="7"/>
    <s v="Cliente_117"/>
    <n v="5"/>
    <d v="2023-04-06T02:07:00"/>
    <d v="2023-04-06T05:31:00"/>
    <s v="Mesero_3"/>
    <s v="Cena"/>
    <s v="Tarjeta de crédito"/>
    <n v="11.47"/>
    <s v="Reservada"/>
    <n v="622"/>
    <s v="Argentina"/>
    <s v="Plato_17, Plato_16"/>
  </r>
  <r>
    <n v="7"/>
    <s v="Cliente_132"/>
    <n v="1"/>
    <d v="2023-04-03T00:34:00"/>
    <d v="2023-04-03T04:24:00"/>
    <s v="Mesero_4"/>
    <s v="Almuerzo"/>
    <s v="Tarjeta de crédito"/>
    <n v="42.73"/>
    <s v="Reservada"/>
    <n v="272"/>
    <s v="España"/>
    <s v="Plato_7, Plato_8"/>
  </r>
  <r>
    <n v="7"/>
    <s v="Cliente_160"/>
    <n v="4"/>
    <d v="2023-04-06T00:07:00"/>
    <d v="2023-04-06T02:37:00"/>
    <s v="Mesero_4"/>
    <s v="Desayuno"/>
    <s v="Tarjeta de crédito"/>
    <n v="34.68"/>
    <s v="Ocupada"/>
    <n v="491"/>
    <s v="España"/>
    <s v="Plato_9, Plato_2"/>
  </r>
  <r>
    <n v="7"/>
    <s v="Cliente_232"/>
    <n v="5"/>
    <d v="2023-04-06T02:13:00"/>
    <d v="2023-04-06T06:07:00"/>
    <s v="Mesero_5"/>
    <s v="Almuerzo"/>
    <s v="Tarjeta de crédito"/>
    <n v="30.19"/>
    <s v="Ocupada"/>
    <n v="530"/>
    <s v="Paraguay"/>
    <s v="Plato_4, Plato_16, Plato_1"/>
  </r>
  <r>
    <n v="7"/>
    <s v="Cliente_29"/>
    <n v="3"/>
    <d v="2023-04-01T01:01:00"/>
    <d v="2023-04-01T03:22:00"/>
    <s v="Mesero_5"/>
    <s v="Almuerzo"/>
    <s v="Tarjeta de crédito"/>
    <n v="17.149999999999999"/>
    <s v="Ocupada"/>
    <n v="98"/>
    <s v="Bolivia"/>
    <s v="Plato_3, Plato_9, Plato_12"/>
  </r>
  <r>
    <n v="7"/>
    <s v="Cliente_29"/>
    <n v="5"/>
    <d v="2023-04-06T00:01:00"/>
    <d v="2023-04-06T03:28:00"/>
    <s v="Mesero_1"/>
    <s v="Almuerzo"/>
    <s v="Efectivo"/>
    <n v="32.78"/>
    <s v="Ocupada"/>
    <n v="478"/>
    <s v="Bolivia"/>
    <s v="Plato_2, Plato_9"/>
  </r>
  <r>
    <n v="7"/>
    <s v="Cliente_334"/>
    <n v="2"/>
    <d v="2023-04-06T03:55:00"/>
    <d v="2023-04-06T04:59:00"/>
    <s v="Mesero_4"/>
    <s v="Almuerzo"/>
    <s v="Tarjeta de crédito"/>
    <n v="20.85"/>
    <s v="Reservada"/>
    <n v="516"/>
    <s v="Paraguay"/>
    <s v="Plato_12, Plato_14, Plato_3"/>
  </r>
  <r>
    <n v="7"/>
    <s v="Cliente_381"/>
    <n v="5"/>
    <d v="2023-04-06T03:52:00"/>
    <d v="2023-04-06T07:39:00"/>
    <s v="Mesero_2"/>
    <s v="Almuerzo"/>
    <s v="Efectivo"/>
    <n v="35.880000000000003"/>
    <s v="Ocupada"/>
    <n v="557"/>
    <s v="Ecuador"/>
    <s v="Plato_15, Plato_13, Plato_1"/>
  </r>
  <r>
    <n v="7"/>
    <s v="Cliente_395"/>
    <n v="2"/>
    <d v="2023-04-05T03:25:00"/>
    <d v="2023-04-05T04:33:00"/>
    <s v="Mesero_2"/>
    <s v="Cena"/>
    <s v="Tarjeta de crédito"/>
    <n v="35.08"/>
    <s v="Libre"/>
    <n v="417"/>
    <s v="Venezuela"/>
    <s v="Plato_9, Plato_20, Plato_12, Plato_6"/>
  </r>
  <r>
    <n v="7"/>
    <s v="Cliente_397"/>
    <n v="5"/>
    <d v="2023-04-03T02:07:00"/>
    <d v="2023-04-03T03:48:00"/>
    <s v="Mesero_2"/>
    <s v="Cena"/>
    <s v="Tarjeta de crédito"/>
    <n v="44.66"/>
    <s v="Ocupada"/>
    <n v="267"/>
    <s v="España"/>
    <s v="Plato_15, Plato_16, Plato_2"/>
  </r>
  <r>
    <n v="7"/>
    <s v="Cliente_41"/>
    <n v="3"/>
    <d v="2023-04-06T03:12:00"/>
    <d v="2023-04-06T07:09:00"/>
    <s v="Mesero_3"/>
    <s v="Almuerzo"/>
    <s v="Tarjeta de crédito"/>
    <n v="47.08"/>
    <s v="Ocupada"/>
    <n v="573"/>
    <s v="Chile"/>
    <s v="Plato_13, Plato_18"/>
  </r>
  <r>
    <n v="7"/>
    <s v="Cliente_494"/>
    <n v="6"/>
    <d v="2023-04-07T00:28:00"/>
    <d v="2023-04-07T03:45:00"/>
    <s v="Mesero_3"/>
    <s v="Almuerzo"/>
    <s v="Tarjeta de crédito"/>
    <n v="41.6"/>
    <s v="Ocupada"/>
    <n v="676"/>
    <s v="Ecuador"/>
    <s v="Plato_17, Plato_14, Plato_16, Plato_13"/>
  </r>
  <r>
    <n v="7"/>
    <s v="Cliente_513"/>
    <n v="1"/>
    <d v="2023-04-06T00:46:00"/>
    <d v="2023-04-06T01:53:00"/>
    <s v="Mesero_5"/>
    <s v="Cena"/>
    <s v="Tarjeta de crédito"/>
    <n v="18.420000000000002"/>
    <s v="Ocupada"/>
    <n v="615"/>
    <s v="Ecuador"/>
    <s v="Plato_17, Plato_14, Plato_1, Plato_15"/>
  </r>
  <r>
    <n v="7"/>
    <s v="Cliente_518"/>
    <n v="5"/>
    <d v="2023-04-05T03:18:00"/>
    <d v="2023-04-05T06:03:00"/>
    <s v="Mesero_4"/>
    <s v="Desayuno"/>
    <s v="Tarjeta de crédito"/>
    <n v="15.6"/>
    <s v="Reservada"/>
    <n v="428"/>
    <s v="Ecuador"/>
    <s v="Plato_20, Plato_14, Plato_1, Plato_17"/>
  </r>
  <r>
    <n v="7"/>
    <s v="Cliente_53"/>
    <n v="1"/>
    <d v="2023-04-03T03:15:00"/>
    <d v="2023-04-03T05:52:00"/>
    <s v="Mesero_1"/>
    <s v="Almuerzo"/>
    <s v="Tarjeta de débito"/>
    <n v="19.93"/>
    <s v="Ocupada"/>
    <n v="274"/>
    <s v="Brasil"/>
    <s v="Plato_10, Plato_12"/>
  </r>
  <r>
    <n v="7"/>
    <s v="Cliente_588"/>
    <n v="6"/>
    <d v="2023-04-01T00:49:00"/>
    <d v="2023-04-01T03:30:00"/>
    <s v="Mesero_1"/>
    <s v="Almuerzo"/>
    <s v="Tarjeta de crédito"/>
    <n v="38.81"/>
    <s v="Ocupada"/>
    <n v="114"/>
    <s v="Chile"/>
    <s v="Plato_2, Plato_9, Plato_4, Plato_5"/>
  </r>
  <r>
    <n v="7"/>
    <s v="Cliente_637"/>
    <n v="1"/>
    <d v="2023-04-06T03:44:00"/>
    <d v="2023-04-06T06:31:00"/>
    <s v="Mesero_1"/>
    <s v="Cena"/>
    <s v="Tarjeta de crédito"/>
    <n v="28.38"/>
    <s v="Ocupada"/>
    <n v="501"/>
    <s v="Venezuela"/>
    <s v="Plato_20, Plato_13, Plato_16"/>
  </r>
  <r>
    <n v="7"/>
    <s v="Cliente_67"/>
    <n v="6"/>
    <d v="2023-04-02T00:58:00"/>
    <d v="2023-04-02T04:09:00"/>
    <s v="Mesero_1"/>
    <s v="Cena"/>
    <s v="Tarjeta de crédito"/>
    <n v="39.479999999999997"/>
    <s v="Reservada"/>
    <n v="226"/>
    <s v="Venezuela"/>
    <s v="Plato_3, Plato_13, Plato_6, Plato_9"/>
  </r>
  <r>
    <n v="7"/>
    <s v="Cliente_728"/>
    <n v="5"/>
    <d v="2023-04-02T00:43:00"/>
    <d v="2023-04-02T04:18:00"/>
    <s v="Mesero_4"/>
    <s v="Almuerzo"/>
    <s v="Tarjeta de crédito"/>
    <n v="42.41"/>
    <s v="Ocupada"/>
    <n v="131"/>
    <s v="Ecuador"/>
    <s v="Plato_20, Plato_4, Plato_13"/>
  </r>
  <r>
    <n v="7"/>
    <s v="Cliente_833"/>
    <n v="5"/>
    <d v="2023-04-04T03:46:00"/>
    <d v="2023-04-04T07:36:00"/>
    <s v="Mesero_5"/>
    <s v="Cena"/>
    <s v="Tarjeta de crédito"/>
    <n v="27.37"/>
    <s v="Reservada"/>
    <n v="353"/>
    <s v="Brasil"/>
    <s v="Plato_5, Plato_2, Plato_8, Plato_18"/>
  </r>
  <r>
    <n v="7"/>
    <s v="Cliente_870"/>
    <n v="4"/>
    <d v="2023-04-01T02:14:00"/>
    <d v="2023-04-01T04:20:00"/>
    <s v="Mesero_2"/>
    <s v="Almuerzo"/>
    <s v="Tarjeta de crédito"/>
    <n v="15.24"/>
    <s v="Ocupada"/>
    <n v="41"/>
    <s v="Perú"/>
    <s v="Plato_15, Plato_10, Plato_2"/>
  </r>
  <r>
    <n v="7"/>
    <s v="Cliente_894"/>
    <n v="4"/>
    <d v="2023-04-01T00:01:00"/>
    <d v="2023-04-01T01:11:00"/>
    <s v="Mesero_3"/>
    <s v="Almuerzo"/>
    <s v="Tarjeta de crédito"/>
    <n v="46.88"/>
    <s v="Libre"/>
    <n v="52"/>
    <s v="Paraguay"/>
    <s v="Plato_11, Plato_17, Plato_18"/>
  </r>
  <r>
    <n v="7"/>
    <s v="Cliente_939"/>
    <n v="2"/>
    <d v="2023-04-02T01:53:00"/>
    <d v="2023-04-02T04:44:00"/>
    <s v="Mesero_5"/>
    <s v="Almuerzo"/>
    <s v="Tarjeta de crédito"/>
    <n v="25.72"/>
    <s v="Reservada"/>
    <n v="155"/>
    <s v="Venezuela"/>
    <s v="Plato_6, Plato_17, Plato_3"/>
  </r>
  <r>
    <n v="7"/>
    <s v="Cliente_943"/>
    <n v="6"/>
    <d v="2023-04-05T02:48:00"/>
    <d v="2023-04-05T05:40:00"/>
    <s v="Mesero_5"/>
    <s v="Almuerzo"/>
    <s v="Tarjeta de crédito"/>
    <n v="27.32"/>
    <s v="Libre"/>
    <n v="399"/>
    <s v="España"/>
    <s v="Plato_11, Plato_19"/>
  </r>
  <r>
    <n v="8"/>
    <s v="Cliente_149"/>
    <n v="6"/>
    <d v="2023-04-06T01:39:00"/>
    <d v="2023-04-06T02:58:00"/>
    <s v="Mesero_4"/>
    <s v="Desayuno"/>
    <s v="Tarjeta de crédito"/>
    <n v="33.85"/>
    <s v="Reservada"/>
    <n v="477"/>
    <s v="Colombia"/>
    <s v="Plato_18, Plato_14, Plato_7, Plato_13"/>
  </r>
  <r>
    <n v="8"/>
    <s v="Cliente_208"/>
    <n v="4"/>
    <d v="2023-04-07T01:55:00"/>
    <d v="2023-04-07T03:40:00"/>
    <s v="Mesero_2"/>
    <s v="Almuerzo"/>
    <s v="Efectivo"/>
    <n v="26.15"/>
    <s v="Ocupada"/>
    <n v="709"/>
    <s v="Ecuador"/>
    <s v="Plato_13, Plato_8, Plato_11, Plato_1"/>
  </r>
  <r>
    <n v="8"/>
    <s v="Cliente_249"/>
    <n v="1"/>
    <d v="2023-04-02T01:08:00"/>
    <d v="2023-04-02T02:55:00"/>
    <s v="Mesero_4"/>
    <s v="Almuerzo"/>
    <s v="Tarjeta de crédito"/>
    <n v="32.42"/>
    <s v="Ocupada"/>
    <n v="261"/>
    <s v="Chile"/>
    <s v="Plato_15, Plato_9"/>
  </r>
  <r>
    <n v="8"/>
    <s v="Cliente_385"/>
    <n v="6"/>
    <d v="2023-04-03T02:14:00"/>
    <d v="2023-04-03T04:08:00"/>
    <s v="Mesero_5"/>
    <s v="Almuerzo"/>
    <s v="Tarjeta de crédito"/>
    <n v="16.52"/>
    <s v="Reservada"/>
    <n v="301"/>
    <s v="Uruguay"/>
    <s v="Plato_17, Plato_10, Plato_9, Plato_3"/>
  </r>
  <r>
    <n v="8"/>
    <s v="Cliente_392"/>
    <n v="5"/>
    <d v="2023-04-07T03:56:00"/>
    <d v="2023-04-07T06:03:00"/>
    <s v="Mesero_1"/>
    <s v="Almuerzo"/>
    <s v="Tarjeta de crédito"/>
    <n v="23.67"/>
    <s v="Libre"/>
    <n v="717"/>
    <s v="Bolivia"/>
    <s v="Plato_5, Plato_2, Plato_6"/>
  </r>
  <r>
    <n v="8"/>
    <s v="Cliente_404"/>
    <n v="2"/>
    <d v="2023-04-05T03:53:00"/>
    <d v="2023-04-05T07:24:00"/>
    <s v="Mesero_4"/>
    <s v="Cena"/>
    <s v="Tarjeta de crédito"/>
    <n v="28.68"/>
    <s v="Libre"/>
    <n v="447"/>
    <s v="España"/>
    <s v="Plato_3, Plato_12, Plato_16"/>
  </r>
  <r>
    <n v="8"/>
    <s v="Cliente_415"/>
    <n v="4"/>
    <d v="2023-04-06T02:17:00"/>
    <d v="2023-04-06T05:19:00"/>
    <s v="Mesero_2"/>
    <s v="Cena"/>
    <s v="Tarjeta de crédito"/>
    <n v="18.97"/>
    <s v="Reservada"/>
    <n v="639"/>
    <s v="España"/>
    <s v="Plato_10, Plato_17, Plato_12"/>
  </r>
  <r>
    <n v="8"/>
    <s v="Cliente_443"/>
    <n v="3"/>
    <d v="2023-04-07T00:29:00"/>
    <d v="2023-04-07T02:33:00"/>
    <s v="Mesero_3"/>
    <s v="Almuerzo"/>
    <s v="Tarjeta de crédito"/>
    <n v="15.02"/>
    <s v="Ocupada"/>
    <n v="730"/>
    <s v="España"/>
    <s v="Plato_2, Plato_7"/>
  </r>
  <r>
    <n v="8"/>
    <s v="Cliente_496"/>
    <n v="2"/>
    <d v="2023-04-07T00:23:00"/>
    <d v="2023-04-07T02:50:00"/>
    <s v="Mesero_2"/>
    <s v="Almuerzo"/>
    <s v="Tarjeta de crédito"/>
    <n v="21.66"/>
    <s v="Reservada"/>
    <n v="700"/>
    <s v="Argentina"/>
    <s v="Plato_18, Plato_10, Plato_6"/>
  </r>
  <r>
    <n v="8"/>
    <s v="Cliente_510"/>
    <n v="3"/>
    <d v="2023-04-01T01:31:00"/>
    <d v="2023-04-01T04:21:00"/>
    <s v="Mesero_1"/>
    <s v="Cena"/>
    <s v="Tarjeta de crédito"/>
    <n v="30.7"/>
    <s v="Reservada"/>
    <n v="58"/>
    <s v="Brasil"/>
    <s v="Plato_5, Plato_3"/>
  </r>
  <r>
    <n v="8"/>
    <s v="Cliente_544"/>
    <n v="1"/>
    <d v="2023-04-03T01:23:00"/>
    <d v="2023-04-03T04:19:00"/>
    <s v="Mesero_5"/>
    <s v="Desayuno"/>
    <s v="Efectivo"/>
    <n v="44.3"/>
    <s v="Libre"/>
    <n v="323"/>
    <s v="Chile"/>
    <s v="Plato_5, Plato_9, Plato_7, Plato_4"/>
  </r>
  <r>
    <n v="8"/>
    <s v="Cliente_547"/>
    <n v="2"/>
    <d v="2023-04-02T02:34:00"/>
    <d v="2023-04-02T06:02:00"/>
    <s v="Mesero_4"/>
    <s v="Cena"/>
    <s v="Tarjeta de crédito"/>
    <n v="47.53"/>
    <s v="Reservada"/>
    <n v="164"/>
    <s v="Colombia"/>
    <s v="Plato_5, Plato_19, Plato_15, Plato_7"/>
  </r>
  <r>
    <n v="8"/>
    <s v="Cliente_700"/>
    <n v="2"/>
    <d v="2023-04-02T00:54:00"/>
    <d v="2023-04-02T03:45:00"/>
    <s v="Mesero_3"/>
    <s v="Cena"/>
    <s v="Tarjeta de crédito"/>
    <n v="34.69"/>
    <s v="Ocupada"/>
    <n v="253"/>
    <s v="Argentina"/>
    <s v="Plato_1, Plato_13, Plato_9"/>
  </r>
  <r>
    <n v="8"/>
    <s v="Cliente_747"/>
    <n v="3"/>
    <d v="2023-04-01T02:35:00"/>
    <d v="2023-04-01T04:31:00"/>
    <s v="Mesero_2"/>
    <s v="Cena"/>
    <s v="Tarjeta de crédito"/>
    <n v="45.96"/>
    <s v="Libre"/>
    <n v="85"/>
    <s v="Ecuador"/>
    <s v="Plato_16, Plato_19, Plato_3, Plato_15"/>
  </r>
  <r>
    <n v="8"/>
    <s v="Cliente_784"/>
    <n v="4"/>
    <d v="2023-04-01T00:02:00"/>
    <d v="2023-04-01T03:15:00"/>
    <s v="Mesero_5"/>
    <s v="Cena"/>
    <s v="Tarjeta de crédito"/>
    <n v="45.65"/>
    <s v="Ocupada"/>
    <n v="68"/>
    <s v="Brasil"/>
    <s v="Plato_14, Plato_16, Plato_15, Plato_1"/>
  </r>
  <r>
    <n v="8"/>
    <s v="Cliente_814"/>
    <n v="6"/>
    <d v="2023-04-01T01:02:00"/>
    <d v="2023-04-01T03:14:00"/>
    <s v="Mesero_4"/>
    <s v="Almuerzo"/>
    <s v="Tarjeta de crédito"/>
    <n v="32.19"/>
    <s v="Ocupada"/>
    <n v="43"/>
    <s v="Perú"/>
    <s v="Plato_15, Plato_18, Plato_7, Plato_17"/>
  </r>
  <r>
    <n v="8"/>
    <s v="Cliente_871"/>
    <n v="3"/>
    <d v="2023-04-07T03:21:00"/>
    <d v="2023-04-07T04:36:00"/>
    <s v="Mesero_3"/>
    <s v="Almuerzo"/>
    <s v="Tarjeta de crédito"/>
    <n v="42.74"/>
    <s v="Reservada"/>
    <n v="754"/>
    <s v="España"/>
    <s v="Plato_7, Plato_6, Plato_16"/>
  </r>
  <r>
    <n v="8"/>
    <s v="Cliente_877"/>
    <n v="2"/>
    <d v="2023-04-02T01:12:00"/>
    <d v="2023-04-02T03:10:00"/>
    <s v="Mesero_2"/>
    <s v="Almuerzo"/>
    <s v="Tarjeta de crédito"/>
    <n v="49.1"/>
    <s v="Ocupada"/>
    <n v="231"/>
    <s v="Perú"/>
    <s v="Plato_13, Plato_18, Plato_17, Plato_11"/>
  </r>
  <r>
    <n v="8"/>
    <s v="Cliente_878"/>
    <n v="4"/>
    <d v="2023-04-01T01:21:00"/>
    <d v="2023-04-01T05:04:00"/>
    <s v="Mesero_1"/>
    <s v="Almuerzo"/>
    <s v="Efectivo"/>
    <n v="33.89"/>
    <s v="Libre"/>
    <n v="59"/>
    <s v="Colombia"/>
    <s v="Plato_12, Plato_14, Plato_4, Plato_20"/>
  </r>
  <r>
    <n v="8"/>
    <s v="Cliente_894"/>
    <n v="5"/>
    <d v="2023-04-05T03:23:00"/>
    <d v="2023-04-05T06:08:00"/>
    <s v="Mesero_1"/>
    <s v="Almuerzo"/>
    <s v="Tarjeta de crédito"/>
    <n v="25.26"/>
    <s v="Libre"/>
    <n v="444"/>
    <s v="Argentina"/>
    <s v="Plato_14, Plato_7"/>
  </r>
  <r>
    <n v="8"/>
    <s v="Cliente_927"/>
    <n v="6"/>
    <d v="2023-04-02T00:58:00"/>
    <d v="2023-04-02T03:55:00"/>
    <s v="Mesero_2"/>
    <s v="Cena"/>
    <s v="Tarjeta de crédito"/>
    <n v="47.71"/>
    <s v="Ocupada"/>
    <n v="249"/>
    <s v="España"/>
    <s v="Plato_5, Plato_4"/>
  </r>
  <r>
    <n v="8"/>
    <s v="Cliente_929"/>
    <n v="3"/>
    <d v="2023-04-01T01:44:00"/>
    <d v="2023-04-01T05:29:00"/>
    <s v="Mesero_2"/>
    <s v="Almuerzo"/>
    <s v="Tarjeta de crédito"/>
    <n v="20.92"/>
    <s v="Libre"/>
    <n v="49"/>
    <s v="Uruguay"/>
    <s v="Plato_7, Plato_15, Plato_4"/>
  </r>
  <r>
    <n v="8"/>
    <s v="Cliente_938"/>
    <n v="2"/>
    <d v="2023-04-01T00:01:00"/>
    <d v="2023-04-01T02:06:00"/>
    <s v="Mesero_4"/>
    <s v="Almuerzo"/>
    <s v="Tarjeta de crédito"/>
    <n v="24.33"/>
    <s v="Libre"/>
    <n v="5"/>
    <s v="Perú"/>
    <s v="Plato_12, Plato_7"/>
  </r>
  <r>
    <n v="8"/>
    <s v="Cliente_949"/>
    <n v="5"/>
    <d v="2023-04-01T03:15:00"/>
    <d v="2023-04-01T06:33:00"/>
    <s v="Mesero_1"/>
    <s v="Almuerzo"/>
    <s v="Tarjeta de crédito"/>
    <n v="47.69"/>
    <s v="Ocupada"/>
    <n v="116"/>
    <s v="Chile"/>
    <s v="Plato_15, Plato_8, Plato_19, Plato_18"/>
  </r>
  <r>
    <n v="8"/>
    <s v="Cliente_972"/>
    <n v="2"/>
    <d v="2023-04-01T01:25:00"/>
    <d v="2023-04-01T05:12:00"/>
    <s v="Mesero_3"/>
    <s v="Almuerzo"/>
    <s v="Tarjeta de crédito"/>
    <n v="31.7"/>
    <s v="Reservada"/>
    <n v="20"/>
    <s v="Chile"/>
    <s v="Plato_8, Plato_1, Plato_14"/>
  </r>
  <r>
    <n v="9"/>
    <s v="Cliente_190"/>
    <n v="2"/>
    <d v="2023-04-01T02:06:00"/>
    <d v="2023-04-01T04:26:00"/>
    <s v="Mesero_2"/>
    <s v="Desayuno"/>
    <s v="Tarjeta de crédito"/>
    <n v="33.090000000000003"/>
    <s v="Libre"/>
    <n v="18"/>
    <s v="Colombia"/>
    <s v="Plato_9, Plato_20, Plato_10, Plato_15"/>
  </r>
  <r>
    <n v="9"/>
    <s v="Cliente_206"/>
    <n v="3"/>
    <d v="2023-04-06T02:43:00"/>
    <d v="2023-04-06T04:36:00"/>
    <s v="Mesero_5"/>
    <s v="Cena"/>
    <s v="Tarjeta de crédito"/>
    <n v="20.04"/>
    <s v="Ocupada"/>
    <n v="547"/>
    <s v="Colombia"/>
    <s v="Plato_17, Plato_11, Plato_8"/>
  </r>
  <r>
    <n v="9"/>
    <s v="Cliente_211"/>
    <n v="1"/>
    <d v="2023-04-07T02:02:00"/>
    <d v="2023-04-07T05:32:00"/>
    <s v="Mesero_3"/>
    <s v="Almuerzo"/>
    <s v="Tarjeta de crédito"/>
    <n v="18.23"/>
    <s v="Ocupada"/>
    <n v="695"/>
    <s v="Venezuela"/>
    <s v="Plato_16, Plato_2"/>
  </r>
  <r>
    <n v="9"/>
    <s v="Cliente_26"/>
    <n v="4"/>
    <d v="2023-04-07T00:02:00"/>
    <d v="2023-04-07T03:03:00"/>
    <s v="Mesero_2"/>
    <s v="Almuerzo"/>
    <s v="Tarjeta de crédito"/>
    <n v="36.43"/>
    <s v="Ocupada"/>
    <n v="679"/>
    <s v="Chile"/>
    <s v="Plato_13, Plato_10, Plato_16, Plato_1"/>
  </r>
  <r>
    <n v="9"/>
    <s v="Cliente_278"/>
    <n v="1"/>
    <d v="2023-04-06T00:55:00"/>
    <d v="2023-04-06T03:45:00"/>
    <s v="Mesero_5"/>
    <s v="Almuerzo"/>
    <s v="Efectivo"/>
    <n v="15.98"/>
    <s v="Ocupada"/>
    <n v="649"/>
    <s v="Paraguay"/>
    <s v="Plato_9, Plato_16, Plato_1, Plato_3"/>
  </r>
  <r>
    <n v="9"/>
    <s v="Cliente_280"/>
    <n v="1"/>
    <d v="2023-04-06T03:57:00"/>
    <d v="2023-04-06T07:06:00"/>
    <s v="Mesero_4"/>
    <s v="Cena"/>
    <s v="Efectivo"/>
    <n v="21.71"/>
    <s v="Reservada"/>
    <n v="576"/>
    <s v="Uruguay"/>
    <s v="Plato_11, Plato_17, Plato_19"/>
  </r>
  <r>
    <n v="9"/>
    <s v="Cliente_283"/>
    <n v="4"/>
    <d v="2023-04-06T03:35:00"/>
    <d v="2023-04-06T06:59:00"/>
    <s v="Mesero_3"/>
    <s v="Almuerzo"/>
    <s v="Tarjeta de débito"/>
    <n v="36.979999999999997"/>
    <s v="Reservada"/>
    <n v="584"/>
    <s v="Chile"/>
    <s v="Plato_13, Plato_17, Plato_16"/>
  </r>
  <r>
    <n v="9"/>
    <s v="Cliente_285"/>
    <n v="4"/>
    <d v="2023-04-05T02:11:00"/>
    <d v="2023-04-05T04:14:00"/>
    <s v="Mesero_4"/>
    <s v="Almuerzo"/>
    <s v="Tarjeta de crédito"/>
    <n v="42.96"/>
    <s v="Reservada"/>
    <n v="400"/>
    <s v="Brasil"/>
    <s v="Plato_20, Plato_16, Plato_17"/>
  </r>
  <r>
    <n v="9"/>
    <s v="Cliente_290"/>
    <n v="5"/>
    <d v="2023-04-06T03:03:00"/>
    <d v="2023-04-06T05:27:00"/>
    <s v="Mesero_2"/>
    <s v="Almuerzo"/>
    <s v="Tarjeta de crédito"/>
    <n v="40.33"/>
    <s v="Ocupada"/>
    <n v="595"/>
    <s v="Paraguay"/>
    <s v="Plato_13, Plato_2"/>
  </r>
  <r>
    <n v="9"/>
    <s v="Cliente_294"/>
    <n v="1"/>
    <d v="2023-04-03T01:30:00"/>
    <d v="2023-04-03T04:17:00"/>
    <s v="Mesero_3"/>
    <s v="Almuerzo"/>
    <s v="Tarjeta de débito"/>
    <n v="44.02"/>
    <s v="Reservada"/>
    <n v="320"/>
    <s v="España"/>
    <s v="Plato_13, Plato_5, Plato_18"/>
  </r>
  <r>
    <n v="9"/>
    <s v="Cliente_30"/>
    <n v="2"/>
    <d v="2023-04-07T00:53:00"/>
    <d v="2023-04-07T04:26:00"/>
    <s v="Mesero_1"/>
    <s v="Cena"/>
    <s v="Tarjeta de crédito"/>
    <n v="25.92"/>
    <s v="Reservada"/>
    <n v="692"/>
    <s v="Argentina"/>
    <s v="Plato_8, Plato_2, Plato_4, Plato_3"/>
  </r>
  <r>
    <n v="9"/>
    <s v="Cliente_330"/>
    <n v="5"/>
    <d v="2023-04-05T03:10:00"/>
    <d v="2023-04-05T07:05:00"/>
    <s v="Mesero_1"/>
    <s v="Desayuno"/>
    <s v="Tarjeta de crédito"/>
    <n v="48.96"/>
    <s v="Libre"/>
    <n v="398"/>
    <s v="Perú"/>
    <s v="Plato_16, Plato_11"/>
  </r>
  <r>
    <n v="9"/>
    <s v="Cliente_344"/>
    <n v="6"/>
    <d v="2023-04-06T03:16:00"/>
    <d v="2023-04-06T06:59:00"/>
    <s v="Mesero_5"/>
    <s v="Almuerzo"/>
    <s v="Tarjeta de crédito"/>
    <n v="11.31"/>
    <s v="Reservada"/>
    <n v="598"/>
    <s v="España"/>
    <s v="Plato_10, Plato_15, Plato_17"/>
  </r>
  <r>
    <n v="9"/>
    <s v="Cliente_429"/>
    <n v="2"/>
    <d v="2023-04-06T01:41:00"/>
    <d v="2023-04-06T03:34:00"/>
    <s v="Mesero_2"/>
    <s v="Cena"/>
    <s v="Tarjeta de débito"/>
    <n v="35.99"/>
    <s v="Libre"/>
    <n v="583"/>
    <s v="Brasil"/>
    <s v="Plato_12, Plato_4, Plato_7, Plato_20"/>
  </r>
  <r>
    <n v="9"/>
    <s v="Cliente_589"/>
    <n v="1"/>
    <d v="2023-04-05T02:53:00"/>
    <d v="2023-04-05T05:19:00"/>
    <s v="Mesero_4"/>
    <s v="Almuerzo"/>
    <s v="Tarjeta de crédito"/>
    <n v="43.48"/>
    <s v="Reservada"/>
    <n v="452"/>
    <s v="Uruguay"/>
    <s v="Plato_17, Plato_5, Plato_13"/>
  </r>
  <r>
    <n v="9"/>
    <s v="Cliente_620"/>
    <n v="3"/>
    <d v="2023-04-03T00:28:00"/>
    <d v="2023-04-03T04:05:00"/>
    <s v="Mesero_1"/>
    <s v="Almuerzo"/>
    <s v="Tarjeta de crédito"/>
    <n v="36.090000000000003"/>
    <s v="Reservada"/>
    <n v="309"/>
    <s v="Argentina"/>
    <s v="Plato_20, Plato_17, Plato_8"/>
  </r>
  <r>
    <n v="9"/>
    <s v="Cliente_633"/>
    <n v="6"/>
    <d v="2023-04-03T00:43:00"/>
    <d v="2023-04-03T01:51:00"/>
    <s v="Mesero_1"/>
    <s v="Cena"/>
    <s v="Tarjeta de crédito"/>
    <n v="21.6"/>
    <s v="Libre"/>
    <n v="324"/>
    <s v="Perú"/>
    <s v="Plato_2, Plato_6, Plato_10"/>
  </r>
  <r>
    <n v="9"/>
    <s v="Cliente_654"/>
    <n v="6"/>
    <d v="2023-04-07T02:06:00"/>
    <d v="2023-04-07T04:29:00"/>
    <s v="Mesero_1"/>
    <s v="Desayuno"/>
    <s v="Tarjeta de débito"/>
    <n v="34.28"/>
    <s v="Ocupada"/>
    <n v="728"/>
    <s v="Argentina"/>
    <s v="Plato_4, Plato_6, Plato_15"/>
  </r>
  <r>
    <n v="9"/>
    <s v="Cliente_722"/>
    <n v="1"/>
    <d v="2023-04-02T00:16:00"/>
    <d v="2023-04-02T03:10:00"/>
    <s v="Mesero_3"/>
    <s v="Almuerzo"/>
    <s v="Tarjeta de débito"/>
    <n v="33.81"/>
    <s v="Libre"/>
    <n v="240"/>
    <s v="Perú"/>
    <s v="Plato_17, Plato_14, Plato_4, Plato_15"/>
  </r>
  <r>
    <n v="9"/>
    <s v="Cliente_74"/>
    <n v="6"/>
    <d v="2023-04-02T01:31:00"/>
    <d v="2023-04-02T04:06:00"/>
    <s v="Mesero_1"/>
    <s v="Cena"/>
    <s v="Efectivo"/>
    <n v="34.49"/>
    <s v="Reservada"/>
    <n v="209"/>
    <s v="Bolivia"/>
    <s v="Plato_14, Plato_18, Plato_1, Plato_10"/>
  </r>
  <r>
    <n v="9"/>
    <s v="Cliente_774"/>
    <n v="2"/>
    <d v="2023-04-02T01:26:00"/>
    <d v="2023-04-02T02:43:00"/>
    <s v="Mesero_3"/>
    <s v="Cena"/>
    <s v="Tarjeta de débito"/>
    <n v="30.96"/>
    <s v="Reservada"/>
    <n v="132"/>
    <s v="Bolivia"/>
    <s v="Plato_14, Plato_19, Plato_13, Plato_8"/>
  </r>
  <r>
    <n v="9"/>
    <s v="Cliente_783"/>
    <n v="6"/>
    <d v="2023-04-05T03:51:00"/>
    <d v="2023-04-05T05:01:00"/>
    <s v="Mesero_3"/>
    <s v="Almuerzo"/>
    <s v="Tarjeta de crédito"/>
    <n v="48.9"/>
    <s v="Ocupada"/>
    <n v="450"/>
    <s v="Bolivia"/>
    <s v="Plato_4, Plato_19"/>
  </r>
  <r>
    <n v="9"/>
    <s v="Cliente_785"/>
    <n v="2"/>
    <d v="2023-04-06T02:31:00"/>
    <d v="2023-04-06T04:39:00"/>
    <s v="Mesero_4"/>
    <s v="Almuerzo"/>
    <s v="Tarjeta de crédito"/>
    <n v="46"/>
    <s v="Reservada"/>
    <n v="536"/>
    <s v="Chile"/>
    <s v="Plato_4, Plato_9, Plato_14, Plato_2"/>
  </r>
  <r>
    <n v="9"/>
    <s v="Cliente_791"/>
    <n v="5"/>
    <d v="2023-04-06T02:47:00"/>
    <d v="2023-04-06T04:43:00"/>
    <s v="Mesero_3"/>
    <s v="Desayuno"/>
    <s v="Tarjeta de crédito"/>
    <n v="49.05"/>
    <s v="Reservada"/>
    <n v="542"/>
    <s v="Chile"/>
    <s v="Plato_18, Plato_10, Plato_6"/>
  </r>
  <r>
    <n v="9"/>
    <s v="Cliente_814"/>
    <n v="6"/>
    <d v="2023-04-06T03:57:00"/>
    <d v="2023-04-06T07:41:00"/>
    <s v="Mesero_2"/>
    <s v="Almuerzo"/>
    <s v="Tarjeta de débito"/>
    <n v="14.09"/>
    <s v="Libre"/>
    <n v="556"/>
    <s v="Paraguay"/>
    <s v="Plato_5, Plato_4"/>
  </r>
  <r>
    <n v="9"/>
    <s v="Cliente_825"/>
    <n v="3"/>
    <d v="2023-04-06T00:31:00"/>
    <d v="2023-04-06T02:23:00"/>
    <s v="Mesero_5"/>
    <s v="Cena"/>
    <s v="Efectivo"/>
    <n v="33.08"/>
    <s v="Reservada"/>
    <n v="564"/>
    <s v="Venezuela"/>
    <s v="Plato_19, Plato_20, Plato_3"/>
  </r>
  <r>
    <n v="9"/>
    <s v="Cliente_874"/>
    <n v="2"/>
    <d v="2023-04-05T02:59:00"/>
    <d v="2023-04-05T05:19:00"/>
    <s v="Mesero_3"/>
    <s v="Almuerzo"/>
    <s v="Tarjeta de crédito"/>
    <n v="42.68"/>
    <s v="Reservada"/>
    <n v="390"/>
    <s v="Chile"/>
    <s v="Plato_5, Plato_10, Plato_13"/>
  </r>
  <r>
    <n v="9"/>
    <s v="Cliente_882"/>
    <n v="6"/>
    <d v="2023-04-06T03:03:00"/>
    <d v="2023-04-06T05:04:00"/>
    <s v="Mesero_2"/>
    <s v="Cena"/>
    <s v="Efectivo"/>
    <n v="34.39"/>
    <s v="Libre"/>
    <n v="531"/>
    <s v="Paraguay"/>
    <s v="Plato_13, Plato_20, Plato_4, Plato_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2">
  <r>
    <x v="0"/>
    <n v="10"/>
    <s v="Plato_2"/>
    <s v="Descripci√≥n del Plato_2"/>
    <n v="18"/>
    <n v="30"/>
    <n v="3"/>
    <n v="32"/>
    <n v="90"/>
    <n v="36"/>
    <n v="0.4"/>
  </r>
  <r>
    <x v="0"/>
    <n v="10"/>
    <s v="Plato_7"/>
    <s v="Descripci√≥n del Plato_7"/>
    <n v="14"/>
    <n v="24"/>
    <n v="2"/>
    <n v="25"/>
    <n v="48"/>
    <n v="20"/>
    <n v="0.41666666666666669"/>
  </r>
  <r>
    <x v="1"/>
    <n v="6"/>
    <s v="Plato_17"/>
    <s v="Descripci√≥n del Plato_17"/>
    <n v="19"/>
    <n v="31"/>
    <n v="1"/>
    <n v="51"/>
    <n v="31"/>
    <n v="12"/>
    <n v="0.38709677419354838"/>
  </r>
  <r>
    <x v="1"/>
    <n v="6"/>
    <s v="Plato_6"/>
    <s v="Descripci√≥n del Plato_6"/>
    <n v="16"/>
    <n v="27"/>
    <n v="1"/>
    <n v="34"/>
    <n v="27"/>
    <n v="11"/>
    <n v="0.40740740740740738"/>
  </r>
  <r>
    <x v="2"/>
    <n v="20"/>
    <s v="Plato_17"/>
    <s v="Descripci√≥n del Plato_17"/>
    <n v="19"/>
    <n v="31"/>
    <n v="1"/>
    <n v="27"/>
    <n v="31"/>
    <n v="12"/>
    <n v="0.38709677419354838"/>
  </r>
  <r>
    <x v="2"/>
    <n v="20"/>
    <s v="Plato_19"/>
    <s v="Descripci√≥n del Plato_19"/>
    <n v="22"/>
    <n v="36"/>
    <n v="1"/>
    <n v="36"/>
    <n v="36"/>
    <n v="14"/>
    <n v="0.3888888888888889"/>
  </r>
  <r>
    <x v="2"/>
    <n v="20"/>
    <s v="Plato_20"/>
    <s v="Descripci√≥n del Plato_20"/>
    <n v="25"/>
    <n v="40"/>
    <n v="1"/>
    <n v="9"/>
    <n v="40"/>
    <n v="15"/>
    <n v="0.375"/>
  </r>
  <r>
    <x v="2"/>
    <n v="20"/>
    <s v="Plato_9"/>
    <s v="Descripci√≥n del Plato_9"/>
    <n v="17"/>
    <n v="29"/>
    <n v="2"/>
    <n v="54"/>
    <n v="58"/>
    <n v="24"/>
    <n v="0.41379310344827586"/>
  </r>
  <r>
    <x v="3"/>
    <n v="3"/>
    <s v="Plato_11"/>
    <s v="Descripci√≥n del Plato_11"/>
    <n v="20"/>
    <n v="33"/>
    <n v="3"/>
    <n v="23"/>
    <n v="99"/>
    <n v="39"/>
    <n v="0.39393939393939392"/>
  </r>
  <r>
    <x v="3"/>
    <n v="3"/>
    <s v="Plato_16"/>
    <s v="Descripci√≥n del Plato_16"/>
    <n v="16"/>
    <n v="28"/>
    <n v="3"/>
    <n v="17"/>
    <n v="84"/>
    <n v="36"/>
    <n v="0.42857142857142855"/>
  </r>
  <r>
    <x v="4"/>
    <n v="8"/>
    <s v="Plato_12"/>
    <s v="Descripci√≥n del Plato_12"/>
    <n v="11"/>
    <n v="19"/>
    <n v="1"/>
    <n v="8"/>
    <n v="19"/>
    <n v="8"/>
    <n v="0.42105263157894735"/>
  </r>
  <r>
    <x v="4"/>
    <n v="8"/>
    <s v="Plato_7"/>
    <s v="Descripci√≥n del Plato_7"/>
    <n v="14"/>
    <n v="24"/>
    <n v="2"/>
    <n v="9"/>
    <n v="48"/>
    <n v="20"/>
    <n v="0.41666666666666669"/>
  </r>
  <r>
    <x v="5"/>
    <n v="7"/>
    <s v="Plato_8"/>
    <s v="Descripci√≥n del Plato_8"/>
    <n v="21"/>
    <n v="35"/>
    <n v="2"/>
    <n v="11"/>
    <n v="70"/>
    <n v="28"/>
    <n v="0.4"/>
  </r>
  <r>
    <x v="6"/>
    <n v="17"/>
    <s v="Plato_15"/>
    <s v="Descripci√≥n del Plato_15"/>
    <n v="19"/>
    <n v="32"/>
    <n v="2"/>
    <n v="15"/>
    <n v="64"/>
    <n v="26"/>
    <n v="0.40625"/>
  </r>
  <r>
    <x v="6"/>
    <n v="17"/>
    <s v="Plato_19"/>
    <s v="Descripci√≥n del Plato_19"/>
    <n v="22"/>
    <n v="36"/>
    <n v="3"/>
    <n v="26"/>
    <n v="108"/>
    <n v="42"/>
    <n v="0.3888888888888889"/>
  </r>
  <r>
    <x v="7"/>
    <n v="11"/>
    <s v="Plato_16"/>
    <s v="Descripci√≥n del Plato_16"/>
    <n v="16"/>
    <n v="28"/>
    <n v="2"/>
    <n v="8"/>
    <n v="56"/>
    <n v="24"/>
    <n v="0.42857142857142855"/>
  </r>
  <r>
    <x v="7"/>
    <n v="11"/>
    <s v="Plato_20"/>
    <s v="Descripci√≥n del Plato_20"/>
    <n v="25"/>
    <n v="40"/>
    <n v="3"/>
    <n v="36"/>
    <n v="120"/>
    <n v="45"/>
    <n v="0.375"/>
  </r>
  <r>
    <x v="7"/>
    <n v="11"/>
    <s v="Plato_5"/>
    <s v="Descripci√≥n del Plato_5"/>
    <n v="13"/>
    <n v="22"/>
    <n v="3"/>
    <n v="11"/>
    <n v="66"/>
    <n v="27"/>
    <n v="0.40909090909090912"/>
  </r>
  <r>
    <x v="8"/>
    <n v="15"/>
    <s v="Plato_12"/>
    <s v="Descripci√≥n del Plato_12"/>
    <n v="11"/>
    <n v="19"/>
    <n v="1"/>
    <n v="15"/>
    <n v="19"/>
    <n v="8"/>
    <n v="0.42105263157894735"/>
  </r>
  <r>
    <x v="8"/>
    <n v="15"/>
    <s v="Plato_15"/>
    <s v="Descripci√≥n del Plato_15"/>
    <n v="19"/>
    <n v="32"/>
    <n v="3"/>
    <n v="31"/>
    <n v="96"/>
    <n v="39"/>
    <n v="0.40625"/>
  </r>
  <r>
    <x v="8"/>
    <n v="15"/>
    <s v="Plato_2"/>
    <s v="Descripci√≥n del Plato_2"/>
    <n v="18"/>
    <n v="30"/>
    <n v="1"/>
    <n v="51"/>
    <n v="30"/>
    <n v="12"/>
    <n v="0.4"/>
  </r>
  <r>
    <x v="8"/>
    <n v="15"/>
    <s v="Plato_7"/>
    <s v="Descripci√≥n del Plato_7"/>
    <n v="14"/>
    <n v="24"/>
    <n v="1"/>
    <n v="49"/>
    <n v="24"/>
    <n v="10"/>
    <n v="0.41666666666666669"/>
  </r>
  <r>
    <x v="9"/>
    <n v="17"/>
    <s v="Plato_18"/>
    <s v="Descripci√≥n del Plato_18"/>
    <n v="20"/>
    <n v="34"/>
    <n v="2"/>
    <n v="10"/>
    <n v="68"/>
    <n v="28"/>
    <n v="0.41176470588235292"/>
  </r>
  <r>
    <x v="9"/>
    <n v="17"/>
    <s v="Plato_20"/>
    <s v="Descripci√≥n del Plato_20"/>
    <n v="25"/>
    <n v="40"/>
    <n v="2"/>
    <n v="19"/>
    <n v="80"/>
    <n v="30"/>
    <n v="0.375"/>
  </r>
  <r>
    <x v="10"/>
    <n v="14"/>
    <s v="Plato_16"/>
    <s v="Descripci√≥n del Plato_16"/>
    <n v="16"/>
    <n v="28"/>
    <n v="1"/>
    <n v="32"/>
    <n v="28"/>
    <n v="12"/>
    <n v="0.42857142857142855"/>
  </r>
  <r>
    <x v="10"/>
    <n v="14"/>
    <s v="Plato_2"/>
    <s v="Descripci√≥n del Plato_2"/>
    <n v="18"/>
    <n v="30"/>
    <n v="2"/>
    <n v="24"/>
    <n v="60"/>
    <n v="24"/>
    <n v="0.4"/>
  </r>
  <r>
    <x v="11"/>
    <n v="14"/>
    <s v="Plato_16"/>
    <s v="Descripci√≥n del Plato_16"/>
    <n v="16"/>
    <n v="28"/>
    <n v="1"/>
    <n v="5"/>
    <n v="28"/>
    <n v="12"/>
    <n v="0.42857142857142855"/>
  </r>
  <r>
    <x v="11"/>
    <n v="14"/>
    <s v="Plato_19"/>
    <s v="Descripci√≥n del Plato_19"/>
    <n v="22"/>
    <n v="36"/>
    <n v="3"/>
    <n v="44"/>
    <n v="108"/>
    <n v="42"/>
    <n v="0.3888888888888889"/>
  </r>
  <r>
    <x v="11"/>
    <n v="14"/>
    <s v="Plato_20"/>
    <s v="Descripci√≥n del Plato_20"/>
    <n v="25"/>
    <n v="40"/>
    <n v="3"/>
    <n v="40"/>
    <n v="120"/>
    <n v="45"/>
    <n v="0.375"/>
  </r>
  <r>
    <x v="11"/>
    <n v="14"/>
    <s v="Plato_8"/>
    <s v="Descripci√≥n del Plato_8"/>
    <n v="21"/>
    <n v="35"/>
    <n v="2"/>
    <n v="6"/>
    <n v="70"/>
    <n v="28"/>
    <n v="0.4"/>
  </r>
  <r>
    <x v="12"/>
    <n v="2"/>
    <s v="Plato_9"/>
    <s v="Descripci√≥n del Plato_9"/>
    <n v="17"/>
    <n v="29"/>
    <n v="3"/>
    <n v="59"/>
    <n v="87"/>
    <n v="36"/>
    <n v="0.41379310344827586"/>
  </r>
  <r>
    <x v="13"/>
    <n v="16"/>
    <s v="Plato_11"/>
    <s v="Descripci√≥n del Plato_11"/>
    <n v="20"/>
    <n v="33"/>
    <n v="1"/>
    <n v="26"/>
    <n v="33"/>
    <n v="13"/>
    <n v="0.39393939393939392"/>
  </r>
  <r>
    <x v="13"/>
    <n v="16"/>
    <s v="Plato_14"/>
    <s v="Descripci√≥n del Plato_14"/>
    <n v="14"/>
    <n v="23"/>
    <n v="2"/>
    <n v="44"/>
    <n v="46"/>
    <n v="18"/>
    <n v="0.39130434782608697"/>
  </r>
  <r>
    <x v="13"/>
    <n v="16"/>
    <s v="Plato_2"/>
    <s v="Descripci√≥n del Plato_2"/>
    <n v="18"/>
    <n v="30"/>
    <n v="1"/>
    <n v="48"/>
    <n v="30"/>
    <n v="12"/>
    <n v="0.4"/>
  </r>
  <r>
    <x v="13"/>
    <n v="16"/>
    <s v="Plato_3"/>
    <s v="Descripci√≥n del Plato_3"/>
    <n v="12"/>
    <n v="20"/>
    <n v="1"/>
    <n v="36"/>
    <n v="20"/>
    <n v="8"/>
    <n v="0.4"/>
  </r>
  <r>
    <x v="14"/>
    <n v="6"/>
    <s v="Plato_13"/>
    <s v="Descripci√≥n del Plato_13"/>
    <n v="13"/>
    <n v="21"/>
    <n v="3"/>
    <n v="27"/>
    <n v="63"/>
    <n v="24"/>
    <n v="0.38095238095238093"/>
  </r>
  <r>
    <x v="14"/>
    <n v="6"/>
    <s v="Plato_16"/>
    <s v="Descripci√≥n del Plato_16"/>
    <n v="16"/>
    <n v="28"/>
    <n v="2"/>
    <n v="25"/>
    <n v="56"/>
    <n v="24"/>
    <n v="0.42857142857142855"/>
  </r>
  <r>
    <x v="14"/>
    <n v="6"/>
    <s v="Plato_8"/>
    <s v="Descripci√≥n del Plato_8"/>
    <n v="21"/>
    <n v="35"/>
    <n v="3"/>
    <n v="51"/>
    <n v="105"/>
    <n v="42"/>
    <n v="0.4"/>
  </r>
  <r>
    <x v="15"/>
    <n v="20"/>
    <s v="Plato_16"/>
    <s v="Descripci√≥n del Plato_16"/>
    <n v="16"/>
    <n v="28"/>
    <n v="1"/>
    <n v="38"/>
    <n v="28"/>
    <n v="12"/>
    <n v="0.42857142857142855"/>
  </r>
  <r>
    <x v="16"/>
    <n v="14"/>
    <s v="Plato_4"/>
    <s v="Descripci√≥n del Plato_4"/>
    <n v="10"/>
    <n v="18"/>
    <n v="2"/>
    <n v="58"/>
    <n v="36"/>
    <n v="16"/>
    <n v="0.44444444444444442"/>
  </r>
  <r>
    <x v="16"/>
    <n v="14"/>
    <s v="Plato_5"/>
    <s v="Descripci√≥n del Plato_5"/>
    <n v="13"/>
    <n v="22"/>
    <n v="3"/>
    <n v="57"/>
    <n v="66"/>
    <n v="27"/>
    <n v="0.40909090909090912"/>
  </r>
  <r>
    <x v="16"/>
    <n v="14"/>
    <s v="Plato_8"/>
    <s v="Descripci√≥n del Plato_8"/>
    <n v="21"/>
    <n v="35"/>
    <n v="1"/>
    <n v="43"/>
    <n v="35"/>
    <n v="14"/>
    <n v="0.4"/>
  </r>
  <r>
    <x v="17"/>
    <n v="9"/>
    <s v="Plato_10"/>
    <s v="Descripci√≥n del Plato_10"/>
    <n v="15"/>
    <n v="26"/>
    <n v="3"/>
    <n v="23"/>
    <n v="78"/>
    <n v="33"/>
    <n v="0.42307692307692307"/>
  </r>
  <r>
    <x v="17"/>
    <n v="9"/>
    <s v="Plato_15"/>
    <s v="Descripci√≥n del Plato_15"/>
    <n v="19"/>
    <n v="32"/>
    <n v="2"/>
    <n v="34"/>
    <n v="64"/>
    <n v="26"/>
    <n v="0.40625"/>
  </r>
  <r>
    <x v="17"/>
    <n v="9"/>
    <s v="Plato_20"/>
    <s v="Descripci√≥n del Plato_20"/>
    <n v="25"/>
    <n v="40"/>
    <n v="2"/>
    <n v="54"/>
    <n v="80"/>
    <n v="30"/>
    <n v="0.375"/>
  </r>
  <r>
    <x v="17"/>
    <n v="9"/>
    <s v="Plato_9"/>
    <s v="Descripci√≥n del Plato_9"/>
    <n v="17"/>
    <n v="29"/>
    <n v="1"/>
    <n v="23"/>
    <n v="29"/>
    <n v="12"/>
    <n v="0.41379310344827586"/>
  </r>
  <r>
    <x v="18"/>
    <n v="18"/>
    <s v="Plato_20"/>
    <s v="Descripci√≥n del Plato_20"/>
    <n v="25"/>
    <n v="40"/>
    <n v="2"/>
    <n v="44"/>
    <n v="80"/>
    <n v="30"/>
    <n v="0.375"/>
  </r>
  <r>
    <x v="19"/>
    <n v="8"/>
    <s v="Plato_1"/>
    <s v="Descripci√≥n del Plato_1"/>
    <n v="15"/>
    <n v="25"/>
    <n v="2"/>
    <n v="6"/>
    <n v="50"/>
    <n v="20"/>
    <n v="0.4"/>
  </r>
  <r>
    <x v="19"/>
    <n v="8"/>
    <s v="Plato_14"/>
    <s v="Descripci√≥n del Plato_14"/>
    <n v="14"/>
    <n v="23"/>
    <n v="1"/>
    <n v="14"/>
    <n v="23"/>
    <n v="9"/>
    <n v="0.39130434782608697"/>
  </r>
  <r>
    <x v="19"/>
    <n v="8"/>
    <s v="Plato_8"/>
    <s v="Descripci√≥n del Plato_8"/>
    <n v="21"/>
    <n v="35"/>
    <n v="3"/>
    <n v="50"/>
    <n v="105"/>
    <n v="42"/>
    <n v="0.4"/>
  </r>
  <r>
    <x v="20"/>
    <n v="12"/>
    <s v="Plato_1"/>
    <s v="Descripci√≥n del Plato_1"/>
    <n v="15"/>
    <n v="25"/>
    <n v="2"/>
    <n v="45"/>
    <n v="50"/>
    <n v="20"/>
    <n v="0.4"/>
  </r>
  <r>
    <x v="20"/>
    <n v="12"/>
    <s v="Plato_15"/>
    <s v="Descripci√≥n del Plato_15"/>
    <n v="19"/>
    <n v="32"/>
    <n v="2"/>
    <n v="44"/>
    <n v="64"/>
    <n v="26"/>
    <n v="0.40625"/>
  </r>
  <r>
    <x v="20"/>
    <n v="12"/>
    <s v="Plato_20"/>
    <s v="Descripci√≥n del Plato_20"/>
    <n v="25"/>
    <n v="40"/>
    <n v="3"/>
    <n v="20"/>
    <n v="120"/>
    <n v="45"/>
    <n v="0.375"/>
  </r>
  <r>
    <x v="20"/>
    <n v="12"/>
    <s v="Plato_3"/>
    <s v="Descripci√≥n del Plato_3"/>
    <n v="12"/>
    <n v="20"/>
    <n v="2"/>
    <n v="43"/>
    <n v="40"/>
    <n v="16"/>
    <n v="0.4"/>
  </r>
  <r>
    <x v="21"/>
    <n v="15"/>
    <s v="Plato_18"/>
    <s v="Descripci√≥n del Plato_18"/>
    <n v="20"/>
    <n v="34"/>
    <n v="3"/>
    <n v="19"/>
    <n v="102"/>
    <n v="42"/>
    <n v="0.41176470588235292"/>
  </r>
  <r>
    <x v="21"/>
    <n v="15"/>
    <s v="Plato_4"/>
    <s v="Descripci√≥n del Plato_4"/>
    <n v="10"/>
    <n v="18"/>
    <n v="1"/>
    <n v="32"/>
    <n v="18"/>
    <n v="8"/>
    <n v="0.44444444444444442"/>
  </r>
  <r>
    <x v="21"/>
    <n v="15"/>
    <s v="Plato_8"/>
    <s v="Descripci√≥n del Plato_8"/>
    <n v="21"/>
    <n v="35"/>
    <n v="1"/>
    <n v="59"/>
    <n v="35"/>
    <n v="14"/>
    <n v="0.4"/>
  </r>
  <r>
    <x v="21"/>
    <n v="15"/>
    <s v="Plato_9"/>
    <s v="Descripci√≥n del Plato_9"/>
    <n v="17"/>
    <n v="29"/>
    <n v="2"/>
    <n v="13"/>
    <n v="58"/>
    <n v="24"/>
    <n v="0.41379310344827586"/>
  </r>
  <r>
    <x v="22"/>
    <n v="1"/>
    <s v="Plato_12"/>
    <s v="Descripci√≥n del Plato_12"/>
    <n v="11"/>
    <n v="19"/>
    <n v="3"/>
    <n v="46"/>
    <n v="57"/>
    <n v="24"/>
    <n v="0.42105263157894735"/>
  </r>
  <r>
    <x v="22"/>
    <n v="1"/>
    <s v="Plato_6"/>
    <s v="Descripci√≥n del Plato_6"/>
    <n v="16"/>
    <n v="27"/>
    <n v="3"/>
    <n v="17"/>
    <n v="81"/>
    <n v="33"/>
    <n v="0.40740740740740738"/>
  </r>
  <r>
    <x v="23"/>
    <n v="5"/>
    <s v="Plato_10"/>
    <s v="Descripci√≥n del Plato_10"/>
    <n v="15"/>
    <n v="26"/>
    <n v="3"/>
    <n v="45"/>
    <n v="78"/>
    <n v="33"/>
    <n v="0.42307692307692307"/>
  </r>
  <r>
    <x v="23"/>
    <n v="5"/>
    <s v="Plato_14"/>
    <s v="Descripci√≥n del Plato_14"/>
    <n v="14"/>
    <n v="23"/>
    <n v="2"/>
    <n v="42"/>
    <n v="46"/>
    <n v="18"/>
    <n v="0.39130434782608697"/>
  </r>
  <r>
    <x v="23"/>
    <n v="5"/>
    <s v="Plato_20"/>
    <s v="Descripci√≥n del Plato_20"/>
    <n v="25"/>
    <n v="40"/>
    <n v="2"/>
    <n v="47"/>
    <n v="80"/>
    <n v="30"/>
    <n v="0.375"/>
  </r>
  <r>
    <x v="23"/>
    <n v="5"/>
    <s v="Plato_9"/>
    <s v="Descripci√≥n del Plato_9"/>
    <n v="17"/>
    <n v="29"/>
    <n v="1"/>
    <n v="46"/>
    <n v="29"/>
    <n v="12"/>
    <n v="0.41379310344827586"/>
  </r>
  <r>
    <x v="24"/>
    <n v="12"/>
    <s v="Plato_18"/>
    <s v="Descripci√≥n del Plato_18"/>
    <n v="20"/>
    <n v="34"/>
    <n v="1"/>
    <n v="35"/>
    <n v="34"/>
    <n v="14"/>
    <n v="0.41176470588235292"/>
  </r>
  <r>
    <x v="25"/>
    <n v="18"/>
    <s v="Plato_13"/>
    <s v="Descripci√≥n del Plato_13"/>
    <n v="13"/>
    <n v="21"/>
    <n v="2"/>
    <n v="54"/>
    <n v="42"/>
    <n v="16"/>
    <n v="0.38095238095238093"/>
  </r>
  <r>
    <x v="25"/>
    <n v="18"/>
    <s v="Plato_4"/>
    <s v="Descripci√≥n del Plato_4"/>
    <n v="10"/>
    <n v="18"/>
    <n v="2"/>
    <n v="13"/>
    <n v="36"/>
    <n v="16"/>
    <n v="0.44444444444444442"/>
  </r>
  <r>
    <x v="25"/>
    <n v="18"/>
    <s v="Plato_7"/>
    <s v="Descripci√≥n del Plato_7"/>
    <n v="14"/>
    <n v="24"/>
    <n v="2"/>
    <n v="42"/>
    <n v="48"/>
    <n v="20"/>
    <n v="0.41666666666666669"/>
  </r>
  <r>
    <x v="26"/>
    <n v="4"/>
    <s v="Plato_10"/>
    <s v="Descripci√≥n del Plato_10"/>
    <n v="15"/>
    <n v="26"/>
    <n v="1"/>
    <n v="38"/>
    <n v="26"/>
    <n v="11"/>
    <n v="0.42307692307692307"/>
  </r>
  <r>
    <x v="26"/>
    <n v="4"/>
    <s v="Plato_8"/>
    <s v="Descripci√≥n del Plato_8"/>
    <n v="21"/>
    <n v="35"/>
    <n v="1"/>
    <n v="17"/>
    <n v="35"/>
    <n v="14"/>
    <n v="0.4"/>
  </r>
  <r>
    <x v="27"/>
    <n v="2"/>
    <s v="Plato_4"/>
    <s v="Descripci√≥n del Plato_4"/>
    <n v="10"/>
    <n v="18"/>
    <n v="2"/>
    <n v="17"/>
    <n v="36"/>
    <n v="16"/>
    <n v="0.44444444444444442"/>
  </r>
  <r>
    <x v="27"/>
    <n v="2"/>
    <s v="Plato_9"/>
    <s v="Descripci√≥n del Plato_9"/>
    <n v="17"/>
    <n v="29"/>
    <n v="2"/>
    <n v="39"/>
    <n v="58"/>
    <n v="24"/>
    <n v="0.41379310344827586"/>
  </r>
  <r>
    <x v="28"/>
    <n v="20"/>
    <s v="Plato_1"/>
    <s v="Descripci√≥n del Plato_1"/>
    <n v="15"/>
    <n v="25"/>
    <n v="3"/>
    <n v="22"/>
    <n v="75"/>
    <n v="30"/>
    <n v="0.4"/>
  </r>
  <r>
    <x v="28"/>
    <n v="20"/>
    <s v="Plato_17"/>
    <s v="Descripci√≥n del Plato_17"/>
    <n v="19"/>
    <n v="31"/>
    <n v="2"/>
    <n v="31"/>
    <n v="62"/>
    <n v="24"/>
    <n v="0.38709677419354838"/>
  </r>
  <r>
    <x v="28"/>
    <n v="20"/>
    <s v="Plato_4"/>
    <s v="Descripci√≥n del Plato_4"/>
    <n v="10"/>
    <n v="18"/>
    <n v="2"/>
    <n v="18"/>
    <n v="36"/>
    <n v="16"/>
    <n v="0.44444444444444442"/>
  </r>
  <r>
    <x v="29"/>
    <n v="14"/>
    <s v="Plato_10"/>
    <s v="Descripci√≥n del Plato_10"/>
    <n v="15"/>
    <n v="26"/>
    <n v="2"/>
    <n v="14"/>
    <n v="52"/>
    <n v="22"/>
    <n v="0.42307692307692307"/>
  </r>
  <r>
    <x v="29"/>
    <n v="14"/>
    <s v="Plato_3"/>
    <s v="Descripci√≥n del Plato_3"/>
    <n v="12"/>
    <n v="20"/>
    <n v="3"/>
    <n v="55"/>
    <n v="60"/>
    <n v="24"/>
    <n v="0.4"/>
  </r>
  <r>
    <x v="30"/>
    <n v="13"/>
    <s v="Plato_12"/>
    <s v="Descripci√≥n del Plato_12"/>
    <n v="11"/>
    <n v="19"/>
    <n v="2"/>
    <n v="46"/>
    <n v="38"/>
    <n v="16"/>
    <n v="0.42105263157894735"/>
  </r>
  <r>
    <x v="30"/>
    <n v="13"/>
    <s v="Plato_9"/>
    <s v="Descripci√≥n del Plato_9"/>
    <n v="17"/>
    <n v="29"/>
    <n v="1"/>
    <n v="59"/>
    <n v="29"/>
    <n v="12"/>
    <n v="0.41379310344827586"/>
  </r>
  <r>
    <x v="31"/>
    <n v="5"/>
    <s v="Plato_10"/>
    <s v="Descripci√≥n del Plato_10"/>
    <n v="15"/>
    <n v="26"/>
    <n v="3"/>
    <n v="35"/>
    <n v="78"/>
    <n v="33"/>
    <n v="0.42307692307692307"/>
  </r>
  <r>
    <x v="31"/>
    <n v="5"/>
    <s v="Plato_11"/>
    <s v="Descripci√≥n del Plato_11"/>
    <n v="20"/>
    <n v="33"/>
    <n v="1"/>
    <n v="20"/>
    <n v="33"/>
    <n v="13"/>
    <n v="0.39393939393939392"/>
  </r>
  <r>
    <x v="31"/>
    <n v="5"/>
    <s v="Plato_15"/>
    <s v="Descripci√≥n del Plato_15"/>
    <n v="19"/>
    <n v="32"/>
    <n v="2"/>
    <n v="50"/>
    <n v="64"/>
    <n v="26"/>
    <n v="0.40625"/>
  </r>
  <r>
    <x v="31"/>
    <n v="5"/>
    <s v="Plato_4"/>
    <s v="Descripci√≥n del Plato_4"/>
    <n v="10"/>
    <n v="18"/>
    <n v="2"/>
    <n v="23"/>
    <n v="36"/>
    <n v="16"/>
    <n v="0.44444444444444442"/>
  </r>
  <r>
    <x v="32"/>
    <n v="4"/>
    <s v="Plato_10"/>
    <s v="Descripci√≥n del Plato_10"/>
    <n v="15"/>
    <n v="26"/>
    <n v="3"/>
    <n v="10"/>
    <n v="78"/>
    <n v="33"/>
    <n v="0.42307692307692307"/>
  </r>
  <r>
    <x v="32"/>
    <n v="4"/>
    <s v="Plato_15"/>
    <s v="Descripci√≥n del Plato_15"/>
    <n v="19"/>
    <n v="32"/>
    <n v="3"/>
    <n v="55"/>
    <n v="96"/>
    <n v="39"/>
    <n v="0.40625"/>
  </r>
  <r>
    <x v="32"/>
    <n v="4"/>
    <s v="Plato_6"/>
    <s v="Descripci√≥n del Plato_6"/>
    <n v="16"/>
    <n v="27"/>
    <n v="1"/>
    <n v="59"/>
    <n v="27"/>
    <n v="11"/>
    <n v="0.40740740740740738"/>
  </r>
  <r>
    <x v="32"/>
    <n v="4"/>
    <s v="Plato_8"/>
    <s v="Descripci√≥n del Plato_8"/>
    <n v="21"/>
    <n v="35"/>
    <n v="3"/>
    <n v="6"/>
    <n v="105"/>
    <n v="42"/>
    <n v="0.4"/>
  </r>
  <r>
    <x v="33"/>
    <n v="15"/>
    <s v="Plato_10"/>
    <s v="Descripci√≥n del Plato_10"/>
    <n v="15"/>
    <n v="26"/>
    <n v="3"/>
    <n v="19"/>
    <n v="78"/>
    <n v="33"/>
    <n v="0.42307692307692307"/>
  </r>
  <r>
    <x v="33"/>
    <n v="15"/>
    <s v="Plato_18"/>
    <s v="Descripci√≥n del Plato_18"/>
    <n v="20"/>
    <n v="34"/>
    <n v="1"/>
    <n v="46"/>
    <n v="34"/>
    <n v="14"/>
    <n v="0.41176470588235292"/>
  </r>
  <r>
    <x v="34"/>
    <n v="13"/>
    <s v="Plato_11"/>
    <s v="Descripci√≥n del Plato_11"/>
    <n v="20"/>
    <n v="33"/>
    <n v="1"/>
    <n v="21"/>
    <n v="33"/>
    <n v="13"/>
    <n v="0.39393939393939392"/>
  </r>
  <r>
    <x v="34"/>
    <n v="13"/>
    <s v="Plato_17"/>
    <s v="Descripci√≥n del Plato_17"/>
    <n v="19"/>
    <n v="31"/>
    <n v="2"/>
    <n v="31"/>
    <n v="62"/>
    <n v="24"/>
    <n v="0.38709677419354838"/>
  </r>
  <r>
    <x v="34"/>
    <n v="13"/>
    <s v="Plato_2"/>
    <s v="Descripci√≥n del Plato_2"/>
    <n v="18"/>
    <n v="30"/>
    <n v="3"/>
    <n v="5"/>
    <n v="90"/>
    <n v="36"/>
    <n v="0.4"/>
  </r>
  <r>
    <x v="34"/>
    <n v="13"/>
    <s v="Plato_9"/>
    <s v="Descripci√≥n del Plato_9"/>
    <n v="17"/>
    <n v="29"/>
    <n v="1"/>
    <n v="8"/>
    <n v="29"/>
    <n v="12"/>
    <n v="0.41379310344827586"/>
  </r>
  <r>
    <x v="35"/>
    <n v="5"/>
    <s v="Plato_2"/>
    <s v="Descripci√≥n del Plato_2"/>
    <n v="18"/>
    <n v="30"/>
    <n v="1"/>
    <n v="38"/>
    <n v="30"/>
    <n v="12"/>
    <n v="0.4"/>
  </r>
  <r>
    <x v="36"/>
    <n v="20"/>
    <s v="Plato_13"/>
    <s v="Descripci√≥n del Plato_13"/>
    <n v="13"/>
    <n v="21"/>
    <n v="1"/>
    <n v="47"/>
    <n v="21"/>
    <n v="8"/>
    <n v="0.38095238095238093"/>
  </r>
  <r>
    <x v="37"/>
    <n v="10"/>
    <s v="Plato_17"/>
    <s v="Descripci√≥n del Plato_17"/>
    <n v="19"/>
    <n v="31"/>
    <n v="3"/>
    <n v="21"/>
    <n v="93"/>
    <n v="36"/>
    <n v="0.38709677419354838"/>
  </r>
  <r>
    <x v="37"/>
    <n v="10"/>
    <s v="Plato_19"/>
    <s v="Descripci√≥n del Plato_19"/>
    <n v="22"/>
    <n v="36"/>
    <n v="2"/>
    <n v="43"/>
    <n v="72"/>
    <n v="28"/>
    <n v="0.3888888888888889"/>
  </r>
  <r>
    <x v="37"/>
    <n v="10"/>
    <s v="Plato_8"/>
    <s v="Descripci√≥n del Plato_8"/>
    <n v="21"/>
    <n v="35"/>
    <n v="2"/>
    <n v="34"/>
    <n v="70"/>
    <n v="28"/>
    <n v="0.4"/>
  </r>
  <r>
    <x v="38"/>
    <n v="15"/>
    <s v="Plato_19"/>
    <s v="Descripci√≥n del Plato_19"/>
    <n v="22"/>
    <n v="36"/>
    <n v="3"/>
    <n v="57"/>
    <n v="108"/>
    <n v="42"/>
    <n v="0.3888888888888889"/>
  </r>
  <r>
    <x v="39"/>
    <n v="1"/>
    <s v="Plato_11"/>
    <s v="Descripci√≥n del Plato_11"/>
    <n v="20"/>
    <n v="33"/>
    <n v="1"/>
    <n v="50"/>
    <n v="33"/>
    <n v="13"/>
    <n v="0.39393939393939392"/>
  </r>
  <r>
    <x v="39"/>
    <n v="1"/>
    <s v="Plato_16"/>
    <s v="Descripci√≥n del Plato_16"/>
    <n v="16"/>
    <n v="28"/>
    <n v="1"/>
    <n v="13"/>
    <n v="28"/>
    <n v="12"/>
    <n v="0.42857142857142855"/>
  </r>
  <r>
    <x v="39"/>
    <n v="1"/>
    <s v="Plato_9"/>
    <s v="Descripci√≥n del Plato_9"/>
    <n v="17"/>
    <n v="29"/>
    <n v="3"/>
    <n v="15"/>
    <n v="87"/>
    <n v="36"/>
    <n v="0.41379310344827586"/>
  </r>
  <r>
    <x v="40"/>
    <n v="7"/>
    <s v="Plato_10"/>
    <s v="Descripci√≥n del Plato_10"/>
    <n v="15"/>
    <n v="26"/>
    <n v="3"/>
    <n v="47"/>
    <n v="78"/>
    <n v="33"/>
    <n v="0.42307692307692307"/>
  </r>
  <r>
    <x v="40"/>
    <n v="7"/>
    <s v="Plato_15"/>
    <s v="Descripci√≥n del Plato_15"/>
    <n v="19"/>
    <n v="32"/>
    <n v="3"/>
    <n v="23"/>
    <n v="96"/>
    <n v="39"/>
    <n v="0.40625"/>
  </r>
  <r>
    <x v="40"/>
    <n v="7"/>
    <s v="Plato_2"/>
    <s v="Descripci√≥n del Plato_2"/>
    <n v="18"/>
    <n v="30"/>
    <n v="1"/>
    <n v="19"/>
    <n v="30"/>
    <n v="12"/>
    <n v="0.4"/>
  </r>
  <r>
    <x v="41"/>
    <n v="14"/>
    <s v="Plato_20"/>
    <s v="Descripci√≥n del Plato_20"/>
    <n v="25"/>
    <n v="40"/>
    <n v="2"/>
    <n v="12"/>
    <n v="80"/>
    <n v="30"/>
    <n v="0.375"/>
  </r>
  <r>
    <x v="41"/>
    <n v="14"/>
    <s v="Plato_5"/>
    <s v="Descripci√≥n del Plato_5"/>
    <n v="13"/>
    <n v="22"/>
    <n v="1"/>
    <n v="57"/>
    <n v="22"/>
    <n v="9"/>
    <n v="0.40909090909090912"/>
  </r>
  <r>
    <x v="42"/>
    <n v="8"/>
    <s v="Plato_15"/>
    <s v="Descripci√≥n del Plato_15"/>
    <n v="19"/>
    <n v="32"/>
    <n v="1"/>
    <n v="6"/>
    <n v="32"/>
    <n v="13"/>
    <n v="0.40625"/>
  </r>
  <r>
    <x v="42"/>
    <n v="8"/>
    <s v="Plato_17"/>
    <s v="Descripci√≥n del Plato_17"/>
    <n v="19"/>
    <n v="31"/>
    <n v="1"/>
    <n v="24"/>
    <n v="31"/>
    <n v="12"/>
    <n v="0.38709677419354838"/>
  </r>
  <r>
    <x v="42"/>
    <n v="8"/>
    <s v="Plato_18"/>
    <s v="Descripci√≥n del Plato_18"/>
    <n v="20"/>
    <n v="34"/>
    <n v="2"/>
    <n v="59"/>
    <n v="68"/>
    <n v="28"/>
    <n v="0.41176470588235292"/>
  </r>
  <r>
    <x v="42"/>
    <n v="8"/>
    <s v="Plato_7"/>
    <s v="Descripci√≥n del Plato_7"/>
    <n v="14"/>
    <n v="24"/>
    <n v="3"/>
    <n v="57"/>
    <n v="72"/>
    <n v="30"/>
    <n v="0.41666666666666669"/>
  </r>
  <r>
    <x v="43"/>
    <n v="18"/>
    <s v="Plato_1"/>
    <s v="Descripci√≥n del Plato_1"/>
    <n v="15"/>
    <n v="25"/>
    <n v="3"/>
    <n v="8"/>
    <n v="75"/>
    <n v="30"/>
    <n v="0.4"/>
  </r>
  <r>
    <x v="43"/>
    <n v="18"/>
    <s v="Plato_10"/>
    <s v="Descripci√≥n del Plato_10"/>
    <n v="15"/>
    <n v="26"/>
    <n v="1"/>
    <n v="34"/>
    <n v="26"/>
    <n v="11"/>
    <n v="0.42307692307692307"/>
  </r>
  <r>
    <x v="43"/>
    <n v="18"/>
    <s v="Plato_13"/>
    <s v="Descripci√≥n del Plato_13"/>
    <n v="13"/>
    <n v="21"/>
    <n v="1"/>
    <n v="43"/>
    <n v="21"/>
    <n v="8"/>
    <n v="0.38095238095238093"/>
  </r>
  <r>
    <x v="44"/>
    <n v="17"/>
    <s v="Plato_4"/>
    <s v="Descripci√≥n del Plato_4"/>
    <n v="10"/>
    <n v="18"/>
    <n v="3"/>
    <n v="47"/>
    <n v="54"/>
    <n v="24"/>
    <n v="0.44444444444444442"/>
  </r>
  <r>
    <x v="45"/>
    <n v="10"/>
    <s v="Plato_14"/>
    <s v="Descripci√≥n del Plato_14"/>
    <n v="14"/>
    <n v="23"/>
    <n v="2"/>
    <n v="15"/>
    <n v="46"/>
    <n v="18"/>
    <n v="0.39130434782608697"/>
  </r>
  <r>
    <x v="45"/>
    <n v="10"/>
    <s v="Plato_18"/>
    <s v="Descripci√≥n del Plato_18"/>
    <n v="20"/>
    <n v="34"/>
    <n v="1"/>
    <n v="48"/>
    <n v="34"/>
    <n v="14"/>
    <n v="0.41176470588235292"/>
  </r>
  <r>
    <x v="45"/>
    <n v="10"/>
    <s v="Plato_2"/>
    <s v="Descripci√≥n del Plato_2"/>
    <n v="18"/>
    <n v="30"/>
    <n v="2"/>
    <n v="23"/>
    <n v="60"/>
    <n v="24"/>
    <n v="0.4"/>
  </r>
  <r>
    <x v="46"/>
    <n v="18"/>
    <s v="Plato_11"/>
    <s v="Descripci√≥n del Plato_11"/>
    <n v="20"/>
    <n v="33"/>
    <n v="2"/>
    <n v="56"/>
    <n v="66"/>
    <n v="26"/>
    <n v="0.39393939393939392"/>
  </r>
  <r>
    <x v="46"/>
    <n v="18"/>
    <s v="Plato_14"/>
    <s v="Descripci√≥n del Plato_14"/>
    <n v="14"/>
    <n v="23"/>
    <n v="1"/>
    <n v="17"/>
    <n v="23"/>
    <n v="9"/>
    <n v="0.39130434782608697"/>
  </r>
  <r>
    <x v="46"/>
    <n v="18"/>
    <s v="Plato_3"/>
    <s v="Descripci√≥n del Plato_3"/>
    <n v="12"/>
    <n v="20"/>
    <n v="1"/>
    <n v="14"/>
    <n v="20"/>
    <n v="8"/>
    <n v="0.4"/>
  </r>
  <r>
    <x v="47"/>
    <n v="17"/>
    <s v="Plato_11"/>
    <s v="Descripci√≥n del Plato_11"/>
    <n v="20"/>
    <n v="33"/>
    <n v="1"/>
    <n v="32"/>
    <n v="33"/>
    <n v="13"/>
    <n v="0.39393939393939392"/>
  </r>
  <r>
    <x v="47"/>
    <n v="17"/>
    <s v="Plato_5"/>
    <s v="Descripci√≥n del Plato_5"/>
    <n v="13"/>
    <n v="22"/>
    <n v="2"/>
    <n v="55"/>
    <n v="44"/>
    <n v="18"/>
    <n v="0.40909090909090912"/>
  </r>
  <r>
    <x v="47"/>
    <n v="17"/>
    <s v="Plato_6"/>
    <s v="Descripci√≥n del Plato_6"/>
    <n v="16"/>
    <n v="27"/>
    <n v="3"/>
    <n v="37"/>
    <n v="81"/>
    <n v="33"/>
    <n v="0.40740740740740738"/>
  </r>
  <r>
    <x v="48"/>
    <n v="8"/>
    <s v="Plato_15"/>
    <s v="Descripci√≥n del Plato_15"/>
    <n v="19"/>
    <n v="32"/>
    <n v="3"/>
    <n v="27"/>
    <n v="96"/>
    <n v="39"/>
    <n v="0.40625"/>
  </r>
  <r>
    <x v="48"/>
    <n v="8"/>
    <s v="Plato_4"/>
    <s v="Descripci√≥n del Plato_4"/>
    <n v="10"/>
    <n v="18"/>
    <n v="1"/>
    <n v="45"/>
    <n v="18"/>
    <n v="8"/>
    <n v="0.44444444444444442"/>
  </r>
  <r>
    <x v="48"/>
    <n v="8"/>
    <s v="Plato_7"/>
    <s v="Descripci√≥n del Plato_7"/>
    <n v="14"/>
    <n v="24"/>
    <n v="3"/>
    <n v="9"/>
    <n v="72"/>
    <n v="30"/>
    <n v="0.41666666666666669"/>
  </r>
  <r>
    <x v="49"/>
    <n v="19"/>
    <s v="Plato_15"/>
    <s v="Descripci√≥n del Plato_15"/>
    <n v="19"/>
    <n v="32"/>
    <n v="1"/>
    <n v="6"/>
    <n v="32"/>
    <n v="13"/>
    <n v="0.40625"/>
  </r>
  <r>
    <x v="49"/>
    <n v="19"/>
    <s v="Plato_5"/>
    <s v="Descripci√≥n del Plato_5"/>
    <n v="13"/>
    <n v="22"/>
    <n v="2"/>
    <n v="15"/>
    <n v="44"/>
    <n v="18"/>
    <n v="0.40909090909090912"/>
  </r>
  <r>
    <x v="50"/>
    <n v="12"/>
    <s v="Plato_11"/>
    <s v="Descripci√≥n del Plato_11"/>
    <n v="20"/>
    <n v="33"/>
    <n v="3"/>
    <n v="56"/>
    <n v="99"/>
    <n v="39"/>
    <n v="0.39393939393939392"/>
  </r>
  <r>
    <x v="50"/>
    <n v="12"/>
    <s v="Plato_14"/>
    <s v="Descripci√≥n del Plato_14"/>
    <n v="14"/>
    <n v="23"/>
    <n v="2"/>
    <n v="33"/>
    <n v="46"/>
    <n v="18"/>
    <n v="0.39130434782608697"/>
  </r>
  <r>
    <x v="50"/>
    <n v="12"/>
    <s v="Plato_4"/>
    <s v="Descripci√≥n del Plato_4"/>
    <n v="10"/>
    <n v="18"/>
    <n v="2"/>
    <n v="22"/>
    <n v="36"/>
    <n v="16"/>
    <n v="0.44444444444444442"/>
  </r>
  <r>
    <x v="50"/>
    <n v="12"/>
    <s v="Plato_5"/>
    <s v="Descripci√≥n del Plato_5"/>
    <n v="13"/>
    <n v="22"/>
    <n v="2"/>
    <n v="53"/>
    <n v="44"/>
    <n v="18"/>
    <n v="0.40909090909090912"/>
  </r>
  <r>
    <x v="51"/>
    <n v="7"/>
    <s v="Plato_11"/>
    <s v="Descripci√≥n del Plato_11"/>
    <n v="20"/>
    <n v="33"/>
    <n v="3"/>
    <n v="13"/>
    <n v="99"/>
    <n v="39"/>
    <n v="0.39393939393939392"/>
  </r>
  <r>
    <x v="51"/>
    <n v="7"/>
    <s v="Plato_17"/>
    <s v="Descripci√≥n del Plato_17"/>
    <n v="19"/>
    <n v="31"/>
    <n v="2"/>
    <n v="17"/>
    <n v="62"/>
    <n v="24"/>
    <n v="0.38709677419354838"/>
  </r>
  <r>
    <x v="51"/>
    <n v="7"/>
    <s v="Plato_18"/>
    <s v="Descripci√≥n del Plato_18"/>
    <n v="20"/>
    <n v="34"/>
    <n v="3"/>
    <n v="32"/>
    <n v="102"/>
    <n v="42"/>
    <n v="0.41176470588235292"/>
  </r>
  <r>
    <x v="52"/>
    <n v="16"/>
    <s v="Plato_14"/>
    <s v="Descripci√≥n del Plato_14"/>
    <n v="14"/>
    <n v="23"/>
    <n v="3"/>
    <n v="47"/>
    <n v="69"/>
    <n v="27"/>
    <n v="0.39130434782608697"/>
  </r>
  <r>
    <x v="52"/>
    <n v="16"/>
    <s v="Plato_19"/>
    <s v="Descripci√≥n del Plato_19"/>
    <n v="22"/>
    <n v="36"/>
    <n v="3"/>
    <n v="26"/>
    <n v="108"/>
    <n v="42"/>
    <n v="0.3888888888888889"/>
  </r>
  <r>
    <x v="52"/>
    <n v="16"/>
    <s v="Plato_2"/>
    <s v="Descripci√≥n del Plato_2"/>
    <n v="18"/>
    <n v="30"/>
    <n v="3"/>
    <n v="39"/>
    <n v="90"/>
    <n v="36"/>
    <n v="0.4"/>
  </r>
  <r>
    <x v="53"/>
    <n v="6"/>
    <s v="Plato_11"/>
    <s v="Descripci√≥n del Plato_11"/>
    <n v="20"/>
    <n v="33"/>
    <n v="1"/>
    <n v="46"/>
    <n v="33"/>
    <n v="13"/>
    <n v="0.39393939393939392"/>
  </r>
  <r>
    <x v="53"/>
    <n v="6"/>
    <s v="Plato_17"/>
    <s v="Descripci√≥n del Plato_17"/>
    <n v="19"/>
    <n v="31"/>
    <n v="1"/>
    <n v="55"/>
    <n v="31"/>
    <n v="12"/>
    <n v="0.38709677419354838"/>
  </r>
  <r>
    <x v="53"/>
    <n v="6"/>
    <s v="Plato_4"/>
    <s v="Descripci√≥n del Plato_4"/>
    <n v="10"/>
    <n v="18"/>
    <n v="1"/>
    <n v="55"/>
    <n v="18"/>
    <n v="8"/>
    <n v="0.44444444444444442"/>
  </r>
  <r>
    <x v="53"/>
    <n v="6"/>
    <s v="Plato_8"/>
    <s v="Descripci√≥n del Plato_8"/>
    <n v="21"/>
    <n v="35"/>
    <n v="3"/>
    <n v="47"/>
    <n v="105"/>
    <n v="42"/>
    <n v="0.4"/>
  </r>
  <r>
    <x v="54"/>
    <n v="20"/>
    <s v="Plato_11"/>
    <s v="Descripci√≥n del Plato_11"/>
    <n v="20"/>
    <n v="33"/>
    <n v="3"/>
    <n v="27"/>
    <n v="99"/>
    <n v="39"/>
    <n v="0.39393939393939392"/>
  </r>
  <r>
    <x v="54"/>
    <n v="20"/>
    <s v="Plato_15"/>
    <s v="Descripci√≥n del Plato_15"/>
    <n v="19"/>
    <n v="32"/>
    <n v="3"/>
    <n v="13"/>
    <n v="96"/>
    <n v="39"/>
    <n v="0.40625"/>
  </r>
  <r>
    <x v="54"/>
    <n v="20"/>
    <s v="Plato_19"/>
    <s v="Descripci√≥n del Plato_19"/>
    <n v="22"/>
    <n v="36"/>
    <n v="1"/>
    <n v="51"/>
    <n v="36"/>
    <n v="14"/>
    <n v="0.3888888888888889"/>
  </r>
  <r>
    <x v="54"/>
    <n v="20"/>
    <s v="Plato_7"/>
    <s v="Descripci√≥n del Plato_7"/>
    <n v="14"/>
    <n v="24"/>
    <n v="1"/>
    <n v="5"/>
    <n v="24"/>
    <n v="10"/>
    <n v="0.41666666666666669"/>
  </r>
  <r>
    <x v="55"/>
    <n v="1"/>
    <s v="Plato_12"/>
    <s v="Descripci√≥n del Plato_12"/>
    <n v="11"/>
    <n v="19"/>
    <n v="1"/>
    <n v="40"/>
    <n v="19"/>
    <n v="8"/>
    <n v="0.42105263157894735"/>
  </r>
  <r>
    <x v="55"/>
    <n v="1"/>
    <s v="Plato_9"/>
    <s v="Descripci√≥n del Plato_9"/>
    <n v="17"/>
    <n v="29"/>
    <n v="1"/>
    <n v="38"/>
    <n v="29"/>
    <n v="12"/>
    <n v="0.41379310344827586"/>
  </r>
  <r>
    <x v="56"/>
    <n v="18"/>
    <s v="Plato_19"/>
    <s v="Descripci√≥n del Plato_19"/>
    <n v="22"/>
    <n v="36"/>
    <n v="2"/>
    <n v="7"/>
    <n v="72"/>
    <n v="28"/>
    <n v="0.3888888888888889"/>
  </r>
  <r>
    <x v="56"/>
    <n v="18"/>
    <s v="Plato_20"/>
    <s v="Descripci√≥n del Plato_20"/>
    <n v="25"/>
    <n v="40"/>
    <n v="1"/>
    <n v="30"/>
    <n v="40"/>
    <n v="15"/>
    <n v="0.375"/>
  </r>
  <r>
    <x v="56"/>
    <n v="18"/>
    <s v="Plato_5"/>
    <s v="Descripci√≥n del Plato_5"/>
    <n v="13"/>
    <n v="22"/>
    <n v="1"/>
    <n v="10"/>
    <n v="22"/>
    <n v="9"/>
    <n v="0.40909090909090912"/>
  </r>
  <r>
    <x v="56"/>
    <n v="18"/>
    <s v="Plato_8"/>
    <s v="Descripci√≥n del Plato_8"/>
    <n v="21"/>
    <n v="35"/>
    <n v="1"/>
    <n v="21"/>
    <n v="35"/>
    <n v="14"/>
    <n v="0.4"/>
  </r>
  <r>
    <x v="57"/>
    <n v="8"/>
    <s v="Plato_3"/>
    <s v="Descripci√≥n del Plato_3"/>
    <n v="12"/>
    <n v="20"/>
    <n v="3"/>
    <n v="56"/>
    <n v="60"/>
    <n v="24"/>
    <n v="0.4"/>
  </r>
  <r>
    <x v="57"/>
    <n v="8"/>
    <s v="Plato_5"/>
    <s v="Descripci√≥n del Plato_5"/>
    <n v="13"/>
    <n v="22"/>
    <n v="1"/>
    <n v="17"/>
    <n v="22"/>
    <n v="9"/>
    <n v="0.40909090909090912"/>
  </r>
  <r>
    <x v="58"/>
    <n v="8"/>
    <s v="Plato_12"/>
    <s v="Descripci√≥n del Plato_12"/>
    <n v="11"/>
    <n v="19"/>
    <n v="2"/>
    <n v="13"/>
    <n v="38"/>
    <n v="16"/>
    <n v="0.42105263157894735"/>
  </r>
  <r>
    <x v="58"/>
    <n v="8"/>
    <s v="Plato_14"/>
    <s v="Descripci√≥n del Plato_14"/>
    <n v="14"/>
    <n v="23"/>
    <n v="2"/>
    <n v="9"/>
    <n v="46"/>
    <n v="18"/>
    <n v="0.39130434782608697"/>
  </r>
  <r>
    <x v="58"/>
    <n v="8"/>
    <s v="Plato_20"/>
    <s v="Descripci√≥n del Plato_20"/>
    <n v="25"/>
    <n v="40"/>
    <n v="1"/>
    <n v="13"/>
    <n v="40"/>
    <n v="15"/>
    <n v="0.375"/>
  </r>
  <r>
    <x v="58"/>
    <n v="8"/>
    <s v="Plato_4"/>
    <s v="Descripci√≥n del Plato_4"/>
    <n v="10"/>
    <n v="18"/>
    <n v="2"/>
    <n v="13"/>
    <n v="36"/>
    <n v="16"/>
    <n v="0.44444444444444442"/>
  </r>
  <r>
    <x v="59"/>
    <n v="6"/>
    <s v="Plato_11"/>
    <s v="Descripci√≥n del Plato_11"/>
    <n v="20"/>
    <n v="33"/>
    <n v="2"/>
    <n v="20"/>
    <n v="66"/>
    <n v="26"/>
    <n v="0.39393939393939392"/>
  </r>
  <r>
    <x v="59"/>
    <n v="6"/>
    <s v="Plato_4"/>
    <s v="Descripci√≥n del Plato_4"/>
    <n v="10"/>
    <n v="18"/>
    <n v="2"/>
    <n v="23"/>
    <n v="36"/>
    <n v="16"/>
    <n v="0.44444444444444442"/>
  </r>
  <r>
    <x v="60"/>
    <n v="10"/>
    <s v="Plato_16"/>
    <s v="Descripci√≥n del Plato_16"/>
    <n v="16"/>
    <n v="28"/>
    <n v="3"/>
    <n v="51"/>
    <n v="84"/>
    <n v="36"/>
    <n v="0.42857142857142855"/>
  </r>
  <r>
    <x v="60"/>
    <n v="10"/>
    <s v="Plato_2"/>
    <s v="Descripci√≥n del Plato_2"/>
    <n v="18"/>
    <n v="30"/>
    <n v="2"/>
    <n v="13"/>
    <n v="60"/>
    <n v="24"/>
    <n v="0.4"/>
  </r>
  <r>
    <x v="60"/>
    <n v="10"/>
    <s v="Plato_20"/>
    <s v="Descripci√≥n del Plato_20"/>
    <n v="25"/>
    <n v="40"/>
    <n v="2"/>
    <n v="56"/>
    <n v="80"/>
    <n v="30"/>
    <n v="0.375"/>
  </r>
  <r>
    <x v="60"/>
    <n v="10"/>
    <s v="Plato_4"/>
    <s v="Descripci√≥n del Plato_4"/>
    <n v="10"/>
    <n v="18"/>
    <n v="1"/>
    <n v="39"/>
    <n v="18"/>
    <n v="8"/>
    <n v="0.44444444444444442"/>
  </r>
  <r>
    <x v="61"/>
    <n v="2"/>
    <s v="Plato_12"/>
    <s v="Descripci√≥n del Plato_12"/>
    <n v="11"/>
    <n v="19"/>
    <n v="3"/>
    <n v="46"/>
    <n v="57"/>
    <n v="24"/>
    <n v="0.42105263157894735"/>
  </r>
  <r>
    <x v="61"/>
    <n v="2"/>
    <s v="Plato_17"/>
    <s v="Descripci√≥n del Plato_17"/>
    <n v="19"/>
    <n v="31"/>
    <n v="1"/>
    <n v="50"/>
    <n v="31"/>
    <n v="12"/>
    <n v="0.38709677419354838"/>
  </r>
  <r>
    <x v="61"/>
    <n v="2"/>
    <s v="Plato_2"/>
    <s v="Descripci√≥n del Plato_2"/>
    <n v="18"/>
    <n v="30"/>
    <n v="2"/>
    <n v="59"/>
    <n v="60"/>
    <n v="24"/>
    <n v="0.4"/>
  </r>
  <r>
    <x v="62"/>
    <n v="17"/>
    <s v="Plato_3"/>
    <s v="Descripci√≥n del Plato_3"/>
    <n v="12"/>
    <n v="20"/>
    <n v="1"/>
    <n v="10"/>
    <n v="20"/>
    <n v="8"/>
    <n v="0.4"/>
  </r>
  <r>
    <x v="62"/>
    <n v="17"/>
    <s v="Plato_8"/>
    <s v="Descripci√≥n del Plato_8"/>
    <n v="21"/>
    <n v="35"/>
    <n v="1"/>
    <n v="20"/>
    <n v="35"/>
    <n v="14"/>
    <n v="0.4"/>
  </r>
  <r>
    <x v="63"/>
    <n v="3"/>
    <s v="Plato_19"/>
    <s v="Descripci√≥n del Plato_19"/>
    <n v="22"/>
    <n v="36"/>
    <n v="3"/>
    <n v="10"/>
    <n v="108"/>
    <n v="42"/>
    <n v="0.3888888888888889"/>
  </r>
  <r>
    <x v="63"/>
    <n v="3"/>
    <s v="Plato_20"/>
    <s v="Descripci√≥n del Plato_20"/>
    <n v="25"/>
    <n v="40"/>
    <n v="3"/>
    <n v="47"/>
    <n v="120"/>
    <n v="45"/>
    <n v="0.375"/>
  </r>
  <r>
    <x v="63"/>
    <n v="3"/>
    <s v="Plato_3"/>
    <s v="Descripci√≥n del Plato_3"/>
    <n v="12"/>
    <n v="20"/>
    <n v="3"/>
    <n v="25"/>
    <n v="60"/>
    <n v="24"/>
    <n v="0.4"/>
  </r>
  <r>
    <x v="64"/>
    <n v="5"/>
    <s v="Plato_12"/>
    <s v="Descripci√≥n del Plato_12"/>
    <n v="11"/>
    <n v="19"/>
    <n v="3"/>
    <n v="51"/>
    <n v="57"/>
    <n v="24"/>
    <n v="0.42105263157894735"/>
  </r>
  <r>
    <x v="64"/>
    <n v="5"/>
    <s v="Plato_16"/>
    <s v="Descripci√≥n del Plato_16"/>
    <n v="16"/>
    <n v="28"/>
    <n v="1"/>
    <n v="32"/>
    <n v="28"/>
    <n v="12"/>
    <n v="0.42857142857142855"/>
  </r>
  <r>
    <x v="64"/>
    <n v="5"/>
    <s v="Plato_17"/>
    <s v="Descripci√≥n del Plato_17"/>
    <n v="19"/>
    <n v="31"/>
    <n v="1"/>
    <n v="55"/>
    <n v="31"/>
    <n v="12"/>
    <n v="0.38709677419354838"/>
  </r>
  <r>
    <x v="64"/>
    <n v="5"/>
    <s v="Plato_20"/>
    <s v="Descripci√≥n del Plato_20"/>
    <n v="25"/>
    <n v="40"/>
    <n v="2"/>
    <n v="17"/>
    <n v="80"/>
    <n v="30"/>
    <n v="0.375"/>
  </r>
  <r>
    <x v="65"/>
    <n v="18"/>
    <s v="Plato_19"/>
    <s v="Descripci√≥n del Plato_19"/>
    <n v="22"/>
    <n v="36"/>
    <n v="1"/>
    <n v="29"/>
    <n v="36"/>
    <n v="14"/>
    <n v="0.3888888888888889"/>
  </r>
  <r>
    <x v="65"/>
    <n v="18"/>
    <s v="Plato_20"/>
    <s v="Descripci√≥n del Plato_20"/>
    <n v="25"/>
    <n v="40"/>
    <n v="3"/>
    <n v="30"/>
    <n v="120"/>
    <n v="45"/>
    <n v="0.375"/>
  </r>
  <r>
    <x v="65"/>
    <n v="18"/>
    <s v="Plato_4"/>
    <s v="Descripci√≥n del Plato_4"/>
    <n v="10"/>
    <n v="18"/>
    <n v="3"/>
    <n v="55"/>
    <n v="54"/>
    <n v="24"/>
    <n v="0.44444444444444442"/>
  </r>
  <r>
    <x v="66"/>
    <n v="2"/>
    <s v="Plato_10"/>
    <s v="Descripci√≥n del Plato_10"/>
    <n v="15"/>
    <n v="26"/>
    <n v="3"/>
    <n v="15"/>
    <n v="78"/>
    <n v="33"/>
    <n v="0.42307692307692307"/>
  </r>
  <r>
    <x v="66"/>
    <n v="2"/>
    <s v="Plato_19"/>
    <s v="Descripci√≥n del Plato_19"/>
    <n v="22"/>
    <n v="36"/>
    <n v="3"/>
    <n v="59"/>
    <n v="108"/>
    <n v="42"/>
    <n v="0.3888888888888889"/>
  </r>
  <r>
    <x v="66"/>
    <n v="2"/>
    <s v="Plato_2"/>
    <s v="Descripci√≥n del Plato_2"/>
    <n v="18"/>
    <n v="30"/>
    <n v="1"/>
    <n v="35"/>
    <n v="30"/>
    <n v="12"/>
    <n v="0.4"/>
  </r>
  <r>
    <x v="66"/>
    <n v="2"/>
    <s v="Plato_20"/>
    <s v="Descripci√≥n del Plato_20"/>
    <n v="25"/>
    <n v="40"/>
    <n v="1"/>
    <n v="22"/>
    <n v="40"/>
    <n v="15"/>
    <n v="0.375"/>
  </r>
  <r>
    <x v="67"/>
    <n v="8"/>
    <s v="Plato_1"/>
    <s v="Descripci√≥n del Plato_1"/>
    <n v="15"/>
    <n v="25"/>
    <n v="1"/>
    <n v="26"/>
    <n v="25"/>
    <n v="10"/>
    <n v="0.4"/>
  </r>
  <r>
    <x v="67"/>
    <n v="8"/>
    <s v="Plato_14"/>
    <s v="Descripci√≥n del Plato_14"/>
    <n v="14"/>
    <n v="23"/>
    <n v="3"/>
    <n v="43"/>
    <n v="69"/>
    <n v="27"/>
    <n v="0.39130434782608697"/>
  </r>
  <r>
    <x v="67"/>
    <n v="8"/>
    <s v="Plato_15"/>
    <s v="Descripci√≥n del Plato_15"/>
    <n v="19"/>
    <n v="32"/>
    <n v="3"/>
    <n v="57"/>
    <n v="96"/>
    <n v="39"/>
    <n v="0.40625"/>
  </r>
  <r>
    <x v="67"/>
    <n v="8"/>
    <s v="Plato_16"/>
    <s v="Descripci√≥n del Plato_16"/>
    <n v="16"/>
    <n v="28"/>
    <n v="1"/>
    <n v="19"/>
    <n v="28"/>
    <n v="12"/>
    <n v="0.42857142857142855"/>
  </r>
  <r>
    <x v="68"/>
    <n v="5"/>
    <s v="Plato_11"/>
    <s v="Descripci√≥n del Plato_11"/>
    <n v="20"/>
    <n v="33"/>
    <n v="3"/>
    <n v="24"/>
    <n v="99"/>
    <n v="39"/>
    <n v="0.39393939393939392"/>
  </r>
  <r>
    <x v="68"/>
    <n v="5"/>
    <s v="Plato_13"/>
    <s v="Descripci√≥n del Plato_13"/>
    <n v="13"/>
    <n v="21"/>
    <n v="3"/>
    <n v="20"/>
    <n v="63"/>
    <n v="24"/>
    <n v="0.38095238095238093"/>
  </r>
  <r>
    <x v="68"/>
    <n v="5"/>
    <s v="Plato_7"/>
    <s v="Descripci√≥n del Plato_7"/>
    <n v="14"/>
    <n v="24"/>
    <n v="3"/>
    <n v="48"/>
    <n v="72"/>
    <n v="30"/>
    <n v="0.41666666666666669"/>
  </r>
  <r>
    <x v="69"/>
    <n v="17"/>
    <s v="Plato_1"/>
    <s v="Descripci√≥n del Plato_1"/>
    <n v="15"/>
    <n v="25"/>
    <n v="2"/>
    <n v="19"/>
    <n v="50"/>
    <n v="20"/>
    <n v="0.4"/>
  </r>
  <r>
    <x v="69"/>
    <n v="17"/>
    <s v="Plato_18"/>
    <s v="Descripci√≥n del Plato_18"/>
    <n v="20"/>
    <n v="34"/>
    <n v="2"/>
    <n v="21"/>
    <n v="68"/>
    <n v="28"/>
    <n v="0.41176470588235292"/>
  </r>
  <r>
    <x v="70"/>
    <n v="18"/>
    <s v="Plato_14"/>
    <s v="Descripci√≥n del Plato_14"/>
    <n v="14"/>
    <n v="23"/>
    <n v="2"/>
    <n v="29"/>
    <n v="46"/>
    <n v="18"/>
    <n v="0.39130434782608697"/>
  </r>
  <r>
    <x v="70"/>
    <n v="18"/>
    <s v="Plato_2"/>
    <s v="Descripci√≥n del Plato_2"/>
    <n v="18"/>
    <n v="30"/>
    <n v="3"/>
    <n v="20"/>
    <n v="90"/>
    <n v="36"/>
    <n v="0.4"/>
  </r>
  <r>
    <x v="71"/>
    <n v="17"/>
    <s v="Plato_13"/>
    <s v="Descripci√≥n del Plato_13"/>
    <n v="13"/>
    <n v="21"/>
    <n v="1"/>
    <n v="17"/>
    <n v="21"/>
    <n v="8"/>
    <n v="0.38095238095238093"/>
  </r>
  <r>
    <x v="71"/>
    <n v="17"/>
    <s v="Plato_4"/>
    <s v="Descripci√≥n del Plato_4"/>
    <n v="10"/>
    <n v="18"/>
    <n v="3"/>
    <n v="37"/>
    <n v="54"/>
    <n v="24"/>
    <n v="0.44444444444444442"/>
  </r>
  <r>
    <x v="72"/>
    <n v="1"/>
    <s v="Plato_6"/>
    <s v="Descripci√≥n del Plato_6"/>
    <n v="16"/>
    <n v="27"/>
    <n v="3"/>
    <n v="20"/>
    <n v="81"/>
    <n v="33"/>
    <n v="0.40740740740740738"/>
  </r>
  <r>
    <x v="73"/>
    <n v="19"/>
    <s v="Plato_10"/>
    <s v="Descripci√≥n del Plato_10"/>
    <n v="15"/>
    <n v="26"/>
    <n v="2"/>
    <n v="39"/>
    <n v="52"/>
    <n v="22"/>
    <n v="0.42307692307692307"/>
  </r>
  <r>
    <x v="73"/>
    <n v="19"/>
    <s v="Plato_15"/>
    <s v="Descripci√≥n del Plato_15"/>
    <n v="19"/>
    <n v="32"/>
    <n v="2"/>
    <n v="24"/>
    <n v="64"/>
    <n v="26"/>
    <n v="0.40625"/>
  </r>
  <r>
    <x v="73"/>
    <n v="19"/>
    <s v="Plato_18"/>
    <s v="Descripci√≥n del Plato_18"/>
    <n v="20"/>
    <n v="34"/>
    <n v="3"/>
    <n v="37"/>
    <n v="102"/>
    <n v="42"/>
    <n v="0.41176470588235292"/>
  </r>
  <r>
    <x v="74"/>
    <n v="19"/>
    <s v="Plato_14"/>
    <s v="Descripci√≥n del Plato_14"/>
    <n v="14"/>
    <n v="23"/>
    <n v="3"/>
    <n v="16"/>
    <n v="69"/>
    <n v="27"/>
    <n v="0.39130434782608697"/>
  </r>
  <r>
    <x v="74"/>
    <n v="19"/>
    <s v="Plato_20"/>
    <s v="Descripci√≥n del Plato_20"/>
    <n v="25"/>
    <n v="40"/>
    <n v="1"/>
    <n v="35"/>
    <n v="40"/>
    <n v="15"/>
    <n v="0.375"/>
  </r>
  <r>
    <x v="75"/>
    <n v="17"/>
    <s v="Plato_10"/>
    <s v="Descripci√≥n del Plato_10"/>
    <n v="15"/>
    <n v="26"/>
    <n v="1"/>
    <n v="30"/>
    <n v="26"/>
    <n v="11"/>
    <n v="0.42307692307692307"/>
  </r>
  <r>
    <x v="75"/>
    <n v="17"/>
    <s v="Plato_2"/>
    <s v="Descripci√≥n del Plato_2"/>
    <n v="18"/>
    <n v="30"/>
    <n v="3"/>
    <n v="13"/>
    <n v="90"/>
    <n v="36"/>
    <n v="0.4"/>
  </r>
  <r>
    <x v="75"/>
    <n v="17"/>
    <s v="Plato_4"/>
    <s v="Descripci√≥n del Plato_4"/>
    <n v="10"/>
    <n v="18"/>
    <n v="1"/>
    <n v="34"/>
    <n v="18"/>
    <n v="8"/>
    <n v="0.44444444444444442"/>
  </r>
  <r>
    <x v="75"/>
    <n v="17"/>
    <s v="Plato_7"/>
    <s v="Descripci√≥n del Plato_7"/>
    <n v="14"/>
    <n v="24"/>
    <n v="1"/>
    <n v="20"/>
    <n v="24"/>
    <n v="10"/>
    <n v="0.41666666666666669"/>
  </r>
  <r>
    <x v="76"/>
    <n v="3"/>
    <s v="Plato_11"/>
    <s v="Descripci√≥n del Plato_11"/>
    <n v="20"/>
    <n v="33"/>
    <n v="1"/>
    <n v="8"/>
    <n v="33"/>
    <n v="13"/>
    <n v="0.39393939393939392"/>
  </r>
  <r>
    <x v="76"/>
    <n v="3"/>
    <s v="Plato_4"/>
    <s v="Descripci√≥n del Plato_4"/>
    <n v="10"/>
    <n v="18"/>
    <n v="1"/>
    <n v="34"/>
    <n v="18"/>
    <n v="8"/>
    <n v="0.44444444444444442"/>
  </r>
  <r>
    <x v="76"/>
    <n v="3"/>
    <s v="Plato_7"/>
    <s v="Descripci√≥n del Plato_7"/>
    <n v="14"/>
    <n v="24"/>
    <n v="2"/>
    <n v="55"/>
    <n v="48"/>
    <n v="20"/>
    <n v="0.41666666666666669"/>
  </r>
  <r>
    <x v="77"/>
    <n v="7"/>
    <s v="Plato_12"/>
    <s v="Descripci√≥n del Plato_12"/>
    <n v="11"/>
    <n v="19"/>
    <n v="3"/>
    <n v="54"/>
    <n v="57"/>
    <n v="24"/>
    <n v="0.42105263157894735"/>
  </r>
  <r>
    <x v="78"/>
    <n v="16"/>
    <s v="Plato_11"/>
    <s v="Descripci√≥n del Plato_11"/>
    <n v="20"/>
    <n v="33"/>
    <n v="3"/>
    <n v="14"/>
    <n v="99"/>
    <n v="39"/>
    <n v="0.39393939393939392"/>
  </r>
  <r>
    <x v="78"/>
    <n v="16"/>
    <s v="Plato_13"/>
    <s v="Descripci√≥n del Plato_13"/>
    <n v="13"/>
    <n v="21"/>
    <n v="3"/>
    <n v="43"/>
    <n v="63"/>
    <n v="24"/>
    <n v="0.38095238095238093"/>
  </r>
  <r>
    <x v="78"/>
    <n v="16"/>
    <s v="Plato_3"/>
    <s v="Descripci√≥n del Plato_3"/>
    <n v="12"/>
    <n v="20"/>
    <n v="3"/>
    <n v="25"/>
    <n v="60"/>
    <n v="24"/>
    <n v="0.4"/>
  </r>
  <r>
    <x v="78"/>
    <n v="16"/>
    <s v="Plato_9"/>
    <s v="Descripci√≥n del Plato_9"/>
    <n v="17"/>
    <n v="29"/>
    <n v="3"/>
    <n v="14"/>
    <n v="87"/>
    <n v="36"/>
    <n v="0.41379310344827586"/>
  </r>
  <r>
    <x v="79"/>
    <n v="18"/>
    <s v="Plato_5"/>
    <s v="Descripci√≥n del Plato_5"/>
    <n v="13"/>
    <n v="22"/>
    <n v="2"/>
    <n v="5"/>
    <n v="44"/>
    <n v="18"/>
    <n v="0.40909090909090912"/>
  </r>
  <r>
    <x v="79"/>
    <n v="18"/>
    <s v="Plato_7"/>
    <s v="Descripci√≥n del Plato_7"/>
    <n v="14"/>
    <n v="24"/>
    <n v="2"/>
    <n v="28"/>
    <n v="48"/>
    <n v="20"/>
    <n v="0.41666666666666669"/>
  </r>
  <r>
    <x v="79"/>
    <n v="18"/>
    <s v="Plato_9"/>
    <s v="Descripci√≥n del Plato_9"/>
    <n v="17"/>
    <n v="29"/>
    <n v="1"/>
    <n v="34"/>
    <n v="29"/>
    <n v="12"/>
    <n v="0.41379310344827586"/>
  </r>
  <r>
    <x v="80"/>
    <n v="17"/>
    <s v="Plato_17"/>
    <s v="Descripci√≥n del Plato_17"/>
    <n v="19"/>
    <n v="31"/>
    <n v="2"/>
    <n v="59"/>
    <n v="62"/>
    <n v="24"/>
    <n v="0.38709677419354838"/>
  </r>
  <r>
    <x v="81"/>
    <n v="16"/>
    <s v="Plato_1"/>
    <s v="Descripci√≥n del Plato_1"/>
    <n v="15"/>
    <n v="25"/>
    <n v="2"/>
    <n v="11"/>
    <n v="50"/>
    <n v="20"/>
    <n v="0.4"/>
  </r>
  <r>
    <x v="81"/>
    <n v="16"/>
    <s v="Plato_2"/>
    <s v="Descripci√≥n del Plato_2"/>
    <n v="18"/>
    <n v="30"/>
    <n v="1"/>
    <n v="8"/>
    <n v="30"/>
    <n v="12"/>
    <n v="0.4"/>
  </r>
  <r>
    <x v="82"/>
    <n v="15"/>
    <s v="Plato_15"/>
    <s v="Descripci√≥n del Plato_15"/>
    <n v="19"/>
    <n v="32"/>
    <n v="3"/>
    <n v="50"/>
    <n v="96"/>
    <n v="39"/>
    <n v="0.40625"/>
  </r>
  <r>
    <x v="82"/>
    <n v="15"/>
    <s v="Plato_3"/>
    <s v="Descripci√≥n del Plato_3"/>
    <n v="12"/>
    <n v="20"/>
    <n v="1"/>
    <n v="30"/>
    <n v="20"/>
    <n v="8"/>
    <n v="0.4"/>
  </r>
  <r>
    <x v="82"/>
    <n v="15"/>
    <s v="Plato_6"/>
    <s v="Descripci√≥n del Plato_6"/>
    <n v="16"/>
    <n v="27"/>
    <n v="2"/>
    <n v="14"/>
    <n v="54"/>
    <n v="22"/>
    <n v="0.40740740740740738"/>
  </r>
  <r>
    <x v="83"/>
    <n v="19"/>
    <s v="Plato_2"/>
    <s v="Descripci√≥n del Plato_2"/>
    <n v="18"/>
    <n v="30"/>
    <n v="2"/>
    <n v="10"/>
    <n v="60"/>
    <n v="24"/>
    <n v="0.4"/>
  </r>
  <r>
    <x v="84"/>
    <n v="8"/>
    <s v="Plato_15"/>
    <s v="Descripci√≥n del Plato_15"/>
    <n v="19"/>
    <n v="32"/>
    <n v="1"/>
    <n v="29"/>
    <n v="32"/>
    <n v="13"/>
    <n v="0.40625"/>
  </r>
  <r>
    <x v="84"/>
    <n v="8"/>
    <s v="Plato_16"/>
    <s v="Descripci√≥n del Plato_16"/>
    <n v="16"/>
    <n v="28"/>
    <n v="3"/>
    <n v="26"/>
    <n v="84"/>
    <n v="36"/>
    <n v="0.42857142857142855"/>
  </r>
  <r>
    <x v="84"/>
    <n v="8"/>
    <s v="Plato_19"/>
    <s v="Descripci√≥n del Plato_19"/>
    <n v="22"/>
    <n v="36"/>
    <n v="2"/>
    <n v="33"/>
    <n v="72"/>
    <n v="28"/>
    <n v="0.3888888888888889"/>
  </r>
  <r>
    <x v="84"/>
    <n v="8"/>
    <s v="Plato_3"/>
    <s v="Descripci√≥n del Plato_3"/>
    <n v="12"/>
    <n v="20"/>
    <n v="1"/>
    <n v="54"/>
    <n v="20"/>
    <n v="8"/>
    <n v="0.4"/>
  </r>
  <r>
    <x v="85"/>
    <n v="20"/>
    <s v="Plato_1"/>
    <s v="Descripci√≥n del Plato_1"/>
    <n v="15"/>
    <n v="25"/>
    <n v="2"/>
    <n v="8"/>
    <n v="50"/>
    <n v="20"/>
    <n v="0.4"/>
  </r>
  <r>
    <x v="86"/>
    <n v="3"/>
    <s v="Plato_15"/>
    <s v="Descripci√≥n del Plato_15"/>
    <n v="19"/>
    <n v="32"/>
    <n v="1"/>
    <n v="5"/>
    <n v="32"/>
    <n v="13"/>
    <n v="0.40625"/>
  </r>
  <r>
    <x v="86"/>
    <n v="3"/>
    <s v="Plato_17"/>
    <s v="Descripci√≥n del Plato_17"/>
    <n v="19"/>
    <n v="31"/>
    <n v="1"/>
    <n v="11"/>
    <n v="31"/>
    <n v="12"/>
    <n v="0.38709677419354838"/>
  </r>
  <r>
    <x v="86"/>
    <n v="3"/>
    <s v="Plato_4"/>
    <s v="Descripci√≥n del Plato_4"/>
    <n v="10"/>
    <n v="18"/>
    <n v="2"/>
    <n v="55"/>
    <n v="36"/>
    <n v="16"/>
    <n v="0.44444444444444442"/>
  </r>
  <r>
    <x v="87"/>
    <n v="18"/>
    <s v="Plato_10"/>
    <s v="Descripci√≥n del Plato_10"/>
    <n v="15"/>
    <n v="26"/>
    <n v="1"/>
    <n v="59"/>
    <n v="26"/>
    <n v="11"/>
    <n v="0.42307692307692307"/>
  </r>
  <r>
    <x v="87"/>
    <n v="18"/>
    <s v="Plato_12"/>
    <s v="Descripci√≥n del Plato_12"/>
    <n v="11"/>
    <n v="19"/>
    <n v="3"/>
    <n v="46"/>
    <n v="57"/>
    <n v="24"/>
    <n v="0.42105263157894735"/>
  </r>
  <r>
    <x v="87"/>
    <n v="18"/>
    <s v="Plato_20"/>
    <s v="Descripci√≥n del Plato_20"/>
    <n v="25"/>
    <n v="40"/>
    <n v="1"/>
    <n v="12"/>
    <n v="40"/>
    <n v="15"/>
    <n v="0.375"/>
  </r>
  <r>
    <x v="88"/>
    <n v="11"/>
    <s v="Plato_14"/>
    <s v="Descripci√≥n del Plato_14"/>
    <n v="14"/>
    <n v="23"/>
    <n v="3"/>
    <n v="44"/>
    <n v="69"/>
    <n v="27"/>
    <n v="0.39130434782608697"/>
  </r>
  <r>
    <x v="88"/>
    <n v="11"/>
    <s v="Plato_18"/>
    <s v="Descripci√≥n del Plato_18"/>
    <n v="20"/>
    <n v="34"/>
    <n v="2"/>
    <n v="58"/>
    <n v="68"/>
    <n v="28"/>
    <n v="0.41176470588235292"/>
  </r>
  <r>
    <x v="88"/>
    <n v="11"/>
    <s v="Plato_5"/>
    <s v="Descripci√≥n del Plato_5"/>
    <n v="13"/>
    <n v="22"/>
    <n v="1"/>
    <n v="40"/>
    <n v="22"/>
    <n v="9"/>
    <n v="0.40909090909090912"/>
  </r>
  <r>
    <x v="89"/>
    <n v="6"/>
    <s v="Plato_18"/>
    <s v="Descripci√≥n del Plato_18"/>
    <n v="20"/>
    <n v="34"/>
    <n v="1"/>
    <n v="48"/>
    <n v="34"/>
    <n v="14"/>
    <n v="0.41176470588235292"/>
  </r>
  <r>
    <x v="90"/>
    <n v="1"/>
    <s v="Plato_13"/>
    <s v="Descripci√≥n del Plato_13"/>
    <n v="13"/>
    <n v="21"/>
    <n v="3"/>
    <n v="52"/>
    <n v="63"/>
    <n v="24"/>
    <n v="0.38095238095238093"/>
  </r>
  <r>
    <x v="90"/>
    <n v="1"/>
    <s v="Plato_5"/>
    <s v="Descripci√≥n del Plato_5"/>
    <n v="13"/>
    <n v="22"/>
    <n v="2"/>
    <n v="11"/>
    <n v="44"/>
    <n v="18"/>
    <n v="0.40909090909090912"/>
  </r>
  <r>
    <x v="90"/>
    <n v="1"/>
    <s v="Plato_6"/>
    <s v="Descripci√≥n del Plato_6"/>
    <n v="16"/>
    <n v="27"/>
    <n v="3"/>
    <n v="48"/>
    <n v="81"/>
    <n v="33"/>
    <n v="0.40740740740740738"/>
  </r>
  <r>
    <x v="90"/>
    <n v="1"/>
    <s v="Plato_8"/>
    <s v="Descripci√≥n del Plato_8"/>
    <n v="21"/>
    <n v="35"/>
    <n v="3"/>
    <n v="21"/>
    <n v="105"/>
    <n v="42"/>
    <n v="0.4"/>
  </r>
  <r>
    <x v="91"/>
    <n v="6"/>
    <s v="Plato_7"/>
    <s v="Descripci√≥n del Plato_7"/>
    <n v="14"/>
    <n v="24"/>
    <n v="1"/>
    <n v="6"/>
    <n v="24"/>
    <n v="10"/>
    <n v="0.41666666666666669"/>
  </r>
  <r>
    <x v="91"/>
    <n v="6"/>
    <s v="Plato_9"/>
    <s v="Descripci√≥n del Plato_9"/>
    <n v="17"/>
    <n v="29"/>
    <n v="2"/>
    <n v="36"/>
    <n v="58"/>
    <n v="24"/>
    <n v="0.41379310344827586"/>
  </r>
  <r>
    <x v="92"/>
    <n v="2"/>
    <s v="Plato_9"/>
    <s v="Descripci√≥n del Plato_9"/>
    <n v="17"/>
    <n v="29"/>
    <n v="1"/>
    <n v="18"/>
    <n v="29"/>
    <n v="12"/>
    <n v="0.41379310344827586"/>
  </r>
  <r>
    <x v="93"/>
    <n v="12"/>
    <s v="Plato_11"/>
    <s v="Descripci√≥n del Plato_11"/>
    <n v="20"/>
    <n v="33"/>
    <n v="3"/>
    <n v="54"/>
    <n v="99"/>
    <n v="39"/>
    <n v="0.39393939393939392"/>
  </r>
  <r>
    <x v="93"/>
    <n v="12"/>
    <s v="Plato_15"/>
    <s v="Descripci√≥n del Plato_15"/>
    <n v="19"/>
    <n v="32"/>
    <n v="2"/>
    <n v="56"/>
    <n v="64"/>
    <n v="26"/>
    <n v="0.40625"/>
  </r>
  <r>
    <x v="93"/>
    <n v="12"/>
    <s v="Plato_2"/>
    <s v="Descripci√≥n del Plato_2"/>
    <n v="18"/>
    <n v="30"/>
    <n v="3"/>
    <n v="19"/>
    <n v="90"/>
    <n v="36"/>
    <n v="0.4"/>
  </r>
  <r>
    <x v="94"/>
    <n v="12"/>
    <s v="Plato_12"/>
    <s v="Descripci√≥n del Plato_12"/>
    <n v="11"/>
    <n v="19"/>
    <n v="3"/>
    <n v="19"/>
    <n v="57"/>
    <n v="24"/>
    <n v="0.42105263157894735"/>
  </r>
  <r>
    <x v="94"/>
    <n v="12"/>
    <s v="Plato_15"/>
    <s v="Descripci√≥n del Plato_15"/>
    <n v="19"/>
    <n v="32"/>
    <n v="3"/>
    <n v="22"/>
    <n v="96"/>
    <n v="39"/>
    <n v="0.40625"/>
  </r>
  <r>
    <x v="95"/>
    <n v="16"/>
    <s v="Plato_11"/>
    <s v="Descripci√≥n del Plato_11"/>
    <n v="20"/>
    <n v="33"/>
    <n v="2"/>
    <n v="47"/>
    <n v="66"/>
    <n v="26"/>
    <n v="0.39393939393939392"/>
  </r>
  <r>
    <x v="95"/>
    <n v="16"/>
    <s v="Plato_12"/>
    <s v="Descripci√≥n del Plato_12"/>
    <n v="11"/>
    <n v="19"/>
    <n v="2"/>
    <n v="10"/>
    <n v="38"/>
    <n v="16"/>
    <n v="0.42105263157894735"/>
  </r>
  <r>
    <x v="95"/>
    <n v="16"/>
    <s v="Plato_7"/>
    <s v="Descripci√≥n del Plato_7"/>
    <n v="14"/>
    <n v="24"/>
    <n v="3"/>
    <n v="19"/>
    <n v="72"/>
    <n v="30"/>
    <n v="0.41666666666666669"/>
  </r>
  <r>
    <x v="96"/>
    <n v="14"/>
    <s v="Plato_10"/>
    <s v="Descripci√≥n del Plato_10"/>
    <n v="15"/>
    <n v="26"/>
    <n v="1"/>
    <n v="17"/>
    <n v="26"/>
    <n v="11"/>
    <n v="0.42307692307692307"/>
  </r>
  <r>
    <x v="96"/>
    <n v="14"/>
    <s v="Plato_18"/>
    <s v="Descripci√≥n del Plato_18"/>
    <n v="20"/>
    <n v="34"/>
    <n v="3"/>
    <n v="57"/>
    <n v="102"/>
    <n v="42"/>
    <n v="0.41176470588235292"/>
  </r>
  <r>
    <x v="96"/>
    <n v="14"/>
    <s v="Plato_3"/>
    <s v="Descripci√≥n del Plato_3"/>
    <n v="12"/>
    <n v="20"/>
    <n v="3"/>
    <n v="5"/>
    <n v="60"/>
    <n v="24"/>
    <n v="0.4"/>
  </r>
  <r>
    <x v="97"/>
    <n v="7"/>
    <s v="Plato_12"/>
    <s v="Descripci√≥n del Plato_12"/>
    <n v="11"/>
    <n v="19"/>
    <n v="1"/>
    <n v="51"/>
    <n v="19"/>
    <n v="8"/>
    <n v="0.42105263157894735"/>
  </r>
  <r>
    <x v="97"/>
    <n v="7"/>
    <s v="Plato_3"/>
    <s v="Descripci√≥n del Plato_3"/>
    <n v="12"/>
    <n v="20"/>
    <n v="3"/>
    <n v="56"/>
    <n v="60"/>
    <n v="24"/>
    <n v="0.4"/>
  </r>
  <r>
    <x v="97"/>
    <n v="7"/>
    <s v="Plato_9"/>
    <s v="Descripci√≥n del Plato_9"/>
    <n v="17"/>
    <n v="29"/>
    <n v="3"/>
    <n v="33"/>
    <n v="87"/>
    <n v="36"/>
    <n v="0.41379310344827586"/>
  </r>
  <r>
    <x v="98"/>
    <n v="2"/>
    <s v="Plato_12"/>
    <s v="Descripci√≥n del Plato_12"/>
    <n v="11"/>
    <n v="19"/>
    <n v="1"/>
    <n v="9"/>
    <n v="19"/>
    <n v="8"/>
    <n v="0.42105263157894735"/>
  </r>
  <r>
    <x v="98"/>
    <n v="2"/>
    <s v="Plato_17"/>
    <s v="Descripci√≥n del Plato_17"/>
    <n v="19"/>
    <n v="31"/>
    <n v="1"/>
    <n v="5"/>
    <n v="31"/>
    <n v="12"/>
    <n v="0.38709677419354838"/>
  </r>
  <r>
    <x v="98"/>
    <n v="2"/>
    <s v="Plato_2"/>
    <s v="Descripci√≥n del Plato_2"/>
    <n v="18"/>
    <n v="30"/>
    <n v="2"/>
    <n v="27"/>
    <n v="60"/>
    <n v="24"/>
    <n v="0.4"/>
  </r>
  <r>
    <x v="98"/>
    <n v="2"/>
    <s v="Plato_9"/>
    <s v="Descripci√≥n del Plato_9"/>
    <n v="17"/>
    <n v="29"/>
    <n v="1"/>
    <n v="45"/>
    <n v="29"/>
    <n v="12"/>
    <n v="0.41379310344827586"/>
  </r>
  <r>
    <x v="99"/>
    <n v="18"/>
    <s v="Plato_1"/>
    <s v="Descripci√≥n del Plato_1"/>
    <n v="15"/>
    <n v="25"/>
    <n v="2"/>
    <n v="22"/>
    <n v="50"/>
    <n v="20"/>
    <n v="0.4"/>
  </r>
  <r>
    <x v="99"/>
    <n v="18"/>
    <s v="Plato_5"/>
    <s v="Descripci√≥n del Plato_5"/>
    <n v="13"/>
    <n v="22"/>
    <n v="2"/>
    <n v="33"/>
    <n v="44"/>
    <n v="18"/>
    <n v="0.40909090909090912"/>
  </r>
  <r>
    <x v="99"/>
    <n v="18"/>
    <s v="Plato_7"/>
    <s v="Descripci√≥n del Plato_7"/>
    <n v="14"/>
    <n v="24"/>
    <n v="3"/>
    <n v="48"/>
    <n v="72"/>
    <n v="30"/>
    <n v="0.41666666666666669"/>
  </r>
  <r>
    <x v="100"/>
    <n v="1"/>
    <s v="Plato_1"/>
    <s v="Descripci√≥n del Plato_1"/>
    <n v="15"/>
    <n v="25"/>
    <n v="2"/>
    <n v="41"/>
    <n v="50"/>
    <n v="20"/>
    <n v="0.4"/>
  </r>
  <r>
    <x v="100"/>
    <n v="1"/>
    <s v="Plato_17"/>
    <s v="Descripci√≥n del Plato_17"/>
    <n v="19"/>
    <n v="31"/>
    <n v="1"/>
    <n v="24"/>
    <n v="31"/>
    <n v="12"/>
    <n v="0.38709677419354838"/>
  </r>
  <r>
    <x v="100"/>
    <n v="1"/>
    <s v="Plato_5"/>
    <s v="Descripci√≥n del Plato_5"/>
    <n v="13"/>
    <n v="22"/>
    <n v="1"/>
    <n v="35"/>
    <n v="22"/>
    <n v="9"/>
    <n v="0.40909090909090912"/>
  </r>
  <r>
    <x v="100"/>
    <n v="1"/>
    <s v="Plato_8"/>
    <s v="Descripci√≥n del Plato_8"/>
    <n v="21"/>
    <n v="35"/>
    <n v="1"/>
    <n v="34"/>
    <n v="35"/>
    <n v="14"/>
    <n v="0.4"/>
  </r>
  <r>
    <x v="101"/>
    <n v="19"/>
    <s v="Plato_16"/>
    <s v="Descripci√≥n del Plato_16"/>
    <n v="16"/>
    <n v="28"/>
    <n v="3"/>
    <n v="17"/>
    <n v="84"/>
    <n v="36"/>
    <n v="0.42857142857142855"/>
  </r>
  <r>
    <x v="101"/>
    <n v="19"/>
    <s v="Plato_9"/>
    <s v="Descripci√≥n del Plato_9"/>
    <n v="17"/>
    <n v="29"/>
    <n v="3"/>
    <n v="29"/>
    <n v="87"/>
    <n v="36"/>
    <n v="0.41379310344827586"/>
  </r>
  <r>
    <x v="102"/>
    <n v="13"/>
    <s v="Plato_13"/>
    <s v="Descripci√≥n del Plato_13"/>
    <n v="13"/>
    <n v="21"/>
    <n v="1"/>
    <n v="57"/>
    <n v="21"/>
    <n v="8"/>
    <n v="0.38095238095238093"/>
  </r>
  <r>
    <x v="102"/>
    <n v="13"/>
    <s v="Plato_18"/>
    <s v="Descripci√≥n del Plato_18"/>
    <n v="20"/>
    <n v="34"/>
    <n v="1"/>
    <n v="9"/>
    <n v="34"/>
    <n v="14"/>
    <n v="0.41176470588235292"/>
  </r>
  <r>
    <x v="102"/>
    <n v="13"/>
    <s v="Plato_4"/>
    <s v="Descripci√≥n del Plato_4"/>
    <n v="10"/>
    <n v="18"/>
    <n v="1"/>
    <n v="33"/>
    <n v="18"/>
    <n v="8"/>
    <n v="0.44444444444444442"/>
  </r>
  <r>
    <x v="103"/>
    <n v="14"/>
    <s v="Plato_14"/>
    <s v="Descripci√≥n del Plato_14"/>
    <n v="14"/>
    <n v="23"/>
    <n v="2"/>
    <n v="43"/>
    <n v="46"/>
    <n v="18"/>
    <n v="0.39130434782608697"/>
  </r>
  <r>
    <x v="103"/>
    <n v="14"/>
    <s v="Plato_17"/>
    <s v="Descripci√≥n del Plato_17"/>
    <n v="19"/>
    <n v="31"/>
    <n v="1"/>
    <n v="12"/>
    <n v="31"/>
    <n v="12"/>
    <n v="0.38709677419354838"/>
  </r>
  <r>
    <x v="104"/>
    <n v="14"/>
    <s v="Plato_3"/>
    <s v="Descripci√≥n del Plato_3"/>
    <n v="12"/>
    <n v="20"/>
    <n v="3"/>
    <n v="9"/>
    <n v="60"/>
    <n v="24"/>
    <n v="0.4"/>
  </r>
  <r>
    <x v="104"/>
    <n v="14"/>
    <s v="Plato_6"/>
    <s v="Descripci√≥n del Plato_6"/>
    <n v="16"/>
    <n v="27"/>
    <n v="3"/>
    <n v="34"/>
    <n v="81"/>
    <n v="33"/>
    <n v="0.40740740740740738"/>
  </r>
  <r>
    <x v="105"/>
    <n v="15"/>
    <s v="Plato_18"/>
    <s v="Descripci√≥n del Plato_18"/>
    <n v="20"/>
    <n v="34"/>
    <n v="2"/>
    <n v="29"/>
    <n v="68"/>
    <n v="28"/>
    <n v="0.41176470588235292"/>
  </r>
  <r>
    <x v="106"/>
    <n v="11"/>
    <s v="Plato_15"/>
    <s v="Descripci√≥n del Plato_15"/>
    <n v="19"/>
    <n v="32"/>
    <n v="2"/>
    <n v="48"/>
    <n v="64"/>
    <n v="26"/>
    <n v="0.40625"/>
  </r>
  <r>
    <x v="106"/>
    <n v="11"/>
    <s v="Plato_18"/>
    <s v="Descripci√≥n del Plato_18"/>
    <n v="20"/>
    <n v="34"/>
    <n v="3"/>
    <n v="42"/>
    <n v="102"/>
    <n v="42"/>
    <n v="0.41176470588235292"/>
  </r>
  <r>
    <x v="106"/>
    <n v="11"/>
    <s v="Plato_9"/>
    <s v="Descripci√≥n del Plato_9"/>
    <n v="17"/>
    <n v="29"/>
    <n v="3"/>
    <n v="51"/>
    <n v="87"/>
    <n v="36"/>
    <n v="0.41379310344827586"/>
  </r>
  <r>
    <x v="107"/>
    <n v="3"/>
    <s v="Plato_16"/>
    <s v="Descripci√≥n del Plato_16"/>
    <n v="16"/>
    <n v="28"/>
    <n v="1"/>
    <n v="56"/>
    <n v="28"/>
    <n v="12"/>
    <n v="0.42857142857142855"/>
  </r>
  <r>
    <x v="107"/>
    <n v="3"/>
    <s v="Plato_3"/>
    <s v="Descripci√≥n del Plato_3"/>
    <n v="12"/>
    <n v="20"/>
    <n v="1"/>
    <n v="26"/>
    <n v="20"/>
    <n v="8"/>
    <n v="0.4"/>
  </r>
  <r>
    <x v="107"/>
    <n v="3"/>
    <s v="Plato_4"/>
    <s v="Descripci√≥n del Plato_4"/>
    <n v="10"/>
    <n v="18"/>
    <n v="1"/>
    <n v="10"/>
    <n v="18"/>
    <n v="8"/>
    <n v="0.44444444444444442"/>
  </r>
  <r>
    <x v="107"/>
    <n v="3"/>
    <s v="Plato_9"/>
    <s v="Descripci√≥n del Plato_9"/>
    <n v="17"/>
    <n v="29"/>
    <n v="2"/>
    <n v="23"/>
    <n v="58"/>
    <n v="24"/>
    <n v="0.41379310344827586"/>
  </r>
  <r>
    <x v="108"/>
    <n v="10"/>
    <s v="Plato_14"/>
    <s v="Descripci√≥n del Plato_14"/>
    <n v="14"/>
    <n v="23"/>
    <n v="1"/>
    <n v="26"/>
    <n v="23"/>
    <n v="9"/>
    <n v="0.39130434782608697"/>
  </r>
  <r>
    <x v="108"/>
    <n v="10"/>
    <s v="Plato_18"/>
    <s v="Descripci√≥n del Plato_18"/>
    <n v="20"/>
    <n v="34"/>
    <n v="3"/>
    <n v="54"/>
    <n v="102"/>
    <n v="42"/>
    <n v="0.41176470588235292"/>
  </r>
  <r>
    <x v="108"/>
    <n v="10"/>
    <s v="Plato_5"/>
    <s v="Descripci√≥n del Plato_5"/>
    <n v="13"/>
    <n v="22"/>
    <n v="2"/>
    <n v="38"/>
    <n v="44"/>
    <n v="18"/>
    <n v="0.40909090909090912"/>
  </r>
  <r>
    <x v="109"/>
    <n v="5"/>
    <s v="Plato_10"/>
    <s v="Descripci√≥n del Plato_10"/>
    <n v="15"/>
    <n v="26"/>
    <n v="3"/>
    <n v="27"/>
    <n v="78"/>
    <n v="33"/>
    <n v="0.42307692307692307"/>
  </r>
  <r>
    <x v="109"/>
    <n v="5"/>
    <s v="Plato_6"/>
    <s v="Descripci√≥n del Plato_6"/>
    <n v="16"/>
    <n v="27"/>
    <n v="1"/>
    <n v="56"/>
    <n v="27"/>
    <n v="11"/>
    <n v="0.40740740740740738"/>
  </r>
  <r>
    <x v="109"/>
    <n v="5"/>
    <s v="Plato_9"/>
    <s v="Descripci√≥n del Plato_9"/>
    <n v="17"/>
    <n v="29"/>
    <n v="2"/>
    <n v="38"/>
    <n v="58"/>
    <n v="24"/>
    <n v="0.41379310344827586"/>
  </r>
  <r>
    <x v="110"/>
    <n v="3"/>
    <s v="Plato_15"/>
    <s v="Descripci√≥n del Plato_15"/>
    <n v="19"/>
    <n v="32"/>
    <n v="1"/>
    <n v="47"/>
    <n v="32"/>
    <n v="13"/>
    <n v="0.40625"/>
  </r>
  <r>
    <x v="110"/>
    <n v="3"/>
    <s v="Plato_5"/>
    <s v="Descripci√≥n del Plato_5"/>
    <n v="13"/>
    <n v="22"/>
    <n v="3"/>
    <n v="5"/>
    <n v="66"/>
    <n v="27"/>
    <n v="0.40909090909090912"/>
  </r>
  <r>
    <x v="110"/>
    <n v="3"/>
    <s v="Plato_7"/>
    <s v="Descripci√≥n del Plato_7"/>
    <n v="14"/>
    <n v="24"/>
    <n v="2"/>
    <n v="48"/>
    <n v="48"/>
    <n v="20"/>
    <n v="0.41666666666666669"/>
  </r>
  <r>
    <x v="110"/>
    <n v="3"/>
    <s v="Plato_9"/>
    <s v="Descripci√≥n del Plato_9"/>
    <n v="17"/>
    <n v="29"/>
    <n v="2"/>
    <n v="37"/>
    <n v="58"/>
    <n v="24"/>
    <n v="0.41379310344827586"/>
  </r>
  <r>
    <x v="111"/>
    <n v="6"/>
    <s v="Plato_3"/>
    <s v="Descripci√≥n del Plato_3"/>
    <n v="12"/>
    <n v="20"/>
    <n v="1"/>
    <n v="16"/>
    <n v="20"/>
    <n v="8"/>
    <n v="0.4"/>
  </r>
  <r>
    <x v="112"/>
    <n v="4"/>
    <s v="Plato_18"/>
    <s v="Descripci√≥n del Plato_18"/>
    <n v="20"/>
    <n v="34"/>
    <n v="2"/>
    <n v="51"/>
    <n v="68"/>
    <n v="28"/>
    <n v="0.41176470588235292"/>
  </r>
  <r>
    <x v="113"/>
    <n v="7"/>
    <s v="Plato_2"/>
    <s v="Descripci√≥n del Plato_2"/>
    <n v="18"/>
    <n v="30"/>
    <n v="3"/>
    <n v="36"/>
    <n v="90"/>
    <n v="36"/>
    <n v="0.4"/>
  </r>
  <r>
    <x v="113"/>
    <n v="7"/>
    <s v="Plato_4"/>
    <s v="Descripci√≥n del Plato_4"/>
    <n v="10"/>
    <n v="18"/>
    <n v="3"/>
    <n v="31"/>
    <n v="54"/>
    <n v="24"/>
    <n v="0.44444444444444442"/>
  </r>
  <r>
    <x v="113"/>
    <n v="7"/>
    <s v="Plato_5"/>
    <s v="Descripci√≥n del Plato_5"/>
    <n v="13"/>
    <n v="22"/>
    <n v="1"/>
    <n v="42"/>
    <n v="22"/>
    <n v="9"/>
    <n v="0.40909090909090912"/>
  </r>
  <r>
    <x v="113"/>
    <n v="7"/>
    <s v="Plato_9"/>
    <s v="Descripci√≥n del Plato_9"/>
    <n v="17"/>
    <n v="29"/>
    <n v="3"/>
    <n v="22"/>
    <n v="87"/>
    <n v="36"/>
    <n v="0.41379310344827586"/>
  </r>
  <r>
    <x v="114"/>
    <n v="12"/>
    <s v="Plato_15"/>
    <s v="Descripci√≥n del Plato_15"/>
    <n v="19"/>
    <n v="32"/>
    <n v="3"/>
    <n v="43"/>
    <n v="96"/>
    <n v="39"/>
    <n v="0.40625"/>
  </r>
  <r>
    <x v="114"/>
    <n v="12"/>
    <s v="Plato_2"/>
    <s v="Descripci√≥n del Plato_2"/>
    <n v="18"/>
    <n v="30"/>
    <n v="2"/>
    <n v="32"/>
    <n v="60"/>
    <n v="24"/>
    <n v="0.4"/>
  </r>
  <r>
    <x v="114"/>
    <n v="12"/>
    <s v="Plato_6"/>
    <s v="Descripci√≥n del Plato_6"/>
    <n v="16"/>
    <n v="27"/>
    <n v="3"/>
    <n v="23"/>
    <n v="81"/>
    <n v="33"/>
    <n v="0.40740740740740738"/>
  </r>
  <r>
    <x v="115"/>
    <n v="8"/>
    <s v="Plato_15"/>
    <s v="Descripci√≥n del Plato_15"/>
    <n v="19"/>
    <n v="32"/>
    <n v="3"/>
    <n v="54"/>
    <n v="96"/>
    <n v="39"/>
    <n v="0.40625"/>
  </r>
  <r>
    <x v="115"/>
    <n v="8"/>
    <s v="Plato_18"/>
    <s v="Descripci√≥n del Plato_18"/>
    <n v="20"/>
    <n v="34"/>
    <n v="3"/>
    <n v="28"/>
    <n v="102"/>
    <n v="42"/>
    <n v="0.41176470588235292"/>
  </r>
  <r>
    <x v="115"/>
    <n v="8"/>
    <s v="Plato_19"/>
    <s v="Descripci√≥n del Plato_19"/>
    <n v="22"/>
    <n v="36"/>
    <n v="1"/>
    <n v="26"/>
    <n v="36"/>
    <n v="14"/>
    <n v="0.3888888888888889"/>
  </r>
  <r>
    <x v="115"/>
    <n v="8"/>
    <s v="Plato_8"/>
    <s v="Descripci√≥n del Plato_8"/>
    <n v="21"/>
    <n v="35"/>
    <n v="1"/>
    <n v="21"/>
    <n v="35"/>
    <n v="14"/>
    <n v="0.4"/>
  </r>
  <r>
    <x v="116"/>
    <n v="8"/>
    <s v="Plato_8"/>
    <s v="Descripci√≥n del Plato_8"/>
    <n v="21"/>
    <n v="35"/>
    <n v="2"/>
    <n v="8"/>
    <n v="70"/>
    <n v="28"/>
    <n v="0.4"/>
  </r>
  <r>
    <x v="117"/>
    <n v="13"/>
    <s v="Plato_14"/>
    <s v="Descripci√≥n del Plato_14"/>
    <n v="14"/>
    <n v="23"/>
    <n v="3"/>
    <n v="22"/>
    <n v="69"/>
    <n v="27"/>
    <n v="0.39130434782608697"/>
  </r>
  <r>
    <x v="117"/>
    <n v="13"/>
    <s v="Plato_15"/>
    <s v="Descripci√≥n del Plato_15"/>
    <n v="19"/>
    <n v="32"/>
    <n v="1"/>
    <n v="23"/>
    <n v="32"/>
    <n v="13"/>
    <n v="0.40625"/>
  </r>
  <r>
    <x v="117"/>
    <n v="13"/>
    <s v="Plato_4"/>
    <s v="Descripci√≥n del Plato_4"/>
    <n v="10"/>
    <n v="18"/>
    <n v="3"/>
    <n v="39"/>
    <n v="54"/>
    <n v="24"/>
    <n v="0.44444444444444442"/>
  </r>
  <r>
    <x v="117"/>
    <n v="13"/>
    <s v="Plato_6"/>
    <s v="Descripci√≥n del Plato_6"/>
    <n v="16"/>
    <n v="27"/>
    <n v="2"/>
    <n v="52"/>
    <n v="54"/>
    <n v="22"/>
    <n v="0.40740740740740738"/>
  </r>
  <r>
    <x v="118"/>
    <n v="17"/>
    <s v="Plato_10"/>
    <s v="Descripci√≥n del Plato_10"/>
    <n v="15"/>
    <n v="26"/>
    <n v="1"/>
    <n v="7"/>
    <n v="26"/>
    <n v="11"/>
    <n v="0.42307692307692307"/>
  </r>
  <r>
    <x v="118"/>
    <n v="17"/>
    <s v="Plato_19"/>
    <s v="Descripci√≥n del Plato_19"/>
    <n v="22"/>
    <n v="36"/>
    <n v="2"/>
    <n v="13"/>
    <n v="72"/>
    <n v="28"/>
    <n v="0.3888888888888889"/>
  </r>
  <r>
    <x v="118"/>
    <n v="17"/>
    <s v="Plato_4"/>
    <s v="Descripci√≥n del Plato_4"/>
    <n v="10"/>
    <n v="18"/>
    <n v="2"/>
    <n v="34"/>
    <n v="36"/>
    <n v="16"/>
    <n v="0.44444444444444442"/>
  </r>
  <r>
    <x v="119"/>
    <n v="4"/>
    <s v="Plato_10"/>
    <s v="Descripci√≥n del Plato_10"/>
    <n v="15"/>
    <n v="26"/>
    <n v="2"/>
    <n v="41"/>
    <n v="52"/>
    <n v="22"/>
    <n v="0.42307692307692307"/>
  </r>
  <r>
    <x v="119"/>
    <n v="4"/>
    <s v="Plato_17"/>
    <s v="Descripci√≥n del Plato_17"/>
    <n v="19"/>
    <n v="31"/>
    <n v="3"/>
    <n v="56"/>
    <n v="93"/>
    <n v="36"/>
    <n v="0.38709677419354838"/>
  </r>
  <r>
    <x v="120"/>
    <n v="5"/>
    <s v="Plato_10"/>
    <s v="Descripci√≥n del Plato_10"/>
    <n v="15"/>
    <n v="26"/>
    <n v="2"/>
    <n v="38"/>
    <n v="52"/>
    <n v="22"/>
    <n v="0.42307692307692307"/>
  </r>
  <r>
    <x v="121"/>
    <n v="6"/>
    <s v="Plato_8"/>
    <s v="Descripci√≥n del Plato_8"/>
    <n v="21"/>
    <n v="35"/>
    <n v="3"/>
    <n v="32"/>
    <n v="105"/>
    <n v="42"/>
    <n v="0.4"/>
  </r>
  <r>
    <x v="122"/>
    <n v="16"/>
    <s v="Plato_7"/>
    <s v="Descripci√≥n del Plato_7"/>
    <n v="14"/>
    <n v="24"/>
    <n v="1"/>
    <n v="33"/>
    <n v="24"/>
    <n v="10"/>
    <n v="0.41666666666666669"/>
  </r>
  <r>
    <x v="123"/>
    <n v="16"/>
    <s v="Plato_1"/>
    <s v="Descripci√≥n del Plato_1"/>
    <n v="15"/>
    <n v="25"/>
    <n v="1"/>
    <n v="27"/>
    <n v="25"/>
    <n v="10"/>
    <n v="0.4"/>
  </r>
  <r>
    <x v="123"/>
    <n v="16"/>
    <s v="Plato_11"/>
    <s v="Descripci√≥n del Plato_11"/>
    <n v="20"/>
    <n v="33"/>
    <n v="3"/>
    <n v="9"/>
    <n v="99"/>
    <n v="39"/>
    <n v="0.39393939393939392"/>
  </r>
  <r>
    <x v="123"/>
    <n v="16"/>
    <s v="Plato_3"/>
    <s v="Descripci√≥n del Plato_3"/>
    <n v="12"/>
    <n v="20"/>
    <n v="2"/>
    <n v="43"/>
    <n v="40"/>
    <n v="16"/>
    <n v="0.4"/>
  </r>
  <r>
    <x v="123"/>
    <n v="16"/>
    <s v="Plato_9"/>
    <s v="Descripci√≥n del Plato_9"/>
    <n v="17"/>
    <n v="29"/>
    <n v="2"/>
    <n v="59"/>
    <n v="58"/>
    <n v="24"/>
    <n v="0.41379310344827586"/>
  </r>
  <r>
    <x v="124"/>
    <n v="14"/>
    <s v="Plato_16"/>
    <s v="Descripci√≥n del Plato_16"/>
    <n v="16"/>
    <n v="28"/>
    <n v="2"/>
    <n v="38"/>
    <n v="56"/>
    <n v="24"/>
    <n v="0.42857142857142855"/>
  </r>
  <r>
    <x v="124"/>
    <n v="14"/>
    <s v="Plato_18"/>
    <s v="Descripci√≥n del Plato_18"/>
    <n v="20"/>
    <n v="34"/>
    <n v="2"/>
    <n v="15"/>
    <n v="68"/>
    <n v="28"/>
    <n v="0.41176470588235292"/>
  </r>
  <r>
    <x v="124"/>
    <n v="14"/>
    <s v="Plato_3"/>
    <s v="Descripci√≥n del Plato_3"/>
    <n v="12"/>
    <n v="20"/>
    <n v="3"/>
    <n v="31"/>
    <n v="60"/>
    <n v="24"/>
    <n v="0.4"/>
  </r>
  <r>
    <x v="125"/>
    <n v="18"/>
    <s v="Plato_16"/>
    <s v="Descripci√≥n del Plato_16"/>
    <n v="16"/>
    <n v="28"/>
    <n v="1"/>
    <n v="19"/>
    <n v="28"/>
    <n v="12"/>
    <n v="0.42857142857142855"/>
  </r>
  <r>
    <x v="125"/>
    <n v="18"/>
    <s v="Plato_2"/>
    <s v="Descripci√≥n del Plato_2"/>
    <n v="18"/>
    <n v="30"/>
    <n v="1"/>
    <n v="53"/>
    <n v="30"/>
    <n v="12"/>
    <n v="0.4"/>
  </r>
  <r>
    <x v="125"/>
    <n v="18"/>
    <s v="Plato_7"/>
    <s v="Descripci√≥n del Plato_7"/>
    <n v="14"/>
    <n v="24"/>
    <n v="3"/>
    <n v="27"/>
    <n v="72"/>
    <n v="30"/>
    <n v="0.41666666666666669"/>
  </r>
  <r>
    <x v="125"/>
    <n v="18"/>
    <s v="Plato_8"/>
    <s v="Descripci√≥n del Plato_8"/>
    <n v="21"/>
    <n v="35"/>
    <n v="1"/>
    <n v="40"/>
    <n v="35"/>
    <n v="14"/>
    <n v="0.4"/>
  </r>
  <r>
    <x v="126"/>
    <n v="6"/>
    <s v="Plato_19"/>
    <s v="Descripci√≥n del Plato_19"/>
    <n v="22"/>
    <n v="36"/>
    <n v="2"/>
    <n v="30"/>
    <n v="72"/>
    <n v="28"/>
    <n v="0.3888888888888889"/>
  </r>
  <r>
    <x v="127"/>
    <n v="2"/>
    <s v="Plato_1"/>
    <s v="Descripci√≥n del Plato_1"/>
    <n v="15"/>
    <n v="25"/>
    <n v="3"/>
    <n v="53"/>
    <n v="75"/>
    <n v="30"/>
    <n v="0.4"/>
  </r>
  <r>
    <x v="127"/>
    <n v="2"/>
    <s v="Plato_17"/>
    <s v="Descripci√≥n del Plato_17"/>
    <n v="19"/>
    <n v="31"/>
    <n v="2"/>
    <n v="34"/>
    <n v="62"/>
    <n v="24"/>
    <n v="0.38709677419354838"/>
  </r>
  <r>
    <x v="127"/>
    <n v="2"/>
    <s v="Plato_4"/>
    <s v="Descripci√≥n del Plato_4"/>
    <n v="10"/>
    <n v="18"/>
    <n v="3"/>
    <n v="50"/>
    <n v="54"/>
    <n v="24"/>
    <n v="0.44444444444444442"/>
  </r>
  <r>
    <x v="127"/>
    <n v="2"/>
    <s v="Plato_7"/>
    <s v="Descripci√≥n del Plato_7"/>
    <n v="14"/>
    <n v="24"/>
    <n v="2"/>
    <n v="35"/>
    <n v="48"/>
    <n v="20"/>
    <n v="0.41666666666666669"/>
  </r>
  <r>
    <x v="128"/>
    <n v="16"/>
    <s v="Plato_12"/>
    <s v="Descripci√≥n del Plato_12"/>
    <n v="11"/>
    <n v="19"/>
    <n v="3"/>
    <n v="6"/>
    <n v="57"/>
    <n v="24"/>
    <n v="0.42105263157894735"/>
  </r>
  <r>
    <x v="128"/>
    <n v="16"/>
    <s v="Plato_3"/>
    <s v="Descripci√≥n del Plato_3"/>
    <n v="12"/>
    <n v="20"/>
    <n v="1"/>
    <n v="24"/>
    <n v="20"/>
    <n v="8"/>
    <n v="0.4"/>
  </r>
  <r>
    <x v="128"/>
    <n v="16"/>
    <s v="Plato_9"/>
    <s v="Descripci√≥n del Plato_9"/>
    <n v="17"/>
    <n v="29"/>
    <n v="1"/>
    <n v="50"/>
    <n v="29"/>
    <n v="12"/>
    <n v="0.41379310344827586"/>
  </r>
  <r>
    <x v="129"/>
    <n v="10"/>
    <s v="Plato_8"/>
    <s v="Descripci√≥n del Plato_8"/>
    <n v="21"/>
    <n v="35"/>
    <n v="1"/>
    <n v="25"/>
    <n v="35"/>
    <n v="14"/>
    <n v="0.4"/>
  </r>
  <r>
    <x v="130"/>
    <n v="7"/>
    <s v="Plato_13"/>
    <s v="Descripci√≥n del Plato_13"/>
    <n v="13"/>
    <n v="21"/>
    <n v="3"/>
    <n v="57"/>
    <n v="63"/>
    <n v="24"/>
    <n v="0.38095238095238093"/>
  </r>
  <r>
    <x v="130"/>
    <n v="7"/>
    <s v="Plato_20"/>
    <s v="Descripci√≥n del Plato_20"/>
    <n v="25"/>
    <n v="40"/>
    <n v="1"/>
    <n v="43"/>
    <n v="40"/>
    <n v="15"/>
    <n v="0.375"/>
  </r>
  <r>
    <x v="130"/>
    <n v="7"/>
    <s v="Plato_4"/>
    <s v="Descripci√≥n del Plato_4"/>
    <n v="10"/>
    <n v="18"/>
    <n v="3"/>
    <n v="20"/>
    <n v="54"/>
    <n v="24"/>
    <n v="0.44444444444444442"/>
  </r>
  <r>
    <x v="131"/>
    <n v="9"/>
    <s v="Plato_13"/>
    <s v="Descripci√≥n del Plato_13"/>
    <n v="13"/>
    <n v="21"/>
    <n v="2"/>
    <n v="53"/>
    <n v="42"/>
    <n v="16"/>
    <n v="0.38095238095238093"/>
  </r>
  <r>
    <x v="131"/>
    <n v="9"/>
    <s v="Plato_14"/>
    <s v="Descripci√≥n del Plato_14"/>
    <n v="14"/>
    <n v="23"/>
    <n v="1"/>
    <n v="6"/>
    <n v="23"/>
    <n v="9"/>
    <n v="0.39130434782608697"/>
  </r>
  <r>
    <x v="131"/>
    <n v="9"/>
    <s v="Plato_19"/>
    <s v="Descripci√≥n del Plato_19"/>
    <n v="22"/>
    <n v="36"/>
    <n v="1"/>
    <n v="18"/>
    <n v="36"/>
    <n v="14"/>
    <n v="0.3888888888888889"/>
  </r>
  <r>
    <x v="131"/>
    <n v="9"/>
    <s v="Plato_8"/>
    <s v="Descripci√≥n del Plato_8"/>
    <n v="21"/>
    <n v="35"/>
    <n v="3"/>
    <n v="25"/>
    <n v="105"/>
    <n v="42"/>
    <n v="0.4"/>
  </r>
  <r>
    <x v="132"/>
    <n v="20"/>
    <s v="Plato_15"/>
    <s v="Descripci√≥n del Plato_15"/>
    <n v="19"/>
    <n v="32"/>
    <n v="1"/>
    <n v="5"/>
    <n v="32"/>
    <n v="13"/>
    <n v="0.40625"/>
  </r>
  <r>
    <x v="132"/>
    <n v="20"/>
    <s v="Plato_17"/>
    <s v="Descripci√≥n del Plato_17"/>
    <n v="19"/>
    <n v="31"/>
    <n v="2"/>
    <n v="46"/>
    <n v="62"/>
    <n v="24"/>
    <n v="0.38709677419354838"/>
  </r>
  <r>
    <x v="132"/>
    <n v="20"/>
    <s v="Plato_18"/>
    <s v="Descripci√≥n del Plato_18"/>
    <n v="20"/>
    <n v="34"/>
    <n v="1"/>
    <n v="45"/>
    <n v="34"/>
    <n v="14"/>
    <n v="0.41176470588235292"/>
  </r>
  <r>
    <x v="132"/>
    <n v="20"/>
    <s v="Plato_4"/>
    <s v="Descripci√≥n del Plato_4"/>
    <n v="10"/>
    <n v="18"/>
    <n v="3"/>
    <n v="11"/>
    <n v="54"/>
    <n v="24"/>
    <n v="0.44444444444444442"/>
  </r>
  <r>
    <x v="133"/>
    <n v="3"/>
    <s v="Plato_15"/>
    <s v="Descripci√≥n del Plato_15"/>
    <n v="19"/>
    <n v="32"/>
    <n v="3"/>
    <n v="29"/>
    <n v="96"/>
    <n v="39"/>
    <n v="0.40625"/>
  </r>
  <r>
    <x v="133"/>
    <n v="3"/>
    <s v="Plato_7"/>
    <s v="Descripci√≥n del Plato_7"/>
    <n v="14"/>
    <n v="24"/>
    <n v="1"/>
    <n v="19"/>
    <n v="24"/>
    <n v="10"/>
    <n v="0.41666666666666669"/>
  </r>
  <r>
    <x v="134"/>
    <n v="11"/>
    <s v="Plato_17"/>
    <s v="Descripci√≥n del Plato_17"/>
    <n v="19"/>
    <n v="31"/>
    <n v="3"/>
    <n v="17"/>
    <n v="93"/>
    <n v="36"/>
    <n v="0.38709677419354838"/>
  </r>
  <r>
    <x v="134"/>
    <n v="11"/>
    <s v="Plato_20"/>
    <s v="Descripci√≥n del Plato_20"/>
    <n v="25"/>
    <n v="40"/>
    <n v="2"/>
    <n v="42"/>
    <n v="80"/>
    <n v="30"/>
    <n v="0.375"/>
  </r>
  <r>
    <x v="134"/>
    <n v="11"/>
    <s v="Plato_9"/>
    <s v="Descripci√≥n del Plato_9"/>
    <n v="17"/>
    <n v="29"/>
    <n v="3"/>
    <n v="29"/>
    <n v="87"/>
    <n v="36"/>
    <n v="0.41379310344827586"/>
  </r>
  <r>
    <x v="135"/>
    <n v="6"/>
    <s v="Plato_20"/>
    <s v="Descripci√≥n del Plato_20"/>
    <n v="25"/>
    <n v="40"/>
    <n v="2"/>
    <n v="13"/>
    <n v="80"/>
    <n v="30"/>
    <n v="0.375"/>
  </r>
  <r>
    <x v="136"/>
    <n v="13"/>
    <s v="Plato_13"/>
    <s v="Descripci√≥n del Plato_13"/>
    <n v="13"/>
    <n v="21"/>
    <n v="3"/>
    <n v="41"/>
    <n v="63"/>
    <n v="24"/>
    <n v="0.38095238095238093"/>
  </r>
  <r>
    <x v="137"/>
    <n v="6"/>
    <s v="Plato_10"/>
    <s v="Descripci√≥n del Plato_10"/>
    <n v="15"/>
    <n v="26"/>
    <n v="3"/>
    <n v="7"/>
    <n v="78"/>
    <n v="33"/>
    <n v="0.42307692307692307"/>
  </r>
  <r>
    <x v="137"/>
    <n v="6"/>
    <s v="Plato_12"/>
    <s v="Descripci√≥n del Plato_12"/>
    <n v="11"/>
    <n v="19"/>
    <n v="2"/>
    <n v="6"/>
    <n v="38"/>
    <n v="16"/>
    <n v="0.42105263157894735"/>
  </r>
  <r>
    <x v="137"/>
    <n v="6"/>
    <s v="Plato_17"/>
    <s v="Descripci√≥n del Plato_17"/>
    <n v="19"/>
    <n v="31"/>
    <n v="2"/>
    <n v="40"/>
    <n v="62"/>
    <n v="24"/>
    <n v="0.38709677419354838"/>
  </r>
  <r>
    <x v="137"/>
    <n v="6"/>
    <s v="Plato_2"/>
    <s v="Descripci√≥n del Plato_2"/>
    <n v="18"/>
    <n v="30"/>
    <n v="2"/>
    <n v="44"/>
    <n v="60"/>
    <n v="24"/>
    <n v="0.4"/>
  </r>
  <r>
    <x v="138"/>
    <n v="16"/>
    <s v="Plato_8"/>
    <s v="Descripci√≥n del Plato_8"/>
    <n v="21"/>
    <n v="35"/>
    <n v="1"/>
    <n v="26"/>
    <n v="35"/>
    <n v="14"/>
    <n v="0.4"/>
  </r>
  <r>
    <x v="139"/>
    <n v="11"/>
    <s v="Plato_1"/>
    <s v="Descripci√≥n del Plato_1"/>
    <n v="15"/>
    <n v="25"/>
    <n v="2"/>
    <n v="35"/>
    <n v="50"/>
    <n v="20"/>
    <n v="0.4"/>
  </r>
  <r>
    <x v="139"/>
    <n v="11"/>
    <s v="Plato_4"/>
    <s v="Descripci√≥n del Plato_4"/>
    <n v="10"/>
    <n v="18"/>
    <n v="2"/>
    <n v="48"/>
    <n v="36"/>
    <n v="16"/>
    <n v="0.44444444444444442"/>
  </r>
  <r>
    <x v="139"/>
    <n v="11"/>
    <s v="Plato_8"/>
    <s v="Descripci√≥n del Plato_8"/>
    <n v="21"/>
    <n v="35"/>
    <n v="3"/>
    <n v="35"/>
    <n v="105"/>
    <n v="42"/>
    <n v="0.4"/>
  </r>
  <r>
    <x v="140"/>
    <n v="4"/>
    <s v="Plato_13"/>
    <s v="Descripci√≥n del Plato_13"/>
    <n v="13"/>
    <n v="21"/>
    <n v="1"/>
    <n v="28"/>
    <n v="21"/>
    <n v="8"/>
    <n v="0.38095238095238093"/>
  </r>
  <r>
    <x v="141"/>
    <n v="14"/>
    <s v="Plato_14"/>
    <s v="Descripci√≥n del Plato_14"/>
    <n v="14"/>
    <n v="23"/>
    <n v="3"/>
    <n v="11"/>
    <n v="69"/>
    <n v="27"/>
    <n v="0.39130434782608697"/>
  </r>
  <r>
    <x v="141"/>
    <n v="14"/>
    <s v="Plato_20"/>
    <s v="Descripci√≥n del Plato_20"/>
    <n v="25"/>
    <n v="40"/>
    <n v="1"/>
    <n v="22"/>
    <n v="40"/>
    <n v="15"/>
    <n v="0.375"/>
  </r>
  <r>
    <x v="141"/>
    <n v="14"/>
    <s v="Plato_7"/>
    <s v="Descripci√≥n del Plato_7"/>
    <n v="14"/>
    <n v="24"/>
    <n v="3"/>
    <n v="37"/>
    <n v="72"/>
    <n v="30"/>
    <n v="0.41666666666666669"/>
  </r>
  <r>
    <x v="142"/>
    <n v="9"/>
    <s v="Plato_1"/>
    <s v="Descripci√≥n del Plato_1"/>
    <n v="15"/>
    <n v="25"/>
    <n v="2"/>
    <n v="16"/>
    <n v="50"/>
    <n v="20"/>
    <n v="0.4"/>
  </r>
  <r>
    <x v="143"/>
    <n v="18"/>
    <s v="Plato_12"/>
    <s v="Descripci√≥n del Plato_12"/>
    <n v="11"/>
    <n v="19"/>
    <n v="3"/>
    <n v="51"/>
    <n v="57"/>
    <n v="24"/>
    <n v="0.42105263157894735"/>
  </r>
  <r>
    <x v="143"/>
    <n v="18"/>
    <s v="Plato_18"/>
    <s v="Descripci√≥n del Plato_18"/>
    <n v="20"/>
    <n v="34"/>
    <n v="1"/>
    <n v="34"/>
    <n v="34"/>
    <n v="14"/>
    <n v="0.41176470588235292"/>
  </r>
  <r>
    <x v="143"/>
    <n v="18"/>
    <s v="Plato_19"/>
    <s v="Descripci√≥n del Plato_19"/>
    <n v="22"/>
    <n v="36"/>
    <n v="1"/>
    <n v="27"/>
    <n v="36"/>
    <n v="14"/>
    <n v="0.3888888888888889"/>
  </r>
  <r>
    <x v="143"/>
    <n v="18"/>
    <s v="Plato_9"/>
    <s v="Descripci√≥n del Plato_9"/>
    <n v="17"/>
    <n v="29"/>
    <n v="2"/>
    <n v="38"/>
    <n v="58"/>
    <n v="24"/>
    <n v="0.41379310344827586"/>
  </r>
  <r>
    <x v="144"/>
    <n v="2"/>
    <s v="Plato_2"/>
    <s v="Descripci√≥n del Plato_2"/>
    <n v="18"/>
    <n v="30"/>
    <n v="2"/>
    <n v="47"/>
    <n v="60"/>
    <n v="24"/>
    <n v="0.4"/>
  </r>
  <r>
    <x v="144"/>
    <n v="2"/>
    <s v="Plato_5"/>
    <s v="Descripci√≥n del Plato_5"/>
    <n v="13"/>
    <n v="22"/>
    <n v="3"/>
    <n v="59"/>
    <n v="66"/>
    <n v="27"/>
    <n v="0.40909090909090912"/>
  </r>
  <r>
    <x v="145"/>
    <n v="8"/>
    <s v="Plato_17"/>
    <s v="Descripci√≥n del Plato_17"/>
    <n v="19"/>
    <n v="31"/>
    <n v="2"/>
    <n v="47"/>
    <n v="62"/>
    <n v="24"/>
    <n v="0.38709677419354838"/>
  </r>
  <r>
    <x v="146"/>
    <n v="5"/>
    <s v="Plato_20"/>
    <s v="Descripci√≥n del Plato_20"/>
    <n v="25"/>
    <n v="40"/>
    <n v="1"/>
    <n v="13"/>
    <n v="40"/>
    <n v="15"/>
    <n v="0.375"/>
  </r>
  <r>
    <x v="146"/>
    <n v="5"/>
    <s v="Plato_5"/>
    <s v="Descripci√≥n del Plato_5"/>
    <n v="13"/>
    <n v="22"/>
    <n v="2"/>
    <n v="20"/>
    <n v="44"/>
    <n v="18"/>
    <n v="0.40909090909090912"/>
  </r>
  <r>
    <x v="147"/>
    <n v="10"/>
    <s v="Plato_10"/>
    <s v="Descripci√≥n del Plato_10"/>
    <n v="15"/>
    <n v="26"/>
    <n v="1"/>
    <n v="25"/>
    <n v="26"/>
    <n v="11"/>
    <n v="0.42307692307692307"/>
  </r>
  <r>
    <x v="147"/>
    <n v="10"/>
    <s v="Plato_18"/>
    <s v="Descripci√≥n del Plato_18"/>
    <n v="20"/>
    <n v="34"/>
    <n v="2"/>
    <n v="57"/>
    <n v="68"/>
    <n v="28"/>
    <n v="0.41176470588235292"/>
  </r>
  <r>
    <x v="147"/>
    <n v="10"/>
    <s v="Plato_3"/>
    <s v="Descripci√≥n del Plato_3"/>
    <n v="12"/>
    <n v="20"/>
    <n v="3"/>
    <n v="46"/>
    <n v="60"/>
    <n v="24"/>
    <n v="0.4"/>
  </r>
  <r>
    <x v="147"/>
    <n v="10"/>
    <s v="Plato_9"/>
    <s v="Descripci√≥n del Plato_9"/>
    <n v="17"/>
    <n v="29"/>
    <n v="2"/>
    <n v="31"/>
    <n v="58"/>
    <n v="24"/>
    <n v="0.41379310344827586"/>
  </r>
  <r>
    <x v="148"/>
    <n v="18"/>
    <s v="Plato_18"/>
    <s v="Descripci√≥n del Plato_18"/>
    <n v="20"/>
    <n v="34"/>
    <n v="3"/>
    <n v="28"/>
    <n v="102"/>
    <n v="42"/>
    <n v="0.41176470588235292"/>
  </r>
  <r>
    <x v="148"/>
    <n v="18"/>
    <s v="Plato_2"/>
    <s v="Descripci√≥n del Plato_2"/>
    <n v="18"/>
    <n v="30"/>
    <n v="1"/>
    <n v="38"/>
    <n v="30"/>
    <n v="12"/>
    <n v="0.4"/>
  </r>
  <r>
    <x v="148"/>
    <n v="18"/>
    <s v="Plato_4"/>
    <s v="Descripci√≥n del Plato_4"/>
    <n v="10"/>
    <n v="18"/>
    <n v="2"/>
    <n v="25"/>
    <n v="36"/>
    <n v="16"/>
    <n v="0.44444444444444442"/>
  </r>
  <r>
    <x v="148"/>
    <n v="18"/>
    <s v="Plato_9"/>
    <s v="Descripci√≥n del Plato_9"/>
    <n v="17"/>
    <n v="29"/>
    <n v="2"/>
    <n v="48"/>
    <n v="58"/>
    <n v="24"/>
    <n v="0.41379310344827586"/>
  </r>
  <r>
    <x v="149"/>
    <n v="18"/>
    <s v="Plato_11"/>
    <s v="Descripci√≥n del Plato_11"/>
    <n v="20"/>
    <n v="33"/>
    <n v="2"/>
    <n v="57"/>
    <n v="66"/>
    <n v="26"/>
    <n v="0.39393939393939392"/>
  </r>
  <r>
    <x v="149"/>
    <n v="18"/>
    <s v="Plato_3"/>
    <s v="Descripci√≥n del Plato_3"/>
    <n v="12"/>
    <n v="20"/>
    <n v="2"/>
    <n v="30"/>
    <n v="40"/>
    <n v="16"/>
    <n v="0.4"/>
  </r>
  <r>
    <x v="149"/>
    <n v="18"/>
    <s v="Plato_5"/>
    <s v="Descripci√≥n del Plato_5"/>
    <n v="13"/>
    <n v="22"/>
    <n v="2"/>
    <n v="19"/>
    <n v="44"/>
    <n v="18"/>
    <n v="0.40909090909090912"/>
  </r>
  <r>
    <x v="150"/>
    <n v="6"/>
    <s v="Plato_13"/>
    <s v="Descripci√≥n del Plato_13"/>
    <n v="13"/>
    <n v="21"/>
    <n v="3"/>
    <n v="6"/>
    <n v="63"/>
    <n v="24"/>
    <n v="0.38095238095238093"/>
  </r>
  <r>
    <x v="150"/>
    <n v="6"/>
    <s v="Plato_14"/>
    <s v="Descripci√≥n del Plato_14"/>
    <n v="14"/>
    <n v="23"/>
    <n v="3"/>
    <n v="13"/>
    <n v="69"/>
    <n v="27"/>
    <n v="0.39130434782608697"/>
  </r>
  <r>
    <x v="151"/>
    <n v="5"/>
    <s v="Plato_16"/>
    <s v="Descripci√≥n del Plato_16"/>
    <n v="16"/>
    <n v="28"/>
    <n v="2"/>
    <n v="12"/>
    <n v="56"/>
    <n v="24"/>
    <n v="0.42857142857142855"/>
  </r>
  <r>
    <x v="152"/>
    <n v="10"/>
    <s v="Plato_11"/>
    <s v="Descripci√≥n del Plato_11"/>
    <n v="20"/>
    <n v="33"/>
    <n v="3"/>
    <n v="10"/>
    <n v="99"/>
    <n v="39"/>
    <n v="0.39393939393939392"/>
  </r>
  <r>
    <x v="152"/>
    <n v="10"/>
    <s v="Plato_20"/>
    <s v="Descripci√≥n del Plato_20"/>
    <n v="25"/>
    <n v="40"/>
    <n v="2"/>
    <n v="26"/>
    <n v="80"/>
    <n v="30"/>
    <n v="0.375"/>
  </r>
  <r>
    <x v="152"/>
    <n v="10"/>
    <s v="Plato_7"/>
    <s v="Descripci√≥n del Plato_7"/>
    <n v="14"/>
    <n v="24"/>
    <n v="1"/>
    <n v="53"/>
    <n v="24"/>
    <n v="10"/>
    <n v="0.41666666666666669"/>
  </r>
  <r>
    <x v="153"/>
    <n v="11"/>
    <s v="Plato_19"/>
    <s v="Descripci√≥n del Plato_19"/>
    <n v="22"/>
    <n v="36"/>
    <n v="3"/>
    <n v="52"/>
    <n v="108"/>
    <n v="42"/>
    <n v="0.3888888888888889"/>
  </r>
  <r>
    <x v="153"/>
    <n v="11"/>
    <s v="Plato_4"/>
    <s v="Descripci√≥n del Plato_4"/>
    <n v="10"/>
    <n v="18"/>
    <n v="2"/>
    <n v="30"/>
    <n v="36"/>
    <n v="16"/>
    <n v="0.44444444444444442"/>
  </r>
  <r>
    <x v="154"/>
    <n v="7"/>
    <s v="Plato_17"/>
    <s v="Descripci√≥n del Plato_17"/>
    <n v="19"/>
    <n v="31"/>
    <n v="2"/>
    <n v="43"/>
    <n v="62"/>
    <n v="24"/>
    <n v="0.38709677419354838"/>
  </r>
  <r>
    <x v="154"/>
    <n v="7"/>
    <s v="Plato_3"/>
    <s v="Descripci√≥n del Plato_3"/>
    <n v="12"/>
    <n v="20"/>
    <n v="1"/>
    <n v="33"/>
    <n v="20"/>
    <n v="8"/>
    <n v="0.4"/>
  </r>
  <r>
    <x v="154"/>
    <n v="7"/>
    <s v="Plato_6"/>
    <s v="Descripci√≥n del Plato_6"/>
    <n v="16"/>
    <n v="27"/>
    <n v="2"/>
    <n v="24"/>
    <n v="54"/>
    <n v="22"/>
    <n v="0.40740740740740738"/>
  </r>
  <r>
    <x v="155"/>
    <n v="6"/>
    <s v="Plato_16"/>
    <s v="Descripci√≥n del Plato_16"/>
    <n v="16"/>
    <n v="28"/>
    <n v="2"/>
    <n v="6"/>
    <n v="56"/>
    <n v="24"/>
    <n v="0.42857142857142855"/>
  </r>
  <r>
    <x v="156"/>
    <n v="13"/>
    <s v="Plato_1"/>
    <s v="Descripci√≥n del Plato_1"/>
    <n v="15"/>
    <n v="25"/>
    <n v="3"/>
    <n v="48"/>
    <n v="75"/>
    <n v="30"/>
    <n v="0.4"/>
  </r>
  <r>
    <x v="156"/>
    <n v="13"/>
    <s v="Plato_16"/>
    <s v="Descripci√≥n del Plato_16"/>
    <n v="16"/>
    <n v="28"/>
    <n v="1"/>
    <n v="54"/>
    <n v="28"/>
    <n v="12"/>
    <n v="0.42857142857142855"/>
  </r>
  <r>
    <x v="156"/>
    <n v="13"/>
    <s v="Plato_19"/>
    <s v="Descripci√≥n del Plato_19"/>
    <n v="22"/>
    <n v="36"/>
    <n v="3"/>
    <n v="21"/>
    <n v="108"/>
    <n v="42"/>
    <n v="0.3888888888888889"/>
  </r>
  <r>
    <x v="156"/>
    <n v="13"/>
    <s v="Plato_2"/>
    <s v="Descripci√≥n del Plato_2"/>
    <n v="18"/>
    <n v="30"/>
    <n v="2"/>
    <n v="27"/>
    <n v="60"/>
    <n v="24"/>
    <n v="0.4"/>
  </r>
  <r>
    <x v="157"/>
    <n v="5"/>
    <s v="Plato_10"/>
    <s v="Descripci√≥n del Plato_10"/>
    <n v="15"/>
    <n v="26"/>
    <n v="3"/>
    <n v="55"/>
    <n v="78"/>
    <n v="33"/>
    <n v="0.42307692307692307"/>
  </r>
  <r>
    <x v="157"/>
    <n v="5"/>
    <s v="Plato_12"/>
    <s v="Descripci√≥n del Plato_12"/>
    <n v="11"/>
    <n v="19"/>
    <n v="1"/>
    <n v="57"/>
    <n v="19"/>
    <n v="8"/>
    <n v="0.42105263157894735"/>
  </r>
  <r>
    <x v="157"/>
    <n v="5"/>
    <s v="Plato_19"/>
    <s v="Descripci√≥n del Plato_19"/>
    <n v="22"/>
    <n v="36"/>
    <n v="3"/>
    <n v="7"/>
    <n v="108"/>
    <n v="42"/>
    <n v="0.3888888888888889"/>
  </r>
  <r>
    <x v="157"/>
    <n v="5"/>
    <s v="Plato_8"/>
    <s v="Descripci√≥n del Plato_8"/>
    <n v="21"/>
    <n v="35"/>
    <n v="3"/>
    <n v="16"/>
    <n v="105"/>
    <n v="42"/>
    <n v="0.4"/>
  </r>
  <r>
    <x v="158"/>
    <n v="16"/>
    <s v="Plato_11"/>
    <s v="Descripci√≥n del Plato_11"/>
    <n v="20"/>
    <n v="33"/>
    <n v="3"/>
    <n v="40"/>
    <n v="99"/>
    <n v="39"/>
    <n v="0.39393939393939392"/>
  </r>
  <r>
    <x v="158"/>
    <n v="16"/>
    <s v="Plato_17"/>
    <s v="Descripci√≥n del Plato_17"/>
    <n v="19"/>
    <n v="31"/>
    <n v="1"/>
    <n v="5"/>
    <n v="31"/>
    <n v="12"/>
    <n v="0.38709677419354838"/>
  </r>
  <r>
    <x v="158"/>
    <n v="16"/>
    <s v="Plato_4"/>
    <s v="Descripci√≥n del Plato_4"/>
    <n v="10"/>
    <n v="18"/>
    <n v="2"/>
    <n v="6"/>
    <n v="36"/>
    <n v="16"/>
    <n v="0.44444444444444442"/>
  </r>
  <r>
    <x v="158"/>
    <n v="16"/>
    <s v="Plato_9"/>
    <s v="Descripci√≥n del Plato_9"/>
    <n v="17"/>
    <n v="29"/>
    <n v="3"/>
    <n v="23"/>
    <n v="87"/>
    <n v="36"/>
    <n v="0.41379310344827586"/>
  </r>
  <r>
    <x v="159"/>
    <n v="19"/>
    <s v="Plato_19"/>
    <s v="Descripci√≥n del Plato_19"/>
    <n v="22"/>
    <n v="36"/>
    <n v="3"/>
    <n v="20"/>
    <n v="108"/>
    <n v="42"/>
    <n v="0.3888888888888889"/>
  </r>
  <r>
    <x v="159"/>
    <n v="19"/>
    <s v="Plato_7"/>
    <s v="Descripci√≥n del Plato_7"/>
    <n v="14"/>
    <n v="24"/>
    <n v="2"/>
    <n v="47"/>
    <n v="48"/>
    <n v="20"/>
    <n v="0.41666666666666669"/>
  </r>
  <r>
    <x v="160"/>
    <n v="13"/>
    <s v="Plato_16"/>
    <s v="Descripci√≥n del Plato_16"/>
    <n v="16"/>
    <n v="28"/>
    <n v="3"/>
    <n v="57"/>
    <n v="84"/>
    <n v="36"/>
    <n v="0.42857142857142855"/>
  </r>
  <r>
    <x v="161"/>
    <n v="14"/>
    <s v="Plato_7"/>
    <s v="Descripci√≥n del Plato_7"/>
    <n v="14"/>
    <n v="24"/>
    <n v="3"/>
    <n v="25"/>
    <n v="72"/>
    <n v="30"/>
    <n v="0.41666666666666669"/>
  </r>
  <r>
    <x v="162"/>
    <n v="6"/>
    <s v="Plato_11"/>
    <s v="Descripci√≥n del Plato_11"/>
    <n v="20"/>
    <n v="33"/>
    <n v="2"/>
    <n v="40"/>
    <n v="66"/>
    <n v="26"/>
    <n v="0.39393939393939392"/>
  </r>
  <r>
    <x v="162"/>
    <n v="6"/>
    <s v="Plato_17"/>
    <s v="Descripci√≥n del Plato_17"/>
    <n v="19"/>
    <n v="31"/>
    <n v="3"/>
    <n v="8"/>
    <n v="93"/>
    <n v="36"/>
    <n v="0.38709677419354838"/>
  </r>
  <r>
    <x v="162"/>
    <n v="6"/>
    <s v="Plato_2"/>
    <s v="Descripci√≥n del Plato_2"/>
    <n v="18"/>
    <n v="30"/>
    <n v="3"/>
    <n v="16"/>
    <n v="90"/>
    <n v="36"/>
    <n v="0.4"/>
  </r>
  <r>
    <x v="162"/>
    <n v="6"/>
    <s v="Plato_5"/>
    <s v="Descripci√≥n del Plato_5"/>
    <n v="13"/>
    <n v="22"/>
    <n v="1"/>
    <n v="7"/>
    <n v="22"/>
    <n v="9"/>
    <n v="0.40909090909090912"/>
  </r>
  <r>
    <x v="163"/>
    <n v="8"/>
    <s v="Plato_15"/>
    <s v="Descripci√≥n del Plato_15"/>
    <n v="19"/>
    <n v="32"/>
    <n v="2"/>
    <n v="20"/>
    <n v="64"/>
    <n v="26"/>
    <n v="0.40625"/>
  </r>
  <r>
    <x v="163"/>
    <n v="8"/>
    <s v="Plato_19"/>
    <s v="Descripci√≥n del Plato_19"/>
    <n v="22"/>
    <n v="36"/>
    <n v="1"/>
    <n v="7"/>
    <n v="36"/>
    <n v="14"/>
    <n v="0.3888888888888889"/>
  </r>
  <r>
    <x v="163"/>
    <n v="8"/>
    <s v="Plato_5"/>
    <s v="Descripci√≥n del Plato_5"/>
    <n v="13"/>
    <n v="22"/>
    <n v="1"/>
    <n v="43"/>
    <n v="22"/>
    <n v="9"/>
    <n v="0.40909090909090912"/>
  </r>
  <r>
    <x v="163"/>
    <n v="8"/>
    <s v="Plato_7"/>
    <s v="Descripci√≥n del Plato_7"/>
    <n v="14"/>
    <n v="24"/>
    <n v="2"/>
    <n v="35"/>
    <n v="48"/>
    <n v="20"/>
    <n v="0.41666666666666669"/>
  </r>
  <r>
    <x v="164"/>
    <n v="10"/>
    <s v="Plato_13"/>
    <s v="Descripci√≥n del Plato_13"/>
    <n v="13"/>
    <n v="21"/>
    <n v="2"/>
    <n v="41"/>
    <n v="42"/>
    <n v="16"/>
    <n v="0.38095238095238093"/>
  </r>
  <r>
    <x v="164"/>
    <n v="10"/>
    <s v="Plato_7"/>
    <s v="Descripci√≥n del Plato_7"/>
    <n v="14"/>
    <n v="24"/>
    <n v="2"/>
    <n v="15"/>
    <n v="48"/>
    <n v="20"/>
    <n v="0.41666666666666669"/>
  </r>
  <r>
    <x v="165"/>
    <n v="12"/>
    <s v="Plato_14"/>
    <s v="Descripci√≥n del Plato_14"/>
    <n v="14"/>
    <n v="23"/>
    <n v="2"/>
    <n v="22"/>
    <n v="46"/>
    <n v="18"/>
    <n v="0.39130434782608697"/>
  </r>
  <r>
    <x v="166"/>
    <n v="5"/>
    <s v="Plato_12"/>
    <s v="Descripci√≥n del Plato_12"/>
    <n v="11"/>
    <n v="19"/>
    <n v="1"/>
    <n v="29"/>
    <n v="19"/>
    <n v="8"/>
    <n v="0.42105263157894735"/>
  </r>
  <r>
    <x v="166"/>
    <n v="5"/>
    <s v="Plato_17"/>
    <s v="Descripci√≥n del Plato_17"/>
    <n v="19"/>
    <n v="31"/>
    <n v="1"/>
    <n v="36"/>
    <n v="31"/>
    <n v="12"/>
    <n v="0.38709677419354838"/>
  </r>
  <r>
    <x v="166"/>
    <n v="5"/>
    <s v="Plato_18"/>
    <s v="Descripci√≥n del Plato_18"/>
    <n v="20"/>
    <n v="34"/>
    <n v="3"/>
    <n v="11"/>
    <n v="102"/>
    <n v="42"/>
    <n v="0.41176470588235292"/>
  </r>
  <r>
    <x v="167"/>
    <n v="17"/>
    <s v="Plato_5"/>
    <s v="Descripci√≥n del Plato_5"/>
    <n v="13"/>
    <n v="22"/>
    <n v="2"/>
    <n v="7"/>
    <n v="44"/>
    <n v="18"/>
    <n v="0.40909090909090912"/>
  </r>
  <r>
    <x v="168"/>
    <n v="19"/>
    <s v="Plato_13"/>
    <s v="Descripci√≥n del Plato_13"/>
    <n v="13"/>
    <n v="21"/>
    <n v="2"/>
    <n v="44"/>
    <n v="42"/>
    <n v="16"/>
    <n v="0.38095238095238093"/>
  </r>
  <r>
    <x v="168"/>
    <n v="19"/>
    <s v="Plato_18"/>
    <s v="Descripci√≥n del Plato_18"/>
    <n v="20"/>
    <n v="34"/>
    <n v="2"/>
    <n v="59"/>
    <n v="68"/>
    <n v="28"/>
    <n v="0.41176470588235292"/>
  </r>
  <r>
    <x v="168"/>
    <n v="19"/>
    <s v="Plato_5"/>
    <s v="Descripci√≥n del Plato_5"/>
    <n v="13"/>
    <n v="22"/>
    <n v="2"/>
    <n v="7"/>
    <n v="44"/>
    <n v="18"/>
    <n v="0.40909090909090912"/>
  </r>
  <r>
    <x v="169"/>
    <n v="12"/>
    <s v="Plato_19"/>
    <s v="Descripci√≥n del Plato_19"/>
    <n v="22"/>
    <n v="36"/>
    <n v="1"/>
    <n v="33"/>
    <n v="36"/>
    <n v="14"/>
    <n v="0.3888888888888889"/>
  </r>
  <r>
    <x v="169"/>
    <n v="12"/>
    <s v="Plato_2"/>
    <s v="Descripci√≥n del Plato_2"/>
    <n v="18"/>
    <n v="30"/>
    <n v="2"/>
    <n v="8"/>
    <n v="60"/>
    <n v="24"/>
    <n v="0.4"/>
  </r>
  <r>
    <x v="169"/>
    <n v="12"/>
    <s v="Plato_3"/>
    <s v="Descripci√≥n del Plato_3"/>
    <n v="12"/>
    <n v="20"/>
    <n v="3"/>
    <n v="16"/>
    <n v="60"/>
    <n v="24"/>
    <n v="0.4"/>
  </r>
  <r>
    <x v="169"/>
    <n v="12"/>
    <s v="Plato_9"/>
    <s v="Descripci√≥n del Plato_9"/>
    <n v="17"/>
    <n v="29"/>
    <n v="3"/>
    <n v="16"/>
    <n v="87"/>
    <n v="36"/>
    <n v="0.41379310344827586"/>
  </r>
  <r>
    <x v="170"/>
    <n v="16"/>
    <s v="Plato_10"/>
    <s v="Descripci√≥n del Plato_10"/>
    <n v="15"/>
    <n v="26"/>
    <n v="2"/>
    <n v="29"/>
    <n v="52"/>
    <n v="22"/>
    <n v="0.42307692307692307"/>
  </r>
  <r>
    <x v="170"/>
    <n v="16"/>
    <s v="Plato_9"/>
    <s v="Descripci√≥n del Plato_9"/>
    <n v="17"/>
    <n v="29"/>
    <n v="3"/>
    <n v="22"/>
    <n v="87"/>
    <n v="36"/>
    <n v="0.41379310344827586"/>
  </r>
  <r>
    <x v="171"/>
    <n v="12"/>
    <s v="Plato_18"/>
    <s v="Descripci√≥n del Plato_18"/>
    <n v="20"/>
    <n v="34"/>
    <n v="2"/>
    <n v="27"/>
    <n v="68"/>
    <n v="28"/>
    <n v="0.41176470588235292"/>
  </r>
  <r>
    <x v="172"/>
    <n v="11"/>
    <s v="Plato_15"/>
    <s v="Descripci√≥n del Plato_15"/>
    <n v="19"/>
    <n v="32"/>
    <n v="3"/>
    <n v="52"/>
    <n v="96"/>
    <n v="39"/>
    <n v="0.40625"/>
  </r>
  <r>
    <x v="172"/>
    <n v="11"/>
    <s v="Plato_6"/>
    <s v="Descripci√≥n del Plato_6"/>
    <n v="16"/>
    <n v="27"/>
    <n v="3"/>
    <n v="15"/>
    <n v="81"/>
    <n v="33"/>
    <n v="0.40740740740740738"/>
  </r>
  <r>
    <x v="173"/>
    <n v="10"/>
    <s v="Plato_2"/>
    <s v="Descripci√≥n del Plato_2"/>
    <n v="18"/>
    <n v="30"/>
    <n v="2"/>
    <n v="12"/>
    <n v="60"/>
    <n v="24"/>
    <n v="0.4"/>
  </r>
  <r>
    <x v="174"/>
    <n v="14"/>
    <s v="Plato_15"/>
    <s v="Descripci√≥n del Plato_15"/>
    <n v="19"/>
    <n v="32"/>
    <n v="3"/>
    <n v="9"/>
    <n v="96"/>
    <n v="39"/>
    <n v="0.40625"/>
  </r>
  <r>
    <x v="174"/>
    <n v="14"/>
    <s v="Plato_7"/>
    <s v="Descripci√≥n del Plato_7"/>
    <n v="14"/>
    <n v="24"/>
    <n v="2"/>
    <n v="38"/>
    <n v="48"/>
    <n v="20"/>
    <n v="0.41666666666666669"/>
  </r>
  <r>
    <x v="175"/>
    <n v="20"/>
    <s v="Plato_13"/>
    <s v="Descripci√≥n del Plato_13"/>
    <n v="13"/>
    <n v="21"/>
    <n v="3"/>
    <n v="48"/>
    <n v="63"/>
    <n v="24"/>
    <n v="0.38095238095238093"/>
  </r>
  <r>
    <x v="176"/>
    <n v="4"/>
    <s v="Plato_10"/>
    <s v="Descripci√≥n del Plato_10"/>
    <n v="15"/>
    <n v="26"/>
    <n v="1"/>
    <n v="40"/>
    <n v="26"/>
    <n v="11"/>
    <n v="0.42307692307692307"/>
  </r>
  <r>
    <x v="176"/>
    <n v="4"/>
    <s v="Plato_12"/>
    <s v="Descripci√≥n del Plato_12"/>
    <n v="11"/>
    <n v="19"/>
    <n v="3"/>
    <n v="47"/>
    <n v="57"/>
    <n v="24"/>
    <n v="0.42105263157894735"/>
  </r>
  <r>
    <x v="176"/>
    <n v="4"/>
    <s v="Plato_13"/>
    <s v="Descripci√≥n del Plato_13"/>
    <n v="13"/>
    <n v="21"/>
    <n v="2"/>
    <n v="45"/>
    <n v="42"/>
    <n v="16"/>
    <n v="0.38095238095238093"/>
  </r>
  <r>
    <x v="176"/>
    <n v="4"/>
    <s v="Plato_7"/>
    <s v="Descripci√≥n del Plato_7"/>
    <n v="14"/>
    <n v="24"/>
    <n v="2"/>
    <n v="10"/>
    <n v="48"/>
    <n v="20"/>
    <n v="0.41666666666666669"/>
  </r>
  <r>
    <x v="177"/>
    <n v="11"/>
    <s v="Plato_11"/>
    <s v="Descripci√≥n del Plato_11"/>
    <n v="20"/>
    <n v="33"/>
    <n v="3"/>
    <n v="55"/>
    <n v="99"/>
    <n v="39"/>
    <n v="0.39393939393939392"/>
  </r>
  <r>
    <x v="177"/>
    <n v="11"/>
    <s v="Plato_2"/>
    <s v="Descripci√≥n del Plato_2"/>
    <n v="18"/>
    <n v="30"/>
    <n v="1"/>
    <n v="55"/>
    <n v="30"/>
    <n v="12"/>
    <n v="0.4"/>
  </r>
  <r>
    <x v="177"/>
    <n v="11"/>
    <s v="Plato_5"/>
    <s v="Descripci√≥n del Plato_5"/>
    <n v="13"/>
    <n v="22"/>
    <n v="2"/>
    <n v="20"/>
    <n v="44"/>
    <n v="18"/>
    <n v="0.40909090909090912"/>
  </r>
  <r>
    <x v="177"/>
    <n v="11"/>
    <s v="Plato_8"/>
    <s v="Descripci√≥n del Plato_8"/>
    <n v="21"/>
    <n v="35"/>
    <n v="1"/>
    <n v="16"/>
    <n v="35"/>
    <n v="14"/>
    <n v="0.4"/>
  </r>
  <r>
    <x v="178"/>
    <n v="12"/>
    <s v="Plato_17"/>
    <s v="Descripci√≥n del Plato_17"/>
    <n v="19"/>
    <n v="31"/>
    <n v="2"/>
    <n v="26"/>
    <n v="62"/>
    <n v="24"/>
    <n v="0.38709677419354838"/>
  </r>
  <r>
    <x v="179"/>
    <n v="10"/>
    <s v="Plato_2"/>
    <s v="Descripci√≥n del Plato_2"/>
    <n v="18"/>
    <n v="30"/>
    <n v="3"/>
    <n v="20"/>
    <n v="90"/>
    <n v="36"/>
    <n v="0.4"/>
  </r>
  <r>
    <x v="179"/>
    <n v="10"/>
    <s v="Plato_3"/>
    <s v="Descripci√≥n del Plato_3"/>
    <n v="12"/>
    <n v="20"/>
    <n v="1"/>
    <n v="50"/>
    <n v="20"/>
    <n v="8"/>
    <n v="0.4"/>
  </r>
  <r>
    <x v="179"/>
    <n v="10"/>
    <s v="Plato_6"/>
    <s v="Descripci√≥n del Plato_6"/>
    <n v="16"/>
    <n v="27"/>
    <n v="1"/>
    <n v="56"/>
    <n v="27"/>
    <n v="11"/>
    <n v="0.40740740740740738"/>
  </r>
  <r>
    <x v="179"/>
    <n v="10"/>
    <s v="Plato_9"/>
    <s v="Descripci√≥n del Plato_9"/>
    <n v="17"/>
    <n v="29"/>
    <n v="1"/>
    <n v="35"/>
    <n v="29"/>
    <n v="12"/>
    <n v="0.41379310344827586"/>
  </r>
  <r>
    <x v="180"/>
    <n v="15"/>
    <s v="Plato_6"/>
    <s v="Descripci√≥n del Plato_6"/>
    <n v="16"/>
    <n v="27"/>
    <n v="1"/>
    <n v="55"/>
    <n v="27"/>
    <n v="11"/>
    <n v="0.40740740740740738"/>
  </r>
  <r>
    <x v="181"/>
    <n v="18"/>
    <s v="Plato_12"/>
    <s v="Descripci√≥n del Plato_12"/>
    <n v="11"/>
    <n v="19"/>
    <n v="2"/>
    <n v="11"/>
    <n v="38"/>
    <n v="16"/>
    <n v="0.42105263157894735"/>
  </r>
  <r>
    <x v="182"/>
    <n v="18"/>
    <s v="Plato_10"/>
    <s v="Descripci√≥n del Plato_10"/>
    <n v="15"/>
    <n v="26"/>
    <n v="1"/>
    <n v="10"/>
    <n v="26"/>
    <n v="11"/>
    <n v="0.42307692307692307"/>
  </r>
  <r>
    <x v="182"/>
    <n v="18"/>
    <s v="Plato_15"/>
    <s v="Descripci√≥n del Plato_15"/>
    <n v="19"/>
    <n v="32"/>
    <n v="2"/>
    <n v="52"/>
    <n v="64"/>
    <n v="26"/>
    <n v="0.40625"/>
  </r>
  <r>
    <x v="182"/>
    <n v="18"/>
    <s v="Plato_3"/>
    <s v="Descripci√≥n del Plato_3"/>
    <n v="12"/>
    <n v="20"/>
    <n v="3"/>
    <n v="58"/>
    <n v="60"/>
    <n v="24"/>
    <n v="0.4"/>
  </r>
  <r>
    <x v="182"/>
    <n v="18"/>
    <s v="Plato_8"/>
    <s v="Descripci√≥n del Plato_8"/>
    <n v="21"/>
    <n v="35"/>
    <n v="3"/>
    <n v="46"/>
    <n v="105"/>
    <n v="42"/>
    <n v="0.4"/>
  </r>
  <r>
    <x v="183"/>
    <n v="4"/>
    <s v="Plato_16"/>
    <s v="Descripci√≥n del Plato_16"/>
    <n v="16"/>
    <n v="28"/>
    <n v="3"/>
    <n v="6"/>
    <n v="84"/>
    <n v="36"/>
    <n v="0.42857142857142855"/>
  </r>
  <r>
    <x v="183"/>
    <n v="4"/>
    <s v="Plato_3"/>
    <s v="Descripci√≥n del Plato_3"/>
    <n v="12"/>
    <n v="20"/>
    <n v="2"/>
    <n v="13"/>
    <n v="40"/>
    <n v="16"/>
    <n v="0.4"/>
  </r>
  <r>
    <x v="183"/>
    <n v="4"/>
    <s v="Plato_6"/>
    <s v="Descripci√≥n del Plato_6"/>
    <n v="16"/>
    <n v="27"/>
    <n v="3"/>
    <n v="10"/>
    <n v="81"/>
    <n v="33"/>
    <n v="0.40740740740740738"/>
  </r>
  <r>
    <x v="184"/>
    <n v="16"/>
    <s v="Plato_13"/>
    <s v="Descripci√≥n del Plato_13"/>
    <n v="13"/>
    <n v="21"/>
    <n v="3"/>
    <n v="34"/>
    <n v="63"/>
    <n v="24"/>
    <n v="0.38095238095238093"/>
  </r>
  <r>
    <x v="184"/>
    <n v="16"/>
    <s v="Plato_16"/>
    <s v="Descripci√≥n del Plato_16"/>
    <n v="16"/>
    <n v="28"/>
    <n v="1"/>
    <n v="6"/>
    <n v="28"/>
    <n v="12"/>
    <n v="0.42857142857142855"/>
  </r>
  <r>
    <x v="185"/>
    <n v="13"/>
    <s v="Plato_15"/>
    <s v="Descripci√≥n del Plato_15"/>
    <n v="19"/>
    <n v="32"/>
    <n v="3"/>
    <n v="23"/>
    <n v="96"/>
    <n v="39"/>
    <n v="0.40625"/>
  </r>
  <r>
    <x v="185"/>
    <n v="13"/>
    <s v="Plato_17"/>
    <s v="Descripci√≥n del Plato_17"/>
    <n v="19"/>
    <n v="31"/>
    <n v="3"/>
    <n v="54"/>
    <n v="93"/>
    <n v="36"/>
    <n v="0.38709677419354838"/>
  </r>
  <r>
    <x v="185"/>
    <n v="13"/>
    <s v="Plato_6"/>
    <s v="Descripci√≥n del Plato_6"/>
    <n v="16"/>
    <n v="27"/>
    <n v="3"/>
    <n v="16"/>
    <n v="81"/>
    <n v="33"/>
    <n v="0.40740740740740738"/>
  </r>
  <r>
    <x v="186"/>
    <n v="5"/>
    <s v="Plato_10"/>
    <s v="Descripci√≥n del Plato_10"/>
    <n v="15"/>
    <n v="26"/>
    <n v="1"/>
    <n v="51"/>
    <n v="26"/>
    <n v="11"/>
    <n v="0.42307692307692307"/>
  </r>
  <r>
    <x v="186"/>
    <n v="5"/>
    <s v="Plato_18"/>
    <s v="Descripci√≥n del Plato_18"/>
    <n v="20"/>
    <n v="34"/>
    <n v="2"/>
    <n v="28"/>
    <n v="68"/>
    <n v="28"/>
    <n v="0.41176470588235292"/>
  </r>
  <r>
    <x v="186"/>
    <n v="5"/>
    <s v="Plato_6"/>
    <s v="Descripci√≥n del Plato_6"/>
    <n v="16"/>
    <n v="27"/>
    <n v="1"/>
    <n v="36"/>
    <n v="27"/>
    <n v="11"/>
    <n v="0.40740740740740738"/>
  </r>
  <r>
    <x v="186"/>
    <n v="5"/>
    <s v="Plato_9"/>
    <s v="Descripci√≥n del Plato_9"/>
    <n v="17"/>
    <n v="29"/>
    <n v="3"/>
    <n v="11"/>
    <n v="87"/>
    <n v="36"/>
    <n v="0.41379310344827586"/>
  </r>
  <r>
    <x v="187"/>
    <n v="20"/>
    <s v="Plato_10"/>
    <s v="Descripci√≥n del Plato_10"/>
    <n v="15"/>
    <n v="26"/>
    <n v="2"/>
    <n v="47"/>
    <n v="52"/>
    <n v="22"/>
    <n v="0.42307692307692307"/>
  </r>
  <r>
    <x v="187"/>
    <n v="20"/>
    <s v="Plato_17"/>
    <s v="Descripci√≥n del Plato_17"/>
    <n v="19"/>
    <n v="31"/>
    <n v="1"/>
    <n v="58"/>
    <n v="31"/>
    <n v="12"/>
    <n v="0.38709677419354838"/>
  </r>
  <r>
    <x v="188"/>
    <n v="11"/>
    <s v="Plato_10"/>
    <s v="Descripci√≥n del Plato_10"/>
    <n v="15"/>
    <n v="26"/>
    <n v="2"/>
    <n v="22"/>
    <n v="52"/>
    <n v="22"/>
    <n v="0.42307692307692307"/>
  </r>
  <r>
    <x v="188"/>
    <n v="11"/>
    <s v="Plato_18"/>
    <s v="Descripci√≥n del Plato_18"/>
    <n v="20"/>
    <n v="34"/>
    <n v="2"/>
    <n v="42"/>
    <n v="68"/>
    <n v="28"/>
    <n v="0.41176470588235292"/>
  </r>
  <r>
    <x v="188"/>
    <n v="11"/>
    <s v="Plato_7"/>
    <s v="Descripci√≥n del Plato_7"/>
    <n v="14"/>
    <n v="24"/>
    <n v="3"/>
    <n v="53"/>
    <n v="72"/>
    <n v="30"/>
    <n v="0.41666666666666669"/>
  </r>
  <r>
    <x v="189"/>
    <n v="5"/>
    <s v="Plato_14"/>
    <s v="Descripci√≥n del Plato_14"/>
    <n v="14"/>
    <n v="23"/>
    <n v="3"/>
    <n v="7"/>
    <n v="69"/>
    <n v="27"/>
    <n v="0.39130434782608697"/>
  </r>
  <r>
    <x v="189"/>
    <n v="5"/>
    <s v="Plato_20"/>
    <s v="Descripci√≥n del Plato_20"/>
    <n v="25"/>
    <n v="40"/>
    <n v="2"/>
    <n v="45"/>
    <n v="80"/>
    <n v="30"/>
    <n v="0.375"/>
  </r>
  <r>
    <x v="189"/>
    <n v="5"/>
    <s v="Plato_4"/>
    <s v="Descripci√≥n del Plato_4"/>
    <n v="10"/>
    <n v="18"/>
    <n v="1"/>
    <n v="39"/>
    <n v="18"/>
    <n v="8"/>
    <n v="0.44444444444444442"/>
  </r>
  <r>
    <x v="189"/>
    <n v="5"/>
    <s v="Plato_8"/>
    <s v="Descripci√≥n del Plato_8"/>
    <n v="21"/>
    <n v="35"/>
    <n v="1"/>
    <n v="11"/>
    <n v="35"/>
    <n v="14"/>
    <n v="0.4"/>
  </r>
  <r>
    <x v="190"/>
    <n v="12"/>
    <s v="Plato_1"/>
    <s v="Descripci√≥n del Plato_1"/>
    <n v="15"/>
    <n v="25"/>
    <n v="3"/>
    <n v="32"/>
    <n v="75"/>
    <n v="30"/>
    <n v="0.4"/>
  </r>
  <r>
    <x v="190"/>
    <n v="12"/>
    <s v="Plato_9"/>
    <s v="Descripci√≥n del Plato_9"/>
    <n v="17"/>
    <n v="29"/>
    <n v="3"/>
    <n v="55"/>
    <n v="87"/>
    <n v="36"/>
    <n v="0.41379310344827586"/>
  </r>
  <r>
    <x v="191"/>
    <n v="17"/>
    <s v="Plato_1"/>
    <s v="Descripci√≥n del Plato_1"/>
    <n v="15"/>
    <n v="25"/>
    <n v="3"/>
    <n v="26"/>
    <n v="75"/>
    <n v="30"/>
    <n v="0.4"/>
  </r>
  <r>
    <x v="192"/>
    <n v="3"/>
    <s v="Plato_10"/>
    <s v="Descripci√≥n del Plato_10"/>
    <n v="15"/>
    <n v="26"/>
    <n v="2"/>
    <n v="57"/>
    <n v="52"/>
    <n v="22"/>
    <n v="0.42307692307692307"/>
  </r>
  <r>
    <x v="192"/>
    <n v="3"/>
    <s v="Plato_14"/>
    <s v="Descripci√≥n del Plato_14"/>
    <n v="14"/>
    <n v="23"/>
    <n v="3"/>
    <n v="24"/>
    <n v="69"/>
    <n v="27"/>
    <n v="0.39130434782608697"/>
  </r>
  <r>
    <x v="192"/>
    <n v="3"/>
    <s v="Plato_19"/>
    <s v="Descripci√≥n del Plato_19"/>
    <n v="22"/>
    <n v="36"/>
    <n v="2"/>
    <n v="59"/>
    <n v="72"/>
    <n v="28"/>
    <n v="0.3888888888888889"/>
  </r>
  <r>
    <x v="192"/>
    <n v="3"/>
    <s v="Plato_6"/>
    <s v="Descripci√≥n del Plato_6"/>
    <n v="16"/>
    <n v="27"/>
    <n v="1"/>
    <n v="31"/>
    <n v="27"/>
    <n v="11"/>
    <n v="0.40740740740740738"/>
  </r>
  <r>
    <x v="193"/>
    <n v="3"/>
    <s v="Plato_11"/>
    <s v="Descripci√≥n del Plato_11"/>
    <n v="20"/>
    <n v="33"/>
    <n v="2"/>
    <n v="18"/>
    <n v="66"/>
    <n v="26"/>
    <n v="0.39393939393939392"/>
  </r>
  <r>
    <x v="193"/>
    <n v="3"/>
    <s v="Plato_2"/>
    <s v="Descripci√≥n del Plato_2"/>
    <n v="18"/>
    <n v="30"/>
    <n v="1"/>
    <n v="50"/>
    <n v="30"/>
    <n v="12"/>
    <n v="0.4"/>
  </r>
  <r>
    <x v="194"/>
    <n v="2"/>
    <s v="Plato_1"/>
    <s v="Descripci√≥n del Plato_1"/>
    <n v="15"/>
    <n v="25"/>
    <n v="2"/>
    <n v="51"/>
    <n v="50"/>
    <n v="20"/>
    <n v="0.4"/>
  </r>
  <r>
    <x v="195"/>
    <n v="4"/>
    <s v="Plato_14"/>
    <s v="Descripci√≥n del Plato_14"/>
    <n v="14"/>
    <n v="23"/>
    <n v="2"/>
    <n v="51"/>
    <n v="46"/>
    <n v="18"/>
    <n v="0.39130434782608697"/>
  </r>
  <r>
    <x v="195"/>
    <n v="4"/>
    <s v="Plato_16"/>
    <s v="Descripci√≥n del Plato_16"/>
    <n v="16"/>
    <n v="28"/>
    <n v="2"/>
    <n v="44"/>
    <n v="56"/>
    <n v="24"/>
    <n v="0.42857142857142855"/>
  </r>
  <r>
    <x v="195"/>
    <n v="4"/>
    <s v="Plato_3"/>
    <s v="Descripci√≥n del Plato_3"/>
    <n v="12"/>
    <n v="20"/>
    <n v="3"/>
    <n v="34"/>
    <n v="60"/>
    <n v="24"/>
    <n v="0.4"/>
  </r>
  <r>
    <x v="195"/>
    <n v="4"/>
    <s v="Plato_9"/>
    <s v="Descripci√≥n del Plato_9"/>
    <n v="17"/>
    <n v="29"/>
    <n v="1"/>
    <n v="47"/>
    <n v="29"/>
    <n v="12"/>
    <n v="0.41379310344827586"/>
  </r>
  <r>
    <x v="196"/>
    <n v="5"/>
    <s v="Plato_18"/>
    <s v="Descripci√≥n del Plato_18"/>
    <n v="20"/>
    <n v="34"/>
    <n v="3"/>
    <n v="22"/>
    <n v="102"/>
    <n v="42"/>
    <n v="0.41176470588235292"/>
  </r>
  <r>
    <x v="196"/>
    <n v="5"/>
    <s v="Plato_6"/>
    <s v="Descripci√≥n del Plato_6"/>
    <n v="16"/>
    <n v="27"/>
    <n v="1"/>
    <n v="50"/>
    <n v="27"/>
    <n v="11"/>
    <n v="0.40740740740740738"/>
  </r>
  <r>
    <x v="197"/>
    <n v="9"/>
    <s v="Plato_6"/>
    <s v="Descripci√≥n del Plato_6"/>
    <n v="16"/>
    <n v="27"/>
    <n v="2"/>
    <n v="33"/>
    <n v="54"/>
    <n v="22"/>
    <n v="0.40740740740740738"/>
  </r>
  <r>
    <x v="198"/>
    <n v="11"/>
    <s v="Plato_13"/>
    <s v="Descripci√≥n del Plato_13"/>
    <n v="13"/>
    <n v="21"/>
    <n v="2"/>
    <n v="18"/>
    <n v="42"/>
    <n v="16"/>
    <n v="0.38095238095238093"/>
  </r>
  <r>
    <x v="198"/>
    <n v="11"/>
    <s v="Plato_6"/>
    <s v="Descripci√≥n del Plato_6"/>
    <n v="16"/>
    <n v="27"/>
    <n v="1"/>
    <n v="52"/>
    <n v="27"/>
    <n v="11"/>
    <n v="0.40740740740740738"/>
  </r>
  <r>
    <x v="198"/>
    <n v="11"/>
    <s v="Plato_8"/>
    <s v="Descripci√≥n del Plato_8"/>
    <n v="21"/>
    <n v="35"/>
    <n v="3"/>
    <n v="41"/>
    <n v="105"/>
    <n v="42"/>
    <n v="0.4"/>
  </r>
  <r>
    <x v="198"/>
    <n v="11"/>
    <s v="Plato_9"/>
    <s v="Descripci√≥n del Plato_9"/>
    <n v="17"/>
    <n v="29"/>
    <n v="3"/>
    <n v="31"/>
    <n v="87"/>
    <n v="36"/>
    <n v="0.41379310344827586"/>
  </r>
  <r>
    <x v="199"/>
    <n v="11"/>
    <s v="Plato_1"/>
    <s v="Descripci√≥n del Plato_1"/>
    <n v="15"/>
    <n v="25"/>
    <n v="2"/>
    <n v="28"/>
    <n v="50"/>
    <n v="20"/>
    <n v="0.4"/>
  </r>
  <r>
    <x v="199"/>
    <n v="11"/>
    <s v="Plato_12"/>
    <s v="Descripci√≥n del Plato_12"/>
    <n v="11"/>
    <n v="19"/>
    <n v="2"/>
    <n v="39"/>
    <n v="38"/>
    <n v="16"/>
    <n v="0.42105263157894735"/>
  </r>
  <r>
    <x v="200"/>
    <n v="3"/>
    <s v="Plato_7"/>
    <s v="Descripci√≥n del Plato_7"/>
    <n v="14"/>
    <n v="24"/>
    <n v="3"/>
    <n v="58"/>
    <n v="72"/>
    <n v="30"/>
    <n v="0.41666666666666669"/>
  </r>
  <r>
    <x v="201"/>
    <n v="16"/>
    <s v="Plato_19"/>
    <s v="Descripci√≥n del Plato_19"/>
    <n v="22"/>
    <n v="36"/>
    <n v="2"/>
    <n v="46"/>
    <n v="72"/>
    <n v="28"/>
    <n v="0.3888888888888889"/>
  </r>
  <r>
    <x v="201"/>
    <n v="16"/>
    <s v="Plato_2"/>
    <s v="Descripci√≥n del Plato_2"/>
    <n v="18"/>
    <n v="30"/>
    <n v="1"/>
    <n v="58"/>
    <n v="30"/>
    <n v="12"/>
    <n v="0.4"/>
  </r>
  <r>
    <x v="201"/>
    <n v="16"/>
    <s v="Plato_20"/>
    <s v="Descripci√≥n del Plato_20"/>
    <n v="25"/>
    <n v="40"/>
    <n v="2"/>
    <n v="47"/>
    <n v="80"/>
    <n v="30"/>
    <n v="0.375"/>
  </r>
  <r>
    <x v="201"/>
    <n v="16"/>
    <s v="Plato_7"/>
    <s v="Descripci√≥n del Plato_7"/>
    <n v="14"/>
    <n v="24"/>
    <n v="1"/>
    <n v="5"/>
    <n v="24"/>
    <n v="10"/>
    <n v="0.41666666666666669"/>
  </r>
  <r>
    <x v="202"/>
    <n v="5"/>
    <s v="Plato_13"/>
    <s v="Descripci√≥n del Plato_13"/>
    <n v="13"/>
    <n v="21"/>
    <n v="3"/>
    <n v="34"/>
    <n v="63"/>
    <n v="24"/>
    <n v="0.38095238095238093"/>
  </r>
  <r>
    <x v="202"/>
    <n v="5"/>
    <s v="Plato_17"/>
    <s v="Descripci√≥n del Plato_17"/>
    <n v="19"/>
    <n v="31"/>
    <n v="3"/>
    <n v="51"/>
    <n v="93"/>
    <n v="36"/>
    <n v="0.38709677419354838"/>
  </r>
  <r>
    <x v="203"/>
    <n v="16"/>
    <s v="Plato_7"/>
    <s v="Descripci√≥n del Plato_7"/>
    <n v="14"/>
    <n v="24"/>
    <n v="2"/>
    <n v="21"/>
    <n v="48"/>
    <n v="20"/>
    <n v="0.41666666666666669"/>
  </r>
  <r>
    <x v="204"/>
    <n v="14"/>
    <s v="Plato_15"/>
    <s v="Descripci√≥n del Plato_15"/>
    <n v="19"/>
    <n v="32"/>
    <n v="1"/>
    <n v="34"/>
    <n v="32"/>
    <n v="13"/>
    <n v="0.40625"/>
  </r>
  <r>
    <x v="204"/>
    <n v="14"/>
    <s v="Plato_9"/>
    <s v="Descripci√≥n del Plato_9"/>
    <n v="17"/>
    <n v="29"/>
    <n v="1"/>
    <n v="52"/>
    <n v="29"/>
    <n v="12"/>
    <n v="0.41379310344827586"/>
  </r>
  <r>
    <x v="205"/>
    <n v="4"/>
    <s v="Plato_2"/>
    <s v="Descripci√≥n del Plato_2"/>
    <n v="18"/>
    <n v="30"/>
    <n v="1"/>
    <n v="58"/>
    <n v="30"/>
    <n v="12"/>
    <n v="0.4"/>
  </r>
  <r>
    <x v="206"/>
    <n v="20"/>
    <s v="Plato_10"/>
    <s v="Descripci√≥n del Plato_10"/>
    <n v="15"/>
    <n v="26"/>
    <n v="2"/>
    <n v="37"/>
    <n v="52"/>
    <n v="22"/>
    <n v="0.42307692307692307"/>
  </r>
  <r>
    <x v="206"/>
    <n v="20"/>
    <s v="Plato_17"/>
    <s v="Descripci√≥n del Plato_17"/>
    <n v="19"/>
    <n v="31"/>
    <n v="3"/>
    <n v="19"/>
    <n v="93"/>
    <n v="36"/>
    <n v="0.38709677419354838"/>
  </r>
  <r>
    <x v="206"/>
    <n v="20"/>
    <s v="Plato_8"/>
    <s v="Descripci√≥n del Plato_8"/>
    <n v="21"/>
    <n v="35"/>
    <n v="1"/>
    <n v="55"/>
    <n v="35"/>
    <n v="14"/>
    <n v="0.4"/>
  </r>
  <r>
    <x v="207"/>
    <n v="16"/>
    <s v="Plato_15"/>
    <s v="Descripci√≥n del Plato_15"/>
    <n v="19"/>
    <n v="32"/>
    <n v="1"/>
    <n v="18"/>
    <n v="32"/>
    <n v="13"/>
    <n v="0.40625"/>
  </r>
  <r>
    <x v="207"/>
    <n v="16"/>
    <s v="Plato_19"/>
    <s v="Descripci√≥n del Plato_19"/>
    <n v="22"/>
    <n v="36"/>
    <n v="3"/>
    <n v="29"/>
    <n v="108"/>
    <n v="42"/>
    <n v="0.3888888888888889"/>
  </r>
  <r>
    <x v="207"/>
    <n v="16"/>
    <s v="Plato_3"/>
    <s v="Descripci√≥n del Plato_3"/>
    <n v="12"/>
    <n v="20"/>
    <n v="2"/>
    <n v="53"/>
    <n v="40"/>
    <n v="16"/>
    <n v="0.4"/>
  </r>
  <r>
    <x v="208"/>
    <n v="9"/>
    <s v="Plato_1"/>
    <s v="Descripci√≥n del Plato_1"/>
    <n v="15"/>
    <n v="25"/>
    <n v="1"/>
    <n v="42"/>
    <n v="25"/>
    <n v="10"/>
    <n v="0.4"/>
  </r>
  <r>
    <x v="208"/>
    <n v="9"/>
    <s v="Plato_10"/>
    <s v="Descripci√≥n del Plato_10"/>
    <n v="15"/>
    <n v="26"/>
    <n v="2"/>
    <n v="54"/>
    <n v="52"/>
    <n v="22"/>
    <n v="0.42307692307692307"/>
  </r>
  <r>
    <x v="208"/>
    <n v="9"/>
    <s v="Plato_14"/>
    <s v="Descripci√≥n del Plato_14"/>
    <n v="14"/>
    <n v="23"/>
    <n v="3"/>
    <n v="35"/>
    <n v="69"/>
    <n v="27"/>
    <n v="0.39130434782608697"/>
  </r>
  <r>
    <x v="208"/>
    <n v="9"/>
    <s v="Plato_18"/>
    <s v="Descripci√≥n del Plato_18"/>
    <n v="20"/>
    <n v="34"/>
    <n v="2"/>
    <n v="40"/>
    <n v="68"/>
    <n v="28"/>
    <n v="0.41176470588235292"/>
  </r>
  <r>
    <x v="209"/>
    <n v="10"/>
    <s v="Plato_13"/>
    <s v="Descripci√≥n del Plato_13"/>
    <n v="13"/>
    <n v="21"/>
    <n v="1"/>
    <n v="28"/>
    <n v="21"/>
    <n v="8"/>
    <n v="0.38095238095238093"/>
  </r>
  <r>
    <x v="209"/>
    <n v="10"/>
    <s v="Plato_2"/>
    <s v="Descripci√≥n del Plato_2"/>
    <n v="18"/>
    <n v="30"/>
    <n v="1"/>
    <n v="50"/>
    <n v="30"/>
    <n v="12"/>
    <n v="0.4"/>
  </r>
  <r>
    <x v="209"/>
    <n v="10"/>
    <s v="Plato_20"/>
    <s v="Descripci√≥n del Plato_20"/>
    <n v="25"/>
    <n v="40"/>
    <n v="3"/>
    <n v="46"/>
    <n v="120"/>
    <n v="45"/>
    <n v="0.375"/>
  </r>
  <r>
    <x v="209"/>
    <n v="10"/>
    <s v="Plato_7"/>
    <s v="Descripci√≥n del Plato_7"/>
    <n v="14"/>
    <n v="24"/>
    <n v="1"/>
    <n v="34"/>
    <n v="24"/>
    <n v="10"/>
    <n v="0.41666666666666669"/>
  </r>
  <r>
    <x v="210"/>
    <n v="1"/>
    <s v="Plato_1"/>
    <s v="Descripci√≥n del Plato_1"/>
    <n v="15"/>
    <n v="25"/>
    <n v="2"/>
    <n v="9"/>
    <n v="50"/>
    <n v="20"/>
    <n v="0.4"/>
  </r>
  <r>
    <x v="210"/>
    <n v="1"/>
    <s v="Plato_13"/>
    <s v="Descripci√≥n del Plato_13"/>
    <n v="13"/>
    <n v="21"/>
    <n v="3"/>
    <n v="54"/>
    <n v="63"/>
    <n v="24"/>
    <n v="0.38095238095238093"/>
  </r>
  <r>
    <x v="210"/>
    <n v="1"/>
    <s v="Plato_3"/>
    <s v="Descripci√≥n del Plato_3"/>
    <n v="12"/>
    <n v="20"/>
    <n v="1"/>
    <n v="27"/>
    <n v="20"/>
    <n v="8"/>
    <n v="0.4"/>
  </r>
  <r>
    <x v="210"/>
    <n v="1"/>
    <s v="Plato_4"/>
    <s v="Descripci√≥n del Plato_4"/>
    <n v="10"/>
    <n v="18"/>
    <n v="2"/>
    <n v="45"/>
    <n v="36"/>
    <n v="16"/>
    <n v="0.44444444444444442"/>
  </r>
  <r>
    <x v="211"/>
    <n v="14"/>
    <s v="Plato_10"/>
    <s v="Descripci√≥n del Plato_10"/>
    <n v="15"/>
    <n v="26"/>
    <n v="3"/>
    <n v="43"/>
    <n v="78"/>
    <n v="33"/>
    <n v="0.42307692307692307"/>
  </r>
  <r>
    <x v="211"/>
    <n v="14"/>
    <s v="Plato_13"/>
    <s v="Descripci√≥n del Plato_13"/>
    <n v="13"/>
    <n v="21"/>
    <n v="1"/>
    <n v="31"/>
    <n v="21"/>
    <n v="8"/>
    <n v="0.38095238095238093"/>
  </r>
  <r>
    <x v="211"/>
    <n v="14"/>
    <s v="Plato_16"/>
    <s v="Descripci√≥n del Plato_16"/>
    <n v="16"/>
    <n v="28"/>
    <n v="2"/>
    <n v="55"/>
    <n v="56"/>
    <n v="24"/>
    <n v="0.42857142857142855"/>
  </r>
  <r>
    <x v="211"/>
    <n v="14"/>
    <s v="Plato_2"/>
    <s v="Descripci√≥n del Plato_2"/>
    <n v="18"/>
    <n v="30"/>
    <n v="3"/>
    <n v="35"/>
    <n v="90"/>
    <n v="36"/>
    <n v="0.4"/>
  </r>
  <r>
    <x v="212"/>
    <n v="13"/>
    <s v="Plato_2"/>
    <s v="Descripci√≥n del Plato_2"/>
    <n v="18"/>
    <n v="30"/>
    <n v="2"/>
    <n v="47"/>
    <n v="60"/>
    <n v="24"/>
    <n v="0.4"/>
  </r>
  <r>
    <x v="212"/>
    <n v="13"/>
    <s v="Plato_6"/>
    <s v="Descripci√≥n del Plato_6"/>
    <n v="16"/>
    <n v="27"/>
    <n v="1"/>
    <n v="53"/>
    <n v="27"/>
    <n v="11"/>
    <n v="0.40740740740740738"/>
  </r>
  <r>
    <x v="213"/>
    <n v="2"/>
    <s v="Plato_18"/>
    <s v="Descripci√≥n del Plato_18"/>
    <n v="20"/>
    <n v="34"/>
    <n v="2"/>
    <n v="14"/>
    <n v="68"/>
    <n v="28"/>
    <n v="0.41176470588235292"/>
  </r>
  <r>
    <x v="213"/>
    <n v="2"/>
    <s v="Plato_20"/>
    <s v="Descripci√≥n del Plato_20"/>
    <n v="25"/>
    <n v="40"/>
    <n v="3"/>
    <n v="12"/>
    <n v="120"/>
    <n v="45"/>
    <n v="0.375"/>
  </r>
  <r>
    <x v="213"/>
    <n v="2"/>
    <s v="Plato_3"/>
    <s v="Descripci√≥n del Plato_3"/>
    <n v="12"/>
    <n v="20"/>
    <n v="2"/>
    <n v="12"/>
    <n v="40"/>
    <n v="16"/>
    <n v="0.4"/>
  </r>
  <r>
    <x v="214"/>
    <n v="6"/>
    <s v="Plato_18"/>
    <s v="Descripci√≥n del Plato_18"/>
    <n v="20"/>
    <n v="34"/>
    <n v="2"/>
    <n v="12"/>
    <n v="68"/>
    <n v="28"/>
    <n v="0.41176470588235292"/>
  </r>
  <r>
    <x v="214"/>
    <n v="6"/>
    <s v="Plato_2"/>
    <s v="Descripci√≥n del Plato_2"/>
    <n v="18"/>
    <n v="30"/>
    <n v="3"/>
    <n v="34"/>
    <n v="90"/>
    <n v="36"/>
    <n v="0.4"/>
  </r>
  <r>
    <x v="215"/>
    <n v="17"/>
    <s v="Plato_1"/>
    <s v="Descripci√≥n del Plato_1"/>
    <n v="15"/>
    <n v="25"/>
    <n v="1"/>
    <n v="42"/>
    <n v="25"/>
    <n v="10"/>
    <n v="0.4"/>
  </r>
  <r>
    <x v="215"/>
    <n v="17"/>
    <s v="Plato_13"/>
    <s v="Descripci√≥n del Plato_13"/>
    <n v="13"/>
    <n v="21"/>
    <n v="3"/>
    <n v="36"/>
    <n v="63"/>
    <n v="24"/>
    <n v="0.38095238095238093"/>
  </r>
  <r>
    <x v="215"/>
    <n v="17"/>
    <s v="Plato_6"/>
    <s v="Descripci√≥n del Plato_6"/>
    <n v="16"/>
    <n v="27"/>
    <n v="2"/>
    <n v="42"/>
    <n v="54"/>
    <n v="22"/>
    <n v="0.40740740740740738"/>
  </r>
  <r>
    <x v="216"/>
    <n v="1"/>
    <s v="Plato_15"/>
    <s v="Descripci√≥n del Plato_15"/>
    <n v="19"/>
    <n v="32"/>
    <n v="3"/>
    <n v="13"/>
    <n v="96"/>
    <n v="39"/>
    <n v="0.40625"/>
  </r>
  <r>
    <x v="217"/>
    <n v="13"/>
    <s v="Plato_12"/>
    <s v="Descripci√≥n del Plato_12"/>
    <n v="11"/>
    <n v="19"/>
    <n v="3"/>
    <n v="24"/>
    <n v="57"/>
    <n v="24"/>
    <n v="0.42105263157894735"/>
  </r>
  <r>
    <x v="217"/>
    <n v="13"/>
    <s v="Plato_14"/>
    <s v="Descripci√≥n del Plato_14"/>
    <n v="14"/>
    <n v="23"/>
    <n v="2"/>
    <n v="6"/>
    <n v="46"/>
    <n v="18"/>
    <n v="0.39130434782608697"/>
  </r>
  <r>
    <x v="217"/>
    <n v="13"/>
    <s v="Plato_6"/>
    <s v="Descripci√≥n del Plato_6"/>
    <n v="16"/>
    <n v="27"/>
    <n v="3"/>
    <n v="16"/>
    <n v="81"/>
    <n v="33"/>
    <n v="0.40740740740740738"/>
  </r>
  <r>
    <x v="218"/>
    <n v="1"/>
    <s v="Plato_14"/>
    <s v="Descripci√≥n del Plato_14"/>
    <n v="14"/>
    <n v="23"/>
    <n v="2"/>
    <n v="12"/>
    <n v="46"/>
    <n v="18"/>
    <n v="0.39130434782608697"/>
  </r>
  <r>
    <x v="218"/>
    <n v="1"/>
    <s v="Plato_17"/>
    <s v="Descripci√≥n del Plato_17"/>
    <n v="19"/>
    <n v="31"/>
    <n v="3"/>
    <n v="11"/>
    <n v="93"/>
    <n v="36"/>
    <n v="0.38709677419354838"/>
  </r>
  <r>
    <x v="219"/>
    <n v="15"/>
    <s v="Plato_7"/>
    <s v="Descripci√≥n del Plato_7"/>
    <n v="14"/>
    <n v="24"/>
    <n v="1"/>
    <n v="13"/>
    <n v="24"/>
    <n v="10"/>
    <n v="0.41666666666666669"/>
  </r>
  <r>
    <x v="220"/>
    <n v="16"/>
    <s v="Plato_15"/>
    <s v="Descripci√≥n del Plato_15"/>
    <n v="19"/>
    <n v="32"/>
    <n v="3"/>
    <n v="29"/>
    <n v="96"/>
    <n v="39"/>
    <n v="0.40625"/>
  </r>
  <r>
    <x v="220"/>
    <n v="16"/>
    <s v="Plato_18"/>
    <s v="Descripci√≥n del Plato_18"/>
    <n v="20"/>
    <n v="34"/>
    <n v="2"/>
    <n v="54"/>
    <n v="68"/>
    <n v="28"/>
    <n v="0.41176470588235292"/>
  </r>
  <r>
    <x v="220"/>
    <n v="16"/>
    <s v="Plato_9"/>
    <s v="Descripci√≥n del Plato_9"/>
    <n v="17"/>
    <n v="29"/>
    <n v="1"/>
    <n v="25"/>
    <n v="29"/>
    <n v="12"/>
    <n v="0.41379310344827586"/>
  </r>
  <r>
    <x v="221"/>
    <n v="3"/>
    <s v="Plato_14"/>
    <s v="Descripci√≥n del Plato_14"/>
    <n v="14"/>
    <n v="23"/>
    <n v="3"/>
    <n v="29"/>
    <n v="69"/>
    <n v="27"/>
    <n v="0.39130434782608697"/>
  </r>
  <r>
    <x v="221"/>
    <n v="3"/>
    <s v="Plato_16"/>
    <s v="Descripci√≥n del Plato_16"/>
    <n v="16"/>
    <n v="28"/>
    <n v="1"/>
    <n v="56"/>
    <n v="28"/>
    <n v="12"/>
    <n v="0.42857142857142855"/>
  </r>
  <r>
    <x v="222"/>
    <n v="19"/>
    <s v="Plato_15"/>
    <s v="Descripci√≥n del Plato_15"/>
    <n v="19"/>
    <n v="32"/>
    <n v="1"/>
    <n v="53"/>
    <n v="32"/>
    <n v="13"/>
    <n v="0.40625"/>
  </r>
  <r>
    <x v="223"/>
    <n v="7"/>
    <s v="Plato_10"/>
    <s v="Descripci√≥n del Plato_10"/>
    <n v="15"/>
    <n v="26"/>
    <n v="2"/>
    <n v="20"/>
    <n v="52"/>
    <n v="22"/>
    <n v="0.42307692307692307"/>
  </r>
  <r>
    <x v="224"/>
    <n v="19"/>
    <s v="Plato_11"/>
    <s v="Descripci√≥n del Plato_11"/>
    <n v="20"/>
    <n v="33"/>
    <n v="3"/>
    <n v="56"/>
    <n v="99"/>
    <n v="39"/>
    <n v="0.39393939393939392"/>
  </r>
  <r>
    <x v="224"/>
    <n v="19"/>
    <s v="Plato_14"/>
    <s v="Descripci√≥n del Plato_14"/>
    <n v="14"/>
    <n v="23"/>
    <n v="3"/>
    <n v="38"/>
    <n v="69"/>
    <n v="27"/>
    <n v="0.39130434782608697"/>
  </r>
  <r>
    <x v="225"/>
    <n v="7"/>
    <s v="Plato_13"/>
    <s v="Descripci√≥n del Plato_13"/>
    <n v="13"/>
    <n v="21"/>
    <n v="1"/>
    <n v="29"/>
    <n v="21"/>
    <n v="8"/>
    <n v="0.38095238095238093"/>
  </r>
  <r>
    <x v="225"/>
    <n v="7"/>
    <s v="Plato_3"/>
    <s v="Descripci√≥n del Plato_3"/>
    <n v="12"/>
    <n v="20"/>
    <n v="2"/>
    <n v="7"/>
    <n v="40"/>
    <n v="16"/>
    <n v="0.4"/>
  </r>
  <r>
    <x v="225"/>
    <n v="7"/>
    <s v="Plato_6"/>
    <s v="Descripci√≥n del Plato_6"/>
    <n v="16"/>
    <n v="27"/>
    <n v="3"/>
    <n v="56"/>
    <n v="81"/>
    <n v="33"/>
    <n v="0.40740740740740738"/>
  </r>
  <r>
    <x v="225"/>
    <n v="7"/>
    <s v="Plato_9"/>
    <s v="Descripci√≥n del Plato_9"/>
    <n v="17"/>
    <n v="29"/>
    <n v="1"/>
    <n v="54"/>
    <n v="29"/>
    <n v="12"/>
    <n v="0.41379310344827586"/>
  </r>
  <r>
    <x v="226"/>
    <n v="17"/>
    <s v="Plato_11"/>
    <s v="Descripci√≥n del Plato_11"/>
    <n v="20"/>
    <n v="33"/>
    <n v="2"/>
    <n v="33"/>
    <n v="66"/>
    <n v="26"/>
    <n v="0.39393939393939392"/>
  </r>
  <r>
    <x v="226"/>
    <n v="17"/>
    <s v="Plato_16"/>
    <s v="Descripci√≥n del Plato_16"/>
    <n v="16"/>
    <n v="28"/>
    <n v="1"/>
    <n v="13"/>
    <n v="28"/>
    <n v="12"/>
    <n v="0.42857142857142855"/>
  </r>
  <r>
    <x v="226"/>
    <n v="17"/>
    <s v="Plato_17"/>
    <s v="Descripci√≥n del Plato_17"/>
    <n v="19"/>
    <n v="31"/>
    <n v="3"/>
    <n v="15"/>
    <n v="93"/>
    <n v="36"/>
    <n v="0.38709677419354838"/>
  </r>
  <r>
    <x v="226"/>
    <n v="17"/>
    <s v="Plato_7"/>
    <s v="Descripci√≥n del Plato_7"/>
    <n v="14"/>
    <n v="24"/>
    <n v="1"/>
    <n v="58"/>
    <n v="24"/>
    <n v="10"/>
    <n v="0.41666666666666669"/>
  </r>
  <r>
    <x v="227"/>
    <n v="16"/>
    <s v="Plato_14"/>
    <s v="Descripci√≥n del Plato_14"/>
    <n v="14"/>
    <n v="23"/>
    <n v="3"/>
    <n v="35"/>
    <n v="69"/>
    <n v="27"/>
    <n v="0.39130434782608697"/>
  </r>
  <r>
    <x v="228"/>
    <n v="14"/>
    <s v="Plato_1"/>
    <s v="Descripci√≥n del Plato_1"/>
    <n v="15"/>
    <n v="25"/>
    <n v="1"/>
    <n v="28"/>
    <n v="25"/>
    <n v="10"/>
    <n v="0.4"/>
  </r>
  <r>
    <x v="228"/>
    <n v="14"/>
    <s v="Plato_16"/>
    <s v="Descripci√≥n del Plato_16"/>
    <n v="16"/>
    <n v="28"/>
    <n v="1"/>
    <n v="27"/>
    <n v="28"/>
    <n v="12"/>
    <n v="0.42857142857142855"/>
  </r>
  <r>
    <x v="228"/>
    <n v="14"/>
    <s v="Plato_19"/>
    <s v="Descripci√≥n del Plato_19"/>
    <n v="22"/>
    <n v="36"/>
    <n v="1"/>
    <n v="19"/>
    <n v="36"/>
    <n v="14"/>
    <n v="0.3888888888888889"/>
  </r>
  <r>
    <x v="228"/>
    <n v="14"/>
    <s v="Plato_8"/>
    <s v="Descripci√≥n del Plato_8"/>
    <n v="21"/>
    <n v="35"/>
    <n v="1"/>
    <n v="43"/>
    <n v="35"/>
    <n v="14"/>
    <n v="0.4"/>
  </r>
  <r>
    <x v="229"/>
    <n v="5"/>
    <s v="Plato_15"/>
    <s v="Descripci√≥n del Plato_15"/>
    <n v="19"/>
    <n v="32"/>
    <n v="3"/>
    <n v="10"/>
    <n v="96"/>
    <n v="39"/>
    <n v="0.40625"/>
  </r>
  <r>
    <x v="229"/>
    <n v="5"/>
    <s v="Plato_16"/>
    <s v="Descripci√≥n del Plato_16"/>
    <n v="16"/>
    <n v="28"/>
    <n v="2"/>
    <n v="24"/>
    <n v="56"/>
    <n v="24"/>
    <n v="0.42857142857142855"/>
  </r>
  <r>
    <x v="229"/>
    <n v="5"/>
    <s v="Plato_17"/>
    <s v="Descripci√≥n del Plato_17"/>
    <n v="19"/>
    <n v="31"/>
    <n v="2"/>
    <n v="57"/>
    <n v="62"/>
    <n v="24"/>
    <n v="0.38709677419354838"/>
  </r>
  <r>
    <x v="230"/>
    <n v="8"/>
    <s v="Plato_11"/>
    <s v="Descripci√≥n del Plato_11"/>
    <n v="20"/>
    <n v="33"/>
    <n v="1"/>
    <n v="51"/>
    <n v="33"/>
    <n v="13"/>
    <n v="0.39393939393939392"/>
  </r>
  <r>
    <x v="230"/>
    <n v="8"/>
    <s v="Plato_13"/>
    <s v="Descripci√≥n del Plato_13"/>
    <n v="13"/>
    <n v="21"/>
    <n v="2"/>
    <n v="29"/>
    <n v="42"/>
    <n v="16"/>
    <n v="0.38095238095238093"/>
  </r>
  <r>
    <x v="230"/>
    <n v="8"/>
    <s v="Plato_17"/>
    <s v="Descripci√≥n del Plato_17"/>
    <n v="19"/>
    <n v="31"/>
    <n v="1"/>
    <n v="53"/>
    <n v="31"/>
    <n v="12"/>
    <n v="0.38709677419354838"/>
  </r>
  <r>
    <x v="230"/>
    <n v="8"/>
    <s v="Plato_18"/>
    <s v="Descripci√≥n del Plato_18"/>
    <n v="20"/>
    <n v="34"/>
    <n v="3"/>
    <n v="17"/>
    <n v="102"/>
    <n v="42"/>
    <n v="0.41176470588235292"/>
  </r>
  <r>
    <x v="231"/>
    <n v="2"/>
    <s v="Plato_10"/>
    <s v="Descripci√≥n del Plato_10"/>
    <n v="15"/>
    <n v="26"/>
    <n v="2"/>
    <n v="19"/>
    <n v="52"/>
    <n v="22"/>
    <n v="0.42307692307692307"/>
  </r>
  <r>
    <x v="231"/>
    <n v="2"/>
    <s v="Plato_2"/>
    <s v="Descripci√≥n del Plato_2"/>
    <n v="18"/>
    <n v="30"/>
    <n v="2"/>
    <n v="40"/>
    <n v="60"/>
    <n v="24"/>
    <n v="0.4"/>
  </r>
  <r>
    <x v="231"/>
    <n v="2"/>
    <s v="Plato_6"/>
    <s v="Descripci√≥n del Plato_6"/>
    <n v="16"/>
    <n v="27"/>
    <n v="2"/>
    <n v="30"/>
    <n v="54"/>
    <n v="22"/>
    <n v="0.40740740740740738"/>
  </r>
  <r>
    <x v="231"/>
    <n v="2"/>
    <s v="Plato_7"/>
    <s v="Descripci√≥n del Plato_7"/>
    <n v="14"/>
    <n v="24"/>
    <n v="1"/>
    <n v="50"/>
    <n v="24"/>
    <n v="10"/>
    <n v="0.41666666666666669"/>
  </r>
  <r>
    <x v="232"/>
    <n v="8"/>
    <s v="Plato_12"/>
    <s v="Descripci√≥n del Plato_12"/>
    <n v="11"/>
    <n v="19"/>
    <n v="2"/>
    <n v="31"/>
    <n v="38"/>
    <n v="16"/>
    <n v="0.42105263157894735"/>
  </r>
  <r>
    <x v="233"/>
    <n v="17"/>
    <s v="Plato_17"/>
    <s v="Descripci√≥n del Plato_17"/>
    <n v="19"/>
    <n v="31"/>
    <n v="3"/>
    <n v="23"/>
    <n v="93"/>
    <n v="36"/>
    <n v="0.38709677419354838"/>
  </r>
  <r>
    <x v="233"/>
    <n v="17"/>
    <s v="Plato_2"/>
    <s v="Descripci√≥n del Plato_2"/>
    <n v="18"/>
    <n v="30"/>
    <n v="2"/>
    <n v="41"/>
    <n v="60"/>
    <n v="24"/>
    <n v="0.4"/>
  </r>
  <r>
    <x v="233"/>
    <n v="17"/>
    <s v="Plato_7"/>
    <s v="Descripci√≥n del Plato_7"/>
    <n v="14"/>
    <n v="24"/>
    <n v="3"/>
    <n v="35"/>
    <n v="72"/>
    <n v="30"/>
    <n v="0.41666666666666669"/>
  </r>
  <r>
    <x v="234"/>
    <n v="13"/>
    <s v="Plato_11"/>
    <s v="Descripci√≥n del Plato_11"/>
    <n v="20"/>
    <n v="33"/>
    <n v="1"/>
    <n v="25"/>
    <n v="33"/>
    <n v="13"/>
    <n v="0.39393939393939392"/>
  </r>
  <r>
    <x v="235"/>
    <n v="12"/>
    <s v="Plato_11"/>
    <s v="Descripci√≥n del Plato_11"/>
    <n v="20"/>
    <n v="33"/>
    <n v="3"/>
    <n v="21"/>
    <n v="99"/>
    <n v="39"/>
    <n v="0.39393939393939392"/>
  </r>
  <r>
    <x v="235"/>
    <n v="12"/>
    <s v="Plato_15"/>
    <s v="Descripci√≥n del Plato_15"/>
    <n v="19"/>
    <n v="32"/>
    <n v="2"/>
    <n v="30"/>
    <n v="64"/>
    <n v="26"/>
    <n v="0.40625"/>
  </r>
  <r>
    <x v="235"/>
    <n v="12"/>
    <s v="Plato_5"/>
    <s v="Descripci√≥n del Plato_5"/>
    <n v="13"/>
    <n v="22"/>
    <n v="1"/>
    <n v="7"/>
    <n v="22"/>
    <n v="9"/>
    <n v="0.40909090909090912"/>
  </r>
  <r>
    <x v="235"/>
    <n v="12"/>
    <s v="Plato_8"/>
    <s v="Descripci√≥n del Plato_8"/>
    <n v="21"/>
    <n v="35"/>
    <n v="2"/>
    <n v="43"/>
    <n v="70"/>
    <n v="28"/>
    <n v="0.4"/>
  </r>
  <r>
    <x v="236"/>
    <n v="4"/>
    <s v="Plato_14"/>
    <s v="Descripci√≥n del Plato_14"/>
    <n v="14"/>
    <n v="23"/>
    <n v="2"/>
    <n v="12"/>
    <n v="46"/>
    <n v="18"/>
    <n v="0.39130434782608697"/>
  </r>
  <r>
    <x v="236"/>
    <n v="4"/>
    <s v="Plato_2"/>
    <s v="Descripci√≥n del Plato_2"/>
    <n v="18"/>
    <n v="30"/>
    <n v="2"/>
    <n v="25"/>
    <n v="60"/>
    <n v="24"/>
    <n v="0.4"/>
  </r>
  <r>
    <x v="237"/>
    <n v="13"/>
    <s v="Plato_19"/>
    <s v="Descripci√≥n del Plato_19"/>
    <n v="22"/>
    <n v="36"/>
    <n v="2"/>
    <n v="45"/>
    <n v="72"/>
    <n v="28"/>
    <n v="0.3888888888888889"/>
  </r>
  <r>
    <x v="238"/>
    <n v="12"/>
    <s v="Plato_10"/>
    <s v="Descripci√≥n del Plato_10"/>
    <n v="15"/>
    <n v="26"/>
    <n v="1"/>
    <n v="36"/>
    <n v="26"/>
    <n v="11"/>
    <n v="0.42307692307692307"/>
  </r>
  <r>
    <x v="238"/>
    <n v="12"/>
    <s v="Plato_7"/>
    <s v="Descripci√≥n del Plato_7"/>
    <n v="14"/>
    <n v="24"/>
    <n v="2"/>
    <n v="37"/>
    <n v="48"/>
    <n v="20"/>
    <n v="0.41666666666666669"/>
  </r>
  <r>
    <x v="239"/>
    <n v="9"/>
    <s v="Plato_14"/>
    <s v="Descripci√≥n del Plato_14"/>
    <n v="14"/>
    <n v="23"/>
    <n v="3"/>
    <n v="32"/>
    <n v="69"/>
    <n v="27"/>
    <n v="0.39130434782608697"/>
  </r>
  <r>
    <x v="239"/>
    <n v="9"/>
    <s v="Plato_15"/>
    <s v="Descripci√≥n del Plato_15"/>
    <n v="19"/>
    <n v="32"/>
    <n v="3"/>
    <n v="19"/>
    <n v="96"/>
    <n v="39"/>
    <n v="0.40625"/>
  </r>
  <r>
    <x v="239"/>
    <n v="9"/>
    <s v="Plato_17"/>
    <s v="Descripci√≥n del Plato_17"/>
    <n v="19"/>
    <n v="31"/>
    <n v="3"/>
    <n v="32"/>
    <n v="93"/>
    <n v="36"/>
    <n v="0.38709677419354838"/>
  </r>
  <r>
    <x v="239"/>
    <n v="9"/>
    <s v="Plato_4"/>
    <s v="Descripci√≥n del Plato_4"/>
    <n v="10"/>
    <n v="18"/>
    <n v="2"/>
    <n v="46"/>
    <n v="36"/>
    <n v="16"/>
    <n v="0.44444444444444442"/>
  </r>
  <r>
    <x v="240"/>
    <n v="12"/>
    <s v="Plato_4"/>
    <s v="Descripci√≥n del Plato_4"/>
    <n v="10"/>
    <n v="18"/>
    <n v="1"/>
    <n v="11"/>
    <n v="18"/>
    <n v="8"/>
    <n v="0.44444444444444442"/>
  </r>
  <r>
    <x v="241"/>
    <n v="12"/>
    <s v="Plato_1"/>
    <s v="Descripci√≥n del Plato_1"/>
    <n v="15"/>
    <n v="25"/>
    <n v="3"/>
    <n v="40"/>
    <n v="75"/>
    <n v="30"/>
    <n v="0.4"/>
  </r>
  <r>
    <x v="241"/>
    <n v="12"/>
    <s v="Plato_10"/>
    <s v="Descripci√≥n del Plato_10"/>
    <n v="15"/>
    <n v="26"/>
    <n v="1"/>
    <n v="54"/>
    <n v="26"/>
    <n v="11"/>
    <n v="0.42307692307692307"/>
  </r>
  <r>
    <x v="241"/>
    <n v="12"/>
    <s v="Plato_11"/>
    <s v="Descripci√≥n del Plato_11"/>
    <n v="20"/>
    <n v="33"/>
    <n v="1"/>
    <n v="5"/>
    <n v="33"/>
    <n v="13"/>
    <n v="0.39393939393939392"/>
  </r>
  <r>
    <x v="242"/>
    <n v="4"/>
    <s v="Plato_20"/>
    <s v="Descripci√≥n del Plato_20"/>
    <n v="25"/>
    <n v="40"/>
    <n v="3"/>
    <n v="22"/>
    <n v="120"/>
    <n v="45"/>
    <n v="0.375"/>
  </r>
  <r>
    <x v="243"/>
    <n v="17"/>
    <s v="Plato_12"/>
    <s v="Descripci√≥n del Plato_12"/>
    <n v="11"/>
    <n v="19"/>
    <n v="2"/>
    <n v="59"/>
    <n v="38"/>
    <n v="16"/>
    <n v="0.42105263157894735"/>
  </r>
  <r>
    <x v="243"/>
    <n v="17"/>
    <s v="Plato_20"/>
    <s v="Descripci√≥n del Plato_20"/>
    <n v="25"/>
    <n v="40"/>
    <n v="3"/>
    <n v="30"/>
    <n v="120"/>
    <n v="45"/>
    <n v="0.375"/>
  </r>
  <r>
    <x v="244"/>
    <n v="11"/>
    <s v="Plato_17"/>
    <s v="Descripci√≥n del Plato_17"/>
    <n v="19"/>
    <n v="31"/>
    <n v="1"/>
    <n v="23"/>
    <n v="31"/>
    <n v="12"/>
    <n v="0.38709677419354838"/>
  </r>
  <r>
    <x v="244"/>
    <n v="11"/>
    <s v="Plato_19"/>
    <s v="Descripci√≥n del Plato_19"/>
    <n v="22"/>
    <n v="36"/>
    <n v="3"/>
    <n v="25"/>
    <n v="108"/>
    <n v="42"/>
    <n v="0.3888888888888889"/>
  </r>
  <r>
    <x v="244"/>
    <n v="11"/>
    <s v="Plato_20"/>
    <s v="Descripci√≥n del Plato_20"/>
    <n v="25"/>
    <n v="40"/>
    <n v="2"/>
    <n v="23"/>
    <n v="80"/>
    <n v="30"/>
    <n v="0.375"/>
  </r>
  <r>
    <x v="244"/>
    <n v="11"/>
    <s v="Plato_4"/>
    <s v="Descripci√≥n del Plato_4"/>
    <n v="10"/>
    <n v="18"/>
    <n v="3"/>
    <n v="45"/>
    <n v="54"/>
    <n v="24"/>
    <n v="0.44444444444444442"/>
  </r>
  <r>
    <x v="245"/>
    <n v="2"/>
    <s v="Plato_17"/>
    <s v="Descripci√≥n del Plato_17"/>
    <n v="19"/>
    <n v="31"/>
    <n v="3"/>
    <n v="52"/>
    <n v="93"/>
    <n v="36"/>
    <n v="0.38709677419354838"/>
  </r>
  <r>
    <x v="245"/>
    <n v="2"/>
    <s v="Plato_6"/>
    <s v="Descripci√≥n del Plato_6"/>
    <n v="16"/>
    <n v="27"/>
    <n v="3"/>
    <n v="36"/>
    <n v="81"/>
    <n v="33"/>
    <n v="0.40740740740740738"/>
  </r>
  <r>
    <x v="245"/>
    <n v="2"/>
    <s v="Plato_7"/>
    <s v="Descripci√≥n del Plato_7"/>
    <n v="14"/>
    <n v="24"/>
    <n v="2"/>
    <n v="10"/>
    <n v="48"/>
    <n v="20"/>
    <n v="0.41666666666666669"/>
  </r>
  <r>
    <x v="245"/>
    <n v="2"/>
    <s v="Plato_8"/>
    <s v="Descripci√≥n del Plato_8"/>
    <n v="21"/>
    <n v="35"/>
    <n v="3"/>
    <n v="48"/>
    <n v="105"/>
    <n v="42"/>
    <n v="0.4"/>
  </r>
  <r>
    <x v="246"/>
    <n v="11"/>
    <s v="Plato_11"/>
    <s v="Descripci√≥n del Plato_11"/>
    <n v="20"/>
    <n v="33"/>
    <n v="2"/>
    <n v="59"/>
    <n v="66"/>
    <n v="26"/>
    <n v="0.39393939393939392"/>
  </r>
  <r>
    <x v="247"/>
    <n v="12"/>
    <s v="Plato_1"/>
    <s v="Descripci√≥n del Plato_1"/>
    <n v="15"/>
    <n v="25"/>
    <n v="2"/>
    <n v="31"/>
    <n v="50"/>
    <n v="20"/>
    <n v="0.4"/>
  </r>
  <r>
    <x v="247"/>
    <n v="12"/>
    <s v="Plato_18"/>
    <s v="Descripci√≥n del Plato_18"/>
    <n v="20"/>
    <n v="34"/>
    <n v="1"/>
    <n v="32"/>
    <n v="34"/>
    <n v="14"/>
    <n v="0.41176470588235292"/>
  </r>
  <r>
    <x v="247"/>
    <n v="12"/>
    <s v="Plato_6"/>
    <s v="Descripci√≥n del Plato_6"/>
    <n v="16"/>
    <n v="27"/>
    <n v="2"/>
    <n v="6"/>
    <n v="54"/>
    <n v="22"/>
    <n v="0.40740740740740738"/>
  </r>
  <r>
    <x v="247"/>
    <n v="12"/>
    <s v="Plato_9"/>
    <s v="Descripci√≥n del Plato_9"/>
    <n v="17"/>
    <n v="29"/>
    <n v="3"/>
    <n v="51"/>
    <n v="87"/>
    <n v="36"/>
    <n v="0.41379310344827586"/>
  </r>
  <r>
    <x v="248"/>
    <n v="8"/>
    <s v="Plato_4"/>
    <s v="Descripci√≥n del Plato_4"/>
    <n v="10"/>
    <n v="18"/>
    <n v="2"/>
    <n v="58"/>
    <n v="36"/>
    <n v="16"/>
    <n v="0.44444444444444442"/>
  </r>
  <r>
    <x v="248"/>
    <n v="8"/>
    <s v="Plato_5"/>
    <s v="Descripci√≥n del Plato_5"/>
    <n v="13"/>
    <n v="22"/>
    <n v="2"/>
    <n v="51"/>
    <n v="44"/>
    <n v="18"/>
    <n v="0.40909090909090912"/>
  </r>
  <r>
    <x v="249"/>
    <n v="8"/>
    <s v="Plato_3"/>
    <s v="Descripci√≥n del Plato_3"/>
    <n v="12"/>
    <n v="20"/>
    <n v="1"/>
    <n v="29"/>
    <n v="20"/>
    <n v="8"/>
    <n v="0.4"/>
  </r>
  <r>
    <x v="250"/>
    <n v="12"/>
    <s v="Plato_10"/>
    <s v="Descripci√≥n del Plato_10"/>
    <n v="15"/>
    <n v="26"/>
    <n v="1"/>
    <n v="25"/>
    <n v="26"/>
    <n v="11"/>
    <n v="0.42307692307692307"/>
  </r>
  <r>
    <x v="250"/>
    <n v="12"/>
    <s v="Plato_12"/>
    <s v="Descripci√≥n del Plato_12"/>
    <n v="11"/>
    <n v="19"/>
    <n v="2"/>
    <n v="40"/>
    <n v="38"/>
    <n v="16"/>
    <n v="0.42105263157894735"/>
  </r>
  <r>
    <x v="250"/>
    <n v="12"/>
    <s v="Plato_14"/>
    <s v="Descripci√≥n del Plato_14"/>
    <n v="14"/>
    <n v="23"/>
    <n v="1"/>
    <n v="23"/>
    <n v="23"/>
    <n v="9"/>
    <n v="0.39130434782608697"/>
  </r>
  <r>
    <x v="250"/>
    <n v="12"/>
    <s v="Plato_5"/>
    <s v="Descripci√≥n del Plato_5"/>
    <n v="13"/>
    <n v="22"/>
    <n v="1"/>
    <n v="34"/>
    <n v="22"/>
    <n v="9"/>
    <n v="0.40909090909090912"/>
  </r>
  <r>
    <x v="251"/>
    <n v="4"/>
    <s v="Plato_1"/>
    <s v="Descripci√≥n del Plato_1"/>
    <n v="15"/>
    <n v="25"/>
    <n v="2"/>
    <n v="53"/>
    <n v="50"/>
    <n v="20"/>
    <n v="0.4"/>
  </r>
  <r>
    <x v="251"/>
    <n v="4"/>
    <s v="Plato_10"/>
    <s v="Descripci√≥n del Plato_10"/>
    <n v="15"/>
    <n v="26"/>
    <n v="2"/>
    <n v="31"/>
    <n v="52"/>
    <n v="22"/>
    <n v="0.42307692307692307"/>
  </r>
  <r>
    <x v="252"/>
    <n v="8"/>
    <s v="Plato_1"/>
    <s v="Descripci√≥n del Plato_1"/>
    <n v="15"/>
    <n v="25"/>
    <n v="1"/>
    <n v="18"/>
    <n v="25"/>
    <n v="10"/>
    <n v="0.4"/>
  </r>
  <r>
    <x v="252"/>
    <n v="8"/>
    <s v="Plato_13"/>
    <s v="Descripci√≥n del Plato_13"/>
    <n v="13"/>
    <n v="21"/>
    <n v="2"/>
    <n v="8"/>
    <n v="42"/>
    <n v="16"/>
    <n v="0.38095238095238093"/>
  </r>
  <r>
    <x v="252"/>
    <n v="8"/>
    <s v="Plato_9"/>
    <s v="Descripci√≥n del Plato_9"/>
    <n v="17"/>
    <n v="29"/>
    <n v="3"/>
    <n v="29"/>
    <n v="87"/>
    <n v="36"/>
    <n v="0.41379310344827586"/>
  </r>
  <r>
    <x v="253"/>
    <n v="10"/>
    <s v="Plato_10"/>
    <s v="Descripci√≥n del Plato_10"/>
    <n v="15"/>
    <n v="26"/>
    <n v="2"/>
    <n v="10"/>
    <n v="52"/>
    <n v="22"/>
    <n v="0.42307692307692307"/>
  </r>
  <r>
    <x v="253"/>
    <n v="10"/>
    <s v="Plato_16"/>
    <s v="Descripci√≥n del Plato_16"/>
    <n v="16"/>
    <n v="28"/>
    <n v="3"/>
    <n v="42"/>
    <n v="84"/>
    <n v="36"/>
    <n v="0.42857142857142855"/>
  </r>
  <r>
    <x v="253"/>
    <n v="10"/>
    <s v="Plato_17"/>
    <s v="Descripci√≥n del Plato_17"/>
    <n v="19"/>
    <n v="31"/>
    <n v="3"/>
    <n v="33"/>
    <n v="93"/>
    <n v="36"/>
    <n v="0.38709677419354838"/>
  </r>
  <r>
    <x v="253"/>
    <n v="10"/>
    <s v="Plato_18"/>
    <s v="Descripci√≥n del Plato_18"/>
    <n v="20"/>
    <n v="34"/>
    <n v="2"/>
    <n v="56"/>
    <n v="68"/>
    <n v="28"/>
    <n v="0.41176470588235292"/>
  </r>
  <r>
    <x v="254"/>
    <n v="8"/>
    <s v="Plato_1"/>
    <s v="Descripci√≥n del Plato_1"/>
    <n v="15"/>
    <n v="25"/>
    <n v="1"/>
    <n v="37"/>
    <n v="25"/>
    <n v="10"/>
    <n v="0.4"/>
  </r>
  <r>
    <x v="255"/>
    <n v="5"/>
    <s v="Plato_13"/>
    <s v="Descripci√≥n del Plato_13"/>
    <n v="13"/>
    <n v="21"/>
    <n v="1"/>
    <n v="16"/>
    <n v="21"/>
    <n v="8"/>
    <n v="0.38095238095238093"/>
  </r>
  <r>
    <x v="256"/>
    <n v="12"/>
    <s v="Plato_14"/>
    <s v="Descripci√≥n del Plato_14"/>
    <n v="14"/>
    <n v="23"/>
    <n v="2"/>
    <n v="28"/>
    <n v="46"/>
    <n v="18"/>
    <n v="0.39130434782608697"/>
  </r>
  <r>
    <x v="257"/>
    <n v="12"/>
    <s v="Plato_1"/>
    <s v="Descripci√≥n del Plato_1"/>
    <n v="15"/>
    <n v="25"/>
    <n v="1"/>
    <n v="59"/>
    <n v="25"/>
    <n v="10"/>
    <n v="0.4"/>
  </r>
  <r>
    <x v="257"/>
    <n v="12"/>
    <s v="Plato_15"/>
    <s v="Descripci√≥n del Plato_15"/>
    <n v="19"/>
    <n v="32"/>
    <n v="1"/>
    <n v="5"/>
    <n v="32"/>
    <n v="13"/>
    <n v="0.40625"/>
  </r>
  <r>
    <x v="257"/>
    <n v="12"/>
    <s v="Plato_20"/>
    <s v="Descripci√≥n del Plato_20"/>
    <n v="25"/>
    <n v="40"/>
    <n v="1"/>
    <n v="10"/>
    <n v="40"/>
    <n v="15"/>
    <n v="0.375"/>
  </r>
  <r>
    <x v="257"/>
    <n v="12"/>
    <s v="Plato_3"/>
    <s v="Descripci√≥n del Plato_3"/>
    <n v="12"/>
    <n v="20"/>
    <n v="1"/>
    <n v="31"/>
    <n v="20"/>
    <n v="8"/>
    <n v="0.4"/>
  </r>
  <r>
    <x v="258"/>
    <n v="10"/>
    <s v="Plato_6"/>
    <s v="Descripci√≥n del Plato_6"/>
    <n v="16"/>
    <n v="27"/>
    <n v="3"/>
    <n v="11"/>
    <n v="81"/>
    <n v="33"/>
    <n v="0.40740740740740738"/>
  </r>
  <r>
    <x v="259"/>
    <n v="20"/>
    <s v="Plato_14"/>
    <s v="Descripci√≥n del Plato_14"/>
    <n v="14"/>
    <n v="23"/>
    <n v="3"/>
    <n v="49"/>
    <n v="69"/>
    <n v="27"/>
    <n v="0.39130434782608697"/>
  </r>
  <r>
    <x v="260"/>
    <n v="8"/>
    <s v="Plato_15"/>
    <s v="Descripci√≥n del Plato_15"/>
    <n v="19"/>
    <n v="32"/>
    <n v="3"/>
    <n v="19"/>
    <n v="96"/>
    <n v="39"/>
    <n v="0.40625"/>
  </r>
  <r>
    <x v="260"/>
    <n v="8"/>
    <s v="Plato_9"/>
    <s v="Descripci√≥n del Plato_9"/>
    <n v="17"/>
    <n v="29"/>
    <n v="2"/>
    <n v="36"/>
    <n v="58"/>
    <n v="24"/>
    <n v="0.41379310344827586"/>
  </r>
  <r>
    <x v="261"/>
    <n v="18"/>
    <s v="Plato_17"/>
    <s v="Descripci√≥n del Plato_17"/>
    <n v="19"/>
    <n v="31"/>
    <n v="3"/>
    <n v="20"/>
    <n v="93"/>
    <n v="36"/>
    <n v="0.38709677419354838"/>
  </r>
  <r>
    <x v="261"/>
    <n v="18"/>
    <s v="Plato_5"/>
    <s v="Descripci√≥n del Plato_5"/>
    <n v="13"/>
    <n v="22"/>
    <n v="1"/>
    <n v="28"/>
    <n v="22"/>
    <n v="9"/>
    <n v="0.40909090909090912"/>
  </r>
  <r>
    <x v="262"/>
    <n v="5"/>
    <s v="Plato_15"/>
    <s v="Descripci√≥n del Plato_15"/>
    <n v="19"/>
    <n v="32"/>
    <n v="1"/>
    <n v="37"/>
    <n v="32"/>
    <n v="13"/>
    <n v="0.40625"/>
  </r>
  <r>
    <x v="262"/>
    <n v="5"/>
    <s v="Plato_2"/>
    <s v="Descripci√≥n del Plato_2"/>
    <n v="18"/>
    <n v="30"/>
    <n v="1"/>
    <n v="42"/>
    <n v="30"/>
    <n v="12"/>
    <n v="0.4"/>
  </r>
  <r>
    <x v="262"/>
    <n v="5"/>
    <s v="Plato_7"/>
    <s v="Descripci√≥n del Plato_7"/>
    <n v="14"/>
    <n v="24"/>
    <n v="1"/>
    <n v="40"/>
    <n v="24"/>
    <n v="10"/>
    <n v="0.41666666666666669"/>
  </r>
  <r>
    <x v="262"/>
    <n v="5"/>
    <s v="Plato_8"/>
    <s v="Descripci√≥n del Plato_8"/>
    <n v="21"/>
    <n v="35"/>
    <n v="1"/>
    <n v="30"/>
    <n v="35"/>
    <n v="14"/>
    <n v="0.4"/>
  </r>
  <r>
    <x v="263"/>
    <n v="2"/>
    <s v="Plato_1"/>
    <s v="Descripci√≥n del Plato_1"/>
    <n v="15"/>
    <n v="25"/>
    <n v="2"/>
    <n v="14"/>
    <n v="50"/>
    <n v="20"/>
    <n v="0.4"/>
  </r>
  <r>
    <x v="263"/>
    <n v="2"/>
    <s v="Plato_15"/>
    <s v="Descripci√≥n del Plato_15"/>
    <n v="19"/>
    <n v="32"/>
    <n v="1"/>
    <n v="27"/>
    <n v="32"/>
    <n v="13"/>
    <n v="0.40625"/>
  </r>
  <r>
    <x v="263"/>
    <n v="2"/>
    <s v="Plato_2"/>
    <s v="Descripci√≥n del Plato_2"/>
    <n v="18"/>
    <n v="30"/>
    <n v="1"/>
    <n v="37"/>
    <n v="30"/>
    <n v="12"/>
    <n v="0.4"/>
  </r>
  <r>
    <x v="263"/>
    <n v="2"/>
    <s v="Plato_8"/>
    <s v="Descripci√≥n del Plato_8"/>
    <n v="21"/>
    <n v="35"/>
    <n v="2"/>
    <n v="39"/>
    <n v="70"/>
    <n v="28"/>
    <n v="0.4"/>
  </r>
  <r>
    <x v="264"/>
    <n v="6"/>
    <s v="Plato_14"/>
    <s v="Descripci√≥n del Plato_14"/>
    <n v="14"/>
    <n v="23"/>
    <n v="1"/>
    <n v="12"/>
    <n v="23"/>
    <n v="9"/>
    <n v="0.39130434782608697"/>
  </r>
  <r>
    <x v="264"/>
    <n v="6"/>
    <s v="Plato_17"/>
    <s v="Descripci√≥n del Plato_17"/>
    <n v="19"/>
    <n v="31"/>
    <n v="1"/>
    <n v="17"/>
    <n v="31"/>
    <n v="12"/>
    <n v="0.38709677419354838"/>
  </r>
  <r>
    <x v="264"/>
    <n v="6"/>
    <s v="Plato_2"/>
    <s v="Descripci√≥n del Plato_2"/>
    <n v="18"/>
    <n v="30"/>
    <n v="3"/>
    <n v="50"/>
    <n v="90"/>
    <n v="36"/>
    <n v="0.4"/>
  </r>
  <r>
    <x v="264"/>
    <n v="6"/>
    <s v="Plato_6"/>
    <s v="Descripci√≥n del Plato_6"/>
    <n v="16"/>
    <n v="27"/>
    <n v="1"/>
    <n v="56"/>
    <n v="27"/>
    <n v="11"/>
    <n v="0.40740740740740738"/>
  </r>
  <r>
    <x v="265"/>
    <n v="4"/>
    <s v="Plato_1"/>
    <s v="Descripci√≥n del Plato_1"/>
    <n v="15"/>
    <n v="25"/>
    <n v="3"/>
    <n v="53"/>
    <n v="75"/>
    <n v="30"/>
    <n v="0.4"/>
  </r>
  <r>
    <x v="265"/>
    <n v="4"/>
    <s v="Plato_7"/>
    <s v="Descripci√≥n del Plato_7"/>
    <n v="14"/>
    <n v="24"/>
    <n v="1"/>
    <n v="53"/>
    <n v="24"/>
    <n v="10"/>
    <n v="0.41666666666666669"/>
  </r>
  <r>
    <x v="266"/>
    <n v="7"/>
    <s v="Plato_15"/>
    <s v="Descripci√≥n del Plato_15"/>
    <n v="19"/>
    <n v="32"/>
    <n v="1"/>
    <n v="45"/>
    <n v="32"/>
    <n v="13"/>
    <n v="0.40625"/>
  </r>
  <r>
    <x v="266"/>
    <n v="7"/>
    <s v="Plato_16"/>
    <s v="Descripci√≥n del Plato_16"/>
    <n v="16"/>
    <n v="28"/>
    <n v="2"/>
    <n v="23"/>
    <n v="56"/>
    <n v="24"/>
    <n v="0.42857142857142855"/>
  </r>
  <r>
    <x v="266"/>
    <n v="7"/>
    <s v="Plato_2"/>
    <s v="Descripci√≥n del Plato_2"/>
    <n v="18"/>
    <n v="30"/>
    <n v="1"/>
    <n v="28"/>
    <n v="30"/>
    <n v="12"/>
    <n v="0.4"/>
  </r>
  <r>
    <x v="267"/>
    <n v="14"/>
    <s v="Plato_5"/>
    <s v="Descripci√≥n del Plato_5"/>
    <n v="13"/>
    <n v="22"/>
    <n v="2"/>
    <n v="44"/>
    <n v="44"/>
    <n v="18"/>
    <n v="0.40909090909090912"/>
  </r>
  <r>
    <x v="267"/>
    <n v="14"/>
    <s v="Plato_7"/>
    <s v="Descripci√≥n del Plato_7"/>
    <n v="14"/>
    <n v="24"/>
    <n v="1"/>
    <n v="39"/>
    <n v="24"/>
    <n v="10"/>
    <n v="0.41666666666666669"/>
  </r>
  <r>
    <x v="268"/>
    <n v="11"/>
    <s v="Plato_18"/>
    <s v="Descripci√≥n del Plato_18"/>
    <n v="20"/>
    <n v="34"/>
    <n v="3"/>
    <n v="30"/>
    <n v="102"/>
    <n v="42"/>
    <n v="0.41176470588235292"/>
  </r>
  <r>
    <x v="268"/>
    <n v="11"/>
    <s v="Plato_19"/>
    <s v="Descripci√≥n del Plato_19"/>
    <n v="22"/>
    <n v="36"/>
    <n v="3"/>
    <n v="13"/>
    <n v="108"/>
    <n v="42"/>
    <n v="0.3888888888888889"/>
  </r>
  <r>
    <x v="268"/>
    <n v="11"/>
    <s v="Plato_20"/>
    <s v="Descripci√≥n del Plato_20"/>
    <n v="25"/>
    <n v="40"/>
    <n v="1"/>
    <n v="58"/>
    <n v="40"/>
    <n v="15"/>
    <n v="0.375"/>
  </r>
  <r>
    <x v="269"/>
    <n v="10"/>
    <s v="Plato_18"/>
    <s v="Descripci√≥n del Plato_18"/>
    <n v="20"/>
    <n v="34"/>
    <n v="3"/>
    <n v="26"/>
    <n v="102"/>
    <n v="42"/>
    <n v="0.41176470588235292"/>
  </r>
  <r>
    <x v="270"/>
    <n v="3"/>
    <s v="Plato_5"/>
    <s v="Descripci√≥n del Plato_5"/>
    <n v="13"/>
    <n v="22"/>
    <n v="2"/>
    <n v="55"/>
    <n v="44"/>
    <n v="18"/>
    <n v="0.40909090909090912"/>
  </r>
  <r>
    <x v="271"/>
    <n v="7"/>
    <s v="Plato_7"/>
    <s v="Descripci√≥n del Plato_7"/>
    <n v="14"/>
    <n v="24"/>
    <n v="2"/>
    <n v="36"/>
    <n v="48"/>
    <n v="20"/>
    <n v="0.41666666666666669"/>
  </r>
  <r>
    <x v="271"/>
    <n v="7"/>
    <s v="Plato_8"/>
    <s v="Descripci√≥n del Plato_8"/>
    <n v="21"/>
    <n v="35"/>
    <n v="1"/>
    <n v="47"/>
    <n v="35"/>
    <n v="14"/>
    <n v="0.4"/>
  </r>
  <r>
    <x v="272"/>
    <n v="20"/>
    <s v="Plato_1"/>
    <s v="Descripci√≥n del Plato_1"/>
    <n v="15"/>
    <n v="25"/>
    <n v="1"/>
    <n v="5"/>
    <n v="25"/>
    <n v="10"/>
    <n v="0.4"/>
  </r>
  <r>
    <x v="272"/>
    <n v="20"/>
    <s v="Plato_15"/>
    <s v="Descripci√≥n del Plato_15"/>
    <n v="19"/>
    <n v="32"/>
    <n v="1"/>
    <n v="22"/>
    <n v="32"/>
    <n v="13"/>
    <n v="0.40625"/>
  </r>
  <r>
    <x v="272"/>
    <n v="20"/>
    <s v="Plato_5"/>
    <s v="Descripci√≥n del Plato_5"/>
    <n v="13"/>
    <n v="22"/>
    <n v="3"/>
    <n v="40"/>
    <n v="66"/>
    <n v="27"/>
    <n v="0.40909090909090912"/>
  </r>
  <r>
    <x v="273"/>
    <n v="7"/>
    <s v="Plato_10"/>
    <s v="Descripci√≥n del Plato_10"/>
    <n v="15"/>
    <n v="26"/>
    <n v="3"/>
    <n v="33"/>
    <n v="78"/>
    <n v="33"/>
    <n v="0.42307692307692307"/>
  </r>
  <r>
    <x v="273"/>
    <n v="7"/>
    <s v="Plato_12"/>
    <s v="Descripci√≥n del Plato_12"/>
    <n v="11"/>
    <n v="19"/>
    <n v="2"/>
    <n v="42"/>
    <n v="38"/>
    <n v="16"/>
    <n v="0.42105263157894735"/>
  </r>
  <r>
    <x v="274"/>
    <n v="5"/>
    <s v="Plato_10"/>
    <s v="Descripci√≥n del Plato_10"/>
    <n v="15"/>
    <n v="26"/>
    <n v="1"/>
    <n v="58"/>
    <n v="26"/>
    <n v="11"/>
    <n v="0.42307692307692307"/>
  </r>
  <r>
    <x v="274"/>
    <n v="5"/>
    <s v="Plato_11"/>
    <s v="Descripci√≥n del Plato_11"/>
    <n v="20"/>
    <n v="33"/>
    <n v="1"/>
    <n v="32"/>
    <n v="33"/>
    <n v="13"/>
    <n v="0.39393939393939392"/>
  </r>
  <r>
    <x v="274"/>
    <n v="5"/>
    <s v="Plato_17"/>
    <s v="Descripci√≥n del Plato_17"/>
    <n v="19"/>
    <n v="31"/>
    <n v="2"/>
    <n v="32"/>
    <n v="62"/>
    <n v="24"/>
    <n v="0.38709677419354838"/>
  </r>
  <r>
    <x v="275"/>
    <n v="15"/>
    <s v="Plato_10"/>
    <s v="Descripci√≥n del Plato_10"/>
    <n v="15"/>
    <n v="26"/>
    <n v="1"/>
    <n v="36"/>
    <n v="26"/>
    <n v="11"/>
    <n v="0.42307692307692307"/>
  </r>
  <r>
    <x v="275"/>
    <n v="15"/>
    <s v="Plato_5"/>
    <s v="Descripci√≥n del Plato_5"/>
    <n v="13"/>
    <n v="22"/>
    <n v="2"/>
    <n v="49"/>
    <n v="44"/>
    <n v="18"/>
    <n v="0.40909090909090912"/>
  </r>
  <r>
    <x v="276"/>
    <n v="4"/>
    <s v="Plato_17"/>
    <s v="Descripci√≥n del Plato_17"/>
    <n v="19"/>
    <n v="31"/>
    <n v="3"/>
    <n v="29"/>
    <n v="93"/>
    <n v="36"/>
    <n v="0.38709677419354838"/>
  </r>
  <r>
    <x v="277"/>
    <n v="5"/>
    <s v="Plato_17"/>
    <s v="Descripci√≥n del Plato_17"/>
    <n v="19"/>
    <n v="31"/>
    <n v="3"/>
    <n v="33"/>
    <n v="93"/>
    <n v="36"/>
    <n v="0.38709677419354838"/>
  </r>
  <r>
    <x v="277"/>
    <n v="5"/>
    <s v="Plato_7"/>
    <s v="Descripci√≥n del Plato_7"/>
    <n v="14"/>
    <n v="24"/>
    <n v="2"/>
    <n v="28"/>
    <n v="48"/>
    <n v="20"/>
    <n v="0.41666666666666669"/>
  </r>
  <r>
    <x v="278"/>
    <n v="11"/>
    <s v="Plato_16"/>
    <s v="Descripci√≥n del Plato_16"/>
    <n v="16"/>
    <n v="28"/>
    <n v="1"/>
    <n v="8"/>
    <n v="28"/>
    <n v="12"/>
    <n v="0.42857142857142855"/>
  </r>
  <r>
    <x v="278"/>
    <n v="11"/>
    <s v="Plato_20"/>
    <s v="Descripci√≥n del Plato_20"/>
    <n v="25"/>
    <n v="40"/>
    <n v="3"/>
    <n v="48"/>
    <n v="120"/>
    <n v="45"/>
    <n v="0.375"/>
  </r>
  <r>
    <x v="278"/>
    <n v="11"/>
    <s v="Plato_4"/>
    <s v="Descripci√≥n del Plato_4"/>
    <n v="10"/>
    <n v="18"/>
    <n v="1"/>
    <n v="58"/>
    <n v="18"/>
    <n v="8"/>
    <n v="0.44444444444444442"/>
  </r>
  <r>
    <x v="278"/>
    <n v="11"/>
    <s v="Plato_8"/>
    <s v="Descripci√≥n del Plato_8"/>
    <n v="21"/>
    <n v="35"/>
    <n v="1"/>
    <n v="28"/>
    <n v="35"/>
    <n v="14"/>
    <n v="0.4"/>
  </r>
  <r>
    <x v="279"/>
    <n v="14"/>
    <s v="Plato_14"/>
    <s v="Descripci√≥n del Plato_14"/>
    <n v="14"/>
    <n v="23"/>
    <n v="3"/>
    <n v="34"/>
    <n v="69"/>
    <n v="27"/>
    <n v="0.39130434782608697"/>
  </r>
  <r>
    <x v="279"/>
    <n v="14"/>
    <s v="Plato_7"/>
    <s v="Descripci√≥n del Plato_7"/>
    <n v="14"/>
    <n v="24"/>
    <n v="2"/>
    <n v="52"/>
    <n v="48"/>
    <n v="20"/>
    <n v="0.41666666666666669"/>
  </r>
  <r>
    <x v="280"/>
    <n v="18"/>
    <s v="Plato_11"/>
    <s v="Descripci√≥n del Plato_11"/>
    <n v="20"/>
    <n v="33"/>
    <n v="2"/>
    <n v="9"/>
    <n v="66"/>
    <n v="26"/>
    <n v="0.39393939393939392"/>
  </r>
  <r>
    <x v="281"/>
    <n v="6"/>
    <s v="Plato_3"/>
    <s v="Descripci√≥n del Plato_3"/>
    <n v="12"/>
    <n v="20"/>
    <n v="1"/>
    <n v="57"/>
    <n v="20"/>
    <n v="8"/>
    <n v="0.4"/>
  </r>
  <r>
    <x v="281"/>
    <n v="6"/>
    <s v="Plato_4"/>
    <s v="Descripci√≥n del Plato_4"/>
    <n v="10"/>
    <n v="18"/>
    <n v="3"/>
    <n v="57"/>
    <n v="54"/>
    <n v="24"/>
    <n v="0.44444444444444442"/>
  </r>
  <r>
    <x v="282"/>
    <n v="19"/>
    <s v="Plato_10"/>
    <s v="Descripci√≥n del Plato_10"/>
    <n v="15"/>
    <n v="26"/>
    <n v="3"/>
    <n v="6"/>
    <n v="78"/>
    <n v="33"/>
    <n v="0.42307692307692307"/>
  </r>
  <r>
    <x v="283"/>
    <n v="11"/>
    <s v="Plato_11"/>
    <s v="Descripci√≥n del Plato_11"/>
    <n v="20"/>
    <n v="33"/>
    <n v="1"/>
    <n v="50"/>
    <n v="33"/>
    <n v="13"/>
    <n v="0.39393939393939392"/>
  </r>
  <r>
    <x v="283"/>
    <n v="11"/>
    <s v="Plato_12"/>
    <s v="Descripci√≥n del Plato_12"/>
    <n v="11"/>
    <n v="19"/>
    <n v="2"/>
    <n v="41"/>
    <n v="38"/>
    <n v="16"/>
    <n v="0.42105263157894735"/>
  </r>
  <r>
    <x v="283"/>
    <n v="11"/>
    <s v="Plato_3"/>
    <s v="Descripci√≥n del Plato_3"/>
    <n v="12"/>
    <n v="20"/>
    <n v="3"/>
    <n v="45"/>
    <n v="60"/>
    <n v="24"/>
    <n v="0.4"/>
  </r>
  <r>
    <x v="283"/>
    <n v="11"/>
    <s v="Plato_6"/>
    <s v="Descripci√≥n del Plato_6"/>
    <n v="16"/>
    <n v="27"/>
    <n v="1"/>
    <n v="59"/>
    <n v="27"/>
    <n v="11"/>
    <n v="0.40740740740740738"/>
  </r>
  <r>
    <x v="284"/>
    <n v="18"/>
    <s v="Plato_13"/>
    <s v="Descripci√≥n del Plato_13"/>
    <n v="13"/>
    <n v="21"/>
    <n v="2"/>
    <n v="12"/>
    <n v="42"/>
    <n v="16"/>
    <n v="0.38095238095238093"/>
  </r>
  <r>
    <x v="285"/>
    <n v="15"/>
    <s v="Plato_18"/>
    <s v="Descripci√≥n del Plato_18"/>
    <n v="20"/>
    <n v="34"/>
    <n v="2"/>
    <n v="25"/>
    <n v="68"/>
    <n v="28"/>
    <n v="0.41176470588235292"/>
  </r>
  <r>
    <x v="286"/>
    <n v="20"/>
    <s v="Plato_14"/>
    <s v="Descripci√≥n del Plato_14"/>
    <n v="14"/>
    <n v="23"/>
    <n v="2"/>
    <n v="58"/>
    <n v="46"/>
    <n v="18"/>
    <n v="0.39130434782608697"/>
  </r>
  <r>
    <x v="286"/>
    <n v="20"/>
    <s v="Plato_15"/>
    <s v="Descripci√≥n del Plato_15"/>
    <n v="19"/>
    <n v="32"/>
    <n v="3"/>
    <n v="46"/>
    <n v="96"/>
    <n v="39"/>
    <n v="0.40625"/>
  </r>
  <r>
    <x v="286"/>
    <n v="20"/>
    <s v="Plato_2"/>
    <s v="Descripci√≥n del Plato_2"/>
    <n v="18"/>
    <n v="30"/>
    <n v="2"/>
    <n v="17"/>
    <n v="60"/>
    <n v="24"/>
    <n v="0.4"/>
  </r>
  <r>
    <x v="287"/>
    <n v="15"/>
    <s v="Plato_12"/>
    <s v="Descripci√≥n del Plato_12"/>
    <n v="11"/>
    <n v="19"/>
    <n v="2"/>
    <n v="32"/>
    <n v="38"/>
    <n v="16"/>
    <n v="0.42105263157894735"/>
  </r>
  <r>
    <x v="287"/>
    <n v="15"/>
    <s v="Plato_7"/>
    <s v="Descripci√≥n del Plato_7"/>
    <n v="14"/>
    <n v="24"/>
    <n v="2"/>
    <n v="6"/>
    <n v="48"/>
    <n v="20"/>
    <n v="0.41666666666666669"/>
  </r>
  <r>
    <x v="288"/>
    <n v="15"/>
    <s v="Plato_10"/>
    <s v="Descripci√≥n del Plato_10"/>
    <n v="15"/>
    <n v="26"/>
    <n v="3"/>
    <n v="48"/>
    <n v="78"/>
    <n v="33"/>
    <n v="0.42307692307692307"/>
  </r>
  <r>
    <x v="288"/>
    <n v="15"/>
    <s v="Plato_3"/>
    <s v="Descripci√≥n del Plato_3"/>
    <n v="12"/>
    <n v="20"/>
    <n v="3"/>
    <n v="20"/>
    <n v="60"/>
    <n v="24"/>
    <n v="0.4"/>
  </r>
  <r>
    <x v="289"/>
    <n v="19"/>
    <s v="Plato_20"/>
    <s v="Descripci√≥n del Plato_20"/>
    <n v="25"/>
    <n v="40"/>
    <n v="1"/>
    <n v="57"/>
    <n v="40"/>
    <n v="15"/>
    <n v="0.375"/>
  </r>
  <r>
    <x v="290"/>
    <n v="2"/>
    <s v="Plato_1"/>
    <s v="Descripci√≥n del Plato_1"/>
    <n v="15"/>
    <n v="25"/>
    <n v="1"/>
    <n v="41"/>
    <n v="25"/>
    <n v="10"/>
    <n v="0.4"/>
  </r>
  <r>
    <x v="290"/>
    <n v="2"/>
    <s v="Plato_17"/>
    <s v="Descripci√≥n del Plato_17"/>
    <n v="19"/>
    <n v="31"/>
    <n v="2"/>
    <n v="14"/>
    <n v="62"/>
    <n v="24"/>
    <n v="0.38709677419354838"/>
  </r>
  <r>
    <x v="290"/>
    <n v="2"/>
    <s v="Plato_18"/>
    <s v="Descripci√≥n del Plato_18"/>
    <n v="20"/>
    <n v="34"/>
    <n v="2"/>
    <n v="28"/>
    <n v="68"/>
    <n v="28"/>
    <n v="0.41176470588235292"/>
  </r>
  <r>
    <x v="290"/>
    <n v="2"/>
    <s v="Plato_8"/>
    <s v="Descripci√≥n del Plato_8"/>
    <n v="21"/>
    <n v="35"/>
    <n v="3"/>
    <n v="12"/>
    <n v="105"/>
    <n v="42"/>
    <n v="0.4"/>
  </r>
  <r>
    <x v="291"/>
    <n v="10"/>
    <s v="Plato_16"/>
    <s v="Descripci√≥n del Plato_16"/>
    <n v="16"/>
    <n v="28"/>
    <n v="3"/>
    <n v="23"/>
    <n v="84"/>
    <n v="36"/>
    <n v="0.42857142857142855"/>
  </r>
  <r>
    <x v="292"/>
    <n v="16"/>
    <s v="Plato_16"/>
    <s v="Descripci√≥n del Plato_16"/>
    <n v="16"/>
    <n v="28"/>
    <n v="3"/>
    <n v="44"/>
    <n v="84"/>
    <n v="36"/>
    <n v="0.42857142857142855"/>
  </r>
  <r>
    <x v="292"/>
    <n v="16"/>
    <s v="Plato_19"/>
    <s v="Descripci√≥n del Plato_19"/>
    <n v="22"/>
    <n v="36"/>
    <n v="2"/>
    <n v="47"/>
    <n v="72"/>
    <n v="28"/>
    <n v="0.3888888888888889"/>
  </r>
  <r>
    <x v="292"/>
    <n v="16"/>
    <s v="Plato_2"/>
    <s v="Descripci√≥n del Plato_2"/>
    <n v="18"/>
    <n v="30"/>
    <n v="2"/>
    <n v="29"/>
    <n v="60"/>
    <n v="24"/>
    <n v="0.4"/>
  </r>
  <r>
    <x v="293"/>
    <n v="17"/>
    <s v="Plato_17"/>
    <s v="Descripci√≥n del Plato_17"/>
    <n v="19"/>
    <n v="31"/>
    <n v="2"/>
    <n v="31"/>
    <n v="62"/>
    <n v="24"/>
    <n v="0.38709677419354838"/>
  </r>
  <r>
    <x v="293"/>
    <n v="17"/>
    <s v="Plato_18"/>
    <s v="Descripci√≥n del Plato_18"/>
    <n v="20"/>
    <n v="34"/>
    <n v="3"/>
    <n v="9"/>
    <n v="102"/>
    <n v="42"/>
    <n v="0.41176470588235292"/>
  </r>
  <r>
    <x v="293"/>
    <n v="17"/>
    <s v="Plato_19"/>
    <s v="Descripci√≥n del Plato_19"/>
    <n v="22"/>
    <n v="36"/>
    <n v="3"/>
    <n v="13"/>
    <n v="108"/>
    <n v="42"/>
    <n v="0.3888888888888889"/>
  </r>
  <r>
    <x v="293"/>
    <n v="17"/>
    <s v="Plato_4"/>
    <s v="Descripci√≥n del Plato_4"/>
    <n v="10"/>
    <n v="18"/>
    <n v="3"/>
    <n v="33"/>
    <n v="54"/>
    <n v="24"/>
    <n v="0.44444444444444442"/>
  </r>
  <r>
    <x v="294"/>
    <n v="3"/>
    <s v="Plato_13"/>
    <s v="Descripci√≥n del Plato_13"/>
    <n v="13"/>
    <n v="21"/>
    <n v="3"/>
    <n v="59"/>
    <n v="63"/>
    <n v="24"/>
    <n v="0.38095238095238093"/>
  </r>
  <r>
    <x v="294"/>
    <n v="3"/>
    <s v="Plato_15"/>
    <s v="Descripci√≥n del Plato_15"/>
    <n v="19"/>
    <n v="32"/>
    <n v="1"/>
    <n v="44"/>
    <n v="32"/>
    <n v="13"/>
    <n v="0.40625"/>
  </r>
  <r>
    <x v="294"/>
    <n v="3"/>
    <s v="Plato_17"/>
    <s v="Descripci√≥n del Plato_17"/>
    <n v="19"/>
    <n v="31"/>
    <n v="2"/>
    <n v="39"/>
    <n v="62"/>
    <n v="24"/>
    <n v="0.38709677419354838"/>
  </r>
  <r>
    <x v="294"/>
    <n v="3"/>
    <s v="Plato_2"/>
    <s v="Descripci√≥n del Plato_2"/>
    <n v="18"/>
    <n v="30"/>
    <n v="3"/>
    <n v="35"/>
    <n v="90"/>
    <n v="36"/>
    <n v="0.4"/>
  </r>
  <r>
    <x v="295"/>
    <n v="14"/>
    <s v="Plato_14"/>
    <s v="Descripci√≥n del Plato_14"/>
    <n v="14"/>
    <n v="23"/>
    <n v="1"/>
    <n v="20"/>
    <n v="23"/>
    <n v="9"/>
    <n v="0.39130434782608697"/>
  </r>
  <r>
    <x v="295"/>
    <n v="14"/>
    <s v="Plato_19"/>
    <s v="Descripci√≥n del Plato_19"/>
    <n v="22"/>
    <n v="36"/>
    <n v="1"/>
    <n v="26"/>
    <n v="36"/>
    <n v="14"/>
    <n v="0.3888888888888889"/>
  </r>
  <r>
    <x v="296"/>
    <n v="4"/>
    <s v="Plato_13"/>
    <s v="Descripci√≥n del Plato_13"/>
    <n v="13"/>
    <n v="21"/>
    <n v="3"/>
    <n v="40"/>
    <n v="63"/>
    <n v="24"/>
    <n v="0.38095238095238093"/>
  </r>
  <r>
    <x v="296"/>
    <n v="4"/>
    <s v="Plato_4"/>
    <s v="Descripci√≥n del Plato_4"/>
    <n v="10"/>
    <n v="18"/>
    <n v="3"/>
    <n v="13"/>
    <n v="54"/>
    <n v="24"/>
    <n v="0.44444444444444442"/>
  </r>
  <r>
    <x v="296"/>
    <n v="4"/>
    <s v="Plato_9"/>
    <s v="Descripci√≥n del Plato_9"/>
    <n v="17"/>
    <n v="29"/>
    <n v="2"/>
    <n v="59"/>
    <n v="58"/>
    <n v="24"/>
    <n v="0.41379310344827586"/>
  </r>
  <r>
    <x v="297"/>
    <n v="11"/>
    <s v="Plato_19"/>
    <s v="Descripci√≥n del Plato_19"/>
    <n v="22"/>
    <n v="36"/>
    <n v="3"/>
    <n v="49"/>
    <n v="108"/>
    <n v="42"/>
    <n v="0.3888888888888889"/>
  </r>
  <r>
    <x v="297"/>
    <n v="11"/>
    <s v="Plato_5"/>
    <s v="Descripci√≥n del Plato_5"/>
    <n v="13"/>
    <n v="22"/>
    <n v="3"/>
    <n v="46"/>
    <n v="66"/>
    <n v="27"/>
    <n v="0.40909090909090912"/>
  </r>
  <r>
    <x v="297"/>
    <n v="11"/>
    <s v="Plato_6"/>
    <s v="Descripci√≥n del Plato_6"/>
    <n v="16"/>
    <n v="27"/>
    <n v="3"/>
    <n v="46"/>
    <n v="81"/>
    <n v="33"/>
    <n v="0.40740740740740738"/>
  </r>
  <r>
    <x v="298"/>
    <n v="6"/>
    <s v="Plato_19"/>
    <s v="Descripci√≥n del Plato_19"/>
    <n v="22"/>
    <n v="36"/>
    <n v="2"/>
    <n v="55"/>
    <n v="72"/>
    <n v="28"/>
    <n v="0.3888888888888889"/>
  </r>
  <r>
    <x v="298"/>
    <n v="6"/>
    <s v="Plato_3"/>
    <s v="Descripci√≥n del Plato_3"/>
    <n v="12"/>
    <n v="20"/>
    <n v="1"/>
    <n v="17"/>
    <n v="20"/>
    <n v="8"/>
    <n v="0.4"/>
  </r>
  <r>
    <x v="298"/>
    <n v="6"/>
    <s v="Plato_4"/>
    <s v="Descripci√≥n del Plato_4"/>
    <n v="10"/>
    <n v="18"/>
    <n v="1"/>
    <n v="26"/>
    <n v="18"/>
    <n v="8"/>
    <n v="0.44444444444444442"/>
  </r>
  <r>
    <x v="298"/>
    <n v="6"/>
    <s v="Plato_7"/>
    <s v="Descripci√≥n del Plato_7"/>
    <n v="14"/>
    <n v="24"/>
    <n v="3"/>
    <n v="15"/>
    <n v="72"/>
    <n v="30"/>
    <n v="0.41666666666666669"/>
  </r>
  <r>
    <x v="299"/>
    <n v="18"/>
    <s v="Plato_10"/>
    <s v="Descripci√≥n del Plato_10"/>
    <n v="15"/>
    <n v="26"/>
    <n v="1"/>
    <n v="22"/>
    <n v="26"/>
    <n v="11"/>
    <n v="0.42307692307692307"/>
  </r>
  <r>
    <x v="299"/>
    <n v="18"/>
    <s v="Plato_2"/>
    <s v="Descripci√≥n del Plato_2"/>
    <n v="18"/>
    <n v="30"/>
    <n v="3"/>
    <n v="28"/>
    <n v="90"/>
    <n v="36"/>
    <n v="0.4"/>
  </r>
  <r>
    <x v="299"/>
    <n v="18"/>
    <s v="Plato_20"/>
    <s v="Descripci√≥n del Plato_20"/>
    <n v="25"/>
    <n v="40"/>
    <n v="3"/>
    <n v="54"/>
    <n v="120"/>
    <n v="45"/>
    <n v="0.375"/>
  </r>
  <r>
    <x v="299"/>
    <n v="18"/>
    <s v="Plato_4"/>
    <s v="Descripci√≥n del Plato_4"/>
    <n v="10"/>
    <n v="18"/>
    <n v="3"/>
    <n v="14"/>
    <n v="54"/>
    <n v="24"/>
    <n v="0.44444444444444442"/>
  </r>
  <r>
    <x v="300"/>
    <n v="8"/>
    <s v="Plato_10"/>
    <s v="Descripci√≥n del Plato_10"/>
    <n v="15"/>
    <n v="26"/>
    <n v="2"/>
    <n v="57"/>
    <n v="52"/>
    <n v="22"/>
    <n v="0.42307692307692307"/>
  </r>
  <r>
    <x v="300"/>
    <n v="8"/>
    <s v="Plato_17"/>
    <s v="Descripci√≥n del Plato_17"/>
    <n v="19"/>
    <n v="31"/>
    <n v="3"/>
    <n v="23"/>
    <n v="93"/>
    <n v="36"/>
    <n v="0.38709677419354838"/>
  </r>
  <r>
    <x v="300"/>
    <n v="8"/>
    <s v="Plato_3"/>
    <s v="Descripci√≥n del Plato_3"/>
    <n v="12"/>
    <n v="20"/>
    <n v="1"/>
    <n v="54"/>
    <n v="20"/>
    <n v="8"/>
    <n v="0.4"/>
  </r>
  <r>
    <x v="300"/>
    <n v="8"/>
    <s v="Plato_9"/>
    <s v="Descripci√≥n del Plato_9"/>
    <n v="17"/>
    <n v="29"/>
    <n v="2"/>
    <n v="49"/>
    <n v="58"/>
    <n v="24"/>
    <n v="0.41379310344827586"/>
  </r>
  <r>
    <x v="301"/>
    <n v="5"/>
    <s v="Plato_15"/>
    <s v="Descripci√≥n del Plato_15"/>
    <n v="19"/>
    <n v="32"/>
    <n v="3"/>
    <n v="15"/>
    <n v="96"/>
    <n v="39"/>
    <n v="0.40625"/>
  </r>
  <r>
    <x v="302"/>
    <n v="14"/>
    <s v="Plato_10"/>
    <s v="Descripci√≥n del Plato_10"/>
    <n v="15"/>
    <n v="26"/>
    <n v="1"/>
    <n v="56"/>
    <n v="26"/>
    <n v="11"/>
    <n v="0.42307692307692307"/>
  </r>
  <r>
    <x v="302"/>
    <n v="14"/>
    <s v="Plato_20"/>
    <s v="Descripci√≥n del Plato_20"/>
    <n v="25"/>
    <n v="40"/>
    <n v="3"/>
    <n v="16"/>
    <n v="120"/>
    <n v="45"/>
    <n v="0.375"/>
  </r>
  <r>
    <x v="302"/>
    <n v="14"/>
    <s v="Plato_3"/>
    <s v="Descripci√≥n del Plato_3"/>
    <n v="12"/>
    <n v="20"/>
    <n v="2"/>
    <n v="13"/>
    <n v="40"/>
    <n v="16"/>
    <n v="0.4"/>
  </r>
  <r>
    <x v="302"/>
    <n v="14"/>
    <s v="Plato_7"/>
    <s v="Descripci√≥n del Plato_7"/>
    <n v="14"/>
    <n v="24"/>
    <n v="1"/>
    <n v="7"/>
    <n v="24"/>
    <n v="10"/>
    <n v="0.41666666666666669"/>
  </r>
  <r>
    <x v="303"/>
    <n v="6"/>
    <s v="Plato_13"/>
    <s v="Descripci√≥n del Plato_13"/>
    <n v="13"/>
    <n v="21"/>
    <n v="2"/>
    <n v="7"/>
    <n v="42"/>
    <n v="16"/>
    <n v="0.38095238095238093"/>
  </r>
  <r>
    <x v="303"/>
    <n v="6"/>
    <s v="Plato_15"/>
    <s v="Descripci√≥n del Plato_15"/>
    <n v="19"/>
    <n v="32"/>
    <n v="2"/>
    <n v="9"/>
    <n v="64"/>
    <n v="26"/>
    <n v="0.40625"/>
  </r>
  <r>
    <x v="303"/>
    <n v="6"/>
    <s v="Plato_17"/>
    <s v="Descripci√≥n del Plato_17"/>
    <n v="19"/>
    <n v="31"/>
    <n v="3"/>
    <n v="21"/>
    <n v="93"/>
    <n v="36"/>
    <n v="0.38709677419354838"/>
  </r>
  <r>
    <x v="303"/>
    <n v="6"/>
    <s v="Plato_20"/>
    <s v="Descripci√≥n del Plato_20"/>
    <n v="25"/>
    <n v="40"/>
    <n v="2"/>
    <n v="48"/>
    <n v="80"/>
    <n v="30"/>
    <n v="0.375"/>
  </r>
  <r>
    <x v="304"/>
    <n v="1"/>
    <s v="Plato_14"/>
    <s v="Descripci√≥n del Plato_14"/>
    <n v="14"/>
    <n v="23"/>
    <n v="1"/>
    <n v="48"/>
    <n v="23"/>
    <n v="9"/>
    <n v="0.39130434782608697"/>
  </r>
  <r>
    <x v="304"/>
    <n v="1"/>
    <s v="Plato_8"/>
    <s v="Descripci√≥n del Plato_8"/>
    <n v="21"/>
    <n v="35"/>
    <n v="3"/>
    <n v="17"/>
    <n v="105"/>
    <n v="42"/>
    <n v="0.4"/>
  </r>
  <r>
    <x v="305"/>
    <n v="7"/>
    <s v="Plato_15"/>
    <s v="Descripci√≥n del Plato_15"/>
    <n v="19"/>
    <n v="32"/>
    <n v="1"/>
    <n v="21"/>
    <n v="32"/>
    <n v="13"/>
    <n v="0.40625"/>
  </r>
  <r>
    <x v="306"/>
    <n v="20"/>
    <s v="Plato_13"/>
    <s v="Descripci√≥n del Plato_13"/>
    <n v="13"/>
    <n v="21"/>
    <n v="3"/>
    <n v="39"/>
    <n v="63"/>
    <n v="24"/>
    <n v="0.38095238095238093"/>
  </r>
  <r>
    <x v="307"/>
    <n v="14"/>
    <s v="Plato_16"/>
    <s v="Descripci√≥n del Plato_16"/>
    <n v="16"/>
    <n v="28"/>
    <n v="2"/>
    <n v="59"/>
    <n v="56"/>
    <n v="24"/>
    <n v="0.42857142857142855"/>
  </r>
  <r>
    <x v="307"/>
    <n v="14"/>
    <s v="Plato_17"/>
    <s v="Descripci√≥n del Plato_17"/>
    <n v="19"/>
    <n v="31"/>
    <n v="2"/>
    <n v="42"/>
    <n v="62"/>
    <n v="24"/>
    <n v="0.38709677419354838"/>
  </r>
  <r>
    <x v="307"/>
    <n v="14"/>
    <s v="Plato_18"/>
    <s v="Descripci√≥n del Plato_18"/>
    <n v="20"/>
    <n v="34"/>
    <n v="1"/>
    <n v="44"/>
    <n v="34"/>
    <n v="14"/>
    <n v="0.41176470588235292"/>
  </r>
  <r>
    <x v="307"/>
    <n v="14"/>
    <s v="Plato_8"/>
    <s v="Descripci√≥n del Plato_8"/>
    <n v="21"/>
    <n v="35"/>
    <n v="2"/>
    <n v="41"/>
    <n v="70"/>
    <n v="28"/>
    <n v="0.4"/>
  </r>
  <r>
    <x v="308"/>
    <n v="9"/>
    <s v="Plato_17"/>
    <s v="Descripci√≥n del Plato_17"/>
    <n v="19"/>
    <n v="31"/>
    <n v="2"/>
    <n v="43"/>
    <n v="62"/>
    <n v="24"/>
    <n v="0.38709677419354838"/>
  </r>
  <r>
    <x v="308"/>
    <n v="9"/>
    <s v="Plato_20"/>
    <s v="Descripci√≥n del Plato_20"/>
    <n v="25"/>
    <n v="40"/>
    <n v="1"/>
    <n v="29"/>
    <n v="40"/>
    <n v="15"/>
    <n v="0.375"/>
  </r>
  <r>
    <x v="308"/>
    <n v="9"/>
    <s v="Plato_8"/>
    <s v="Descripci√≥n del Plato_8"/>
    <n v="21"/>
    <n v="35"/>
    <n v="2"/>
    <n v="51"/>
    <n v="70"/>
    <n v="28"/>
    <n v="0.4"/>
  </r>
  <r>
    <x v="309"/>
    <n v="17"/>
    <s v="Plato_10"/>
    <s v="Descripci√≥n del Plato_10"/>
    <n v="15"/>
    <n v="26"/>
    <n v="3"/>
    <n v="43"/>
    <n v="78"/>
    <n v="33"/>
    <n v="0.42307692307692307"/>
  </r>
  <r>
    <x v="309"/>
    <n v="17"/>
    <s v="Plato_2"/>
    <s v="Descripci√≥n del Plato_2"/>
    <n v="18"/>
    <n v="30"/>
    <n v="2"/>
    <n v="54"/>
    <n v="60"/>
    <n v="24"/>
    <n v="0.4"/>
  </r>
  <r>
    <x v="310"/>
    <n v="6"/>
    <s v="Plato_7"/>
    <s v="Descripci√≥n del Plato_7"/>
    <n v="14"/>
    <n v="24"/>
    <n v="1"/>
    <n v="46"/>
    <n v="24"/>
    <n v="10"/>
    <n v="0.41666666666666669"/>
  </r>
  <r>
    <x v="310"/>
    <n v="6"/>
    <s v="Plato_9"/>
    <s v="Descripci√≥n del Plato_9"/>
    <n v="17"/>
    <n v="29"/>
    <n v="1"/>
    <n v="28"/>
    <n v="29"/>
    <n v="12"/>
    <n v="0.41379310344827586"/>
  </r>
  <r>
    <x v="311"/>
    <n v="2"/>
    <s v="Plato_15"/>
    <s v="Descripci√≥n del Plato_15"/>
    <n v="19"/>
    <n v="32"/>
    <n v="2"/>
    <n v="45"/>
    <n v="64"/>
    <n v="26"/>
    <n v="0.40625"/>
  </r>
  <r>
    <x v="311"/>
    <n v="2"/>
    <s v="Plato_8"/>
    <s v="Descripci√≥n del Plato_8"/>
    <n v="21"/>
    <n v="35"/>
    <n v="2"/>
    <n v="10"/>
    <n v="70"/>
    <n v="28"/>
    <n v="0.4"/>
  </r>
  <r>
    <x v="312"/>
    <n v="10"/>
    <s v="Plato_12"/>
    <s v="Descripci√≥n del Plato_12"/>
    <n v="11"/>
    <n v="19"/>
    <n v="2"/>
    <n v="27"/>
    <n v="38"/>
    <n v="16"/>
    <n v="0.42105263157894735"/>
  </r>
  <r>
    <x v="312"/>
    <n v="10"/>
    <s v="Plato_17"/>
    <s v="Descripci√≥n del Plato_17"/>
    <n v="19"/>
    <n v="31"/>
    <n v="2"/>
    <n v="38"/>
    <n v="62"/>
    <n v="24"/>
    <n v="0.38709677419354838"/>
  </r>
  <r>
    <x v="312"/>
    <n v="10"/>
    <s v="Plato_19"/>
    <s v="Descripci√≥n del Plato_19"/>
    <n v="22"/>
    <n v="36"/>
    <n v="3"/>
    <n v="26"/>
    <n v="108"/>
    <n v="42"/>
    <n v="0.3888888888888889"/>
  </r>
  <r>
    <x v="312"/>
    <n v="10"/>
    <s v="Plato_7"/>
    <s v="Descripci√≥n del Plato_7"/>
    <n v="14"/>
    <n v="24"/>
    <n v="1"/>
    <n v="15"/>
    <n v="24"/>
    <n v="10"/>
    <n v="0.41666666666666669"/>
  </r>
  <r>
    <x v="313"/>
    <n v="20"/>
    <s v="Plato_6"/>
    <s v="Descripci√≥n del Plato_6"/>
    <n v="16"/>
    <n v="27"/>
    <n v="1"/>
    <n v="5"/>
    <n v="27"/>
    <n v="11"/>
    <n v="0.40740740740740738"/>
  </r>
  <r>
    <x v="314"/>
    <n v="14"/>
    <s v="Plato_1"/>
    <s v="Descripci√≥n del Plato_1"/>
    <n v="15"/>
    <n v="25"/>
    <n v="1"/>
    <n v="16"/>
    <n v="25"/>
    <n v="10"/>
    <n v="0.4"/>
  </r>
  <r>
    <x v="314"/>
    <n v="14"/>
    <s v="Plato_13"/>
    <s v="Descripci√≥n del Plato_13"/>
    <n v="13"/>
    <n v="21"/>
    <n v="1"/>
    <n v="51"/>
    <n v="21"/>
    <n v="8"/>
    <n v="0.38095238095238093"/>
  </r>
  <r>
    <x v="314"/>
    <n v="14"/>
    <s v="Plato_16"/>
    <s v="Descripci√≥n del Plato_16"/>
    <n v="16"/>
    <n v="28"/>
    <n v="1"/>
    <n v="7"/>
    <n v="28"/>
    <n v="12"/>
    <n v="0.42857142857142855"/>
  </r>
  <r>
    <x v="314"/>
    <n v="14"/>
    <s v="Plato_9"/>
    <s v="Descripci√≥n del Plato_9"/>
    <n v="17"/>
    <n v="29"/>
    <n v="3"/>
    <n v="52"/>
    <n v="87"/>
    <n v="36"/>
    <n v="0.41379310344827586"/>
  </r>
  <r>
    <x v="315"/>
    <n v="2"/>
    <s v="Plato_13"/>
    <s v="Descripci√≥n del Plato_13"/>
    <n v="13"/>
    <n v="21"/>
    <n v="1"/>
    <n v="23"/>
    <n v="21"/>
    <n v="8"/>
    <n v="0.38095238095238093"/>
  </r>
  <r>
    <x v="315"/>
    <n v="2"/>
    <s v="Plato_20"/>
    <s v="Descripci√≥n del Plato_20"/>
    <n v="25"/>
    <n v="40"/>
    <n v="1"/>
    <n v="52"/>
    <n v="40"/>
    <n v="15"/>
    <n v="0.375"/>
  </r>
  <r>
    <x v="315"/>
    <n v="2"/>
    <s v="Plato_4"/>
    <s v="Descripci√≥n del Plato_4"/>
    <n v="10"/>
    <n v="18"/>
    <n v="1"/>
    <n v="30"/>
    <n v="18"/>
    <n v="8"/>
    <n v="0.44444444444444442"/>
  </r>
  <r>
    <x v="315"/>
    <n v="2"/>
    <s v="Plato_6"/>
    <s v="Descripci√≥n del Plato_6"/>
    <n v="16"/>
    <n v="27"/>
    <n v="3"/>
    <n v="53"/>
    <n v="81"/>
    <n v="33"/>
    <n v="0.40740740740740738"/>
  </r>
  <r>
    <x v="316"/>
    <n v="17"/>
    <s v="Plato_15"/>
    <s v="Descripci√≥n del Plato_15"/>
    <n v="19"/>
    <n v="32"/>
    <n v="1"/>
    <n v="31"/>
    <n v="32"/>
    <n v="13"/>
    <n v="0.40625"/>
  </r>
  <r>
    <x v="316"/>
    <n v="17"/>
    <s v="Plato_18"/>
    <s v="Descripci√≥n del Plato_18"/>
    <n v="20"/>
    <n v="34"/>
    <n v="3"/>
    <n v="37"/>
    <n v="102"/>
    <n v="42"/>
    <n v="0.41176470588235292"/>
  </r>
  <r>
    <x v="316"/>
    <n v="17"/>
    <s v="Plato_5"/>
    <s v="Descripci√≥n del Plato_5"/>
    <n v="13"/>
    <n v="22"/>
    <n v="2"/>
    <n v="20"/>
    <n v="44"/>
    <n v="18"/>
    <n v="0.40909090909090912"/>
  </r>
  <r>
    <x v="317"/>
    <n v="13"/>
    <s v="Plato_9"/>
    <s v="Descripci√≥n del Plato_9"/>
    <n v="17"/>
    <n v="29"/>
    <n v="1"/>
    <n v="39"/>
    <n v="29"/>
    <n v="12"/>
    <n v="0.41379310344827586"/>
  </r>
  <r>
    <x v="318"/>
    <n v="1"/>
    <s v="Plato_15"/>
    <s v="Descripci√≥n del Plato_15"/>
    <n v="19"/>
    <n v="32"/>
    <n v="3"/>
    <n v="16"/>
    <n v="96"/>
    <n v="39"/>
    <n v="0.40625"/>
  </r>
  <r>
    <x v="318"/>
    <n v="1"/>
    <s v="Plato_17"/>
    <s v="Descripci√≥n del Plato_17"/>
    <n v="19"/>
    <n v="31"/>
    <n v="2"/>
    <n v="55"/>
    <n v="62"/>
    <n v="24"/>
    <n v="0.38709677419354838"/>
  </r>
  <r>
    <x v="318"/>
    <n v="1"/>
    <s v="Plato_20"/>
    <s v="Descripci√≥n del Plato_20"/>
    <n v="25"/>
    <n v="40"/>
    <n v="1"/>
    <n v="38"/>
    <n v="40"/>
    <n v="15"/>
    <n v="0.375"/>
  </r>
  <r>
    <x v="318"/>
    <n v="1"/>
    <s v="Plato_8"/>
    <s v="Descripci√≥n del Plato_8"/>
    <n v="21"/>
    <n v="35"/>
    <n v="2"/>
    <n v="17"/>
    <n v="70"/>
    <n v="28"/>
    <n v="0.4"/>
  </r>
  <r>
    <x v="319"/>
    <n v="9"/>
    <s v="Plato_13"/>
    <s v="Descripci√≥n del Plato_13"/>
    <n v="13"/>
    <n v="21"/>
    <n v="2"/>
    <n v="44"/>
    <n v="42"/>
    <n v="16"/>
    <n v="0.38095238095238093"/>
  </r>
  <r>
    <x v="319"/>
    <n v="9"/>
    <s v="Plato_18"/>
    <s v="Descripci√≥n del Plato_18"/>
    <n v="20"/>
    <n v="34"/>
    <n v="1"/>
    <n v="42"/>
    <n v="34"/>
    <n v="14"/>
    <n v="0.41176470588235292"/>
  </r>
  <r>
    <x v="319"/>
    <n v="9"/>
    <s v="Plato_5"/>
    <s v="Descripci√≥n del Plato_5"/>
    <n v="13"/>
    <n v="22"/>
    <n v="1"/>
    <n v="44"/>
    <n v="22"/>
    <n v="9"/>
    <n v="0.40909090909090912"/>
  </r>
  <r>
    <x v="320"/>
    <n v="18"/>
    <s v="Plato_14"/>
    <s v="Descripci√≥n del Plato_14"/>
    <n v="14"/>
    <n v="23"/>
    <n v="3"/>
    <n v="39"/>
    <n v="69"/>
    <n v="27"/>
    <n v="0.39130434782608697"/>
  </r>
  <r>
    <x v="320"/>
    <n v="18"/>
    <s v="Plato_16"/>
    <s v="Descripci√≥n del Plato_16"/>
    <n v="16"/>
    <n v="28"/>
    <n v="1"/>
    <n v="34"/>
    <n v="28"/>
    <n v="12"/>
    <n v="0.42857142857142855"/>
  </r>
  <r>
    <x v="320"/>
    <n v="18"/>
    <s v="Plato_5"/>
    <s v="Descripci√≥n del Plato_5"/>
    <n v="13"/>
    <n v="22"/>
    <n v="2"/>
    <n v="22"/>
    <n v="44"/>
    <n v="18"/>
    <n v="0.40909090909090912"/>
  </r>
  <r>
    <x v="321"/>
    <n v="12"/>
    <s v="Plato_13"/>
    <s v="Descripci√≥n del Plato_13"/>
    <n v="13"/>
    <n v="21"/>
    <n v="1"/>
    <n v="52"/>
    <n v="21"/>
    <n v="8"/>
    <n v="0.38095238095238093"/>
  </r>
  <r>
    <x v="321"/>
    <n v="12"/>
    <s v="Plato_15"/>
    <s v="Descripci√≥n del Plato_15"/>
    <n v="19"/>
    <n v="32"/>
    <n v="2"/>
    <n v="8"/>
    <n v="64"/>
    <n v="26"/>
    <n v="0.40625"/>
  </r>
  <r>
    <x v="322"/>
    <n v="8"/>
    <s v="Plato_4"/>
    <s v="Descripci√≥n del Plato_4"/>
    <n v="10"/>
    <n v="18"/>
    <n v="2"/>
    <n v="22"/>
    <n v="36"/>
    <n v="16"/>
    <n v="0.44444444444444442"/>
  </r>
  <r>
    <x v="322"/>
    <n v="8"/>
    <s v="Plato_5"/>
    <s v="Descripci√≥n del Plato_5"/>
    <n v="13"/>
    <n v="22"/>
    <n v="3"/>
    <n v="37"/>
    <n v="66"/>
    <n v="27"/>
    <n v="0.40909090909090912"/>
  </r>
  <r>
    <x v="322"/>
    <n v="8"/>
    <s v="Plato_7"/>
    <s v="Descripci√≥n del Plato_7"/>
    <n v="14"/>
    <n v="24"/>
    <n v="2"/>
    <n v="30"/>
    <n v="48"/>
    <n v="20"/>
    <n v="0.41666666666666669"/>
  </r>
  <r>
    <x v="322"/>
    <n v="8"/>
    <s v="Plato_9"/>
    <s v="Descripci√≥n del Plato_9"/>
    <n v="17"/>
    <n v="29"/>
    <n v="2"/>
    <n v="33"/>
    <n v="58"/>
    <n v="24"/>
    <n v="0.41379310344827586"/>
  </r>
  <r>
    <x v="323"/>
    <n v="9"/>
    <s v="Plato_10"/>
    <s v="Descripci√≥n del Plato_10"/>
    <n v="15"/>
    <n v="26"/>
    <n v="1"/>
    <n v="17"/>
    <n v="26"/>
    <n v="11"/>
    <n v="0.42307692307692307"/>
  </r>
  <r>
    <x v="323"/>
    <n v="9"/>
    <s v="Plato_2"/>
    <s v="Descripci√≥n del Plato_2"/>
    <n v="18"/>
    <n v="30"/>
    <n v="1"/>
    <n v="15"/>
    <n v="30"/>
    <n v="12"/>
    <n v="0.4"/>
  </r>
  <r>
    <x v="323"/>
    <n v="9"/>
    <s v="Plato_6"/>
    <s v="Descripci√≥n del Plato_6"/>
    <n v="16"/>
    <n v="27"/>
    <n v="3"/>
    <n v="58"/>
    <n v="81"/>
    <n v="33"/>
    <n v="0.40740740740740738"/>
  </r>
  <r>
    <x v="324"/>
    <n v="18"/>
    <s v="Plato_13"/>
    <s v="Descripci√≥n del Plato_13"/>
    <n v="13"/>
    <n v="21"/>
    <n v="1"/>
    <n v="26"/>
    <n v="21"/>
    <n v="8"/>
    <n v="0.38095238095238093"/>
  </r>
  <r>
    <x v="324"/>
    <n v="18"/>
    <s v="Plato_15"/>
    <s v="Descripci√≥n del Plato_15"/>
    <n v="19"/>
    <n v="32"/>
    <n v="1"/>
    <n v="27"/>
    <n v="32"/>
    <n v="13"/>
    <n v="0.40625"/>
  </r>
  <r>
    <x v="324"/>
    <n v="18"/>
    <s v="Plato_17"/>
    <s v="Descripci√≥n del Plato_17"/>
    <n v="19"/>
    <n v="31"/>
    <n v="1"/>
    <n v="5"/>
    <n v="31"/>
    <n v="12"/>
    <n v="0.38709677419354838"/>
  </r>
  <r>
    <x v="324"/>
    <n v="18"/>
    <s v="Plato_8"/>
    <s v="Descripci√≥n del Plato_8"/>
    <n v="21"/>
    <n v="35"/>
    <n v="2"/>
    <n v="13"/>
    <n v="70"/>
    <n v="28"/>
    <n v="0.4"/>
  </r>
  <r>
    <x v="325"/>
    <n v="14"/>
    <s v="Plato_16"/>
    <s v="Descripci√≥n del Plato_16"/>
    <n v="16"/>
    <n v="28"/>
    <n v="1"/>
    <n v="49"/>
    <n v="28"/>
    <n v="12"/>
    <n v="0.42857142857142855"/>
  </r>
  <r>
    <x v="325"/>
    <n v="14"/>
    <s v="Plato_4"/>
    <s v="Descripci√≥n del Plato_4"/>
    <n v="10"/>
    <n v="18"/>
    <n v="1"/>
    <n v="28"/>
    <n v="18"/>
    <n v="8"/>
    <n v="0.44444444444444442"/>
  </r>
  <r>
    <x v="325"/>
    <n v="14"/>
    <s v="Plato_8"/>
    <s v="Descripci√≥n del Plato_8"/>
    <n v="21"/>
    <n v="35"/>
    <n v="1"/>
    <n v="14"/>
    <n v="35"/>
    <n v="14"/>
    <n v="0.4"/>
  </r>
  <r>
    <x v="326"/>
    <n v="12"/>
    <s v="Plato_18"/>
    <s v="Descripci√≥n del Plato_18"/>
    <n v="20"/>
    <n v="34"/>
    <n v="3"/>
    <n v="33"/>
    <n v="102"/>
    <n v="42"/>
    <n v="0.41176470588235292"/>
  </r>
  <r>
    <x v="326"/>
    <n v="12"/>
    <s v="Plato_4"/>
    <s v="Descripci√≥n del Plato_4"/>
    <n v="10"/>
    <n v="18"/>
    <n v="1"/>
    <n v="7"/>
    <n v="18"/>
    <n v="8"/>
    <n v="0.44444444444444442"/>
  </r>
  <r>
    <x v="326"/>
    <n v="12"/>
    <s v="Plato_6"/>
    <s v="Descripci√≥n del Plato_6"/>
    <n v="16"/>
    <n v="27"/>
    <n v="1"/>
    <n v="34"/>
    <n v="27"/>
    <n v="11"/>
    <n v="0.40740740740740738"/>
  </r>
  <r>
    <x v="327"/>
    <n v="4"/>
    <s v="Plato_8"/>
    <s v="Descripci√≥n del Plato_8"/>
    <n v="21"/>
    <n v="35"/>
    <n v="1"/>
    <n v="21"/>
    <n v="35"/>
    <n v="14"/>
    <n v="0.4"/>
  </r>
  <r>
    <x v="328"/>
    <n v="13"/>
    <s v="Plato_13"/>
    <s v="Descripci√≥n del Plato_13"/>
    <n v="13"/>
    <n v="21"/>
    <n v="2"/>
    <n v="56"/>
    <n v="42"/>
    <n v="16"/>
    <n v="0.38095238095238093"/>
  </r>
  <r>
    <x v="328"/>
    <n v="13"/>
    <s v="Plato_14"/>
    <s v="Descripci√≥n del Plato_14"/>
    <n v="14"/>
    <n v="23"/>
    <n v="1"/>
    <n v="8"/>
    <n v="23"/>
    <n v="9"/>
    <n v="0.39130434782608697"/>
  </r>
  <r>
    <x v="328"/>
    <n v="13"/>
    <s v="Plato_17"/>
    <s v="Descripci√≥n del Plato_17"/>
    <n v="19"/>
    <n v="31"/>
    <n v="2"/>
    <n v="58"/>
    <n v="62"/>
    <n v="24"/>
    <n v="0.38709677419354838"/>
  </r>
  <r>
    <x v="328"/>
    <n v="13"/>
    <s v="Plato_20"/>
    <s v="Descripci√≥n del Plato_20"/>
    <n v="25"/>
    <n v="40"/>
    <n v="2"/>
    <n v="17"/>
    <n v="80"/>
    <n v="30"/>
    <n v="0.375"/>
  </r>
  <r>
    <x v="329"/>
    <n v="10"/>
    <s v="Plato_1"/>
    <s v="Descripci√≥n del Plato_1"/>
    <n v="15"/>
    <n v="25"/>
    <n v="2"/>
    <n v="25"/>
    <n v="50"/>
    <n v="20"/>
    <n v="0.4"/>
  </r>
  <r>
    <x v="329"/>
    <n v="10"/>
    <s v="Plato_13"/>
    <s v="Descripci√≥n del Plato_13"/>
    <n v="13"/>
    <n v="21"/>
    <n v="2"/>
    <n v="51"/>
    <n v="42"/>
    <n v="16"/>
    <n v="0.38095238095238093"/>
  </r>
  <r>
    <x v="329"/>
    <n v="10"/>
    <s v="Plato_14"/>
    <s v="Descripci√≥n del Plato_14"/>
    <n v="14"/>
    <n v="23"/>
    <n v="3"/>
    <n v="21"/>
    <n v="69"/>
    <n v="27"/>
    <n v="0.39130434782608697"/>
  </r>
  <r>
    <x v="329"/>
    <n v="10"/>
    <s v="Plato_16"/>
    <s v="Descripci√≥n del Plato_16"/>
    <n v="16"/>
    <n v="28"/>
    <n v="2"/>
    <n v="43"/>
    <n v="56"/>
    <n v="24"/>
    <n v="0.42857142857142855"/>
  </r>
  <r>
    <x v="330"/>
    <n v="20"/>
    <s v="Plato_1"/>
    <s v="Descripci√≥n del Plato_1"/>
    <n v="15"/>
    <n v="25"/>
    <n v="1"/>
    <n v="35"/>
    <n v="25"/>
    <n v="10"/>
    <n v="0.4"/>
  </r>
  <r>
    <x v="330"/>
    <n v="20"/>
    <s v="Plato_12"/>
    <s v="Descripci√≥n del Plato_12"/>
    <n v="11"/>
    <n v="19"/>
    <n v="1"/>
    <n v="5"/>
    <n v="19"/>
    <n v="8"/>
    <n v="0.42105263157894735"/>
  </r>
  <r>
    <x v="330"/>
    <n v="20"/>
    <s v="Plato_7"/>
    <s v="Descripci√≥n del Plato_7"/>
    <n v="14"/>
    <n v="24"/>
    <n v="1"/>
    <n v="55"/>
    <n v="24"/>
    <n v="10"/>
    <n v="0.41666666666666669"/>
  </r>
  <r>
    <x v="330"/>
    <n v="20"/>
    <s v="Plato_8"/>
    <s v="Descripci√≥n del Plato_8"/>
    <n v="21"/>
    <n v="35"/>
    <n v="3"/>
    <n v="26"/>
    <n v="105"/>
    <n v="42"/>
    <n v="0.4"/>
  </r>
  <r>
    <x v="331"/>
    <n v="6"/>
    <s v="Plato_20"/>
    <s v="Descripci√≥n del Plato_20"/>
    <n v="25"/>
    <n v="40"/>
    <n v="3"/>
    <n v="17"/>
    <n v="120"/>
    <n v="45"/>
    <n v="0.375"/>
  </r>
  <r>
    <x v="332"/>
    <n v="6"/>
    <s v="Plato_19"/>
    <s v="Descripci√≥n del Plato_19"/>
    <n v="22"/>
    <n v="36"/>
    <n v="1"/>
    <n v="38"/>
    <n v="36"/>
    <n v="14"/>
    <n v="0.3888888888888889"/>
  </r>
  <r>
    <x v="332"/>
    <n v="6"/>
    <s v="Plato_4"/>
    <s v="Descripci√≥n del Plato_4"/>
    <n v="10"/>
    <n v="18"/>
    <n v="2"/>
    <n v="23"/>
    <n v="36"/>
    <n v="16"/>
    <n v="0.44444444444444442"/>
  </r>
  <r>
    <x v="333"/>
    <n v="12"/>
    <s v="Plato_13"/>
    <s v="Descripci√≥n del Plato_13"/>
    <n v="13"/>
    <n v="21"/>
    <n v="2"/>
    <n v="36"/>
    <n v="42"/>
    <n v="16"/>
    <n v="0.38095238095238093"/>
  </r>
  <r>
    <x v="333"/>
    <n v="12"/>
    <s v="Plato_14"/>
    <s v="Descripci√≥n del Plato_14"/>
    <n v="14"/>
    <n v="23"/>
    <n v="1"/>
    <n v="58"/>
    <n v="23"/>
    <n v="9"/>
    <n v="0.39130434782608697"/>
  </r>
  <r>
    <x v="333"/>
    <n v="12"/>
    <s v="Plato_2"/>
    <s v="Descripci√≥n del Plato_2"/>
    <n v="18"/>
    <n v="30"/>
    <n v="2"/>
    <n v="31"/>
    <n v="60"/>
    <n v="24"/>
    <n v="0.4"/>
  </r>
  <r>
    <x v="333"/>
    <n v="12"/>
    <s v="Plato_7"/>
    <s v="Descripci√≥n del Plato_7"/>
    <n v="14"/>
    <n v="24"/>
    <n v="2"/>
    <n v="31"/>
    <n v="48"/>
    <n v="20"/>
    <n v="0.41666666666666669"/>
  </r>
  <r>
    <x v="334"/>
    <n v="14"/>
    <s v="Plato_16"/>
    <s v="Descripci√≥n del Plato_16"/>
    <n v="16"/>
    <n v="28"/>
    <n v="3"/>
    <n v="36"/>
    <n v="84"/>
    <n v="36"/>
    <n v="0.42857142857142855"/>
  </r>
  <r>
    <x v="334"/>
    <n v="14"/>
    <s v="Plato_2"/>
    <s v="Descripci√≥n del Plato_2"/>
    <n v="18"/>
    <n v="30"/>
    <n v="1"/>
    <n v="33"/>
    <n v="30"/>
    <n v="12"/>
    <n v="0.4"/>
  </r>
  <r>
    <x v="335"/>
    <n v="4"/>
    <s v="Plato_10"/>
    <s v="Descripci√≥n del Plato_10"/>
    <n v="15"/>
    <n v="26"/>
    <n v="3"/>
    <n v="20"/>
    <n v="78"/>
    <n v="33"/>
    <n v="0.42307692307692307"/>
  </r>
  <r>
    <x v="335"/>
    <n v="4"/>
    <s v="Plato_12"/>
    <s v="Descripci√≥n del Plato_12"/>
    <n v="11"/>
    <n v="19"/>
    <n v="2"/>
    <n v="33"/>
    <n v="38"/>
    <n v="16"/>
    <n v="0.42105263157894735"/>
  </r>
  <r>
    <x v="335"/>
    <n v="4"/>
    <s v="Plato_13"/>
    <s v="Descripci√≥n del Plato_13"/>
    <n v="13"/>
    <n v="21"/>
    <n v="2"/>
    <n v="12"/>
    <n v="42"/>
    <n v="16"/>
    <n v="0.38095238095238093"/>
  </r>
  <r>
    <x v="336"/>
    <n v="11"/>
    <s v="Plato_16"/>
    <s v="Descripci√≥n del Plato_16"/>
    <n v="16"/>
    <n v="28"/>
    <n v="1"/>
    <n v="5"/>
    <n v="28"/>
    <n v="12"/>
    <n v="0.42857142857142855"/>
  </r>
  <r>
    <x v="336"/>
    <n v="11"/>
    <s v="Plato_7"/>
    <s v="Descripci√≥n del Plato_7"/>
    <n v="14"/>
    <n v="24"/>
    <n v="3"/>
    <n v="53"/>
    <n v="72"/>
    <n v="30"/>
    <n v="0.41666666666666669"/>
  </r>
  <r>
    <x v="337"/>
    <n v="18"/>
    <s v="Plato_13"/>
    <s v="Descripci√≥n del Plato_13"/>
    <n v="13"/>
    <n v="21"/>
    <n v="1"/>
    <n v="10"/>
    <n v="21"/>
    <n v="8"/>
    <n v="0.38095238095238093"/>
  </r>
  <r>
    <x v="337"/>
    <n v="18"/>
    <s v="Plato_15"/>
    <s v="Descripci√≥n del Plato_15"/>
    <n v="19"/>
    <n v="32"/>
    <n v="3"/>
    <n v="30"/>
    <n v="96"/>
    <n v="39"/>
    <n v="0.40625"/>
  </r>
  <r>
    <x v="337"/>
    <n v="18"/>
    <s v="Plato_18"/>
    <s v="Descripci√≥n del Plato_18"/>
    <n v="20"/>
    <n v="34"/>
    <n v="3"/>
    <n v="44"/>
    <n v="102"/>
    <n v="42"/>
    <n v="0.41176470588235292"/>
  </r>
  <r>
    <x v="337"/>
    <n v="18"/>
    <s v="Plato_3"/>
    <s v="Descripci√≥n del Plato_3"/>
    <n v="12"/>
    <n v="20"/>
    <n v="3"/>
    <n v="59"/>
    <n v="60"/>
    <n v="24"/>
    <n v="0.4"/>
  </r>
  <r>
    <x v="338"/>
    <n v="13"/>
    <s v="Plato_14"/>
    <s v="Descripci√≥n del Plato_14"/>
    <n v="14"/>
    <n v="23"/>
    <n v="2"/>
    <n v="40"/>
    <n v="46"/>
    <n v="18"/>
    <n v="0.39130434782608697"/>
  </r>
  <r>
    <x v="338"/>
    <n v="13"/>
    <s v="Plato_9"/>
    <s v="Descripci√≥n del Plato_9"/>
    <n v="17"/>
    <n v="29"/>
    <n v="2"/>
    <n v="6"/>
    <n v="58"/>
    <n v="24"/>
    <n v="0.41379310344827586"/>
  </r>
  <r>
    <x v="339"/>
    <n v="15"/>
    <s v="Plato_16"/>
    <s v="Descripci√≥n del Plato_16"/>
    <n v="16"/>
    <n v="28"/>
    <n v="3"/>
    <n v="56"/>
    <n v="84"/>
    <n v="36"/>
    <n v="0.42857142857142855"/>
  </r>
  <r>
    <x v="339"/>
    <n v="15"/>
    <s v="Plato_20"/>
    <s v="Descripci√≥n del Plato_20"/>
    <n v="25"/>
    <n v="40"/>
    <n v="2"/>
    <n v="35"/>
    <n v="80"/>
    <n v="30"/>
    <n v="0.375"/>
  </r>
  <r>
    <x v="340"/>
    <n v="14"/>
    <s v="Plato_16"/>
    <s v="Descripci√≥n del Plato_16"/>
    <n v="16"/>
    <n v="28"/>
    <n v="1"/>
    <n v="46"/>
    <n v="28"/>
    <n v="12"/>
    <n v="0.42857142857142855"/>
  </r>
  <r>
    <x v="340"/>
    <n v="14"/>
    <s v="Plato_5"/>
    <s v="Descripci√≥n del Plato_5"/>
    <n v="13"/>
    <n v="22"/>
    <n v="2"/>
    <n v="34"/>
    <n v="44"/>
    <n v="18"/>
    <n v="0.40909090909090912"/>
  </r>
  <r>
    <x v="340"/>
    <n v="14"/>
    <s v="Plato_8"/>
    <s v="Descripci√≥n del Plato_8"/>
    <n v="21"/>
    <n v="35"/>
    <n v="3"/>
    <n v="8"/>
    <n v="105"/>
    <n v="42"/>
    <n v="0.4"/>
  </r>
  <r>
    <x v="341"/>
    <n v="19"/>
    <s v="Plato_14"/>
    <s v="Descripci√≥n del Plato_14"/>
    <n v="14"/>
    <n v="23"/>
    <n v="2"/>
    <n v="23"/>
    <n v="46"/>
    <n v="18"/>
    <n v="0.39130434782608697"/>
  </r>
  <r>
    <x v="341"/>
    <n v="19"/>
    <s v="Plato_16"/>
    <s v="Descripci√≥n del Plato_16"/>
    <n v="16"/>
    <n v="28"/>
    <n v="2"/>
    <n v="31"/>
    <n v="56"/>
    <n v="24"/>
    <n v="0.42857142857142855"/>
  </r>
  <r>
    <x v="342"/>
    <n v="12"/>
    <s v="Plato_14"/>
    <s v="Descripci√≥n del Plato_14"/>
    <n v="14"/>
    <n v="23"/>
    <n v="3"/>
    <n v="43"/>
    <n v="69"/>
    <n v="27"/>
    <n v="0.39130434782608697"/>
  </r>
  <r>
    <x v="342"/>
    <n v="12"/>
    <s v="Plato_18"/>
    <s v="Descripci√≥n del Plato_18"/>
    <n v="20"/>
    <n v="34"/>
    <n v="2"/>
    <n v="58"/>
    <n v="68"/>
    <n v="28"/>
    <n v="0.41176470588235292"/>
  </r>
  <r>
    <x v="343"/>
    <n v="15"/>
    <s v="Plato_15"/>
    <s v="Descripci√≥n del Plato_15"/>
    <n v="19"/>
    <n v="32"/>
    <n v="2"/>
    <n v="19"/>
    <n v="64"/>
    <n v="26"/>
    <n v="0.40625"/>
  </r>
  <r>
    <x v="343"/>
    <n v="15"/>
    <s v="Plato_17"/>
    <s v="Descripci√≥n del Plato_17"/>
    <n v="19"/>
    <n v="31"/>
    <n v="2"/>
    <n v="28"/>
    <n v="62"/>
    <n v="24"/>
    <n v="0.38709677419354838"/>
  </r>
  <r>
    <x v="343"/>
    <n v="15"/>
    <s v="Plato_5"/>
    <s v="Descripci√≥n del Plato_5"/>
    <n v="13"/>
    <n v="22"/>
    <n v="1"/>
    <n v="28"/>
    <n v="22"/>
    <n v="9"/>
    <n v="0.40909090909090912"/>
  </r>
  <r>
    <x v="343"/>
    <n v="15"/>
    <s v="Plato_8"/>
    <s v="Descripci√≥n del Plato_8"/>
    <n v="21"/>
    <n v="35"/>
    <n v="1"/>
    <n v="11"/>
    <n v="35"/>
    <n v="14"/>
    <n v="0.4"/>
  </r>
  <r>
    <x v="344"/>
    <n v="16"/>
    <s v="Plato_12"/>
    <s v="Descripci√≥n del Plato_12"/>
    <n v="11"/>
    <n v="19"/>
    <n v="2"/>
    <n v="18"/>
    <n v="38"/>
    <n v="16"/>
    <n v="0.42105263157894735"/>
  </r>
  <r>
    <x v="345"/>
    <n v="1"/>
    <s v="Plato_19"/>
    <s v="Descripci√≥n del Plato_19"/>
    <n v="22"/>
    <n v="36"/>
    <n v="2"/>
    <n v="22"/>
    <n v="72"/>
    <n v="28"/>
    <n v="0.3888888888888889"/>
  </r>
  <r>
    <x v="346"/>
    <n v="7"/>
    <s v="Plato_8"/>
    <s v="Descripci√≥n del Plato_8"/>
    <n v="21"/>
    <n v="35"/>
    <n v="2"/>
    <n v="44"/>
    <n v="70"/>
    <n v="28"/>
    <n v="0.4"/>
  </r>
  <r>
    <x v="347"/>
    <n v="16"/>
    <s v="Plato_10"/>
    <s v="Descripci√≥n del Plato_10"/>
    <n v="15"/>
    <n v="26"/>
    <n v="1"/>
    <n v="31"/>
    <n v="26"/>
    <n v="11"/>
    <n v="0.42307692307692307"/>
  </r>
  <r>
    <x v="347"/>
    <n v="16"/>
    <s v="Plato_3"/>
    <s v="Descripci√≥n del Plato_3"/>
    <n v="12"/>
    <n v="20"/>
    <n v="3"/>
    <n v="57"/>
    <n v="60"/>
    <n v="24"/>
    <n v="0.4"/>
  </r>
  <r>
    <x v="348"/>
    <n v="13"/>
    <s v="Plato_12"/>
    <s v="Descripci√≥n del Plato_12"/>
    <n v="11"/>
    <n v="19"/>
    <n v="3"/>
    <n v="7"/>
    <n v="57"/>
    <n v="24"/>
    <n v="0.42105263157894735"/>
  </r>
  <r>
    <x v="348"/>
    <n v="13"/>
    <s v="Plato_2"/>
    <s v="Descripci√≥n del Plato_2"/>
    <n v="18"/>
    <n v="30"/>
    <n v="2"/>
    <n v="25"/>
    <n v="60"/>
    <n v="24"/>
    <n v="0.4"/>
  </r>
  <r>
    <x v="348"/>
    <n v="13"/>
    <s v="Plato_8"/>
    <s v="Descripci√≥n del Plato_8"/>
    <n v="21"/>
    <n v="35"/>
    <n v="1"/>
    <n v="53"/>
    <n v="35"/>
    <n v="14"/>
    <n v="0.4"/>
  </r>
  <r>
    <x v="349"/>
    <n v="2"/>
    <s v="Plato_17"/>
    <s v="Descripci√≥n del Plato_17"/>
    <n v="19"/>
    <n v="31"/>
    <n v="2"/>
    <n v="52"/>
    <n v="62"/>
    <n v="24"/>
    <n v="0.38709677419354838"/>
  </r>
  <r>
    <x v="349"/>
    <n v="2"/>
    <s v="Plato_6"/>
    <s v="Descripci√≥n del Plato_6"/>
    <n v="16"/>
    <n v="27"/>
    <n v="3"/>
    <n v="57"/>
    <n v="81"/>
    <n v="33"/>
    <n v="0.40740740740740738"/>
  </r>
  <r>
    <x v="350"/>
    <n v="1"/>
    <s v="Plato_15"/>
    <s v="Descripci√≥n del Plato_15"/>
    <n v="19"/>
    <n v="32"/>
    <n v="3"/>
    <n v="18"/>
    <n v="96"/>
    <n v="39"/>
    <n v="0.40625"/>
  </r>
  <r>
    <x v="350"/>
    <n v="1"/>
    <s v="Plato_8"/>
    <s v="Descripci√≥n del Plato_8"/>
    <n v="21"/>
    <n v="35"/>
    <n v="3"/>
    <n v="7"/>
    <n v="105"/>
    <n v="42"/>
    <n v="0.4"/>
  </r>
  <r>
    <x v="351"/>
    <n v="1"/>
    <s v="Plato_11"/>
    <s v="Descripci√≥n del Plato_11"/>
    <n v="20"/>
    <n v="33"/>
    <n v="3"/>
    <n v="7"/>
    <n v="99"/>
    <n v="39"/>
    <n v="0.39393939393939392"/>
  </r>
  <r>
    <x v="352"/>
    <n v="7"/>
    <s v="Plato_18"/>
    <s v="Descripci√≥n del Plato_18"/>
    <n v="20"/>
    <n v="34"/>
    <n v="2"/>
    <n v="25"/>
    <n v="68"/>
    <n v="28"/>
    <n v="0.41176470588235292"/>
  </r>
  <r>
    <x v="352"/>
    <n v="7"/>
    <s v="Plato_2"/>
    <s v="Descripci√≥n del Plato_2"/>
    <n v="18"/>
    <n v="30"/>
    <n v="1"/>
    <n v="16"/>
    <n v="30"/>
    <n v="12"/>
    <n v="0.4"/>
  </r>
  <r>
    <x v="352"/>
    <n v="7"/>
    <s v="Plato_5"/>
    <s v="Descripci√≥n del Plato_5"/>
    <n v="13"/>
    <n v="22"/>
    <n v="2"/>
    <n v="50"/>
    <n v="44"/>
    <n v="18"/>
    <n v="0.40909090909090912"/>
  </r>
  <r>
    <x v="352"/>
    <n v="7"/>
    <s v="Plato_8"/>
    <s v="Descripci√≥n del Plato_8"/>
    <n v="21"/>
    <n v="35"/>
    <n v="2"/>
    <n v="37"/>
    <n v="70"/>
    <n v="28"/>
    <n v="0.4"/>
  </r>
  <r>
    <x v="353"/>
    <n v="12"/>
    <s v="Plato_12"/>
    <s v="Descripci√≥n del Plato_12"/>
    <n v="11"/>
    <n v="19"/>
    <n v="3"/>
    <n v="32"/>
    <n v="57"/>
    <n v="24"/>
    <n v="0.42105263157894735"/>
  </r>
  <r>
    <x v="353"/>
    <n v="12"/>
    <s v="Plato_15"/>
    <s v="Descripci√≥n del Plato_15"/>
    <n v="19"/>
    <n v="32"/>
    <n v="2"/>
    <n v="49"/>
    <n v="64"/>
    <n v="26"/>
    <n v="0.40625"/>
  </r>
  <r>
    <x v="353"/>
    <n v="12"/>
    <s v="Plato_4"/>
    <s v="Descripci√≥n del Plato_4"/>
    <n v="10"/>
    <n v="18"/>
    <n v="2"/>
    <n v="7"/>
    <n v="36"/>
    <n v="16"/>
    <n v="0.44444444444444442"/>
  </r>
  <r>
    <x v="353"/>
    <n v="12"/>
    <s v="Plato_7"/>
    <s v="Descripci√≥n del Plato_7"/>
    <n v="14"/>
    <n v="24"/>
    <n v="1"/>
    <n v="49"/>
    <n v="24"/>
    <n v="10"/>
    <n v="0.41666666666666669"/>
  </r>
  <r>
    <x v="354"/>
    <n v="4"/>
    <s v="Plato_10"/>
    <s v="Descripci√≥n del Plato_10"/>
    <n v="15"/>
    <n v="26"/>
    <n v="1"/>
    <n v="7"/>
    <n v="26"/>
    <n v="11"/>
    <n v="0.42307692307692307"/>
  </r>
  <r>
    <x v="355"/>
    <n v="1"/>
    <s v="Plato_4"/>
    <s v="Descripci√≥n del Plato_4"/>
    <n v="10"/>
    <n v="18"/>
    <n v="2"/>
    <n v="7"/>
    <n v="36"/>
    <n v="16"/>
    <n v="0.44444444444444442"/>
  </r>
  <r>
    <x v="356"/>
    <n v="17"/>
    <s v="Plato_1"/>
    <s v="Descripci√≥n del Plato_1"/>
    <n v="15"/>
    <n v="25"/>
    <n v="1"/>
    <n v="12"/>
    <n v="25"/>
    <n v="10"/>
    <n v="0.4"/>
  </r>
  <r>
    <x v="356"/>
    <n v="17"/>
    <s v="Plato_3"/>
    <s v="Descripci√≥n del Plato_3"/>
    <n v="12"/>
    <n v="20"/>
    <n v="2"/>
    <n v="5"/>
    <n v="40"/>
    <n v="16"/>
    <n v="0.4"/>
  </r>
  <r>
    <x v="356"/>
    <n v="17"/>
    <s v="Plato_5"/>
    <s v="Descripci√≥n del Plato_5"/>
    <n v="13"/>
    <n v="22"/>
    <n v="1"/>
    <n v="48"/>
    <n v="22"/>
    <n v="9"/>
    <n v="0.40909090909090912"/>
  </r>
  <r>
    <x v="356"/>
    <n v="17"/>
    <s v="Plato_6"/>
    <s v="Descripci√≥n del Plato_6"/>
    <n v="16"/>
    <n v="27"/>
    <n v="3"/>
    <n v="31"/>
    <n v="81"/>
    <n v="33"/>
    <n v="0.40740740740740738"/>
  </r>
  <r>
    <x v="357"/>
    <n v="13"/>
    <s v="Plato_10"/>
    <s v="Descripci√≥n del Plato_10"/>
    <n v="15"/>
    <n v="26"/>
    <n v="2"/>
    <n v="50"/>
    <n v="52"/>
    <n v="22"/>
    <n v="0.42307692307692307"/>
  </r>
  <r>
    <x v="357"/>
    <n v="13"/>
    <s v="Plato_3"/>
    <s v="Descripci√≥n del Plato_3"/>
    <n v="12"/>
    <n v="20"/>
    <n v="3"/>
    <n v="52"/>
    <n v="60"/>
    <n v="24"/>
    <n v="0.4"/>
  </r>
  <r>
    <x v="357"/>
    <n v="13"/>
    <s v="Plato_4"/>
    <s v="Descripci√≥n del Plato_4"/>
    <n v="10"/>
    <n v="18"/>
    <n v="3"/>
    <n v="50"/>
    <n v="54"/>
    <n v="24"/>
    <n v="0.44444444444444442"/>
  </r>
  <r>
    <x v="358"/>
    <n v="11"/>
    <s v="Plato_10"/>
    <s v="Descripci√≥n del Plato_10"/>
    <n v="15"/>
    <n v="26"/>
    <n v="1"/>
    <n v="50"/>
    <n v="26"/>
    <n v="11"/>
    <n v="0.42307692307692307"/>
  </r>
  <r>
    <x v="358"/>
    <n v="11"/>
    <s v="Plato_16"/>
    <s v="Descripci√≥n del Plato_16"/>
    <n v="16"/>
    <n v="28"/>
    <n v="3"/>
    <n v="57"/>
    <n v="84"/>
    <n v="36"/>
    <n v="0.42857142857142855"/>
  </r>
  <r>
    <x v="358"/>
    <n v="11"/>
    <s v="Plato_5"/>
    <s v="Descripci√≥n del Plato_5"/>
    <n v="13"/>
    <n v="22"/>
    <n v="1"/>
    <n v="26"/>
    <n v="22"/>
    <n v="9"/>
    <n v="0.40909090909090912"/>
  </r>
  <r>
    <x v="358"/>
    <n v="11"/>
    <s v="Plato_9"/>
    <s v="Descripci√≥n del Plato_9"/>
    <n v="17"/>
    <n v="29"/>
    <n v="2"/>
    <n v="12"/>
    <n v="58"/>
    <n v="24"/>
    <n v="0.41379310344827586"/>
  </r>
  <r>
    <x v="359"/>
    <n v="16"/>
    <s v="Plato_10"/>
    <s v="Descripci√≥n del Plato_10"/>
    <n v="15"/>
    <n v="26"/>
    <n v="1"/>
    <n v="51"/>
    <n v="26"/>
    <n v="11"/>
    <n v="0.42307692307692307"/>
  </r>
  <r>
    <x v="359"/>
    <n v="16"/>
    <s v="Plato_13"/>
    <s v="Descripci√≥n del Plato_13"/>
    <n v="13"/>
    <n v="21"/>
    <n v="1"/>
    <n v="42"/>
    <n v="21"/>
    <n v="8"/>
    <n v="0.38095238095238093"/>
  </r>
  <r>
    <x v="359"/>
    <n v="16"/>
    <s v="Plato_15"/>
    <s v="Descripci√≥n del Plato_15"/>
    <n v="19"/>
    <n v="32"/>
    <n v="3"/>
    <n v="30"/>
    <n v="96"/>
    <n v="39"/>
    <n v="0.40625"/>
  </r>
  <r>
    <x v="359"/>
    <n v="16"/>
    <s v="Plato_2"/>
    <s v="Descripci√≥n del Plato_2"/>
    <n v="18"/>
    <n v="30"/>
    <n v="3"/>
    <n v="36"/>
    <n v="90"/>
    <n v="36"/>
    <n v="0.4"/>
  </r>
  <r>
    <x v="360"/>
    <n v="16"/>
    <s v="Plato_7"/>
    <s v="Descripci√≥n del Plato_7"/>
    <n v="14"/>
    <n v="24"/>
    <n v="3"/>
    <n v="54"/>
    <n v="72"/>
    <n v="30"/>
    <n v="0.41666666666666669"/>
  </r>
  <r>
    <x v="360"/>
    <n v="16"/>
    <s v="Plato_9"/>
    <s v="Descripci√≥n del Plato_9"/>
    <n v="17"/>
    <n v="29"/>
    <n v="1"/>
    <n v="58"/>
    <n v="29"/>
    <n v="12"/>
    <n v="0.41379310344827586"/>
  </r>
  <r>
    <x v="361"/>
    <n v="15"/>
    <s v="Plato_3"/>
    <s v="Descripci√≥n del Plato_3"/>
    <n v="12"/>
    <n v="20"/>
    <n v="1"/>
    <n v="41"/>
    <n v="20"/>
    <n v="8"/>
    <n v="0.4"/>
  </r>
  <r>
    <x v="361"/>
    <n v="15"/>
    <s v="Plato_4"/>
    <s v="Descripci√≥n del Plato_4"/>
    <n v="10"/>
    <n v="18"/>
    <n v="1"/>
    <n v="24"/>
    <n v="18"/>
    <n v="8"/>
    <n v="0.44444444444444442"/>
  </r>
  <r>
    <x v="361"/>
    <n v="15"/>
    <s v="Plato_7"/>
    <s v="Descripci√≥n del Plato_7"/>
    <n v="14"/>
    <n v="24"/>
    <n v="1"/>
    <n v="58"/>
    <n v="24"/>
    <n v="10"/>
    <n v="0.41666666666666669"/>
  </r>
  <r>
    <x v="362"/>
    <n v="5"/>
    <s v="Plato_11"/>
    <s v="Descripci√≥n del Plato_11"/>
    <n v="20"/>
    <n v="33"/>
    <n v="2"/>
    <n v="18"/>
    <n v="66"/>
    <n v="26"/>
    <n v="0.39393939393939392"/>
  </r>
  <r>
    <x v="362"/>
    <n v="5"/>
    <s v="Plato_19"/>
    <s v="Descripci√≥n del Plato_19"/>
    <n v="22"/>
    <n v="36"/>
    <n v="2"/>
    <n v="42"/>
    <n v="72"/>
    <n v="28"/>
    <n v="0.3888888888888889"/>
  </r>
  <r>
    <x v="362"/>
    <n v="5"/>
    <s v="Plato_2"/>
    <s v="Descripci√≥n del Plato_2"/>
    <n v="18"/>
    <n v="30"/>
    <n v="1"/>
    <n v="48"/>
    <n v="30"/>
    <n v="12"/>
    <n v="0.4"/>
  </r>
  <r>
    <x v="362"/>
    <n v="5"/>
    <s v="Plato_7"/>
    <s v="Descripci√≥n del Plato_7"/>
    <n v="14"/>
    <n v="24"/>
    <n v="3"/>
    <n v="41"/>
    <n v="72"/>
    <n v="30"/>
    <n v="0.41666666666666669"/>
  </r>
  <r>
    <x v="363"/>
    <n v="15"/>
    <s v="Plato_1"/>
    <s v="Descripci√≥n del Plato_1"/>
    <n v="15"/>
    <n v="25"/>
    <n v="2"/>
    <n v="14"/>
    <n v="50"/>
    <n v="20"/>
    <n v="0.4"/>
  </r>
  <r>
    <x v="363"/>
    <n v="15"/>
    <s v="Plato_16"/>
    <s v="Descripci√≥n del Plato_16"/>
    <n v="16"/>
    <n v="28"/>
    <n v="2"/>
    <n v="52"/>
    <n v="56"/>
    <n v="24"/>
    <n v="0.42857142857142855"/>
  </r>
  <r>
    <x v="363"/>
    <n v="15"/>
    <s v="Plato_5"/>
    <s v="Descripci√≥n del Plato_5"/>
    <n v="13"/>
    <n v="22"/>
    <n v="1"/>
    <n v="20"/>
    <n v="22"/>
    <n v="9"/>
    <n v="0.40909090909090912"/>
  </r>
  <r>
    <x v="363"/>
    <n v="15"/>
    <s v="Plato_9"/>
    <s v="Descripci√≥n del Plato_9"/>
    <n v="17"/>
    <n v="29"/>
    <n v="1"/>
    <n v="26"/>
    <n v="29"/>
    <n v="12"/>
    <n v="0.41379310344827586"/>
  </r>
  <r>
    <x v="364"/>
    <n v="4"/>
    <s v="Plato_19"/>
    <s v="Descripci√≥n del Plato_19"/>
    <n v="22"/>
    <n v="36"/>
    <n v="3"/>
    <n v="25"/>
    <n v="108"/>
    <n v="42"/>
    <n v="0.3888888888888889"/>
  </r>
  <r>
    <x v="365"/>
    <n v="17"/>
    <s v="Plato_20"/>
    <s v="Descripci√≥n del Plato_20"/>
    <n v="25"/>
    <n v="40"/>
    <n v="2"/>
    <n v="9"/>
    <n v="80"/>
    <n v="30"/>
    <n v="0.375"/>
  </r>
  <r>
    <x v="365"/>
    <n v="17"/>
    <s v="Plato_6"/>
    <s v="Descripci√≥n del Plato_6"/>
    <n v="16"/>
    <n v="27"/>
    <n v="2"/>
    <n v="30"/>
    <n v="54"/>
    <n v="22"/>
    <n v="0.40740740740740738"/>
  </r>
  <r>
    <x v="365"/>
    <n v="17"/>
    <s v="Plato_8"/>
    <s v="Descripci√≥n del Plato_8"/>
    <n v="21"/>
    <n v="35"/>
    <n v="3"/>
    <n v="51"/>
    <n v="105"/>
    <n v="42"/>
    <n v="0.4"/>
  </r>
  <r>
    <x v="366"/>
    <n v="12"/>
    <s v="Plato_10"/>
    <s v="Descripci√≥n del Plato_10"/>
    <n v="15"/>
    <n v="26"/>
    <n v="2"/>
    <n v="34"/>
    <n v="52"/>
    <n v="22"/>
    <n v="0.42307692307692307"/>
  </r>
  <r>
    <x v="366"/>
    <n v="12"/>
    <s v="Plato_3"/>
    <s v="Descripci√≥n del Plato_3"/>
    <n v="12"/>
    <n v="20"/>
    <n v="1"/>
    <n v="13"/>
    <n v="20"/>
    <n v="8"/>
    <n v="0.4"/>
  </r>
  <r>
    <x v="366"/>
    <n v="12"/>
    <s v="Plato_9"/>
    <s v="Descripci√≥n del Plato_9"/>
    <n v="17"/>
    <n v="29"/>
    <n v="1"/>
    <n v="26"/>
    <n v="29"/>
    <n v="12"/>
    <n v="0.41379310344827586"/>
  </r>
  <r>
    <x v="367"/>
    <n v="13"/>
    <s v="Plato_11"/>
    <s v="Descripci√≥n del Plato_11"/>
    <n v="20"/>
    <n v="33"/>
    <n v="3"/>
    <n v="45"/>
    <n v="99"/>
    <n v="39"/>
    <n v="0.39393939393939392"/>
  </r>
  <r>
    <x v="367"/>
    <n v="13"/>
    <s v="Plato_7"/>
    <s v="Descripci√≥n del Plato_7"/>
    <n v="14"/>
    <n v="24"/>
    <n v="1"/>
    <n v="40"/>
    <n v="24"/>
    <n v="10"/>
    <n v="0.41666666666666669"/>
  </r>
  <r>
    <x v="368"/>
    <n v="20"/>
    <s v="Plato_10"/>
    <s v="Descripci√≥n del Plato_10"/>
    <n v="15"/>
    <n v="26"/>
    <n v="3"/>
    <n v="20"/>
    <n v="78"/>
    <n v="33"/>
    <n v="0.42307692307692307"/>
  </r>
  <r>
    <x v="368"/>
    <n v="20"/>
    <s v="Plato_14"/>
    <s v="Descripci√≥n del Plato_14"/>
    <n v="14"/>
    <n v="23"/>
    <n v="2"/>
    <n v="7"/>
    <n v="46"/>
    <n v="18"/>
    <n v="0.39130434782608697"/>
  </r>
  <r>
    <x v="368"/>
    <n v="20"/>
    <s v="Plato_16"/>
    <s v="Descripci√≥n del Plato_16"/>
    <n v="16"/>
    <n v="28"/>
    <n v="2"/>
    <n v="8"/>
    <n v="56"/>
    <n v="24"/>
    <n v="0.42857142857142855"/>
  </r>
  <r>
    <x v="368"/>
    <n v="20"/>
    <s v="Plato_17"/>
    <s v="Descripci√≥n del Plato_17"/>
    <n v="19"/>
    <n v="31"/>
    <n v="2"/>
    <n v="7"/>
    <n v="62"/>
    <n v="24"/>
    <n v="0.38709677419354838"/>
  </r>
  <r>
    <x v="369"/>
    <n v="13"/>
    <s v="Plato_19"/>
    <s v="Descripci√≥n del Plato_19"/>
    <n v="22"/>
    <n v="36"/>
    <n v="2"/>
    <n v="33"/>
    <n v="72"/>
    <n v="28"/>
    <n v="0.3888888888888889"/>
  </r>
  <r>
    <x v="370"/>
    <n v="4"/>
    <s v="Plato_14"/>
    <s v="Descripci√≥n del Plato_14"/>
    <n v="14"/>
    <n v="23"/>
    <n v="2"/>
    <n v="14"/>
    <n v="46"/>
    <n v="18"/>
    <n v="0.39130434782608697"/>
  </r>
  <r>
    <x v="370"/>
    <n v="4"/>
    <s v="Plato_16"/>
    <s v="Descripci√≥n del Plato_16"/>
    <n v="16"/>
    <n v="28"/>
    <n v="2"/>
    <n v="11"/>
    <n v="56"/>
    <n v="24"/>
    <n v="0.42857142857142855"/>
  </r>
  <r>
    <x v="370"/>
    <n v="4"/>
    <s v="Plato_17"/>
    <s v="Descripci√≥n del Plato_17"/>
    <n v="19"/>
    <n v="31"/>
    <n v="2"/>
    <n v="11"/>
    <n v="62"/>
    <n v="24"/>
    <n v="0.38709677419354838"/>
  </r>
  <r>
    <x v="370"/>
    <n v="4"/>
    <s v="Plato_19"/>
    <s v="Descripci√≥n del Plato_19"/>
    <n v="22"/>
    <n v="36"/>
    <n v="1"/>
    <n v="13"/>
    <n v="36"/>
    <n v="14"/>
    <n v="0.3888888888888889"/>
  </r>
  <r>
    <x v="371"/>
    <n v="14"/>
    <s v="Plato_4"/>
    <s v="Descripci√≥n del Plato_4"/>
    <n v="10"/>
    <n v="18"/>
    <n v="2"/>
    <n v="22"/>
    <n v="36"/>
    <n v="16"/>
    <n v="0.44444444444444442"/>
  </r>
  <r>
    <x v="372"/>
    <n v="19"/>
    <s v="Plato_13"/>
    <s v="Descripci√≥n del Plato_13"/>
    <n v="13"/>
    <n v="21"/>
    <n v="1"/>
    <n v="41"/>
    <n v="21"/>
    <n v="8"/>
    <n v="0.38095238095238093"/>
  </r>
  <r>
    <x v="372"/>
    <n v="19"/>
    <s v="Plato_3"/>
    <s v="Descripci√≥n del Plato_3"/>
    <n v="12"/>
    <n v="20"/>
    <n v="3"/>
    <n v="9"/>
    <n v="60"/>
    <n v="24"/>
    <n v="0.4"/>
  </r>
  <r>
    <x v="372"/>
    <n v="19"/>
    <s v="Plato_5"/>
    <s v="Descripci√≥n del Plato_5"/>
    <n v="13"/>
    <n v="22"/>
    <n v="2"/>
    <n v="17"/>
    <n v="44"/>
    <n v="18"/>
    <n v="0.40909090909090912"/>
  </r>
  <r>
    <x v="372"/>
    <n v="19"/>
    <s v="Plato_8"/>
    <s v="Descripci√≥n del Plato_8"/>
    <n v="21"/>
    <n v="35"/>
    <n v="1"/>
    <n v="49"/>
    <n v="35"/>
    <n v="14"/>
    <n v="0.4"/>
  </r>
  <r>
    <x v="373"/>
    <n v="18"/>
    <s v="Plato_8"/>
    <s v="Descripci√≥n del Plato_8"/>
    <n v="21"/>
    <n v="35"/>
    <n v="1"/>
    <n v="9"/>
    <n v="35"/>
    <n v="14"/>
    <n v="0.4"/>
  </r>
  <r>
    <x v="374"/>
    <n v="18"/>
    <s v="Plato_17"/>
    <s v="Descripci√≥n del Plato_17"/>
    <n v="19"/>
    <n v="31"/>
    <n v="3"/>
    <n v="27"/>
    <n v="93"/>
    <n v="36"/>
    <n v="0.38709677419354838"/>
  </r>
  <r>
    <x v="375"/>
    <n v="16"/>
    <s v="Plato_14"/>
    <s v="Descripci√≥n del Plato_14"/>
    <n v="14"/>
    <n v="23"/>
    <n v="2"/>
    <n v="5"/>
    <n v="46"/>
    <n v="18"/>
    <n v="0.39130434782608697"/>
  </r>
  <r>
    <x v="376"/>
    <n v="5"/>
    <s v="Plato_15"/>
    <s v="Descripci√≥n del Plato_15"/>
    <n v="19"/>
    <n v="32"/>
    <n v="1"/>
    <n v="33"/>
    <n v="32"/>
    <n v="13"/>
    <n v="0.40625"/>
  </r>
  <r>
    <x v="376"/>
    <n v="5"/>
    <s v="Plato_18"/>
    <s v="Descripci√≥n del Plato_18"/>
    <n v="20"/>
    <n v="34"/>
    <n v="2"/>
    <n v="13"/>
    <n v="68"/>
    <n v="28"/>
    <n v="0.41176470588235292"/>
  </r>
  <r>
    <x v="377"/>
    <n v="3"/>
    <s v="Plato_12"/>
    <s v="Descripci√≥n del Plato_12"/>
    <n v="11"/>
    <n v="19"/>
    <n v="1"/>
    <n v="7"/>
    <n v="19"/>
    <n v="8"/>
    <n v="0.42105263157894735"/>
  </r>
  <r>
    <x v="377"/>
    <n v="3"/>
    <s v="Plato_2"/>
    <s v="Descripci√≥n del Plato_2"/>
    <n v="18"/>
    <n v="30"/>
    <n v="1"/>
    <n v="14"/>
    <n v="30"/>
    <n v="12"/>
    <n v="0.4"/>
  </r>
  <r>
    <x v="378"/>
    <n v="4"/>
    <s v="Plato_8"/>
    <s v="Descripci√≥n del Plato_8"/>
    <n v="21"/>
    <n v="35"/>
    <n v="2"/>
    <n v="6"/>
    <n v="70"/>
    <n v="28"/>
    <n v="0.4"/>
  </r>
  <r>
    <x v="379"/>
    <n v="5"/>
    <s v="Plato_11"/>
    <s v="Descripci√≥n del Plato_11"/>
    <n v="20"/>
    <n v="33"/>
    <n v="3"/>
    <n v="58"/>
    <n v="99"/>
    <n v="39"/>
    <n v="0.39393939393939392"/>
  </r>
  <r>
    <x v="379"/>
    <n v="5"/>
    <s v="Plato_12"/>
    <s v="Descripci√≥n del Plato_12"/>
    <n v="11"/>
    <n v="19"/>
    <n v="2"/>
    <n v="35"/>
    <n v="38"/>
    <n v="16"/>
    <n v="0.42105263157894735"/>
  </r>
  <r>
    <x v="380"/>
    <n v="4"/>
    <s v="Plato_10"/>
    <s v="Descripci√≥n del Plato_10"/>
    <n v="15"/>
    <n v="26"/>
    <n v="3"/>
    <n v="35"/>
    <n v="78"/>
    <n v="33"/>
    <n v="0.42307692307692307"/>
  </r>
  <r>
    <x v="380"/>
    <n v="4"/>
    <s v="Plato_11"/>
    <s v="Descripci√≥n del Plato_11"/>
    <n v="20"/>
    <n v="33"/>
    <n v="2"/>
    <n v="12"/>
    <n v="66"/>
    <n v="26"/>
    <n v="0.39393939393939392"/>
  </r>
  <r>
    <x v="381"/>
    <n v="20"/>
    <s v="Plato_9"/>
    <s v="Descripci√≥n del Plato_9"/>
    <n v="17"/>
    <n v="29"/>
    <n v="3"/>
    <n v="54"/>
    <n v="87"/>
    <n v="36"/>
    <n v="0.41379310344827586"/>
  </r>
  <r>
    <x v="382"/>
    <n v="6"/>
    <s v="Plato_19"/>
    <s v="Descripci√≥n del Plato_19"/>
    <n v="22"/>
    <n v="36"/>
    <n v="3"/>
    <n v="9"/>
    <n v="108"/>
    <n v="42"/>
    <n v="0.3888888888888889"/>
  </r>
  <r>
    <x v="383"/>
    <n v="1"/>
    <s v="Plato_12"/>
    <s v="Descripci√≥n del Plato_12"/>
    <n v="11"/>
    <n v="19"/>
    <n v="3"/>
    <n v="35"/>
    <n v="57"/>
    <n v="24"/>
    <n v="0.42105263157894735"/>
  </r>
  <r>
    <x v="383"/>
    <n v="1"/>
    <s v="Plato_4"/>
    <s v="Descripci√≥n del Plato_4"/>
    <n v="10"/>
    <n v="18"/>
    <n v="2"/>
    <n v="26"/>
    <n v="36"/>
    <n v="16"/>
    <n v="0.44444444444444442"/>
  </r>
  <r>
    <x v="383"/>
    <n v="1"/>
    <s v="Plato_6"/>
    <s v="Descripci√≥n del Plato_6"/>
    <n v="16"/>
    <n v="27"/>
    <n v="1"/>
    <n v="49"/>
    <n v="27"/>
    <n v="11"/>
    <n v="0.40740740740740738"/>
  </r>
  <r>
    <x v="384"/>
    <n v="6"/>
    <s v="Plato_2"/>
    <s v="Descripci√≥n del Plato_2"/>
    <n v="18"/>
    <n v="30"/>
    <n v="2"/>
    <n v="22"/>
    <n v="60"/>
    <n v="24"/>
    <n v="0.4"/>
  </r>
  <r>
    <x v="385"/>
    <n v="5"/>
    <s v="Plato_11"/>
    <s v="Descripci√≥n del Plato_11"/>
    <n v="20"/>
    <n v="33"/>
    <n v="3"/>
    <n v="40"/>
    <n v="99"/>
    <n v="39"/>
    <n v="0.39393939393939392"/>
  </r>
  <r>
    <x v="386"/>
    <n v="6"/>
    <s v="Plato_17"/>
    <s v="Descripci√≥n del Plato_17"/>
    <n v="19"/>
    <n v="31"/>
    <n v="3"/>
    <n v="18"/>
    <n v="93"/>
    <n v="36"/>
    <n v="0.38709677419354838"/>
  </r>
  <r>
    <x v="387"/>
    <n v="18"/>
    <s v="Plato_11"/>
    <s v="Descripci√≥n del Plato_11"/>
    <n v="20"/>
    <n v="33"/>
    <n v="3"/>
    <n v="51"/>
    <n v="99"/>
    <n v="39"/>
    <n v="0.39393939393939392"/>
  </r>
  <r>
    <x v="387"/>
    <n v="18"/>
    <s v="Plato_17"/>
    <s v="Descripci√≥n del Plato_17"/>
    <n v="19"/>
    <n v="31"/>
    <n v="2"/>
    <n v="52"/>
    <n v="62"/>
    <n v="24"/>
    <n v="0.38709677419354838"/>
  </r>
  <r>
    <x v="387"/>
    <n v="18"/>
    <s v="Plato_19"/>
    <s v="Descripci√≥n del Plato_19"/>
    <n v="22"/>
    <n v="36"/>
    <n v="2"/>
    <n v="37"/>
    <n v="72"/>
    <n v="28"/>
    <n v="0.3888888888888889"/>
  </r>
  <r>
    <x v="387"/>
    <n v="18"/>
    <s v="Plato_9"/>
    <s v="Descripci√≥n del Plato_9"/>
    <n v="17"/>
    <n v="29"/>
    <n v="2"/>
    <n v="31"/>
    <n v="58"/>
    <n v="24"/>
    <n v="0.41379310344827586"/>
  </r>
  <r>
    <x v="388"/>
    <n v="19"/>
    <s v="Plato_11"/>
    <s v="Descripci√≥n del Plato_11"/>
    <n v="20"/>
    <n v="33"/>
    <n v="1"/>
    <n v="24"/>
    <n v="33"/>
    <n v="13"/>
    <n v="0.39393939393939392"/>
  </r>
  <r>
    <x v="389"/>
    <n v="9"/>
    <s v="Plato_10"/>
    <s v="Descripci√≥n del Plato_10"/>
    <n v="15"/>
    <n v="26"/>
    <n v="3"/>
    <n v="13"/>
    <n v="78"/>
    <n v="33"/>
    <n v="0.42307692307692307"/>
  </r>
  <r>
    <x v="389"/>
    <n v="9"/>
    <s v="Plato_13"/>
    <s v="Descripci√≥n del Plato_13"/>
    <n v="13"/>
    <n v="21"/>
    <n v="1"/>
    <n v="28"/>
    <n v="21"/>
    <n v="8"/>
    <n v="0.38095238095238093"/>
  </r>
  <r>
    <x v="389"/>
    <n v="9"/>
    <s v="Plato_5"/>
    <s v="Descripci√≥n del Plato_5"/>
    <n v="13"/>
    <n v="22"/>
    <n v="2"/>
    <n v="52"/>
    <n v="44"/>
    <n v="18"/>
    <n v="0.40909090909090912"/>
  </r>
  <r>
    <x v="390"/>
    <n v="15"/>
    <s v="Plato_5"/>
    <s v="Descripci√≥n del Plato_5"/>
    <n v="13"/>
    <n v="22"/>
    <n v="1"/>
    <n v="35"/>
    <n v="22"/>
    <n v="9"/>
    <n v="0.40909090909090912"/>
  </r>
  <r>
    <x v="391"/>
    <n v="14"/>
    <s v="Plato_15"/>
    <s v="Descripci√≥n del Plato_15"/>
    <n v="19"/>
    <n v="32"/>
    <n v="3"/>
    <n v="17"/>
    <n v="96"/>
    <n v="39"/>
    <n v="0.40625"/>
  </r>
  <r>
    <x v="391"/>
    <n v="14"/>
    <s v="Plato_7"/>
    <s v="Descripci√≥n del Plato_7"/>
    <n v="14"/>
    <n v="24"/>
    <n v="1"/>
    <n v="37"/>
    <n v="24"/>
    <n v="10"/>
    <n v="0.41666666666666669"/>
  </r>
  <r>
    <x v="392"/>
    <n v="13"/>
    <s v="Plato_12"/>
    <s v="Descripci√≥n del Plato_12"/>
    <n v="11"/>
    <n v="19"/>
    <n v="2"/>
    <n v="40"/>
    <n v="38"/>
    <n v="16"/>
    <n v="0.42105263157894735"/>
  </r>
  <r>
    <x v="392"/>
    <n v="13"/>
    <s v="Plato_13"/>
    <s v="Descripci√≥n del Plato_13"/>
    <n v="13"/>
    <n v="21"/>
    <n v="1"/>
    <n v="20"/>
    <n v="21"/>
    <n v="8"/>
    <n v="0.38095238095238093"/>
  </r>
  <r>
    <x v="392"/>
    <n v="13"/>
    <s v="Plato_5"/>
    <s v="Descripci√≥n del Plato_5"/>
    <n v="13"/>
    <n v="22"/>
    <n v="2"/>
    <n v="26"/>
    <n v="44"/>
    <n v="18"/>
    <n v="0.40909090909090912"/>
  </r>
  <r>
    <x v="392"/>
    <n v="13"/>
    <s v="Plato_8"/>
    <s v="Descripci√≥n del Plato_8"/>
    <n v="21"/>
    <n v="35"/>
    <n v="3"/>
    <n v="23"/>
    <n v="105"/>
    <n v="42"/>
    <n v="0.4"/>
  </r>
  <r>
    <x v="393"/>
    <n v="17"/>
    <s v="Plato_7"/>
    <s v="Descripci√≥n del Plato_7"/>
    <n v="14"/>
    <n v="24"/>
    <n v="2"/>
    <n v="5"/>
    <n v="48"/>
    <n v="20"/>
    <n v="0.41666666666666669"/>
  </r>
  <r>
    <x v="393"/>
    <n v="17"/>
    <s v="Plato_9"/>
    <s v="Descripci√≥n del Plato_9"/>
    <n v="17"/>
    <n v="29"/>
    <n v="1"/>
    <n v="42"/>
    <n v="29"/>
    <n v="12"/>
    <n v="0.41379310344827586"/>
  </r>
  <r>
    <x v="394"/>
    <n v="2"/>
    <s v="Plato_12"/>
    <s v="Descripci√≥n del Plato_12"/>
    <n v="11"/>
    <n v="19"/>
    <n v="2"/>
    <n v="8"/>
    <n v="38"/>
    <n v="16"/>
    <n v="0.42105263157894735"/>
  </r>
  <r>
    <x v="395"/>
    <n v="11"/>
    <s v="Plato_13"/>
    <s v="Descripci√≥n del Plato_13"/>
    <n v="13"/>
    <n v="21"/>
    <n v="3"/>
    <n v="26"/>
    <n v="63"/>
    <n v="24"/>
    <n v="0.38095238095238093"/>
  </r>
  <r>
    <x v="395"/>
    <n v="11"/>
    <s v="Plato_3"/>
    <s v="Descripci√≥n del Plato_3"/>
    <n v="12"/>
    <n v="20"/>
    <n v="1"/>
    <n v="31"/>
    <n v="20"/>
    <n v="8"/>
    <n v="0.4"/>
  </r>
  <r>
    <x v="396"/>
    <n v="4"/>
    <s v="Plato_17"/>
    <s v="Descripci√≥n del Plato_17"/>
    <n v="19"/>
    <n v="31"/>
    <n v="3"/>
    <n v="59"/>
    <n v="93"/>
    <n v="36"/>
    <n v="0.38709677419354838"/>
  </r>
  <r>
    <x v="396"/>
    <n v="4"/>
    <s v="Plato_6"/>
    <s v="Descripci√≥n del Plato_6"/>
    <n v="16"/>
    <n v="27"/>
    <n v="2"/>
    <n v="10"/>
    <n v="54"/>
    <n v="22"/>
    <n v="0.40740740740740738"/>
  </r>
  <r>
    <x v="397"/>
    <n v="9"/>
    <s v="Plato_11"/>
    <s v="Descripci√≥n del Plato_11"/>
    <n v="20"/>
    <n v="33"/>
    <n v="2"/>
    <n v="21"/>
    <n v="66"/>
    <n v="26"/>
    <n v="0.39393939393939392"/>
  </r>
  <r>
    <x v="397"/>
    <n v="9"/>
    <s v="Plato_16"/>
    <s v="Descripci√≥n del Plato_16"/>
    <n v="16"/>
    <n v="28"/>
    <n v="2"/>
    <n v="50"/>
    <n v="56"/>
    <n v="24"/>
    <n v="0.42857142857142855"/>
  </r>
  <r>
    <x v="398"/>
    <n v="7"/>
    <s v="Plato_11"/>
    <s v="Descripci√≥n del Plato_11"/>
    <n v="20"/>
    <n v="33"/>
    <n v="3"/>
    <n v="45"/>
    <n v="99"/>
    <n v="39"/>
    <n v="0.39393939393939392"/>
  </r>
  <r>
    <x v="398"/>
    <n v="7"/>
    <s v="Plato_19"/>
    <s v="Descripci√≥n del Plato_19"/>
    <n v="22"/>
    <n v="36"/>
    <n v="3"/>
    <n v="46"/>
    <n v="108"/>
    <n v="42"/>
    <n v="0.3888888888888889"/>
  </r>
  <r>
    <x v="399"/>
    <n v="9"/>
    <s v="Plato_16"/>
    <s v="Descripci√≥n del Plato_16"/>
    <n v="16"/>
    <n v="28"/>
    <n v="2"/>
    <n v="13"/>
    <n v="56"/>
    <n v="24"/>
    <n v="0.42857142857142855"/>
  </r>
  <r>
    <x v="399"/>
    <n v="9"/>
    <s v="Plato_17"/>
    <s v="Descripci√≥n del Plato_17"/>
    <n v="19"/>
    <n v="31"/>
    <n v="2"/>
    <n v="38"/>
    <n v="62"/>
    <n v="24"/>
    <n v="0.38709677419354838"/>
  </r>
  <r>
    <x v="399"/>
    <n v="9"/>
    <s v="Plato_20"/>
    <s v="Descripci√≥n del Plato_20"/>
    <n v="25"/>
    <n v="40"/>
    <n v="2"/>
    <n v="28"/>
    <n v="80"/>
    <n v="30"/>
    <n v="0.375"/>
  </r>
  <r>
    <x v="400"/>
    <n v="16"/>
    <s v="Plato_13"/>
    <s v="Descripci√≥n del Plato_13"/>
    <n v="13"/>
    <n v="21"/>
    <n v="2"/>
    <n v="20"/>
    <n v="42"/>
    <n v="16"/>
    <n v="0.38095238095238093"/>
  </r>
  <r>
    <x v="401"/>
    <n v="18"/>
    <s v="Plato_1"/>
    <s v="Descripci√≥n del Plato_1"/>
    <n v="15"/>
    <n v="25"/>
    <n v="2"/>
    <n v="16"/>
    <n v="50"/>
    <n v="20"/>
    <n v="0.4"/>
  </r>
  <r>
    <x v="401"/>
    <n v="18"/>
    <s v="Plato_12"/>
    <s v="Descripci√≥n del Plato_12"/>
    <n v="11"/>
    <n v="19"/>
    <n v="3"/>
    <n v="29"/>
    <n v="57"/>
    <n v="24"/>
    <n v="0.42105263157894735"/>
  </r>
  <r>
    <x v="401"/>
    <n v="18"/>
    <s v="Plato_5"/>
    <s v="Descripci√≥n del Plato_5"/>
    <n v="13"/>
    <n v="22"/>
    <n v="2"/>
    <n v="21"/>
    <n v="44"/>
    <n v="18"/>
    <n v="0.40909090909090912"/>
  </r>
  <r>
    <x v="402"/>
    <n v="14"/>
    <s v="Plato_15"/>
    <s v="Descripci√≥n del Plato_15"/>
    <n v="19"/>
    <n v="32"/>
    <n v="2"/>
    <n v="8"/>
    <n v="64"/>
    <n v="26"/>
    <n v="0.40625"/>
  </r>
  <r>
    <x v="402"/>
    <n v="14"/>
    <s v="Plato_4"/>
    <s v="Descripci√≥n del Plato_4"/>
    <n v="10"/>
    <n v="18"/>
    <n v="2"/>
    <n v="5"/>
    <n v="36"/>
    <n v="16"/>
    <n v="0.44444444444444442"/>
  </r>
  <r>
    <x v="402"/>
    <n v="14"/>
    <s v="Plato_5"/>
    <s v="Descripci√≥n del Plato_5"/>
    <n v="13"/>
    <n v="22"/>
    <n v="3"/>
    <n v="17"/>
    <n v="66"/>
    <n v="27"/>
    <n v="0.40909090909090912"/>
  </r>
  <r>
    <x v="402"/>
    <n v="14"/>
    <s v="Plato_7"/>
    <s v="Descripci√≥n del Plato_7"/>
    <n v="14"/>
    <n v="24"/>
    <n v="1"/>
    <n v="55"/>
    <n v="24"/>
    <n v="10"/>
    <n v="0.41666666666666669"/>
  </r>
  <r>
    <x v="403"/>
    <n v="17"/>
    <s v="Plato_13"/>
    <s v="Descripci√≥n del Plato_13"/>
    <n v="13"/>
    <n v="21"/>
    <n v="2"/>
    <n v="20"/>
    <n v="42"/>
    <n v="16"/>
    <n v="0.38095238095238093"/>
  </r>
  <r>
    <x v="403"/>
    <n v="17"/>
    <s v="Plato_20"/>
    <s v="Descripci√≥n del Plato_20"/>
    <n v="25"/>
    <n v="40"/>
    <n v="3"/>
    <n v="29"/>
    <n v="120"/>
    <n v="45"/>
    <n v="0.375"/>
  </r>
  <r>
    <x v="403"/>
    <n v="17"/>
    <s v="Plato_3"/>
    <s v="Descripci√≥n del Plato_3"/>
    <n v="12"/>
    <n v="20"/>
    <n v="1"/>
    <n v="53"/>
    <n v="20"/>
    <n v="8"/>
    <n v="0.4"/>
  </r>
  <r>
    <x v="404"/>
    <n v="5"/>
    <s v="Plato_10"/>
    <s v="Descripci√≥n del Plato_10"/>
    <n v="15"/>
    <n v="26"/>
    <n v="1"/>
    <n v="41"/>
    <n v="26"/>
    <n v="11"/>
    <n v="0.42307692307692307"/>
  </r>
  <r>
    <x v="404"/>
    <n v="5"/>
    <s v="Plato_20"/>
    <s v="Descripci√≥n del Plato_20"/>
    <n v="25"/>
    <n v="40"/>
    <n v="1"/>
    <n v="44"/>
    <n v="40"/>
    <n v="15"/>
    <n v="0.375"/>
  </r>
  <r>
    <x v="404"/>
    <n v="5"/>
    <s v="Plato_3"/>
    <s v="Descripci√≥n del Plato_3"/>
    <n v="12"/>
    <n v="20"/>
    <n v="2"/>
    <n v="13"/>
    <n v="40"/>
    <n v="16"/>
    <n v="0.4"/>
  </r>
  <r>
    <x v="405"/>
    <n v="14"/>
    <s v="Plato_1"/>
    <s v="Descripci√≥n del Plato_1"/>
    <n v="15"/>
    <n v="25"/>
    <n v="1"/>
    <n v="55"/>
    <n v="25"/>
    <n v="10"/>
    <n v="0.4"/>
  </r>
  <r>
    <x v="405"/>
    <n v="14"/>
    <s v="Plato_3"/>
    <s v="Descripci√≥n del Plato_3"/>
    <n v="12"/>
    <n v="20"/>
    <n v="3"/>
    <n v="6"/>
    <n v="60"/>
    <n v="24"/>
    <n v="0.4"/>
  </r>
  <r>
    <x v="405"/>
    <n v="14"/>
    <s v="Plato_8"/>
    <s v="Descripci√≥n del Plato_8"/>
    <n v="21"/>
    <n v="35"/>
    <n v="2"/>
    <n v="56"/>
    <n v="70"/>
    <n v="28"/>
    <n v="0.4"/>
  </r>
  <r>
    <x v="406"/>
    <n v="4"/>
    <s v="Plato_3"/>
    <s v="Descripci√≥n del Plato_3"/>
    <n v="12"/>
    <n v="20"/>
    <n v="3"/>
    <n v="32"/>
    <n v="60"/>
    <n v="24"/>
    <n v="0.4"/>
  </r>
  <r>
    <x v="406"/>
    <n v="4"/>
    <s v="Plato_8"/>
    <s v="Descripci√≥n del Plato_8"/>
    <n v="21"/>
    <n v="35"/>
    <n v="1"/>
    <n v="18"/>
    <n v="35"/>
    <n v="14"/>
    <n v="0.4"/>
  </r>
  <r>
    <x v="407"/>
    <n v="17"/>
    <s v="Plato_1"/>
    <s v="Descripci√≥n del Plato_1"/>
    <n v="15"/>
    <n v="25"/>
    <n v="1"/>
    <n v="58"/>
    <n v="25"/>
    <n v="10"/>
    <n v="0.4"/>
  </r>
  <r>
    <x v="407"/>
    <n v="17"/>
    <s v="Plato_18"/>
    <s v="Descripci√≥n del Plato_18"/>
    <n v="20"/>
    <n v="34"/>
    <n v="1"/>
    <n v="37"/>
    <n v="34"/>
    <n v="14"/>
    <n v="0.41176470588235292"/>
  </r>
  <r>
    <x v="407"/>
    <n v="17"/>
    <s v="Plato_7"/>
    <s v="Descripci√≥n del Plato_7"/>
    <n v="14"/>
    <n v="24"/>
    <n v="3"/>
    <n v="11"/>
    <n v="72"/>
    <n v="30"/>
    <n v="0.41666666666666669"/>
  </r>
  <r>
    <x v="408"/>
    <n v="15"/>
    <s v="Plato_13"/>
    <s v="Descripci√≥n del Plato_13"/>
    <n v="13"/>
    <n v="21"/>
    <n v="3"/>
    <n v="44"/>
    <n v="63"/>
    <n v="24"/>
    <n v="0.38095238095238093"/>
  </r>
  <r>
    <x v="408"/>
    <n v="15"/>
    <s v="Plato_16"/>
    <s v="Descripci√≥n del Plato_16"/>
    <n v="16"/>
    <n v="28"/>
    <n v="1"/>
    <n v="47"/>
    <n v="28"/>
    <n v="12"/>
    <n v="0.42857142857142855"/>
  </r>
  <r>
    <x v="408"/>
    <n v="15"/>
    <s v="Plato_20"/>
    <s v="Descripci√≥n del Plato_20"/>
    <n v="25"/>
    <n v="40"/>
    <n v="1"/>
    <n v="43"/>
    <n v="40"/>
    <n v="15"/>
    <n v="0.375"/>
  </r>
  <r>
    <x v="408"/>
    <n v="15"/>
    <s v="Plato_7"/>
    <s v="Descripci√≥n del Plato_7"/>
    <n v="14"/>
    <n v="24"/>
    <n v="3"/>
    <n v="29"/>
    <n v="72"/>
    <n v="30"/>
    <n v="0.41666666666666669"/>
  </r>
  <r>
    <x v="409"/>
    <n v="1"/>
    <s v="Plato_19"/>
    <s v="Descripci√≥n del Plato_19"/>
    <n v="22"/>
    <n v="36"/>
    <n v="1"/>
    <n v="41"/>
    <n v="36"/>
    <n v="14"/>
    <n v="0.3888888888888889"/>
  </r>
  <r>
    <x v="409"/>
    <n v="1"/>
    <s v="Plato_3"/>
    <s v="Descripci√≥n del Plato_3"/>
    <n v="12"/>
    <n v="20"/>
    <n v="1"/>
    <n v="50"/>
    <n v="20"/>
    <n v="8"/>
    <n v="0.4"/>
  </r>
  <r>
    <x v="410"/>
    <n v="3"/>
    <s v="Plato_20"/>
    <s v="Descripci√≥n del Plato_20"/>
    <n v="25"/>
    <n v="40"/>
    <n v="3"/>
    <n v="36"/>
    <n v="120"/>
    <n v="45"/>
    <n v="0.375"/>
  </r>
  <r>
    <x v="410"/>
    <n v="3"/>
    <s v="Plato_4"/>
    <s v="Descripci√≥n del Plato_4"/>
    <n v="10"/>
    <n v="18"/>
    <n v="1"/>
    <n v="33"/>
    <n v="18"/>
    <n v="8"/>
    <n v="0.44444444444444442"/>
  </r>
  <r>
    <x v="410"/>
    <n v="3"/>
    <s v="Plato_6"/>
    <s v="Descripci√≥n del Plato_6"/>
    <n v="16"/>
    <n v="27"/>
    <n v="3"/>
    <n v="9"/>
    <n v="81"/>
    <n v="33"/>
    <n v="0.40740740740740738"/>
  </r>
  <r>
    <x v="411"/>
    <n v="11"/>
    <s v="Plato_17"/>
    <s v="Descripci√≥n del Plato_17"/>
    <n v="19"/>
    <n v="31"/>
    <n v="3"/>
    <n v="57"/>
    <n v="93"/>
    <n v="36"/>
    <n v="0.38709677419354838"/>
  </r>
  <r>
    <x v="412"/>
    <n v="13"/>
    <s v="Plato_8"/>
    <s v="Descripci√≥n del Plato_8"/>
    <n v="21"/>
    <n v="35"/>
    <n v="1"/>
    <n v="12"/>
    <n v="35"/>
    <n v="14"/>
    <n v="0.4"/>
  </r>
  <r>
    <x v="413"/>
    <n v="14"/>
    <s v="Plato_11"/>
    <s v="Descripci√≥n del Plato_11"/>
    <n v="20"/>
    <n v="33"/>
    <n v="1"/>
    <n v="38"/>
    <n v="33"/>
    <n v="13"/>
    <n v="0.39393939393939392"/>
  </r>
  <r>
    <x v="414"/>
    <n v="14"/>
    <s v="Plato_18"/>
    <s v="Descripci√≥n del Plato_18"/>
    <n v="20"/>
    <n v="34"/>
    <n v="2"/>
    <n v="16"/>
    <n v="68"/>
    <n v="28"/>
    <n v="0.41176470588235292"/>
  </r>
  <r>
    <x v="414"/>
    <n v="14"/>
    <s v="Plato_19"/>
    <s v="Descripci√≥n del Plato_19"/>
    <n v="22"/>
    <n v="36"/>
    <n v="1"/>
    <n v="39"/>
    <n v="36"/>
    <n v="14"/>
    <n v="0.3888888888888889"/>
  </r>
  <r>
    <x v="414"/>
    <n v="14"/>
    <s v="Plato_6"/>
    <s v="Descripci√≥n del Plato_6"/>
    <n v="16"/>
    <n v="27"/>
    <n v="2"/>
    <n v="32"/>
    <n v="54"/>
    <n v="22"/>
    <n v="0.40740740740740738"/>
  </r>
  <r>
    <x v="415"/>
    <n v="20"/>
    <s v="Plato_1"/>
    <s v="Descripci√≥n del Plato_1"/>
    <n v="15"/>
    <n v="25"/>
    <n v="1"/>
    <n v="9"/>
    <n v="25"/>
    <n v="10"/>
    <n v="0.4"/>
  </r>
  <r>
    <x v="416"/>
    <n v="7"/>
    <s v="Plato_12"/>
    <s v="Descripci√≥n del Plato_12"/>
    <n v="11"/>
    <n v="19"/>
    <n v="1"/>
    <n v="16"/>
    <n v="19"/>
    <n v="8"/>
    <n v="0.42105263157894735"/>
  </r>
  <r>
    <x v="416"/>
    <n v="7"/>
    <s v="Plato_20"/>
    <s v="Descripci√≥n del Plato_20"/>
    <n v="25"/>
    <n v="40"/>
    <n v="1"/>
    <n v="17"/>
    <n v="40"/>
    <n v="15"/>
    <n v="0.375"/>
  </r>
  <r>
    <x v="416"/>
    <n v="7"/>
    <s v="Plato_6"/>
    <s v="Descripci√≥n del Plato_6"/>
    <n v="16"/>
    <n v="27"/>
    <n v="2"/>
    <n v="34"/>
    <n v="54"/>
    <n v="22"/>
    <n v="0.40740740740740738"/>
  </r>
  <r>
    <x v="416"/>
    <n v="7"/>
    <s v="Plato_9"/>
    <s v="Descripci√≥n del Plato_9"/>
    <n v="17"/>
    <n v="29"/>
    <n v="1"/>
    <n v="23"/>
    <n v="29"/>
    <n v="12"/>
    <n v="0.41379310344827586"/>
  </r>
  <r>
    <x v="417"/>
    <n v="17"/>
    <s v="Plato_1"/>
    <s v="Descripci√≥n del Plato_1"/>
    <n v="15"/>
    <n v="25"/>
    <n v="1"/>
    <n v="45"/>
    <n v="25"/>
    <n v="10"/>
    <n v="0.4"/>
  </r>
  <r>
    <x v="417"/>
    <n v="17"/>
    <s v="Plato_17"/>
    <s v="Descripci√≥n del Plato_17"/>
    <n v="19"/>
    <n v="31"/>
    <n v="3"/>
    <n v="55"/>
    <n v="93"/>
    <n v="36"/>
    <n v="0.38709677419354838"/>
  </r>
  <r>
    <x v="418"/>
    <n v="11"/>
    <s v="Plato_11"/>
    <s v="Descripci√≥n del Plato_11"/>
    <n v="20"/>
    <n v="33"/>
    <n v="1"/>
    <n v="57"/>
    <n v="33"/>
    <n v="13"/>
    <n v="0.39393939393939392"/>
  </r>
  <r>
    <x v="418"/>
    <n v="11"/>
    <s v="Plato_18"/>
    <s v="Descripci√≥n del Plato_18"/>
    <n v="20"/>
    <n v="34"/>
    <n v="1"/>
    <n v="7"/>
    <n v="34"/>
    <n v="14"/>
    <n v="0.41176470588235292"/>
  </r>
  <r>
    <x v="419"/>
    <n v="18"/>
    <s v="Plato_1"/>
    <s v="Descripci√≥n del Plato_1"/>
    <n v="15"/>
    <n v="25"/>
    <n v="2"/>
    <n v="28"/>
    <n v="50"/>
    <n v="20"/>
    <n v="0.4"/>
  </r>
  <r>
    <x v="419"/>
    <n v="18"/>
    <s v="Plato_15"/>
    <s v="Descripci√≥n del Plato_15"/>
    <n v="19"/>
    <n v="32"/>
    <n v="2"/>
    <n v="34"/>
    <n v="64"/>
    <n v="26"/>
    <n v="0.40625"/>
  </r>
  <r>
    <x v="419"/>
    <n v="18"/>
    <s v="Plato_18"/>
    <s v="Descripci√≥n del Plato_18"/>
    <n v="20"/>
    <n v="34"/>
    <n v="2"/>
    <n v="33"/>
    <n v="68"/>
    <n v="28"/>
    <n v="0.41176470588235292"/>
  </r>
  <r>
    <x v="419"/>
    <n v="18"/>
    <s v="Plato_3"/>
    <s v="Descripci√≥n del Plato_3"/>
    <n v="12"/>
    <n v="20"/>
    <n v="3"/>
    <n v="10"/>
    <n v="60"/>
    <n v="24"/>
    <n v="0.4"/>
  </r>
  <r>
    <x v="420"/>
    <n v="10"/>
    <s v="Plato_17"/>
    <s v="Descripci√≥n del Plato_17"/>
    <n v="19"/>
    <n v="31"/>
    <n v="1"/>
    <n v="18"/>
    <n v="31"/>
    <n v="12"/>
    <n v="0.38709677419354838"/>
  </r>
  <r>
    <x v="420"/>
    <n v="10"/>
    <s v="Plato_4"/>
    <s v="Descripci√≥n del Plato_4"/>
    <n v="10"/>
    <n v="18"/>
    <n v="3"/>
    <n v="53"/>
    <n v="54"/>
    <n v="24"/>
    <n v="0.44444444444444442"/>
  </r>
  <r>
    <x v="421"/>
    <n v="12"/>
    <s v="Plato_10"/>
    <s v="Descripci√≥n del Plato_10"/>
    <n v="15"/>
    <n v="26"/>
    <n v="2"/>
    <n v="7"/>
    <n v="52"/>
    <n v="22"/>
    <n v="0.42307692307692307"/>
  </r>
  <r>
    <x v="421"/>
    <n v="12"/>
    <s v="Plato_19"/>
    <s v="Descripci√≥n del Plato_19"/>
    <n v="22"/>
    <n v="36"/>
    <n v="1"/>
    <n v="27"/>
    <n v="36"/>
    <n v="14"/>
    <n v="0.3888888888888889"/>
  </r>
  <r>
    <x v="422"/>
    <n v="4"/>
    <s v="Plato_15"/>
    <s v="Descripci√≥n del Plato_15"/>
    <n v="19"/>
    <n v="32"/>
    <n v="3"/>
    <n v="7"/>
    <n v="96"/>
    <n v="39"/>
    <n v="0.40625"/>
  </r>
  <r>
    <x v="422"/>
    <n v="4"/>
    <s v="Plato_16"/>
    <s v="Descripci√≥n del Plato_16"/>
    <n v="16"/>
    <n v="28"/>
    <n v="2"/>
    <n v="24"/>
    <n v="56"/>
    <n v="24"/>
    <n v="0.42857142857142855"/>
  </r>
  <r>
    <x v="423"/>
    <n v="13"/>
    <s v="Plato_5"/>
    <s v="Descripci√≥n del Plato_5"/>
    <n v="13"/>
    <n v="22"/>
    <n v="3"/>
    <n v="43"/>
    <n v="66"/>
    <n v="27"/>
    <n v="0.40909090909090912"/>
  </r>
  <r>
    <x v="423"/>
    <n v="13"/>
    <s v="Plato_6"/>
    <s v="Descripci√≥n del Plato_6"/>
    <n v="16"/>
    <n v="27"/>
    <n v="3"/>
    <n v="45"/>
    <n v="81"/>
    <n v="33"/>
    <n v="0.40740740740740738"/>
  </r>
  <r>
    <x v="424"/>
    <n v="18"/>
    <s v="Plato_12"/>
    <s v="Descripci√≥n del Plato_12"/>
    <n v="11"/>
    <n v="19"/>
    <n v="1"/>
    <n v="28"/>
    <n v="19"/>
    <n v="8"/>
    <n v="0.42105263157894735"/>
  </r>
  <r>
    <x v="425"/>
    <n v="5"/>
    <s v="Plato_1"/>
    <s v="Descripci√≥n del Plato_1"/>
    <n v="15"/>
    <n v="25"/>
    <n v="2"/>
    <n v="23"/>
    <n v="50"/>
    <n v="20"/>
    <n v="0.4"/>
  </r>
  <r>
    <x v="425"/>
    <n v="5"/>
    <s v="Plato_11"/>
    <s v="Descripci√≥n del Plato_11"/>
    <n v="20"/>
    <n v="33"/>
    <n v="1"/>
    <n v="8"/>
    <n v="33"/>
    <n v="13"/>
    <n v="0.39393939393939392"/>
  </r>
  <r>
    <x v="425"/>
    <n v="5"/>
    <s v="Plato_16"/>
    <s v="Descripci√≥n del Plato_16"/>
    <n v="16"/>
    <n v="28"/>
    <n v="2"/>
    <n v="38"/>
    <n v="56"/>
    <n v="24"/>
    <n v="0.42857142857142855"/>
  </r>
  <r>
    <x v="425"/>
    <n v="5"/>
    <s v="Plato_19"/>
    <s v="Descripci√≥n del Plato_19"/>
    <n v="22"/>
    <n v="36"/>
    <n v="3"/>
    <n v="47"/>
    <n v="108"/>
    <n v="42"/>
    <n v="0.3888888888888889"/>
  </r>
  <r>
    <x v="426"/>
    <n v="2"/>
    <s v="Plato_1"/>
    <s v="Descripci√≥n del Plato_1"/>
    <n v="15"/>
    <n v="25"/>
    <n v="3"/>
    <n v="34"/>
    <n v="75"/>
    <n v="30"/>
    <n v="0.4"/>
  </r>
  <r>
    <x v="426"/>
    <n v="2"/>
    <s v="Plato_12"/>
    <s v="Descripci√≥n del Plato_12"/>
    <n v="11"/>
    <n v="19"/>
    <n v="2"/>
    <n v="56"/>
    <n v="38"/>
    <n v="16"/>
    <n v="0.42105263157894735"/>
  </r>
  <r>
    <x v="426"/>
    <n v="2"/>
    <s v="Plato_14"/>
    <s v="Descripci√≥n del Plato_14"/>
    <n v="14"/>
    <n v="23"/>
    <n v="1"/>
    <n v="24"/>
    <n v="23"/>
    <n v="9"/>
    <n v="0.39130434782608697"/>
  </r>
  <r>
    <x v="426"/>
    <n v="2"/>
    <s v="Plato_8"/>
    <s v="Descripci√≥n del Plato_8"/>
    <n v="21"/>
    <n v="35"/>
    <n v="2"/>
    <n v="52"/>
    <n v="70"/>
    <n v="28"/>
    <n v="0.4"/>
  </r>
  <r>
    <x v="427"/>
    <n v="7"/>
    <s v="Plato_1"/>
    <s v="Descripci√≥n del Plato_1"/>
    <n v="15"/>
    <n v="25"/>
    <n v="2"/>
    <n v="48"/>
    <n v="50"/>
    <n v="20"/>
    <n v="0.4"/>
  </r>
  <r>
    <x v="427"/>
    <n v="7"/>
    <s v="Plato_14"/>
    <s v="Descripci√≥n del Plato_14"/>
    <n v="14"/>
    <n v="23"/>
    <n v="1"/>
    <n v="46"/>
    <n v="23"/>
    <n v="9"/>
    <n v="0.39130434782608697"/>
  </r>
  <r>
    <x v="427"/>
    <n v="7"/>
    <s v="Plato_17"/>
    <s v="Descripci√≥n del Plato_17"/>
    <n v="19"/>
    <n v="31"/>
    <n v="2"/>
    <n v="47"/>
    <n v="62"/>
    <n v="24"/>
    <n v="0.38709677419354838"/>
  </r>
  <r>
    <x v="427"/>
    <n v="7"/>
    <s v="Plato_20"/>
    <s v="Descripci√≥n del Plato_20"/>
    <n v="25"/>
    <n v="40"/>
    <n v="1"/>
    <n v="38"/>
    <n v="40"/>
    <n v="15"/>
    <n v="0.375"/>
  </r>
  <r>
    <x v="428"/>
    <n v="8"/>
    <s v="Plato_10"/>
    <s v="Descripci√≥n del Plato_10"/>
    <n v="15"/>
    <n v="26"/>
    <n v="3"/>
    <n v="27"/>
    <n v="78"/>
    <n v="33"/>
    <n v="0.42307692307692307"/>
  </r>
  <r>
    <x v="429"/>
    <n v="7"/>
    <s v="Plato_1"/>
    <s v="Descripci√≥n del Plato_1"/>
    <n v="15"/>
    <n v="25"/>
    <n v="1"/>
    <n v="49"/>
    <n v="25"/>
    <n v="10"/>
    <n v="0.4"/>
  </r>
  <r>
    <x v="430"/>
    <n v="15"/>
    <s v="Plato_2"/>
    <s v="Descripci√≥n del Plato_2"/>
    <n v="18"/>
    <n v="30"/>
    <n v="2"/>
    <n v="20"/>
    <n v="60"/>
    <n v="24"/>
    <n v="0.4"/>
  </r>
  <r>
    <x v="431"/>
    <n v="10"/>
    <s v="Plato_13"/>
    <s v="Descripci√≥n del Plato_13"/>
    <n v="13"/>
    <n v="21"/>
    <n v="1"/>
    <n v="27"/>
    <n v="21"/>
    <n v="8"/>
    <n v="0.38095238095238093"/>
  </r>
  <r>
    <x v="431"/>
    <n v="10"/>
    <s v="Plato_16"/>
    <s v="Descripci√≥n del Plato_16"/>
    <n v="16"/>
    <n v="28"/>
    <n v="1"/>
    <n v="31"/>
    <n v="28"/>
    <n v="12"/>
    <n v="0.42857142857142855"/>
  </r>
  <r>
    <x v="431"/>
    <n v="10"/>
    <s v="Plato_3"/>
    <s v="Descripci√≥n del Plato_3"/>
    <n v="12"/>
    <n v="20"/>
    <n v="3"/>
    <n v="16"/>
    <n v="60"/>
    <n v="24"/>
    <n v="0.4"/>
  </r>
  <r>
    <x v="432"/>
    <n v="10"/>
    <s v="Plato_2"/>
    <s v="Descripci√≥n del Plato_2"/>
    <n v="18"/>
    <n v="30"/>
    <n v="1"/>
    <n v="56"/>
    <n v="30"/>
    <n v="12"/>
    <n v="0.4"/>
  </r>
  <r>
    <x v="432"/>
    <n v="10"/>
    <s v="Plato_7"/>
    <s v="Descripci√≥n del Plato_7"/>
    <n v="14"/>
    <n v="24"/>
    <n v="3"/>
    <n v="18"/>
    <n v="72"/>
    <n v="30"/>
    <n v="0.41666666666666669"/>
  </r>
  <r>
    <x v="433"/>
    <n v="15"/>
    <s v="Plato_10"/>
    <s v="Descripci√≥n del Plato_10"/>
    <n v="15"/>
    <n v="26"/>
    <n v="2"/>
    <n v="26"/>
    <n v="52"/>
    <n v="22"/>
    <n v="0.42307692307692307"/>
  </r>
  <r>
    <x v="433"/>
    <n v="15"/>
    <s v="Plato_5"/>
    <s v="Descripci√≥n del Plato_5"/>
    <n v="13"/>
    <n v="22"/>
    <n v="2"/>
    <n v="32"/>
    <n v="44"/>
    <n v="18"/>
    <n v="0.40909090909090912"/>
  </r>
  <r>
    <x v="434"/>
    <n v="17"/>
    <s v="Plato_10"/>
    <s v="Descripci√≥n del Plato_10"/>
    <n v="15"/>
    <n v="26"/>
    <n v="2"/>
    <n v="14"/>
    <n v="52"/>
    <n v="22"/>
    <n v="0.42307692307692307"/>
  </r>
  <r>
    <x v="434"/>
    <n v="17"/>
    <s v="Plato_13"/>
    <s v="Descripci√≥n del Plato_13"/>
    <n v="13"/>
    <n v="21"/>
    <n v="2"/>
    <n v="42"/>
    <n v="42"/>
    <n v="16"/>
    <n v="0.38095238095238093"/>
  </r>
  <r>
    <x v="434"/>
    <n v="17"/>
    <s v="Plato_2"/>
    <s v="Descripci√≥n del Plato_2"/>
    <n v="18"/>
    <n v="30"/>
    <n v="2"/>
    <n v="55"/>
    <n v="60"/>
    <n v="24"/>
    <n v="0.4"/>
  </r>
  <r>
    <x v="435"/>
    <n v="10"/>
    <s v="Plato_16"/>
    <s v="Descripci√≥n del Plato_16"/>
    <n v="16"/>
    <n v="28"/>
    <n v="2"/>
    <n v="45"/>
    <n v="56"/>
    <n v="24"/>
    <n v="0.42857142857142855"/>
  </r>
  <r>
    <x v="436"/>
    <n v="16"/>
    <s v="Plato_8"/>
    <s v="Descripci√≥n del Plato_8"/>
    <n v="21"/>
    <n v="35"/>
    <n v="2"/>
    <n v="51"/>
    <n v="70"/>
    <n v="28"/>
    <n v="0.4"/>
  </r>
  <r>
    <x v="437"/>
    <n v="2"/>
    <s v="Plato_11"/>
    <s v="Descripci√≥n del Plato_11"/>
    <n v="20"/>
    <n v="33"/>
    <n v="1"/>
    <n v="51"/>
    <n v="33"/>
    <n v="13"/>
    <n v="0.39393939393939392"/>
  </r>
  <r>
    <x v="438"/>
    <n v="15"/>
    <s v="Plato_10"/>
    <s v="Descripci√≥n del Plato_10"/>
    <n v="15"/>
    <n v="26"/>
    <n v="3"/>
    <n v="29"/>
    <n v="78"/>
    <n v="33"/>
    <n v="0.42307692307692307"/>
  </r>
  <r>
    <x v="438"/>
    <n v="15"/>
    <s v="Plato_11"/>
    <s v="Descripci√≥n del Plato_11"/>
    <n v="20"/>
    <n v="33"/>
    <n v="3"/>
    <n v="35"/>
    <n v="99"/>
    <n v="39"/>
    <n v="0.39393939393939392"/>
  </r>
  <r>
    <x v="439"/>
    <n v="13"/>
    <s v="Plato_12"/>
    <s v="Descripci√≥n del Plato_12"/>
    <n v="11"/>
    <n v="19"/>
    <n v="2"/>
    <n v="9"/>
    <n v="38"/>
    <n v="16"/>
    <n v="0.42105263157894735"/>
  </r>
  <r>
    <x v="439"/>
    <n v="13"/>
    <s v="Plato_14"/>
    <s v="Descripci√≥n del Plato_14"/>
    <n v="14"/>
    <n v="23"/>
    <n v="2"/>
    <n v="36"/>
    <n v="46"/>
    <n v="18"/>
    <n v="0.39130434782608697"/>
  </r>
  <r>
    <x v="440"/>
    <n v="13"/>
    <s v="Plato_10"/>
    <s v="Descripci√≥n del Plato_10"/>
    <n v="15"/>
    <n v="26"/>
    <n v="3"/>
    <n v="36"/>
    <n v="78"/>
    <n v="33"/>
    <n v="0.42307692307692307"/>
  </r>
  <r>
    <x v="440"/>
    <n v="13"/>
    <s v="Plato_8"/>
    <s v="Descripci√≥n del Plato_8"/>
    <n v="21"/>
    <n v="35"/>
    <n v="3"/>
    <n v="54"/>
    <n v="105"/>
    <n v="42"/>
    <n v="0.4"/>
  </r>
  <r>
    <x v="441"/>
    <n v="15"/>
    <s v="Plato_1"/>
    <s v="Descripci√≥n del Plato_1"/>
    <n v="15"/>
    <n v="25"/>
    <n v="1"/>
    <n v="57"/>
    <n v="25"/>
    <n v="10"/>
    <n v="0.4"/>
  </r>
  <r>
    <x v="441"/>
    <n v="15"/>
    <s v="Plato_18"/>
    <s v="Descripci√≥n del Plato_18"/>
    <n v="20"/>
    <n v="34"/>
    <n v="3"/>
    <n v="29"/>
    <n v="102"/>
    <n v="42"/>
    <n v="0.41176470588235292"/>
  </r>
  <r>
    <x v="441"/>
    <n v="15"/>
    <s v="Plato_19"/>
    <s v="Descripci√≥n del Plato_19"/>
    <n v="22"/>
    <n v="36"/>
    <n v="3"/>
    <n v="45"/>
    <n v="108"/>
    <n v="42"/>
    <n v="0.3888888888888889"/>
  </r>
  <r>
    <x v="442"/>
    <n v="4"/>
    <s v="Plato_10"/>
    <s v="Descripci√≥n del Plato_10"/>
    <n v="15"/>
    <n v="26"/>
    <n v="3"/>
    <n v="55"/>
    <n v="78"/>
    <n v="33"/>
    <n v="0.42307692307692307"/>
  </r>
  <r>
    <x v="442"/>
    <n v="4"/>
    <s v="Plato_14"/>
    <s v="Descripci√≥n del Plato_14"/>
    <n v="14"/>
    <n v="23"/>
    <n v="1"/>
    <n v="30"/>
    <n v="23"/>
    <n v="9"/>
    <n v="0.39130434782608697"/>
  </r>
  <r>
    <x v="442"/>
    <n v="4"/>
    <s v="Plato_15"/>
    <s v="Descripci√≥n del Plato_15"/>
    <n v="19"/>
    <n v="32"/>
    <n v="1"/>
    <n v="52"/>
    <n v="32"/>
    <n v="13"/>
    <n v="0.40625"/>
  </r>
  <r>
    <x v="442"/>
    <n v="4"/>
    <s v="Plato_16"/>
    <s v="Descripci√≥n del Plato_16"/>
    <n v="16"/>
    <n v="28"/>
    <n v="3"/>
    <n v="18"/>
    <n v="84"/>
    <n v="36"/>
    <n v="0.42857142857142855"/>
  </r>
  <r>
    <x v="443"/>
    <n v="8"/>
    <s v="Plato_14"/>
    <s v="Descripci√≥n del Plato_14"/>
    <n v="14"/>
    <n v="23"/>
    <n v="1"/>
    <n v="32"/>
    <n v="23"/>
    <n v="9"/>
    <n v="0.39130434782608697"/>
  </r>
  <r>
    <x v="443"/>
    <n v="8"/>
    <s v="Plato_7"/>
    <s v="Descripci√≥n del Plato_7"/>
    <n v="14"/>
    <n v="24"/>
    <n v="3"/>
    <n v="49"/>
    <n v="72"/>
    <n v="30"/>
    <n v="0.41666666666666669"/>
  </r>
  <r>
    <x v="444"/>
    <n v="6"/>
    <s v="Plato_6"/>
    <s v="Descripci√≥n del Plato_6"/>
    <n v="16"/>
    <n v="27"/>
    <n v="3"/>
    <n v="26"/>
    <n v="81"/>
    <n v="33"/>
    <n v="0.40740740740740738"/>
  </r>
  <r>
    <x v="445"/>
    <n v="12"/>
    <s v="Plato_13"/>
    <s v="Descripci√≥n del Plato_13"/>
    <n v="13"/>
    <n v="21"/>
    <n v="1"/>
    <n v="8"/>
    <n v="21"/>
    <n v="8"/>
    <n v="0.38095238095238093"/>
  </r>
  <r>
    <x v="446"/>
    <n v="8"/>
    <s v="Plato_12"/>
    <s v="Descripci√≥n del Plato_12"/>
    <n v="11"/>
    <n v="19"/>
    <n v="3"/>
    <n v="50"/>
    <n v="57"/>
    <n v="24"/>
    <n v="0.42105263157894735"/>
  </r>
  <r>
    <x v="446"/>
    <n v="8"/>
    <s v="Plato_16"/>
    <s v="Descripci√≥n del Plato_16"/>
    <n v="16"/>
    <n v="28"/>
    <n v="3"/>
    <n v="7"/>
    <n v="84"/>
    <n v="36"/>
    <n v="0.42857142857142855"/>
  </r>
  <r>
    <x v="446"/>
    <n v="8"/>
    <s v="Plato_3"/>
    <s v="Descripci√≥n del Plato_3"/>
    <n v="12"/>
    <n v="20"/>
    <n v="2"/>
    <n v="29"/>
    <n v="40"/>
    <n v="16"/>
    <n v="0.4"/>
  </r>
  <r>
    <x v="447"/>
    <n v="4"/>
    <s v="Plato_11"/>
    <s v="Descripci√≥n del Plato_11"/>
    <n v="20"/>
    <n v="33"/>
    <n v="3"/>
    <n v="40"/>
    <n v="99"/>
    <n v="39"/>
    <n v="0.39393939393939392"/>
  </r>
  <r>
    <x v="447"/>
    <n v="4"/>
    <s v="Plato_12"/>
    <s v="Descripci√≥n del Plato_12"/>
    <n v="11"/>
    <n v="19"/>
    <n v="2"/>
    <n v="26"/>
    <n v="38"/>
    <n v="16"/>
    <n v="0.42105263157894735"/>
  </r>
  <r>
    <x v="448"/>
    <n v="3"/>
    <s v="Plato_15"/>
    <s v="Descripci√≥n del Plato_15"/>
    <n v="19"/>
    <n v="32"/>
    <n v="2"/>
    <n v="33"/>
    <n v="64"/>
    <n v="26"/>
    <n v="0.40625"/>
  </r>
  <r>
    <x v="449"/>
    <n v="9"/>
    <s v="Plato_19"/>
    <s v="Descripci√≥n del Plato_19"/>
    <n v="22"/>
    <n v="36"/>
    <n v="1"/>
    <n v="21"/>
    <n v="36"/>
    <n v="14"/>
    <n v="0.3888888888888889"/>
  </r>
  <r>
    <x v="449"/>
    <n v="9"/>
    <s v="Plato_4"/>
    <s v="Descripci√≥n del Plato_4"/>
    <n v="10"/>
    <n v="18"/>
    <n v="2"/>
    <n v="13"/>
    <n v="36"/>
    <n v="16"/>
    <n v="0.44444444444444442"/>
  </r>
  <r>
    <x v="450"/>
    <n v="3"/>
    <s v="Plato_14"/>
    <s v="Descripci√≥n del Plato_14"/>
    <n v="14"/>
    <n v="23"/>
    <n v="1"/>
    <n v="41"/>
    <n v="23"/>
    <n v="9"/>
    <n v="0.39130434782608697"/>
  </r>
  <r>
    <x v="450"/>
    <n v="3"/>
    <s v="Plato_18"/>
    <s v="Descripci√≥n del Plato_18"/>
    <n v="20"/>
    <n v="34"/>
    <n v="1"/>
    <n v="39"/>
    <n v="34"/>
    <n v="14"/>
    <n v="0.41176470588235292"/>
  </r>
  <r>
    <x v="450"/>
    <n v="3"/>
    <s v="Plato_8"/>
    <s v="Descripci√≥n del Plato_8"/>
    <n v="21"/>
    <n v="35"/>
    <n v="1"/>
    <n v="23"/>
    <n v="35"/>
    <n v="14"/>
    <n v="0.4"/>
  </r>
  <r>
    <x v="451"/>
    <n v="9"/>
    <s v="Plato_13"/>
    <s v="Descripci√≥n del Plato_13"/>
    <n v="13"/>
    <n v="21"/>
    <n v="1"/>
    <n v="42"/>
    <n v="21"/>
    <n v="8"/>
    <n v="0.38095238095238093"/>
  </r>
  <r>
    <x v="451"/>
    <n v="9"/>
    <s v="Plato_17"/>
    <s v="Descripci√≥n del Plato_17"/>
    <n v="19"/>
    <n v="31"/>
    <n v="3"/>
    <n v="53"/>
    <n v="93"/>
    <n v="36"/>
    <n v="0.38709677419354838"/>
  </r>
  <r>
    <x v="451"/>
    <n v="9"/>
    <s v="Plato_5"/>
    <s v="Descripci√≥n del Plato_5"/>
    <n v="13"/>
    <n v="22"/>
    <n v="2"/>
    <n v="28"/>
    <n v="44"/>
    <n v="18"/>
    <n v="0.40909090909090912"/>
  </r>
  <r>
    <x v="452"/>
    <n v="6"/>
    <s v="Plato_15"/>
    <s v="Descripci√≥n del Plato_15"/>
    <n v="19"/>
    <n v="32"/>
    <n v="3"/>
    <n v="58"/>
    <n v="96"/>
    <n v="39"/>
    <n v="0.40625"/>
  </r>
  <r>
    <x v="452"/>
    <n v="6"/>
    <s v="Plato_18"/>
    <s v="Descripci√≥n del Plato_18"/>
    <n v="20"/>
    <n v="34"/>
    <n v="1"/>
    <n v="42"/>
    <n v="34"/>
    <n v="14"/>
    <n v="0.41176470588235292"/>
  </r>
  <r>
    <x v="453"/>
    <n v="1"/>
    <s v="Plato_1"/>
    <s v="Descripci√≥n del Plato_1"/>
    <n v="15"/>
    <n v="25"/>
    <n v="2"/>
    <n v="44"/>
    <n v="50"/>
    <n v="20"/>
    <n v="0.4"/>
  </r>
  <r>
    <x v="453"/>
    <n v="1"/>
    <s v="Plato_12"/>
    <s v="Descripci√≥n del Plato_12"/>
    <n v="11"/>
    <n v="19"/>
    <n v="3"/>
    <n v="18"/>
    <n v="57"/>
    <n v="24"/>
    <n v="0.42105263157894735"/>
  </r>
  <r>
    <x v="453"/>
    <n v="1"/>
    <s v="Plato_19"/>
    <s v="Descripci√≥n del Plato_19"/>
    <n v="22"/>
    <n v="36"/>
    <n v="2"/>
    <n v="42"/>
    <n v="72"/>
    <n v="28"/>
    <n v="0.3888888888888889"/>
  </r>
  <r>
    <x v="453"/>
    <n v="1"/>
    <s v="Plato_6"/>
    <s v="Descripci√≥n del Plato_6"/>
    <n v="16"/>
    <n v="27"/>
    <n v="2"/>
    <n v="49"/>
    <n v="54"/>
    <n v="22"/>
    <n v="0.40740740740740738"/>
  </r>
  <r>
    <x v="454"/>
    <n v="12"/>
    <s v="Plato_7"/>
    <s v="Descripci√≥n del Plato_7"/>
    <n v="14"/>
    <n v="24"/>
    <n v="2"/>
    <n v="11"/>
    <n v="48"/>
    <n v="20"/>
    <n v="0.41666666666666669"/>
  </r>
  <r>
    <x v="455"/>
    <n v="13"/>
    <s v="Plato_18"/>
    <s v="Descripci√≥n del Plato_18"/>
    <n v="20"/>
    <n v="34"/>
    <n v="2"/>
    <n v="24"/>
    <n v="68"/>
    <n v="28"/>
    <n v="0.41176470588235292"/>
  </r>
  <r>
    <x v="455"/>
    <n v="13"/>
    <s v="Plato_20"/>
    <s v="Descripci√≥n del Plato_20"/>
    <n v="25"/>
    <n v="40"/>
    <n v="2"/>
    <n v="47"/>
    <n v="80"/>
    <n v="30"/>
    <n v="0.375"/>
  </r>
  <r>
    <x v="456"/>
    <n v="18"/>
    <s v="Plato_11"/>
    <s v="Descripci√≥n del Plato_11"/>
    <n v="20"/>
    <n v="33"/>
    <n v="3"/>
    <n v="43"/>
    <n v="99"/>
    <n v="39"/>
    <n v="0.39393939393939392"/>
  </r>
  <r>
    <x v="456"/>
    <n v="18"/>
    <s v="Plato_12"/>
    <s v="Descripci√≥n del Plato_12"/>
    <n v="11"/>
    <n v="19"/>
    <n v="2"/>
    <n v="15"/>
    <n v="38"/>
    <n v="16"/>
    <n v="0.42105263157894735"/>
  </r>
  <r>
    <x v="457"/>
    <n v="4"/>
    <s v="Plato_11"/>
    <s v="Descripci√≥n del Plato_11"/>
    <n v="20"/>
    <n v="33"/>
    <n v="2"/>
    <n v="6"/>
    <n v="66"/>
    <n v="26"/>
    <n v="0.39393939393939392"/>
  </r>
  <r>
    <x v="457"/>
    <n v="4"/>
    <s v="Plato_16"/>
    <s v="Descripci√≥n del Plato_16"/>
    <n v="16"/>
    <n v="28"/>
    <n v="2"/>
    <n v="11"/>
    <n v="56"/>
    <n v="24"/>
    <n v="0.42857142857142855"/>
  </r>
  <r>
    <x v="457"/>
    <n v="4"/>
    <s v="Plato_18"/>
    <s v="Descripci√≥n del Plato_18"/>
    <n v="20"/>
    <n v="34"/>
    <n v="3"/>
    <n v="28"/>
    <n v="102"/>
    <n v="42"/>
    <n v="0.41176470588235292"/>
  </r>
  <r>
    <x v="457"/>
    <n v="4"/>
    <s v="Plato_5"/>
    <s v="Descripci√≥n del Plato_5"/>
    <n v="13"/>
    <n v="22"/>
    <n v="2"/>
    <n v="44"/>
    <n v="44"/>
    <n v="18"/>
    <n v="0.40909090909090912"/>
  </r>
  <r>
    <x v="458"/>
    <n v="20"/>
    <s v="Plato_16"/>
    <s v="Descripci√≥n del Plato_16"/>
    <n v="16"/>
    <n v="28"/>
    <n v="3"/>
    <n v="30"/>
    <n v="84"/>
    <n v="36"/>
    <n v="0.42857142857142855"/>
  </r>
  <r>
    <x v="459"/>
    <n v="19"/>
    <s v="Plato_1"/>
    <s v="Descripci√≥n del Plato_1"/>
    <n v="15"/>
    <n v="25"/>
    <n v="2"/>
    <n v="43"/>
    <n v="50"/>
    <n v="20"/>
    <n v="0.4"/>
  </r>
  <r>
    <x v="459"/>
    <n v="19"/>
    <s v="Plato_10"/>
    <s v="Descripci√≥n del Plato_10"/>
    <n v="15"/>
    <n v="26"/>
    <n v="1"/>
    <n v="8"/>
    <n v="26"/>
    <n v="11"/>
    <n v="0.42307692307692307"/>
  </r>
  <r>
    <x v="459"/>
    <n v="19"/>
    <s v="Plato_16"/>
    <s v="Descripci√≥n del Plato_16"/>
    <n v="16"/>
    <n v="28"/>
    <n v="1"/>
    <n v="40"/>
    <n v="28"/>
    <n v="12"/>
    <n v="0.42857142857142855"/>
  </r>
  <r>
    <x v="459"/>
    <n v="19"/>
    <s v="Plato_7"/>
    <s v="Descripci√≥n del Plato_7"/>
    <n v="14"/>
    <n v="24"/>
    <n v="3"/>
    <n v="33"/>
    <n v="72"/>
    <n v="30"/>
    <n v="0.41666666666666669"/>
  </r>
  <r>
    <x v="460"/>
    <n v="4"/>
    <s v="Plato_8"/>
    <s v="Descripci√≥n del Plato_8"/>
    <n v="21"/>
    <n v="35"/>
    <n v="2"/>
    <n v="38"/>
    <n v="70"/>
    <n v="28"/>
    <n v="0.4"/>
  </r>
  <r>
    <x v="460"/>
    <n v="4"/>
    <s v="Plato_9"/>
    <s v="Descripci√≥n del Plato_9"/>
    <n v="17"/>
    <n v="29"/>
    <n v="1"/>
    <n v="28"/>
    <n v="29"/>
    <n v="12"/>
    <n v="0.41379310344827586"/>
  </r>
  <r>
    <x v="461"/>
    <n v="9"/>
    <s v="Plato_11"/>
    <s v="Descripci√≥n del Plato_11"/>
    <n v="20"/>
    <n v="33"/>
    <n v="3"/>
    <n v="11"/>
    <n v="99"/>
    <n v="39"/>
    <n v="0.39393939393939392"/>
  </r>
  <r>
    <x v="462"/>
    <n v="7"/>
    <s v="Plato_17"/>
    <s v="Descripci√≥n del Plato_17"/>
    <n v="19"/>
    <n v="31"/>
    <n v="3"/>
    <n v="14"/>
    <n v="93"/>
    <n v="36"/>
    <n v="0.38709677419354838"/>
  </r>
  <r>
    <x v="463"/>
    <n v="16"/>
    <s v="Plato_10"/>
    <s v="Descripci√≥n del Plato_10"/>
    <n v="15"/>
    <n v="26"/>
    <n v="3"/>
    <n v="50"/>
    <n v="78"/>
    <n v="33"/>
    <n v="0.42307692307692307"/>
  </r>
  <r>
    <x v="463"/>
    <n v="16"/>
    <s v="Plato_5"/>
    <s v="Descripci√≥n del Plato_5"/>
    <n v="13"/>
    <n v="22"/>
    <n v="1"/>
    <n v="10"/>
    <n v="22"/>
    <n v="9"/>
    <n v="0.40909090909090912"/>
  </r>
  <r>
    <x v="463"/>
    <n v="16"/>
    <s v="Plato_6"/>
    <s v="Descripci√≥n del Plato_6"/>
    <n v="16"/>
    <n v="27"/>
    <n v="2"/>
    <n v="24"/>
    <n v="54"/>
    <n v="22"/>
    <n v="0.40740740740740738"/>
  </r>
  <r>
    <x v="464"/>
    <n v="4"/>
    <s v="Plato_1"/>
    <s v="Descripci√≥n del Plato_1"/>
    <n v="15"/>
    <n v="25"/>
    <n v="3"/>
    <n v="37"/>
    <n v="75"/>
    <n v="30"/>
    <n v="0.4"/>
  </r>
  <r>
    <x v="464"/>
    <n v="4"/>
    <s v="Plato_14"/>
    <s v="Descripci√≥n del Plato_14"/>
    <n v="14"/>
    <n v="23"/>
    <n v="2"/>
    <n v="23"/>
    <n v="46"/>
    <n v="18"/>
    <n v="0.39130434782608697"/>
  </r>
  <r>
    <x v="465"/>
    <n v="4"/>
    <s v="Plato_16"/>
    <s v="Descripci√≥n del Plato_16"/>
    <n v="16"/>
    <n v="28"/>
    <n v="1"/>
    <n v="43"/>
    <n v="28"/>
    <n v="12"/>
    <n v="0.42857142857142855"/>
  </r>
  <r>
    <x v="465"/>
    <n v="4"/>
    <s v="Plato_2"/>
    <s v="Descripci√≥n del Plato_2"/>
    <n v="18"/>
    <n v="30"/>
    <n v="3"/>
    <n v="52"/>
    <n v="90"/>
    <n v="36"/>
    <n v="0.4"/>
  </r>
  <r>
    <x v="465"/>
    <n v="4"/>
    <s v="Plato_5"/>
    <s v="Descripci√≥n del Plato_5"/>
    <n v="13"/>
    <n v="22"/>
    <n v="1"/>
    <n v="50"/>
    <n v="22"/>
    <n v="9"/>
    <n v="0.40909090909090912"/>
  </r>
  <r>
    <x v="466"/>
    <n v="15"/>
    <s v="Plato_11"/>
    <s v="Descripci√≥n del Plato_11"/>
    <n v="20"/>
    <n v="33"/>
    <n v="3"/>
    <n v="13"/>
    <n v="99"/>
    <n v="39"/>
    <n v="0.39393939393939392"/>
  </r>
  <r>
    <x v="466"/>
    <n v="15"/>
    <s v="Plato_5"/>
    <s v="Descripci√≥n del Plato_5"/>
    <n v="13"/>
    <n v="22"/>
    <n v="2"/>
    <n v="59"/>
    <n v="44"/>
    <n v="18"/>
    <n v="0.40909090909090912"/>
  </r>
  <r>
    <x v="467"/>
    <n v="14"/>
    <s v="Plato_12"/>
    <s v="Descripci√≥n del Plato_12"/>
    <n v="11"/>
    <n v="19"/>
    <n v="2"/>
    <n v="38"/>
    <n v="38"/>
    <n v="16"/>
    <n v="0.42105263157894735"/>
  </r>
  <r>
    <x v="467"/>
    <n v="14"/>
    <s v="Plato_16"/>
    <s v="Descripci√≥n del Plato_16"/>
    <n v="16"/>
    <n v="28"/>
    <n v="1"/>
    <n v="9"/>
    <n v="28"/>
    <n v="12"/>
    <n v="0.42857142857142855"/>
  </r>
  <r>
    <x v="467"/>
    <n v="14"/>
    <s v="Plato_3"/>
    <s v="Descripci√≥n del Plato_3"/>
    <n v="12"/>
    <n v="20"/>
    <n v="2"/>
    <n v="16"/>
    <n v="40"/>
    <n v="16"/>
    <n v="0.4"/>
  </r>
  <r>
    <x v="468"/>
    <n v="1"/>
    <s v="Plato_15"/>
    <s v="Descripci√≥n del Plato_15"/>
    <n v="19"/>
    <n v="32"/>
    <n v="1"/>
    <n v="44"/>
    <n v="32"/>
    <n v="13"/>
    <n v="0.40625"/>
  </r>
  <r>
    <x v="468"/>
    <n v="1"/>
    <s v="Plato_8"/>
    <s v="Descripci√≥n del Plato_8"/>
    <n v="21"/>
    <n v="35"/>
    <n v="3"/>
    <n v="22"/>
    <n v="105"/>
    <n v="42"/>
    <n v="0.4"/>
  </r>
  <r>
    <x v="469"/>
    <n v="17"/>
    <s v="Plato_4"/>
    <s v="Descripci√≥n del Plato_4"/>
    <n v="10"/>
    <n v="18"/>
    <n v="3"/>
    <n v="28"/>
    <n v="54"/>
    <n v="24"/>
    <n v="0.44444444444444442"/>
  </r>
  <r>
    <x v="469"/>
    <n v="17"/>
    <s v="Plato_7"/>
    <s v="Descripci√≥n del Plato_7"/>
    <n v="14"/>
    <n v="24"/>
    <n v="1"/>
    <n v="44"/>
    <n v="24"/>
    <n v="10"/>
    <n v="0.41666666666666669"/>
  </r>
  <r>
    <x v="470"/>
    <n v="7"/>
    <s v="Plato_8"/>
    <s v="Descripci√≥n del Plato_8"/>
    <n v="21"/>
    <n v="35"/>
    <n v="3"/>
    <n v="57"/>
    <n v="105"/>
    <n v="42"/>
    <n v="0.4"/>
  </r>
  <r>
    <x v="471"/>
    <n v="20"/>
    <s v="Plato_5"/>
    <s v="Descripci√≥n del Plato_5"/>
    <n v="13"/>
    <n v="22"/>
    <n v="2"/>
    <n v="31"/>
    <n v="44"/>
    <n v="18"/>
    <n v="0.40909090909090912"/>
  </r>
  <r>
    <x v="471"/>
    <n v="20"/>
    <s v="Plato_8"/>
    <s v="Descripci√≥n del Plato_8"/>
    <n v="21"/>
    <n v="35"/>
    <n v="2"/>
    <n v="42"/>
    <n v="70"/>
    <n v="28"/>
    <n v="0.4"/>
  </r>
  <r>
    <x v="472"/>
    <n v="13"/>
    <s v="Plato_5"/>
    <s v="Descripci√≥n del Plato_5"/>
    <n v="13"/>
    <n v="22"/>
    <n v="2"/>
    <n v="51"/>
    <n v="44"/>
    <n v="18"/>
    <n v="0.40909090909090912"/>
  </r>
  <r>
    <x v="472"/>
    <n v="13"/>
    <s v="Plato_8"/>
    <s v="Descripci√≥n del Plato_8"/>
    <n v="21"/>
    <n v="35"/>
    <n v="1"/>
    <n v="10"/>
    <n v="35"/>
    <n v="14"/>
    <n v="0.4"/>
  </r>
  <r>
    <x v="473"/>
    <n v="2"/>
    <s v="Plato_16"/>
    <s v="Descripci√≥n del Plato_16"/>
    <n v="16"/>
    <n v="28"/>
    <n v="3"/>
    <n v="35"/>
    <n v="84"/>
    <n v="36"/>
    <n v="0.42857142857142855"/>
  </r>
  <r>
    <x v="473"/>
    <n v="2"/>
    <s v="Plato_17"/>
    <s v="Descripci√≥n del Plato_17"/>
    <n v="19"/>
    <n v="31"/>
    <n v="1"/>
    <n v="34"/>
    <n v="31"/>
    <n v="12"/>
    <n v="0.38709677419354838"/>
  </r>
  <r>
    <x v="473"/>
    <n v="2"/>
    <s v="Plato_18"/>
    <s v="Descripci√≥n del Plato_18"/>
    <n v="20"/>
    <n v="34"/>
    <n v="1"/>
    <n v="55"/>
    <n v="34"/>
    <n v="14"/>
    <n v="0.41176470588235292"/>
  </r>
  <r>
    <x v="473"/>
    <n v="2"/>
    <s v="Plato_9"/>
    <s v="Descripci√≥n del Plato_9"/>
    <n v="17"/>
    <n v="29"/>
    <n v="1"/>
    <n v="37"/>
    <n v="29"/>
    <n v="12"/>
    <n v="0.41379310344827586"/>
  </r>
  <r>
    <x v="474"/>
    <n v="18"/>
    <s v="Plato_18"/>
    <s v="Descripci√≥n del Plato_18"/>
    <n v="20"/>
    <n v="34"/>
    <n v="3"/>
    <n v="14"/>
    <n v="102"/>
    <n v="42"/>
    <n v="0.41176470588235292"/>
  </r>
  <r>
    <x v="474"/>
    <n v="18"/>
    <s v="Plato_7"/>
    <s v="Descripci√≥n del Plato_7"/>
    <n v="14"/>
    <n v="24"/>
    <n v="3"/>
    <n v="21"/>
    <n v="72"/>
    <n v="30"/>
    <n v="0.41666666666666669"/>
  </r>
  <r>
    <x v="475"/>
    <n v="13"/>
    <s v="Plato_15"/>
    <s v="Descripci√≥n del Plato_15"/>
    <n v="19"/>
    <n v="32"/>
    <n v="3"/>
    <n v="5"/>
    <n v="96"/>
    <n v="39"/>
    <n v="0.40625"/>
  </r>
  <r>
    <x v="475"/>
    <n v="13"/>
    <s v="Plato_18"/>
    <s v="Descripci√≥n del Plato_18"/>
    <n v="20"/>
    <n v="34"/>
    <n v="1"/>
    <n v="34"/>
    <n v="34"/>
    <n v="14"/>
    <n v="0.41176470588235292"/>
  </r>
  <r>
    <x v="475"/>
    <n v="13"/>
    <s v="Plato_20"/>
    <s v="Descripci√≥n del Plato_20"/>
    <n v="25"/>
    <n v="40"/>
    <n v="1"/>
    <n v="21"/>
    <n v="40"/>
    <n v="15"/>
    <n v="0.375"/>
  </r>
  <r>
    <x v="475"/>
    <n v="13"/>
    <s v="Plato_7"/>
    <s v="Descripci√≥n del Plato_7"/>
    <n v="14"/>
    <n v="24"/>
    <n v="2"/>
    <n v="55"/>
    <n v="48"/>
    <n v="20"/>
    <n v="0.41666666666666669"/>
  </r>
  <r>
    <x v="476"/>
    <n v="8"/>
    <s v="Plato_13"/>
    <s v="Descripci√≥n del Plato_13"/>
    <n v="13"/>
    <n v="21"/>
    <n v="2"/>
    <n v="21"/>
    <n v="42"/>
    <n v="16"/>
    <n v="0.38095238095238093"/>
  </r>
  <r>
    <x v="476"/>
    <n v="8"/>
    <s v="Plato_14"/>
    <s v="Descripci√≥n del Plato_14"/>
    <n v="14"/>
    <n v="23"/>
    <n v="2"/>
    <n v="13"/>
    <n v="46"/>
    <n v="18"/>
    <n v="0.39130434782608697"/>
  </r>
  <r>
    <x v="476"/>
    <n v="8"/>
    <s v="Plato_18"/>
    <s v="Descripci√≥n del Plato_18"/>
    <n v="20"/>
    <n v="34"/>
    <n v="2"/>
    <n v="34"/>
    <n v="68"/>
    <n v="28"/>
    <n v="0.41176470588235292"/>
  </r>
  <r>
    <x v="476"/>
    <n v="8"/>
    <s v="Plato_7"/>
    <s v="Descripci√≥n del Plato_7"/>
    <n v="14"/>
    <n v="24"/>
    <n v="2"/>
    <n v="47"/>
    <n v="48"/>
    <n v="20"/>
    <n v="0.41666666666666669"/>
  </r>
  <r>
    <x v="477"/>
    <n v="7"/>
    <s v="Plato_2"/>
    <s v="Descripci√≥n del Plato_2"/>
    <n v="18"/>
    <n v="30"/>
    <n v="2"/>
    <n v="54"/>
    <n v="60"/>
    <n v="24"/>
    <n v="0.4"/>
  </r>
  <r>
    <x v="477"/>
    <n v="7"/>
    <s v="Plato_9"/>
    <s v="Descripci√≥n del Plato_9"/>
    <n v="17"/>
    <n v="29"/>
    <n v="2"/>
    <n v="36"/>
    <n v="58"/>
    <n v="24"/>
    <n v="0.41379310344827586"/>
  </r>
  <r>
    <x v="478"/>
    <n v="1"/>
    <s v="Plato_18"/>
    <s v="Descripci√≥n del Plato_18"/>
    <n v="20"/>
    <n v="34"/>
    <n v="1"/>
    <n v="38"/>
    <n v="34"/>
    <n v="14"/>
    <n v="0.41176470588235292"/>
  </r>
  <r>
    <x v="478"/>
    <n v="1"/>
    <s v="Plato_4"/>
    <s v="Descripci√≥n del Plato_4"/>
    <n v="10"/>
    <n v="18"/>
    <n v="1"/>
    <n v="45"/>
    <n v="18"/>
    <n v="8"/>
    <n v="0.44444444444444442"/>
  </r>
  <r>
    <x v="479"/>
    <n v="1"/>
    <s v="Plato_6"/>
    <s v="Descripci√≥n del Plato_6"/>
    <n v="16"/>
    <n v="27"/>
    <n v="2"/>
    <n v="8"/>
    <n v="54"/>
    <n v="22"/>
    <n v="0.40740740740740738"/>
  </r>
  <r>
    <x v="479"/>
    <n v="1"/>
    <s v="Plato_8"/>
    <s v="Descripci√≥n del Plato_8"/>
    <n v="21"/>
    <n v="35"/>
    <n v="3"/>
    <n v="57"/>
    <n v="105"/>
    <n v="42"/>
    <n v="0.4"/>
  </r>
  <r>
    <x v="480"/>
    <n v="9"/>
    <s v="Plato_10"/>
    <s v="Descripci√≥n del Plato_10"/>
    <n v="15"/>
    <n v="26"/>
    <n v="2"/>
    <n v="58"/>
    <n v="52"/>
    <n v="22"/>
    <n v="0.42307692307692307"/>
  </r>
  <r>
    <x v="481"/>
    <n v="9"/>
    <s v="Plato_13"/>
    <s v="Descripci√≥n del Plato_13"/>
    <n v="13"/>
    <n v="21"/>
    <n v="3"/>
    <n v="21"/>
    <n v="63"/>
    <n v="24"/>
    <n v="0.38095238095238093"/>
  </r>
  <r>
    <x v="482"/>
    <n v="2"/>
    <s v="Plato_6"/>
    <s v="Descripci√≥n del Plato_6"/>
    <n v="16"/>
    <n v="27"/>
    <n v="3"/>
    <n v="53"/>
    <n v="81"/>
    <n v="33"/>
    <n v="0.40740740740740738"/>
  </r>
  <r>
    <x v="483"/>
    <n v="18"/>
    <s v="Plato_1"/>
    <s v="Descripci√≥n del Plato_1"/>
    <n v="15"/>
    <n v="25"/>
    <n v="3"/>
    <n v="34"/>
    <n v="75"/>
    <n v="30"/>
    <n v="0.4"/>
  </r>
  <r>
    <x v="484"/>
    <n v="6"/>
    <s v="Plato_19"/>
    <s v="Descripci√≥n del Plato_19"/>
    <n v="22"/>
    <n v="36"/>
    <n v="2"/>
    <n v="56"/>
    <n v="72"/>
    <n v="28"/>
    <n v="0.3888888888888889"/>
  </r>
  <r>
    <x v="484"/>
    <n v="6"/>
    <s v="Plato_7"/>
    <s v="Descripci√≥n del Plato_7"/>
    <n v="14"/>
    <n v="24"/>
    <n v="3"/>
    <n v="23"/>
    <n v="72"/>
    <n v="30"/>
    <n v="0.41666666666666669"/>
  </r>
  <r>
    <x v="485"/>
    <n v="15"/>
    <s v="Plato_18"/>
    <s v="Descripci√≥n del Plato_18"/>
    <n v="20"/>
    <n v="34"/>
    <n v="1"/>
    <n v="9"/>
    <n v="34"/>
    <n v="14"/>
    <n v="0.41176470588235292"/>
  </r>
  <r>
    <x v="485"/>
    <n v="15"/>
    <s v="Plato_19"/>
    <s v="Descripci√≥n del Plato_19"/>
    <n v="22"/>
    <n v="36"/>
    <n v="2"/>
    <n v="7"/>
    <n v="72"/>
    <n v="28"/>
    <n v="0.3888888888888889"/>
  </r>
  <r>
    <x v="485"/>
    <n v="15"/>
    <s v="Plato_3"/>
    <s v="Descripci√≥n del Plato_3"/>
    <n v="12"/>
    <n v="20"/>
    <n v="1"/>
    <n v="19"/>
    <n v="20"/>
    <n v="8"/>
    <n v="0.4"/>
  </r>
  <r>
    <x v="485"/>
    <n v="15"/>
    <s v="Plato_7"/>
    <s v="Descripci√≥n del Plato_7"/>
    <n v="14"/>
    <n v="24"/>
    <n v="1"/>
    <n v="24"/>
    <n v="24"/>
    <n v="10"/>
    <n v="0.41666666666666669"/>
  </r>
  <r>
    <x v="486"/>
    <n v="17"/>
    <s v="Plato_17"/>
    <s v="Descripci√≥n del Plato_17"/>
    <n v="19"/>
    <n v="31"/>
    <n v="2"/>
    <n v="29"/>
    <n v="62"/>
    <n v="24"/>
    <n v="0.38709677419354838"/>
  </r>
  <r>
    <x v="486"/>
    <n v="17"/>
    <s v="Plato_18"/>
    <s v="Descripci√≥n del Plato_18"/>
    <n v="20"/>
    <n v="34"/>
    <n v="2"/>
    <n v="58"/>
    <n v="68"/>
    <n v="28"/>
    <n v="0.41176470588235292"/>
  </r>
  <r>
    <x v="486"/>
    <n v="17"/>
    <s v="Plato_5"/>
    <s v="Descripci√≥n del Plato_5"/>
    <n v="13"/>
    <n v="22"/>
    <n v="1"/>
    <n v="5"/>
    <n v="22"/>
    <n v="9"/>
    <n v="0.40909090909090912"/>
  </r>
  <r>
    <x v="487"/>
    <n v="10"/>
    <s v="Plato_14"/>
    <s v="Descripci√≥n del Plato_14"/>
    <n v="14"/>
    <n v="23"/>
    <n v="3"/>
    <n v="52"/>
    <n v="69"/>
    <n v="27"/>
    <n v="0.39130434782608697"/>
  </r>
  <r>
    <x v="487"/>
    <n v="10"/>
    <s v="Plato_17"/>
    <s v="Descripci√≥n del Plato_17"/>
    <n v="19"/>
    <n v="31"/>
    <n v="2"/>
    <n v="18"/>
    <n v="62"/>
    <n v="24"/>
    <n v="0.38709677419354838"/>
  </r>
  <r>
    <x v="487"/>
    <n v="10"/>
    <s v="Plato_4"/>
    <s v="Descripci√≥n del Plato_4"/>
    <n v="10"/>
    <n v="18"/>
    <n v="3"/>
    <n v="54"/>
    <n v="54"/>
    <n v="24"/>
    <n v="0.44444444444444442"/>
  </r>
  <r>
    <x v="488"/>
    <n v="3"/>
    <s v="Plato_14"/>
    <s v="Descripci√≥n del Plato_14"/>
    <n v="14"/>
    <n v="23"/>
    <n v="3"/>
    <n v="6"/>
    <n v="69"/>
    <n v="27"/>
    <n v="0.39130434782608697"/>
  </r>
  <r>
    <x v="488"/>
    <n v="3"/>
    <s v="Plato_20"/>
    <s v="Descripci√≥n del Plato_20"/>
    <n v="25"/>
    <n v="40"/>
    <n v="2"/>
    <n v="28"/>
    <n v="80"/>
    <n v="30"/>
    <n v="0.375"/>
  </r>
  <r>
    <x v="489"/>
    <n v="1"/>
    <s v="Plato_10"/>
    <s v="Descripci√≥n del Plato_10"/>
    <n v="15"/>
    <n v="26"/>
    <n v="3"/>
    <n v="34"/>
    <n v="78"/>
    <n v="33"/>
    <n v="0.42307692307692307"/>
  </r>
  <r>
    <x v="489"/>
    <n v="1"/>
    <s v="Plato_15"/>
    <s v="Descripci√≥n del Plato_15"/>
    <n v="19"/>
    <n v="32"/>
    <n v="1"/>
    <n v="55"/>
    <n v="32"/>
    <n v="13"/>
    <n v="0.40625"/>
  </r>
  <r>
    <x v="489"/>
    <n v="1"/>
    <s v="Plato_18"/>
    <s v="Descripci√≥n del Plato_18"/>
    <n v="20"/>
    <n v="34"/>
    <n v="3"/>
    <n v="42"/>
    <n v="102"/>
    <n v="42"/>
    <n v="0.41176470588235292"/>
  </r>
  <r>
    <x v="490"/>
    <n v="7"/>
    <s v="Plato_2"/>
    <s v="Descripci√≥n del Plato_2"/>
    <n v="18"/>
    <n v="30"/>
    <n v="2"/>
    <n v="11"/>
    <n v="60"/>
    <n v="24"/>
    <n v="0.4"/>
  </r>
  <r>
    <x v="490"/>
    <n v="7"/>
    <s v="Plato_9"/>
    <s v="Descripci√≥n del Plato_9"/>
    <n v="17"/>
    <n v="29"/>
    <n v="2"/>
    <n v="30"/>
    <n v="58"/>
    <n v="24"/>
    <n v="0.41379310344827586"/>
  </r>
  <r>
    <x v="491"/>
    <n v="4"/>
    <s v="Plato_11"/>
    <s v="Descripci√≥n del Plato_11"/>
    <n v="20"/>
    <n v="33"/>
    <n v="3"/>
    <n v="15"/>
    <n v="99"/>
    <n v="39"/>
    <n v="0.39393939393939392"/>
  </r>
  <r>
    <x v="491"/>
    <n v="4"/>
    <s v="Plato_13"/>
    <s v="Descripci√≥n del Plato_13"/>
    <n v="13"/>
    <n v="21"/>
    <n v="3"/>
    <n v="8"/>
    <n v="63"/>
    <n v="24"/>
    <n v="0.38095238095238093"/>
  </r>
  <r>
    <x v="491"/>
    <n v="4"/>
    <s v="Plato_7"/>
    <s v="Descripci√≥n del Plato_7"/>
    <n v="14"/>
    <n v="24"/>
    <n v="2"/>
    <n v="26"/>
    <n v="48"/>
    <n v="20"/>
    <n v="0.41666666666666669"/>
  </r>
  <r>
    <x v="492"/>
    <n v="2"/>
    <s v="Plato_4"/>
    <s v="Descripci√≥n del Plato_4"/>
    <n v="10"/>
    <n v="18"/>
    <n v="3"/>
    <n v="8"/>
    <n v="54"/>
    <n v="24"/>
    <n v="0.44444444444444442"/>
  </r>
  <r>
    <x v="493"/>
    <n v="20"/>
    <s v="Plato_15"/>
    <s v="Descripci√≥n del Plato_15"/>
    <n v="19"/>
    <n v="32"/>
    <n v="2"/>
    <n v="9"/>
    <n v="64"/>
    <n v="26"/>
    <n v="0.40625"/>
  </r>
  <r>
    <x v="493"/>
    <n v="20"/>
    <s v="Plato_19"/>
    <s v="Descripci√≥n del Plato_19"/>
    <n v="22"/>
    <n v="36"/>
    <n v="3"/>
    <n v="22"/>
    <n v="108"/>
    <n v="42"/>
    <n v="0.3888888888888889"/>
  </r>
  <r>
    <x v="494"/>
    <n v="11"/>
    <s v="Plato_11"/>
    <s v="Descripci√≥n del Plato_11"/>
    <n v="20"/>
    <n v="33"/>
    <n v="1"/>
    <n v="36"/>
    <n v="33"/>
    <n v="13"/>
    <n v="0.39393939393939392"/>
  </r>
  <r>
    <x v="494"/>
    <n v="11"/>
    <s v="Plato_16"/>
    <s v="Descripci√≥n del Plato_16"/>
    <n v="16"/>
    <n v="28"/>
    <n v="2"/>
    <n v="44"/>
    <n v="56"/>
    <n v="24"/>
    <n v="0.42857142857142855"/>
  </r>
  <r>
    <x v="494"/>
    <n v="11"/>
    <s v="Plato_20"/>
    <s v="Descripci√≥n del Plato_20"/>
    <n v="25"/>
    <n v="40"/>
    <n v="3"/>
    <n v="13"/>
    <n v="120"/>
    <n v="45"/>
    <n v="0.375"/>
  </r>
  <r>
    <x v="494"/>
    <n v="11"/>
    <s v="Plato_6"/>
    <s v="Descripci√≥n del Plato_6"/>
    <n v="16"/>
    <n v="27"/>
    <n v="2"/>
    <n v="9"/>
    <n v="54"/>
    <n v="22"/>
    <n v="0.40740740740740738"/>
  </r>
  <r>
    <x v="495"/>
    <n v="1"/>
    <s v="Plato_11"/>
    <s v="Descripci√≥n del Plato_11"/>
    <n v="20"/>
    <n v="33"/>
    <n v="1"/>
    <n v="28"/>
    <n v="33"/>
    <n v="13"/>
    <n v="0.39393939393939392"/>
  </r>
  <r>
    <x v="495"/>
    <n v="1"/>
    <s v="Plato_12"/>
    <s v="Descripci√≥n del Plato_12"/>
    <n v="11"/>
    <n v="19"/>
    <n v="3"/>
    <n v="41"/>
    <n v="57"/>
    <n v="24"/>
    <n v="0.42105263157894735"/>
  </r>
  <r>
    <x v="495"/>
    <n v="1"/>
    <s v="Plato_17"/>
    <s v="Descripci√≥n del Plato_17"/>
    <n v="19"/>
    <n v="31"/>
    <n v="1"/>
    <n v="41"/>
    <n v="31"/>
    <n v="12"/>
    <n v="0.38709677419354838"/>
  </r>
  <r>
    <x v="495"/>
    <n v="1"/>
    <s v="Plato_18"/>
    <s v="Descripci√≥n del Plato_18"/>
    <n v="20"/>
    <n v="34"/>
    <n v="3"/>
    <n v="23"/>
    <n v="102"/>
    <n v="42"/>
    <n v="0.41176470588235292"/>
  </r>
  <r>
    <x v="496"/>
    <n v="13"/>
    <s v="Plato_2"/>
    <s v="Descripci√≥n del Plato_2"/>
    <n v="18"/>
    <n v="30"/>
    <n v="1"/>
    <n v="6"/>
    <n v="30"/>
    <n v="12"/>
    <n v="0.4"/>
  </r>
  <r>
    <x v="496"/>
    <n v="13"/>
    <s v="Plato_20"/>
    <s v="Descripci√≥n del Plato_20"/>
    <n v="25"/>
    <n v="40"/>
    <n v="3"/>
    <n v="32"/>
    <n v="120"/>
    <n v="45"/>
    <n v="0.375"/>
  </r>
  <r>
    <x v="497"/>
    <n v="20"/>
    <s v="Plato_12"/>
    <s v="Descripci√≥n del Plato_12"/>
    <n v="11"/>
    <n v="19"/>
    <n v="1"/>
    <n v="32"/>
    <n v="19"/>
    <n v="8"/>
    <n v="0.42105263157894735"/>
  </r>
  <r>
    <x v="498"/>
    <n v="5"/>
    <s v="Plato_1"/>
    <s v="Descripci√≥n del Plato_1"/>
    <n v="15"/>
    <n v="25"/>
    <n v="2"/>
    <n v="42"/>
    <n v="50"/>
    <n v="20"/>
    <n v="0.4"/>
  </r>
  <r>
    <x v="498"/>
    <n v="5"/>
    <s v="Plato_10"/>
    <s v="Descripci√≥n del Plato_10"/>
    <n v="15"/>
    <n v="26"/>
    <n v="3"/>
    <n v="52"/>
    <n v="78"/>
    <n v="33"/>
    <n v="0.42307692307692307"/>
  </r>
  <r>
    <x v="498"/>
    <n v="5"/>
    <s v="Plato_2"/>
    <s v="Descripci√≥n del Plato_2"/>
    <n v="18"/>
    <n v="30"/>
    <n v="1"/>
    <n v="36"/>
    <n v="30"/>
    <n v="12"/>
    <n v="0.4"/>
  </r>
  <r>
    <x v="499"/>
    <n v="4"/>
    <s v="Plato_5"/>
    <s v="Descripci√≥n del Plato_5"/>
    <n v="13"/>
    <n v="22"/>
    <n v="3"/>
    <n v="20"/>
    <n v="66"/>
    <n v="27"/>
    <n v="0.40909090909090912"/>
  </r>
  <r>
    <x v="499"/>
    <n v="4"/>
    <s v="Plato_6"/>
    <s v="Descripci√≥n del Plato_6"/>
    <n v="16"/>
    <n v="27"/>
    <n v="1"/>
    <n v="22"/>
    <n v="27"/>
    <n v="11"/>
    <n v="0.40740740740740738"/>
  </r>
  <r>
    <x v="500"/>
    <n v="7"/>
    <s v="Plato_13"/>
    <s v="Descripci√≥n del Plato_13"/>
    <n v="13"/>
    <n v="21"/>
    <n v="2"/>
    <n v="15"/>
    <n v="42"/>
    <n v="16"/>
    <n v="0.38095238095238093"/>
  </r>
  <r>
    <x v="500"/>
    <n v="7"/>
    <s v="Plato_16"/>
    <s v="Descripci√≥n del Plato_16"/>
    <n v="16"/>
    <n v="28"/>
    <n v="2"/>
    <n v="6"/>
    <n v="56"/>
    <n v="24"/>
    <n v="0.42857142857142855"/>
  </r>
  <r>
    <x v="500"/>
    <n v="7"/>
    <s v="Plato_20"/>
    <s v="Descripci√≥n del Plato_20"/>
    <n v="25"/>
    <n v="40"/>
    <n v="1"/>
    <n v="18"/>
    <n v="40"/>
    <n v="15"/>
    <n v="0.375"/>
  </r>
  <r>
    <x v="501"/>
    <n v="5"/>
    <s v="Plato_11"/>
    <s v="Descripci√≥n del Plato_11"/>
    <n v="20"/>
    <n v="33"/>
    <n v="3"/>
    <n v="35"/>
    <n v="99"/>
    <n v="39"/>
    <n v="0.39393939393939392"/>
  </r>
  <r>
    <x v="501"/>
    <n v="5"/>
    <s v="Plato_4"/>
    <s v="Descripci√≥n del Plato_4"/>
    <n v="10"/>
    <n v="18"/>
    <n v="1"/>
    <n v="5"/>
    <n v="18"/>
    <n v="8"/>
    <n v="0.44444444444444442"/>
  </r>
  <r>
    <x v="501"/>
    <n v="5"/>
    <s v="Plato_5"/>
    <s v="Descripci√≥n del Plato_5"/>
    <n v="13"/>
    <n v="22"/>
    <n v="1"/>
    <n v="33"/>
    <n v="22"/>
    <n v="9"/>
    <n v="0.40909090909090912"/>
  </r>
  <r>
    <x v="502"/>
    <n v="3"/>
    <s v="Plato_12"/>
    <s v="Descripci√≥n del Plato_12"/>
    <n v="11"/>
    <n v="19"/>
    <n v="3"/>
    <n v="33"/>
    <n v="57"/>
    <n v="24"/>
    <n v="0.42105263157894735"/>
  </r>
  <r>
    <x v="502"/>
    <n v="3"/>
    <s v="Plato_20"/>
    <s v="Descripci√≥n del Plato_20"/>
    <n v="25"/>
    <n v="40"/>
    <n v="2"/>
    <n v="52"/>
    <n v="80"/>
    <n v="30"/>
    <n v="0.375"/>
  </r>
  <r>
    <x v="503"/>
    <n v="2"/>
    <s v="Plato_6"/>
    <s v="Descripci√≥n del Plato_6"/>
    <n v="16"/>
    <n v="27"/>
    <n v="2"/>
    <n v="19"/>
    <n v="54"/>
    <n v="22"/>
    <n v="0.40740740740740738"/>
  </r>
  <r>
    <x v="504"/>
    <n v="5"/>
    <s v="Plato_1"/>
    <s v="Descripci√≥n del Plato_1"/>
    <n v="15"/>
    <n v="25"/>
    <n v="3"/>
    <n v="59"/>
    <n v="75"/>
    <n v="30"/>
    <n v="0.4"/>
  </r>
  <r>
    <x v="504"/>
    <n v="5"/>
    <s v="Plato_20"/>
    <s v="Descripci√≥n del Plato_20"/>
    <n v="25"/>
    <n v="40"/>
    <n v="2"/>
    <n v="56"/>
    <n v="80"/>
    <n v="30"/>
    <n v="0.375"/>
  </r>
  <r>
    <x v="505"/>
    <n v="18"/>
    <s v="Plato_8"/>
    <s v="Descripci√≥n del Plato_8"/>
    <n v="21"/>
    <n v="35"/>
    <n v="2"/>
    <n v="5"/>
    <n v="70"/>
    <n v="28"/>
    <n v="0.4"/>
  </r>
  <r>
    <x v="506"/>
    <n v="18"/>
    <s v="Plato_18"/>
    <s v="Descripci√≥n del Plato_18"/>
    <n v="20"/>
    <n v="34"/>
    <n v="3"/>
    <n v="53"/>
    <n v="102"/>
    <n v="42"/>
    <n v="0.41176470588235292"/>
  </r>
  <r>
    <x v="506"/>
    <n v="18"/>
    <s v="Plato_19"/>
    <s v="Descripci√≥n del Plato_19"/>
    <n v="22"/>
    <n v="36"/>
    <n v="3"/>
    <n v="16"/>
    <n v="108"/>
    <n v="42"/>
    <n v="0.3888888888888889"/>
  </r>
  <r>
    <x v="507"/>
    <n v="6"/>
    <s v="Plato_15"/>
    <s v="Descripci√≥n del Plato_15"/>
    <n v="19"/>
    <n v="32"/>
    <n v="1"/>
    <n v="34"/>
    <n v="32"/>
    <n v="13"/>
    <n v="0.40625"/>
  </r>
  <r>
    <x v="508"/>
    <n v="5"/>
    <s v="Plato_20"/>
    <s v="Descripci√≥n del Plato_20"/>
    <n v="25"/>
    <n v="40"/>
    <n v="2"/>
    <n v="47"/>
    <n v="80"/>
    <n v="30"/>
    <n v="0.375"/>
  </r>
  <r>
    <x v="509"/>
    <n v="6"/>
    <s v="Plato_19"/>
    <s v="Descripci√≥n del Plato_19"/>
    <n v="22"/>
    <n v="36"/>
    <n v="1"/>
    <n v="48"/>
    <n v="36"/>
    <n v="14"/>
    <n v="0.3888888888888889"/>
  </r>
  <r>
    <x v="510"/>
    <n v="2"/>
    <s v="Plato_14"/>
    <s v="Descripci√≥n del Plato_14"/>
    <n v="14"/>
    <n v="23"/>
    <n v="3"/>
    <n v="14"/>
    <n v="69"/>
    <n v="27"/>
    <n v="0.39130434782608697"/>
  </r>
  <r>
    <x v="510"/>
    <n v="2"/>
    <s v="Plato_18"/>
    <s v="Descripci√≥n del Plato_18"/>
    <n v="20"/>
    <n v="34"/>
    <n v="2"/>
    <n v="24"/>
    <n v="68"/>
    <n v="28"/>
    <n v="0.41176470588235292"/>
  </r>
  <r>
    <x v="511"/>
    <n v="2"/>
    <s v="Plato_19"/>
    <s v="Descripci√≥n del Plato_19"/>
    <n v="22"/>
    <n v="36"/>
    <n v="3"/>
    <n v="53"/>
    <n v="108"/>
    <n v="42"/>
    <n v="0.3888888888888889"/>
  </r>
  <r>
    <x v="511"/>
    <n v="2"/>
    <s v="Plato_3"/>
    <s v="Descripci√≥n del Plato_3"/>
    <n v="12"/>
    <n v="20"/>
    <n v="1"/>
    <n v="6"/>
    <n v="20"/>
    <n v="8"/>
    <n v="0.4"/>
  </r>
  <r>
    <x v="512"/>
    <n v="8"/>
    <s v="Plato_4"/>
    <s v="Descripci√≥n del Plato_4"/>
    <n v="10"/>
    <n v="18"/>
    <n v="3"/>
    <n v="56"/>
    <n v="54"/>
    <n v="24"/>
    <n v="0.44444444444444442"/>
  </r>
  <r>
    <x v="513"/>
    <n v="18"/>
    <s v="Plato_10"/>
    <s v="Descripci√≥n del Plato_10"/>
    <n v="15"/>
    <n v="26"/>
    <n v="2"/>
    <n v="21"/>
    <n v="52"/>
    <n v="22"/>
    <n v="0.42307692307692307"/>
  </r>
  <r>
    <x v="513"/>
    <n v="18"/>
    <s v="Plato_12"/>
    <s v="Descripci√≥n del Plato_12"/>
    <n v="11"/>
    <n v="19"/>
    <n v="2"/>
    <n v="56"/>
    <n v="38"/>
    <n v="16"/>
    <n v="0.42105263157894735"/>
  </r>
  <r>
    <x v="513"/>
    <n v="18"/>
    <s v="Plato_15"/>
    <s v="Descripci√≥n del Plato_15"/>
    <n v="19"/>
    <n v="32"/>
    <n v="2"/>
    <n v="10"/>
    <n v="64"/>
    <n v="26"/>
    <n v="0.40625"/>
  </r>
  <r>
    <x v="513"/>
    <n v="18"/>
    <s v="Plato_3"/>
    <s v="Descripci√≥n del Plato_3"/>
    <n v="12"/>
    <n v="20"/>
    <n v="1"/>
    <n v="25"/>
    <n v="20"/>
    <n v="8"/>
    <n v="0.4"/>
  </r>
  <r>
    <x v="514"/>
    <n v="19"/>
    <s v="Plato_4"/>
    <s v="Descripci√≥n del Plato_4"/>
    <n v="10"/>
    <n v="18"/>
    <n v="1"/>
    <n v="13"/>
    <n v="18"/>
    <n v="8"/>
    <n v="0.44444444444444442"/>
  </r>
  <r>
    <x v="515"/>
    <n v="7"/>
    <s v="Plato_12"/>
    <s v="Descripci√≥n del Plato_12"/>
    <n v="11"/>
    <n v="19"/>
    <n v="3"/>
    <n v="43"/>
    <n v="57"/>
    <n v="24"/>
    <n v="0.42105263157894735"/>
  </r>
  <r>
    <x v="515"/>
    <n v="7"/>
    <s v="Plato_14"/>
    <s v="Descripci√≥n del Plato_14"/>
    <n v="14"/>
    <n v="23"/>
    <n v="3"/>
    <n v="40"/>
    <n v="69"/>
    <n v="27"/>
    <n v="0.39130434782608697"/>
  </r>
  <r>
    <x v="515"/>
    <n v="7"/>
    <s v="Plato_3"/>
    <s v="Descripci√≥n del Plato_3"/>
    <n v="12"/>
    <n v="20"/>
    <n v="1"/>
    <n v="14"/>
    <n v="20"/>
    <n v="8"/>
    <n v="0.4"/>
  </r>
  <r>
    <x v="516"/>
    <n v="4"/>
    <s v="Plato_12"/>
    <s v="Descripci√≥n del Plato_12"/>
    <n v="11"/>
    <n v="19"/>
    <n v="3"/>
    <n v="44"/>
    <n v="57"/>
    <n v="24"/>
    <n v="0.42105263157894735"/>
  </r>
  <r>
    <x v="516"/>
    <n v="4"/>
    <s v="Plato_5"/>
    <s v="Descripci√≥n del Plato_5"/>
    <n v="13"/>
    <n v="22"/>
    <n v="1"/>
    <n v="15"/>
    <n v="22"/>
    <n v="9"/>
    <n v="0.40909090909090912"/>
  </r>
  <r>
    <x v="516"/>
    <n v="4"/>
    <s v="Plato_7"/>
    <s v="Descripci√≥n del Plato_7"/>
    <n v="14"/>
    <n v="24"/>
    <n v="1"/>
    <n v="6"/>
    <n v="24"/>
    <n v="10"/>
    <n v="0.41666666666666669"/>
  </r>
  <r>
    <x v="517"/>
    <n v="5"/>
    <s v="Plato_11"/>
    <s v="Descripci√≥n del Plato_11"/>
    <n v="20"/>
    <n v="33"/>
    <n v="1"/>
    <n v="48"/>
    <n v="33"/>
    <n v="13"/>
    <n v="0.39393939393939392"/>
  </r>
  <r>
    <x v="517"/>
    <n v="5"/>
    <s v="Plato_5"/>
    <s v="Descripci√≥n del Plato_5"/>
    <n v="13"/>
    <n v="22"/>
    <n v="2"/>
    <n v="5"/>
    <n v="44"/>
    <n v="18"/>
    <n v="0.40909090909090912"/>
  </r>
  <r>
    <x v="518"/>
    <n v="6"/>
    <s v="Plato_20"/>
    <s v="Descripci√≥n del Plato_20"/>
    <n v="25"/>
    <n v="40"/>
    <n v="3"/>
    <n v="51"/>
    <n v="120"/>
    <n v="45"/>
    <n v="0.375"/>
  </r>
  <r>
    <x v="518"/>
    <n v="6"/>
    <s v="Plato_5"/>
    <s v="Descripci√≥n del Plato_5"/>
    <n v="13"/>
    <n v="22"/>
    <n v="2"/>
    <n v="56"/>
    <n v="44"/>
    <n v="18"/>
    <n v="0.40909090909090912"/>
  </r>
  <r>
    <x v="518"/>
    <n v="6"/>
    <s v="Plato_6"/>
    <s v="Descripci√≥n del Plato_6"/>
    <n v="16"/>
    <n v="27"/>
    <n v="3"/>
    <n v="49"/>
    <n v="81"/>
    <n v="33"/>
    <n v="0.40740740740740738"/>
  </r>
  <r>
    <x v="519"/>
    <n v="4"/>
    <s v="Plato_17"/>
    <s v="Descripci√≥n del Plato_17"/>
    <n v="19"/>
    <n v="31"/>
    <n v="3"/>
    <n v="22"/>
    <n v="93"/>
    <n v="36"/>
    <n v="0.38709677419354838"/>
  </r>
  <r>
    <x v="519"/>
    <n v="4"/>
    <s v="Plato_18"/>
    <s v="Descripci√≥n del Plato_18"/>
    <n v="20"/>
    <n v="34"/>
    <n v="2"/>
    <n v="21"/>
    <n v="68"/>
    <n v="28"/>
    <n v="0.41176470588235292"/>
  </r>
  <r>
    <x v="519"/>
    <n v="4"/>
    <s v="Plato_2"/>
    <s v="Descripci√≥n del Plato_2"/>
    <n v="18"/>
    <n v="30"/>
    <n v="3"/>
    <n v="32"/>
    <n v="90"/>
    <n v="36"/>
    <n v="0.4"/>
  </r>
  <r>
    <x v="519"/>
    <n v="4"/>
    <s v="Plato_9"/>
    <s v="Descripci√≥n del Plato_9"/>
    <n v="17"/>
    <n v="29"/>
    <n v="1"/>
    <n v="46"/>
    <n v="29"/>
    <n v="12"/>
    <n v="0.41379310344827586"/>
  </r>
  <r>
    <x v="520"/>
    <n v="18"/>
    <s v="Plato_1"/>
    <s v="Descripci√≥n del Plato_1"/>
    <n v="15"/>
    <n v="25"/>
    <n v="2"/>
    <n v="52"/>
    <n v="50"/>
    <n v="20"/>
    <n v="0.4"/>
  </r>
  <r>
    <x v="520"/>
    <n v="18"/>
    <s v="Plato_18"/>
    <s v="Descripci√≥n del Plato_18"/>
    <n v="20"/>
    <n v="34"/>
    <n v="3"/>
    <n v="21"/>
    <n v="102"/>
    <n v="42"/>
    <n v="0.41176470588235292"/>
  </r>
  <r>
    <x v="520"/>
    <n v="18"/>
    <s v="Plato_9"/>
    <s v="Descripci√≥n del Plato_9"/>
    <n v="17"/>
    <n v="29"/>
    <n v="2"/>
    <n v="18"/>
    <n v="58"/>
    <n v="24"/>
    <n v="0.41379310344827586"/>
  </r>
  <r>
    <x v="521"/>
    <n v="2"/>
    <s v="Plato_16"/>
    <s v="Descripci√≥n del Plato_16"/>
    <n v="16"/>
    <n v="28"/>
    <n v="3"/>
    <n v="47"/>
    <n v="84"/>
    <n v="36"/>
    <n v="0.42857142857142855"/>
  </r>
  <r>
    <x v="522"/>
    <n v="4"/>
    <s v="Plato_6"/>
    <s v="Descripci√≥n del Plato_6"/>
    <n v="16"/>
    <n v="27"/>
    <n v="3"/>
    <n v="51"/>
    <n v="81"/>
    <n v="33"/>
    <n v="0.40740740740740738"/>
  </r>
  <r>
    <x v="523"/>
    <n v="16"/>
    <s v="Plato_5"/>
    <s v="Descripci√≥n del Plato_5"/>
    <n v="13"/>
    <n v="22"/>
    <n v="1"/>
    <n v="46"/>
    <n v="22"/>
    <n v="9"/>
    <n v="0.40909090909090912"/>
  </r>
  <r>
    <x v="523"/>
    <n v="16"/>
    <s v="Plato_6"/>
    <s v="Descripci√≥n del Plato_6"/>
    <n v="16"/>
    <n v="27"/>
    <n v="2"/>
    <n v="15"/>
    <n v="54"/>
    <n v="22"/>
    <n v="0.40740740740740738"/>
  </r>
  <r>
    <x v="524"/>
    <n v="16"/>
    <s v="Plato_14"/>
    <s v="Descripci√≥n del Plato_14"/>
    <n v="14"/>
    <n v="23"/>
    <n v="3"/>
    <n v="23"/>
    <n v="69"/>
    <n v="27"/>
    <n v="0.39130434782608697"/>
  </r>
  <r>
    <x v="524"/>
    <n v="16"/>
    <s v="Plato_17"/>
    <s v="Descripci√≥n del Plato_17"/>
    <n v="19"/>
    <n v="31"/>
    <n v="3"/>
    <n v="40"/>
    <n v="93"/>
    <n v="36"/>
    <n v="0.38709677419354838"/>
  </r>
  <r>
    <x v="524"/>
    <n v="16"/>
    <s v="Plato_8"/>
    <s v="Descripci√≥n del Plato_8"/>
    <n v="21"/>
    <n v="35"/>
    <n v="1"/>
    <n v="14"/>
    <n v="35"/>
    <n v="14"/>
    <n v="0.4"/>
  </r>
  <r>
    <x v="525"/>
    <n v="4"/>
    <s v="Plato_11"/>
    <s v="Descripci√≥n del Plato_11"/>
    <n v="20"/>
    <n v="33"/>
    <n v="1"/>
    <n v="22"/>
    <n v="33"/>
    <n v="13"/>
    <n v="0.39393939393939392"/>
  </r>
  <r>
    <x v="526"/>
    <n v="19"/>
    <s v="Plato_6"/>
    <s v="Descripci√≥n del Plato_6"/>
    <n v="16"/>
    <n v="27"/>
    <n v="2"/>
    <n v="31"/>
    <n v="54"/>
    <n v="22"/>
    <n v="0.40740740740740738"/>
  </r>
  <r>
    <x v="527"/>
    <n v="14"/>
    <s v="Plato_20"/>
    <s v="Descripci√≥n del Plato_20"/>
    <n v="25"/>
    <n v="40"/>
    <n v="1"/>
    <n v="47"/>
    <n v="40"/>
    <n v="15"/>
    <n v="0.375"/>
  </r>
  <r>
    <x v="527"/>
    <n v="14"/>
    <s v="Plato_3"/>
    <s v="Descripci√≥n del Plato_3"/>
    <n v="12"/>
    <n v="20"/>
    <n v="1"/>
    <n v="29"/>
    <n v="20"/>
    <n v="8"/>
    <n v="0.4"/>
  </r>
  <r>
    <x v="527"/>
    <n v="14"/>
    <s v="Plato_4"/>
    <s v="Descripci√≥n del Plato_4"/>
    <n v="10"/>
    <n v="18"/>
    <n v="1"/>
    <n v="45"/>
    <n v="18"/>
    <n v="8"/>
    <n v="0.44444444444444442"/>
  </r>
  <r>
    <x v="528"/>
    <n v="1"/>
    <s v="Plato_14"/>
    <s v="Descripci√≥n del Plato_14"/>
    <n v="14"/>
    <n v="23"/>
    <n v="2"/>
    <n v="27"/>
    <n v="46"/>
    <n v="18"/>
    <n v="0.39130434782608697"/>
  </r>
  <r>
    <x v="528"/>
    <n v="1"/>
    <s v="Plato_16"/>
    <s v="Descripci√≥n del Plato_16"/>
    <n v="16"/>
    <n v="28"/>
    <n v="2"/>
    <n v="55"/>
    <n v="56"/>
    <n v="24"/>
    <n v="0.42857142857142855"/>
  </r>
  <r>
    <x v="528"/>
    <n v="1"/>
    <s v="Plato_18"/>
    <s v="Descripci√≥n del Plato_18"/>
    <n v="20"/>
    <n v="34"/>
    <n v="1"/>
    <n v="24"/>
    <n v="34"/>
    <n v="14"/>
    <n v="0.41176470588235292"/>
  </r>
  <r>
    <x v="528"/>
    <n v="1"/>
    <s v="Plato_19"/>
    <s v="Descripci√≥n del Plato_19"/>
    <n v="22"/>
    <n v="36"/>
    <n v="2"/>
    <n v="51"/>
    <n v="72"/>
    <n v="28"/>
    <n v="0.3888888888888889"/>
  </r>
  <r>
    <x v="529"/>
    <n v="7"/>
    <s v="Plato_1"/>
    <s v="Descripci√≥n del Plato_1"/>
    <n v="15"/>
    <n v="25"/>
    <n v="2"/>
    <n v="19"/>
    <n v="50"/>
    <n v="20"/>
    <n v="0.4"/>
  </r>
  <r>
    <x v="529"/>
    <n v="7"/>
    <s v="Plato_16"/>
    <s v="Descripci√≥n del Plato_16"/>
    <n v="16"/>
    <n v="28"/>
    <n v="2"/>
    <n v="50"/>
    <n v="56"/>
    <n v="24"/>
    <n v="0.42857142857142855"/>
  </r>
  <r>
    <x v="529"/>
    <n v="7"/>
    <s v="Plato_4"/>
    <s v="Descripci√≥n del Plato_4"/>
    <n v="10"/>
    <n v="18"/>
    <n v="3"/>
    <n v="37"/>
    <n v="54"/>
    <n v="24"/>
    <n v="0.44444444444444442"/>
  </r>
  <r>
    <x v="530"/>
    <n v="9"/>
    <s v="Plato_13"/>
    <s v="Descripci√≥n del Plato_13"/>
    <n v="13"/>
    <n v="21"/>
    <n v="3"/>
    <n v="41"/>
    <n v="63"/>
    <n v="24"/>
    <n v="0.38095238095238093"/>
  </r>
  <r>
    <x v="530"/>
    <n v="9"/>
    <s v="Plato_20"/>
    <s v="Descripci√≥n del Plato_20"/>
    <n v="25"/>
    <n v="40"/>
    <n v="1"/>
    <n v="43"/>
    <n v="40"/>
    <n v="15"/>
    <n v="0.375"/>
  </r>
  <r>
    <x v="530"/>
    <n v="9"/>
    <s v="Plato_4"/>
    <s v="Descripci√≥n del Plato_4"/>
    <n v="10"/>
    <n v="18"/>
    <n v="3"/>
    <n v="56"/>
    <n v="54"/>
    <n v="24"/>
    <n v="0.44444444444444442"/>
  </r>
  <r>
    <x v="530"/>
    <n v="9"/>
    <s v="Plato_9"/>
    <s v="Descripci√≥n del Plato_9"/>
    <n v="17"/>
    <n v="29"/>
    <n v="3"/>
    <n v="59"/>
    <n v="87"/>
    <n v="36"/>
    <n v="0.41379310344827586"/>
  </r>
  <r>
    <x v="531"/>
    <n v="13"/>
    <s v="Plato_10"/>
    <s v="Descripci√≥n del Plato_10"/>
    <n v="15"/>
    <n v="26"/>
    <n v="2"/>
    <n v="28"/>
    <n v="52"/>
    <n v="22"/>
    <n v="0.42307692307692307"/>
  </r>
  <r>
    <x v="531"/>
    <n v="13"/>
    <s v="Plato_13"/>
    <s v="Descripci√≥n del Plato_13"/>
    <n v="13"/>
    <n v="21"/>
    <n v="1"/>
    <n v="24"/>
    <n v="21"/>
    <n v="8"/>
    <n v="0.38095238095238093"/>
  </r>
  <r>
    <x v="531"/>
    <n v="13"/>
    <s v="Plato_15"/>
    <s v="Descripci√≥n del Plato_15"/>
    <n v="19"/>
    <n v="32"/>
    <n v="2"/>
    <n v="7"/>
    <n v="64"/>
    <n v="26"/>
    <n v="0.40625"/>
  </r>
  <r>
    <x v="532"/>
    <n v="1"/>
    <s v="Plato_13"/>
    <s v="Descripci√≥n del Plato_13"/>
    <n v="13"/>
    <n v="21"/>
    <n v="1"/>
    <n v="14"/>
    <n v="21"/>
    <n v="8"/>
    <n v="0.38095238095238093"/>
  </r>
  <r>
    <x v="532"/>
    <n v="1"/>
    <s v="Plato_3"/>
    <s v="Descripci√≥n del Plato_3"/>
    <n v="12"/>
    <n v="20"/>
    <n v="1"/>
    <n v="34"/>
    <n v="20"/>
    <n v="8"/>
    <n v="0.4"/>
  </r>
  <r>
    <x v="533"/>
    <n v="1"/>
    <s v="Plato_7"/>
    <s v="Descripci√≥n del Plato_7"/>
    <n v="14"/>
    <n v="24"/>
    <n v="2"/>
    <n v="56"/>
    <n v="48"/>
    <n v="20"/>
    <n v="0.41666666666666669"/>
  </r>
  <r>
    <x v="533"/>
    <n v="1"/>
    <s v="Plato_8"/>
    <s v="Descripci√≥n del Plato_8"/>
    <n v="21"/>
    <n v="35"/>
    <n v="2"/>
    <n v="10"/>
    <n v="70"/>
    <n v="28"/>
    <n v="0.4"/>
  </r>
  <r>
    <x v="533"/>
    <n v="1"/>
    <s v="Plato_9"/>
    <s v="Descripci√≥n del Plato_9"/>
    <n v="17"/>
    <n v="29"/>
    <n v="1"/>
    <n v="10"/>
    <n v="29"/>
    <n v="12"/>
    <n v="0.41379310344827586"/>
  </r>
  <r>
    <x v="534"/>
    <n v="15"/>
    <s v="Plato_13"/>
    <s v="Descripci√≥n del Plato_13"/>
    <n v="13"/>
    <n v="21"/>
    <n v="1"/>
    <n v="14"/>
    <n v="21"/>
    <n v="8"/>
    <n v="0.38095238095238093"/>
  </r>
  <r>
    <x v="534"/>
    <n v="15"/>
    <s v="Plato_20"/>
    <s v="Descripci√≥n del Plato_20"/>
    <n v="25"/>
    <n v="40"/>
    <n v="3"/>
    <n v="48"/>
    <n v="120"/>
    <n v="45"/>
    <n v="0.375"/>
  </r>
  <r>
    <x v="534"/>
    <n v="15"/>
    <s v="Plato_7"/>
    <s v="Descripci√≥n del Plato_7"/>
    <n v="14"/>
    <n v="24"/>
    <n v="2"/>
    <n v="42"/>
    <n v="48"/>
    <n v="20"/>
    <n v="0.41666666666666669"/>
  </r>
  <r>
    <x v="534"/>
    <n v="15"/>
    <s v="Plato_9"/>
    <s v="Descripci√≥n del Plato_9"/>
    <n v="17"/>
    <n v="29"/>
    <n v="3"/>
    <n v="9"/>
    <n v="87"/>
    <n v="36"/>
    <n v="0.41379310344827586"/>
  </r>
  <r>
    <x v="535"/>
    <n v="9"/>
    <s v="Plato_14"/>
    <s v="Descripci√≥n del Plato_14"/>
    <n v="14"/>
    <n v="23"/>
    <n v="2"/>
    <n v="38"/>
    <n v="46"/>
    <n v="18"/>
    <n v="0.39130434782608697"/>
  </r>
  <r>
    <x v="535"/>
    <n v="9"/>
    <s v="Plato_2"/>
    <s v="Descripci√≥n del Plato_2"/>
    <n v="18"/>
    <n v="30"/>
    <n v="3"/>
    <n v="33"/>
    <n v="90"/>
    <n v="36"/>
    <n v="0.4"/>
  </r>
  <r>
    <x v="535"/>
    <n v="9"/>
    <s v="Plato_4"/>
    <s v="Descripci√≥n del Plato_4"/>
    <n v="10"/>
    <n v="18"/>
    <n v="1"/>
    <n v="29"/>
    <n v="18"/>
    <n v="8"/>
    <n v="0.44444444444444442"/>
  </r>
  <r>
    <x v="535"/>
    <n v="9"/>
    <s v="Plato_9"/>
    <s v="Descripci√≥n del Plato_9"/>
    <n v="17"/>
    <n v="29"/>
    <n v="2"/>
    <n v="52"/>
    <n v="58"/>
    <n v="24"/>
    <n v="0.41379310344827586"/>
  </r>
  <r>
    <x v="536"/>
    <n v="18"/>
    <s v="Plato_13"/>
    <s v="Descripci√≥n del Plato_13"/>
    <n v="13"/>
    <n v="21"/>
    <n v="3"/>
    <n v="21"/>
    <n v="63"/>
    <n v="24"/>
    <n v="0.38095238095238093"/>
  </r>
  <r>
    <x v="537"/>
    <n v="14"/>
    <s v="Plato_11"/>
    <s v="Descripci√≥n del Plato_11"/>
    <n v="20"/>
    <n v="33"/>
    <n v="1"/>
    <n v="58"/>
    <n v="33"/>
    <n v="13"/>
    <n v="0.39393939393939392"/>
  </r>
  <r>
    <x v="537"/>
    <n v="14"/>
    <s v="Plato_14"/>
    <s v="Descripci√≥n del Plato_14"/>
    <n v="14"/>
    <n v="23"/>
    <n v="1"/>
    <n v="39"/>
    <n v="23"/>
    <n v="9"/>
    <n v="0.39130434782608697"/>
  </r>
  <r>
    <x v="537"/>
    <n v="14"/>
    <s v="Plato_16"/>
    <s v="Descripci√≥n del Plato_16"/>
    <n v="16"/>
    <n v="28"/>
    <n v="2"/>
    <n v="46"/>
    <n v="56"/>
    <n v="24"/>
    <n v="0.42857142857142855"/>
  </r>
  <r>
    <x v="537"/>
    <n v="14"/>
    <s v="Plato_2"/>
    <s v="Descripci√≥n del Plato_2"/>
    <n v="18"/>
    <n v="30"/>
    <n v="1"/>
    <n v="55"/>
    <n v="30"/>
    <n v="12"/>
    <n v="0.4"/>
  </r>
  <r>
    <x v="538"/>
    <n v="18"/>
    <s v="Plato_2"/>
    <s v="Descripci√≥n del Plato_2"/>
    <n v="18"/>
    <n v="30"/>
    <n v="3"/>
    <n v="43"/>
    <n v="90"/>
    <n v="36"/>
    <n v="0.4"/>
  </r>
  <r>
    <x v="538"/>
    <n v="18"/>
    <s v="Plato_4"/>
    <s v="Descripci√≥n del Plato_4"/>
    <n v="10"/>
    <n v="18"/>
    <n v="2"/>
    <n v="28"/>
    <n v="36"/>
    <n v="16"/>
    <n v="0.44444444444444442"/>
  </r>
  <r>
    <x v="538"/>
    <n v="18"/>
    <s v="Plato_6"/>
    <s v="Descripci√≥n del Plato_6"/>
    <n v="16"/>
    <n v="27"/>
    <n v="1"/>
    <n v="40"/>
    <n v="27"/>
    <n v="11"/>
    <n v="0.40740740740740738"/>
  </r>
  <r>
    <x v="538"/>
    <n v="18"/>
    <s v="Plato_9"/>
    <s v="Descripci√≥n del Plato_9"/>
    <n v="17"/>
    <n v="29"/>
    <n v="3"/>
    <n v="18"/>
    <n v="87"/>
    <n v="36"/>
    <n v="0.41379310344827586"/>
  </r>
  <r>
    <x v="539"/>
    <n v="6"/>
    <s v="Plato_4"/>
    <s v="Descripci√≥n del Plato_4"/>
    <n v="10"/>
    <n v="18"/>
    <n v="3"/>
    <n v="47"/>
    <n v="54"/>
    <n v="24"/>
    <n v="0.44444444444444442"/>
  </r>
  <r>
    <x v="539"/>
    <n v="6"/>
    <s v="Plato_8"/>
    <s v="Descripci√≥n del Plato_8"/>
    <n v="21"/>
    <n v="35"/>
    <n v="2"/>
    <n v="35"/>
    <n v="70"/>
    <n v="28"/>
    <n v="0.4"/>
  </r>
  <r>
    <x v="540"/>
    <n v="19"/>
    <s v="Plato_11"/>
    <s v="Descripci√≥n del Plato_11"/>
    <n v="20"/>
    <n v="33"/>
    <n v="2"/>
    <n v="21"/>
    <n v="66"/>
    <n v="26"/>
    <n v="0.39393939393939392"/>
  </r>
  <r>
    <x v="540"/>
    <n v="19"/>
    <s v="Plato_12"/>
    <s v="Descripci√≥n del Plato_12"/>
    <n v="11"/>
    <n v="19"/>
    <n v="2"/>
    <n v="31"/>
    <n v="38"/>
    <n v="16"/>
    <n v="0.42105263157894735"/>
  </r>
  <r>
    <x v="540"/>
    <n v="19"/>
    <s v="Plato_14"/>
    <s v="Descripci√≥n del Plato_14"/>
    <n v="14"/>
    <n v="23"/>
    <n v="3"/>
    <n v="37"/>
    <n v="69"/>
    <n v="27"/>
    <n v="0.39130434782608697"/>
  </r>
  <r>
    <x v="540"/>
    <n v="19"/>
    <s v="Plato_9"/>
    <s v="Descripci√≥n del Plato_9"/>
    <n v="17"/>
    <n v="29"/>
    <n v="1"/>
    <n v="35"/>
    <n v="29"/>
    <n v="12"/>
    <n v="0.41379310344827586"/>
  </r>
  <r>
    <x v="541"/>
    <n v="9"/>
    <s v="Plato_10"/>
    <s v="Descripci√≥n del Plato_10"/>
    <n v="15"/>
    <n v="26"/>
    <n v="1"/>
    <n v="46"/>
    <n v="26"/>
    <n v="11"/>
    <n v="0.42307692307692307"/>
  </r>
  <r>
    <x v="541"/>
    <n v="9"/>
    <s v="Plato_18"/>
    <s v="Descripci√≥n del Plato_18"/>
    <n v="20"/>
    <n v="34"/>
    <n v="2"/>
    <n v="17"/>
    <n v="68"/>
    <n v="28"/>
    <n v="0.41176470588235292"/>
  </r>
  <r>
    <x v="541"/>
    <n v="9"/>
    <s v="Plato_6"/>
    <s v="Descripci√≥n del Plato_6"/>
    <n v="16"/>
    <n v="27"/>
    <n v="2"/>
    <n v="52"/>
    <n v="54"/>
    <n v="22"/>
    <n v="0.40740740740740738"/>
  </r>
  <r>
    <x v="542"/>
    <n v="19"/>
    <s v="Plato_15"/>
    <s v="Descripci√≥n del Plato_15"/>
    <n v="19"/>
    <n v="32"/>
    <n v="3"/>
    <n v="42"/>
    <n v="96"/>
    <n v="39"/>
    <n v="0.40625"/>
  </r>
  <r>
    <x v="542"/>
    <n v="19"/>
    <s v="Plato_16"/>
    <s v="Descripci√≥n del Plato_16"/>
    <n v="16"/>
    <n v="28"/>
    <n v="2"/>
    <n v="27"/>
    <n v="56"/>
    <n v="24"/>
    <n v="0.42857142857142855"/>
  </r>
  <r>
    <x v="542"/>
    <n v="19"/>
    <s v="Plato_6"/>
    <s v="Descripci√≥n del Plato_6"/>
    <n v="16"/>
    <n v="27"/>
    <n v="2"/>
    <n v="5"/>
    <n v="54"/>
    <n v="22"/>
    <n v="0.40740740740740738"/>
  </r>
  <r>
    <x v="543"/>
    <n v="7"/>
    <s v="Plato_8"/>
    <s v="Descripci√≥n del Plato_8"/>
    <n v="21"/>
    <n v="35"/>
    <n v="2"/>
    <n v="48"/>
    <n v="70"/>
    <n v="28"/>
    <n v="0.4"/>
  </r>
  <r>
    <x v="544"/>
    <n v="20"/>
    <s v="Plato_11"/>
    <s v="Descripci√≥n del Plato_11"/>
    <n v="20"/>
    <n v="33"/>
    <n v="3"/>
    <n v="57"/>
    <n v="99"/>
    <n v="39"/>
    <n v="0.39393939393939392"/>
  </r>
  <r>
    <x v="544"/>
    <n v="20"/>
    <s v="Plato_17"/>
    <s v="Descripci√≥n del Plato_17"/>
    <n v="19"/>
    <n v="31"/>
    <n v="1"/>
    <n v="42"/>
    <n v="31"/>
    <n v="12"/>
    <n v="0.38709677419354838"/>
  </r>
  <r>
    <x v="545"/>
    <n v="5"/>
    <s v="Plato_15"/>
    <s v="Descripci√≥n del Plato_15"/>
    <n v="19"/>
    <n v="32"/>
    <n v="2"/>
    <n v="33"/>
    <n v="64"/>
    <n v="26"/>
    <n v="0.40625"/>
  </r>
  <r>
    <x v="545"/>
    <n v="5"/>
    <s v="Plato_16"/>
    <s v="Descripci√≥n del Plato_16"/>
    <n v="16"/>
    <n v="28"/>
    <n v="1"/>
    <n v="58"/>
    <n v="28"/>
    <n v="12"/>
    <n v="0.42857142857142855"/>
  </r>
  <r>
    <x v="546"/>
    <n v="9"/>
    <s v="Plato_11"/>
    <s v="Descripci√≥n del Plato_11"/>
    <n v="20"/>
    <n v="33"/>
    <n v="3"/>
    <n v="54"/>
    <n v="99"/>
    <n v="39"/>
    <n v="0.39393939393939392"/>
  </r>
  <r>
    <x v="546"/>
    <n v="9"/>
    <s v="Plato_17"/>
    <s v="Descripci√≥n del Plato_17"/>
    <n v="19"/>
    <n v="31"/>
    <n v="3"/>
    <n v="13"/>
    <n v="93"/>
    <n v="36"/>
    <n v="0.38709677419354838"/>
  </r>
  <r>
    <x v="546"/>
    <n v="9"/>
    <s v="Plato_8"/>
    <s v="Descripci√≥n del Plato_8"/>
    <n v="21"/>
    <n v="35"/>
    <n v="1"/>
    <n v="30"/>
    <n v="35"/>
    <n v="14"/>
    <n v="0.4"/>
  </r>
  <r>
    <x v="547"/>
    <n v="4"/>
    <s v="Plato_17"/>
    <s v="Descripci√≥n del Plato_17"/>
    <n v="19"/>
    <n v="31"/>
    <n v="2"/>
    <n v="48"/>
    <n v="62"/>
    <n v="24"/>
    <n v="0.38709677419354838"/>
  </r>
  <r>
    <x v="547"/>
    <n v="4"/>
    <s v="Plato_18"/>
    <s v="Descripci√≥n del Plato_18"/>
    <n v="20"/>
    <n v="34"/>
    <n v="1"/>
    <n v="58"/>
    <n v="34"/>
    <n v="14"/>
    <n v="0.41176470588235292"/>
  </r>
  <r>
    <x v="548"/>
    <n v="12"/>
    <s v="Plato_1"/>
    <s v="Descripci√≥n del Plato_1"/>
    <n v="15"/>
    <n v="25"/>
    <n v="1"/>
    <n v="19"/>
    <n v="25"/>
    <n v="10"/>
    <n v="0.4"/>
  </r>
  <r>
    <x v="548"/>
    <n v="12"/>
    <s v="Plato_18"/>
    <s v="Descripci√≥n del Plato_18"/>
    <n v="20"/>
    <n v="34"/>
    <n v="3"/>
    <n v="59"/>
    <n v="102"/>
    <n v="42"/>
    <n v="0.41176470588235292"/>
  </r>
  <r>
    <x v="548"/>
    <n v="12"/>
    <s v="Plato_8"/>
    <s v="Descripci√≥n del Plato_8"/>
    <n v="21"/>
    <n v="35"/>
    <n v="1"/>
    <n v="20"/>
    <n v="35"/>
    <n v="14"/>
    <n v="0.4"/>
  </r>
  <r>
    <x v="549"/>
    <n v="1"/>
    <s v="Plato_2"/>
    <s v="Descripci√≥n del Plato_2"/>
    <n v="18"/>
    <n v="30"/>
    <n v="2"/>
    <n v="28"/>
    <n v="60"/>
    <n v="24"/>
    <n v="0.4"/>
  </r>
  <r>
    <x v="549"/>
    <n v="1"/>
    <s v="Plato_3"/>
    <s v="Descripci√≥n del Plato_3"/>
    <n v="12"/>
    <n v="20"/>
    <n v="2"/>
    <n v="24"/>
    <n v="40"/>
    <n v="16"/>
    <n v="0.4"/>
  </r>
  <r>
    <x v="549"/>
    <n v="1"/>
    <s v="Plato_7"/>
    <s v="Descripci√≥n del Plato_7"/>
    <n v="14"/>
    <n v="24"/>
    <n v="1"/>
    <n v="5"/>
    <n v="24"/>
    <n v="10"/>
    <n v="0.41666666666666669"/>
  </r>
  <r>
    <x v="550"/>
    <n v="4"/>
    <s v="Plato_13"/>
    <s v="Descripci√≥n del Plato_13"/>
    <n v="13"/>
    <n v="21"/>
    <n v="3"/>
    <n v="51"/>
    <n v="63"/>
    <n v="24"/>
    <n v="0.38095238095238093"/>
  </r>
  <r>
    <x v="550"/>
    <n v="4"/>
    <s v="Plato_2"/>
    <s v="Descripci√≥n del Plato_2"/>
    <n v="18"/>
    <n v="30"/>
    <n v="1"/>
    <n v="32"/>
    <n v="30"/>
    <n v="12"/>
    <n v="0.4"/>
  </r>
  <r>
    <x v="550"/>
    <n v="4"/>
    <s v="Plato_3"/>
    <s v="Descripci√≥n del Plato_3"/>
    <n v="12"/>
    <n v="20"/>
    <n v="3"/>
    <n v="11"/>
    <n v="60"/>
    <n v="24"/>
    <n v="0.4"/>
  </r>
  <r>
    <x v="550"/>
    <n v="4"/>
    <s v="Plato_4"/>
    <s v="Descripci√≥n del Plato_4"/>
    <n v="10"/>
    <n v="18"/>
    <n v="1"/>
    <n v="29"/>
    <n v="18"/>
    <n v="8"/>
    <n v="0.44444444444444442"/>
  </r>
  <r>
    <x v="551"/>
    <n v="11"/>
    <s v="Plato_13"/>
    <s v="Descripci√≥n del Plato_13"/>
    <n v="13"/>
    <n v="21"/>
    <n v="3"/>
    <n v="57"/>
    <n v="63"/>
    <n v="24"/>
    <n v="0.38095238095238093"/>
  </r>
  <r>
    <x v="551"/>
    <n v="11"/>
    <s v="Plato_20"/>
    <s v="Descripci√≥n del Plato_20"/>
    <n v="25"/>
    <n v="40"/>
    <n v="3"/>
    <n v="26"/>
    <n v="120"/>
    <n v="45"/>
    <n v="0.375"/>
  </r>
  <r>
    <x v="551"/>
    <n v="11"/>
    <s v="Plato_3"/>
    <s v="Descripci√≥n del Plato_3"/>
    <n v="12"/>
    <n v="20"/>
    <n v="3"/>
    <n v="32"/>
    <n v="60"/>
    <n v="24"/>
    <n v="0.4"/>
  </r>
  <r>
    <x v="552"/>
    <n v="14"/>
    <s v="Plato_1"/>
    <s v="Descripci√≥n del Plato_1"/>
    <n v="15"/>
    <n v="25"/>
    <n v="2"/>
    <n v="56"/>
    <n v="50"/>
    <n v="20"/>
    <n v="0.4"/>
  </r>
  <r>
    <x v="552"/>
    <n v="14"/>
    <s v="Plato_12"/>
    <s v="Descripci√≥n del Plato_12"/>
    <n v="11"/>
    <n v="19"/>
    <n v="1"/>
    <n v="42"/>
    <n v="19"/>
    <n v="8"/>
    <n v="0.42105263157894735"/>
  </r>
  <r>
    <x v="552"/>
    <n v="14"/>
    <s v="Plato_2"/>
    <s v="Descripci√≥n del Plato_2"/>
    <n v="18"/>
    <n v="30"/>
    <n v="3"/>
    <n v="26"/>
    <n v="90"/>
    <n v="36"/>
    <n v="0.4"/>
  </r>
  <r>
    <x v="552"/>
    <n v="14"/>
    <s v="Plato_5"/>
    <s v="Descripci√≥n del Plato_5"/>
    <n v="13"/>
    <n v="22"/>
    <n v="2"/>
    <n v="54"/>
    <n v="44"/>
    <n v="18"/>
    <n v="0.40909090909090912"/>
  </r>
  <r>
    <x v="553"/>
    <n v="10"/>
    <s v="Plato_14"/>
    <s v="Descripci√≥n del Plato_14"/>
    <n v="14"/>
    <n v="23"/>
    <n v="2"/>
    <n v="55"/>
    <n v="46"/>
    <n v="18"/>
    <n v="0.39130434782608697"/>
  </r>
  <r>
    <x v="553"/>
    <n v="10"/>
    <s v="Plato_20"/>
    <s v="Descripci√≥n del Plato_20"/>
    <n v="25"/>
    <n v="40"/>
    <n v="3"/>
    <n v="16"/>
    <n v="120"/>
    <n v="45"/>
    <n v="0.375"/>
  </r>
  <r>
    <x v="554"/>
    <n v="20"/>
    <s v="Plato_2"/>
    <s v="Descripci√≥n del Plato_2"/>
    <n v="18"/>
    <n v="30"/>
    <n v="1"/>
    <n v="46"/>
    <n v="30"/>
    <n v="12"/>
    <n v="0.4"/>
  </r>
  <r>
    <x v="555"/>
    <n v="9"/>
    <s v="Plato_4"/>
    <s v="Descripci√≥n del Plato_4"/>
    <n v="10"/>
    <n v="18"/>
    <n v="3"/>
    <n v="30"/>
    <n v="54"/>
    <n v="24"/>
    <n v="0.44444444444444442"/>
  </r>
  <r>
    <x v="555"/>
    <n v="9"/>
    <s v="Plato_5"/>
    <s v="Descripci√≥n del Plato_5"/>
    <n v="13"/>
    <n v="22"/>
    <n v="1"/>
    <n v="36"/>
    <n v="22"/>
    <n v="9"/>
    <n v="0.40909090909090912"/>
  </r>
  <r>
    <x v="556"/>
    <n v="7"/>
    <s v="Plato_1"/>
    <s v="Descripci√≥n del Plato_1"/>
    <n v="15"/>
    <n v="25"/>
    <n v="2"/>
    <n v="38"/>
    <n v="50"/>
    <n v="20"/>
    <n v="0.4"/>
  </r>
  <r>
    <x v="556"/>
    <n v="7"/>
    <s v="Plato_13"/>
    <s v="Descripci√≥n del Plato_13"/>
    <n v="13"/>
    <n v="21"/>
    <n v="3"/>
    <n v="22"/>
    <n v="63"/>
    <n v="24"/>
    <n v="0.38095238095238093"/>
  </r>
  <r>
    <x v="556"/>
    <n v="7"/>
    <s v="Plato_15"/>
    <s v="Descripci√≥n del Plato_15"/>
    <n v="19"/>
    <n v="32"/>
    <n v="2"/>
    <n v="47"/>
    <n v="64"/>
    <n v="26"/>
    <n v="0.40625"/>
  </r>
  <r>
    <x v="557"/>
    <n v="6"/>
    <s v="Plato_1"/>
    <s v="Descripci√≥n del Plato_1"/>
    <n v="15"/>
    <n v="25"/>
    <n v="2"/>
    <n v="54"/>
    <n v="50"/>
    <n v="20"/>
    <n v="0.4"/>
  </r>
  <r>
    <x v="557"/>
    <n v="6"/>
    <s v="Plato_11"/>
    <s v="Descripci√≥n del Plato_11"/>
    <n v="20"/>
    <n v="33"/>
    <n v="1"/>
    <n v="57"/>
    <n v="33"/>
    <n v="13"/>
    <n v="0.39393939393939392"/>
  </r>
  <r>
    <x v="557"/>
    <n v="6"/>
    <s v="Plato_15"/>
    <s v="Descripci√≥n del Plato_15"/>
    <n v="19"/>
    <n v="32"/>
    <n v="3"/>
    <n v="56"/>
    <n v="96"/>
    <n v="39"/>
    <n v="0.40625"/>
  </r>
  <r>
    <x v="558"/>
    <n v="11"/>
    <s v="Plato_11"/>
    <s v="Descripci√≥n del Plato_11"/>
    <n v="20"/>
    <n v="33"/>
    <n v="3"/>
    <n v="41"/>
    <n v="99"/>
    <n v="39"/>
    <n v="0.39393939393939392"/>
  </r>
  <r>
    <x v="559"/>
    <n v="6"/>
    <s v="Plato_1"/>
    <s v="Descripci√≥n del Plato_1"/>
    <n v="15"/>
    <n v="25"/>
    <n v="3"/>
    <n v="12"/>
    <n v="75"/>
    <n v="30"/>
    <n v="0.4"/>
  </r>
  <r>
    <x v="559"/>
    <n v="6"/>
    <s v="Plato_4"/>
    <s v="Descripci√≥n del Plato_4"/>
    <n v="10"/>
    <n v="18"/>
    <n v="2"/>
    <n v="36"/>
    <n v="36"/>
    <n v="16"/>
    <n v="0.44444444444444442"/>
  </r>
  <r>
    <x v="560"/>
    <n v="4"/>
    <s v="Plato_14"/>
    <s v="Descripci√≥n del Plato_14"/>
    <n v="14"/>
    <n v="23"/>
    <n v="2"/>
    <n v="8"/>
    <n v="46"/>
    <n v="18"/>
    <n v="0.39130434782608697"/>
  </r>
  <r>
    <x v="560"/>
    <n v="4"/>
    <s v="Plato_4"/>
    <s v="Descripci√≥n del Plato_4"/>
    <n v="10"/>
    <n v="18"/>
    <n v="1"/>
    <n v="56"/>
    <n v="18"/>
    <n v="8"/>
    <n v="0.44444444444444442"/>
  </r>
  <r>
    <x v="561"/>
    <n v="20"/>
    <s v="Plato_17"/>
    <s v="Descripci√≥n del Plato_17"/>
    <n v="19"/>
    <n v="31"/>
    <n v="2"/>
    <n v="42"/>
    <n v="62"/>
    <n v="24"/>
    <n v="0.38709677419354838"/>
  </r>
  <r>
    <x v="561"/>
    <n v="20"/>
    <s v="Plato_20"/>
    <s v="Descripci√≥n del Plato_20"/>
    <n v="25"/>
    <n v="40"/>
    <n v="3"/>
    <n v="41"/>
    <n v="120"/>
    <n v="45"/>
    <n v="0.375"/>
  </r>
  <r>
    <x v="561"/>
    <n v="20"/>
    <s v="Plato_7"/>
    <s v="Descripci√≥n del Plato_7"/>
    <n v="14"/>
    <n v="24"/>
    <n v="2"/>
    <n v="22"/>
    <n v="48"/>
    <n v="20"/>
    <n v="0.41666666666666669"/>
  </r>
  <r>
    <x v="561"/>
    <n v="20"/>
    <s v="Plato_9"/>
    <s v="Descripci√≥n del Plato_9"/>
    <n v="17"/>
    <n v="29"/>
    <n v="2"/>
    <n v="7"/>
    <n v="58"/>
    <n v="24"/>
    <n v="0.41379310344827586"/>
  </r>
  <r>
    <x v="562"/>
    <n v="12"/>
    <s v="Plato_6"/>
    <s v="Descripci√≥n del Plato_6"/>
    <n v="16"/>
    <n v="27"/>
    <n v="2"/>
    <n v="37"/>
    <n v="54"/>
    <n v="22"/>
    <n v="0.40740740740740738"/>
  </r>
  <r>
    <x v="563"/>
    <n v="9"/>
    <s v="Plato_19"/>
    <s v="Descripci√≥n del Plato_19"/>
    <n v="22"/>
    <n v="36"/>
    <n v="1"/>
    <n v="7"/>
    <n v="36"/>
    <n v="14"/>
    <n v="0.3888888888888889"/>
  </r>
  <r>
    <x v="563"/>
    <n v="9"/>
    <s v="Plato_20"/>
    <s v="Descripci√≥n del Plato_20"/>
    <n v="25"/>
    <n v="40"/>
    <n v="2"/>
    <n v="36"/>
    <n v="80"/>
    <n v="30"/>
    <n v="0.375"/>
  </r>
  <r>
    <x v="563"/>
    <n v="9"/>
    <s v="Plato_3"/>
    <s v="Descripci√≥n del Plato_3"/>
    <n v="12"/>
    <n v="20"/>
    <n v="2"/>
    <n v="11"/>
    <n v="40"/>
    <n v="16"/>
    <n v="0.4"/>
  </r>
  <r>
    <x v="564"/>
    <n v="3"/>
    <s v="Plato_11"/>
    <s v="Descripci√≥n del Plato_11"/>
    <n v="20"/>
    <n v="33"/>
    <n v="2"/>
    <n v="21"/>
    <n v="66"/>
    <n v="26"/>
    <n v="0.39393939393939392"/>
  </r>
  <r>
    <x v="564"/>
    <n v="3"/>
    <s v="Plato_15"/>
    <s v="Descripci√≥n del Plato_15"/>
    <n v="19"/>
    <n v="32"/>
    <n v="3"/>
    <n v="19"/>
    <n v="96"/>
    <n v="39"/>
    <n v="0.40625"/>
  </r>
  <r>
    <x v="564"/>
    <n v="3"/>
    <s v="Plato_4"/>
    <s v="Descripci√≥n del Plato_4"/>
    <n v="10"/>
    <n v="18"/>
    <n v="3"/>
    <n v="53"/>
    <n v="54"/>
    <n v="24"/>
    <n v="0.44444444444444442"/>
  </r>
  <r>
    <x v="564"/>
    <n v="3"/>
    <s v="Plato_8"/>
    <s v="Descripci√≥n del Plato_8"/>
    <n v="21"/>
    <n v="35"/>
    <n v="1"/>
    <n v="5"/>
    <n v="35"/>
    <n v="14"/>
    <n v="0.4"/>
  </r>
  <r>
    <x v="565"/>
    <n v="4"/>
    <s v="Plato_10"/>
    <s v="Descripci√≥n del Plato_10"/>
    <n v="15"/>
    <n v="26"/>
    <n v="3"/>
    <n v="56"/>
    <n v="78"/>
    <n v="33"/>
    <n v="0.42307692307692307"/>
  </r>
  <r>
    <x v="566"/>
    <n v="15"/>
    <s v="Plato_11"/>
    <s v="Descripci√≥n del Plato_11"/>
    <n v="20"/>
    <n v="33"/>
    <n v="2"/>
    <n v="34"/>
    <n v="66"/>
    <n v="26"/>
    <n v="0.39393939393939392"/>
  </r>
  <r>
    <x v="566"/>
    <n v="15"/>
    <s v="Plato_13"/>
    <s v="Descripci√≥n del Plato_13"/>
    <n v="13"/>
    <n v="21"/>
    <n v="3"/>
    <n v="41"/>
    <n v="63"/>
    <n v="24"/>
    <n v="0.38095238095238093"/>
  </r>
  <r>
    <x v="566"/>
    <n v="15"/>
    <s v="Plato_16"/>
    <s v="Descripci√≥n del Plato_16"/>
    <n v="16"/>
    <n v="28"/>
    <n v="2"/>
    <n v="9"/>
    <n v="56"/>
    <n v="24"/>
    <n v="0.42857142857142855"/>
  </r>
  <r>
    <x v="566"/>
    <n v="15"/>
    <s v="Plato_18"/>
    <s v="Descripci√≥n del Plato_18"/>
    <n v="20"/>
    <n v="34"/>
    <n v="2"/>
    <n v="18"/>
    <n v="68"/>
    <n v="28"/>
    <n v="0.41176470588235292"/>
  </r>
  <r>
    <x v="567"/>
    <n v="5"/>
    <s v="Plato_18"/>
    <s v="Descripci√≥n del Plato_18"/>
    <n v="20"/>
    <n v="34"/>
    <n v="3"/>
    <n v="40"/>
    <n v="102"/>
    <n v="42"/>
    <n v="0.41176470588235292"/>
  </r>
  <r>
    <x v="567"/>
    <n v="5"/>
    <s v="Plato_20"/>
    <s v="Descripci√≥n del Plato_20"/>
    <n v="25"/>
    <n v="40"/>
    <n v="2"/>
    <n v="44"/>
    <n v="80"/>
    <n v="30"/>
    <n v="0.375"/>
  </r>
  <r>
    <x v="568"/>
    <n v="12"/>
    <s v="Plato_13"/>
    <s v="Descripci√≥n del Plato_13"/>
    <n v="13"/>
    <n v="21"/>
    <n v="3"/>
    <n v="32"/>
    <n v="63"/>
    <n v="24"/>
    <n v="0.38095238095238093"/>
  </r>
  <r>
    <x v="568"/>
    <n v="12"/>
    <s v="Plato_18"/>
    <s v="Descripci√≥n del Plato_18"/>
    <n v="20"/>
    <n v="34"/>
    <n v="2"/>
    <n v="26"/>
    <n v="68"/>
    <n v="28"/>
    <n v="0.41176470588235292"/>
  </r>
  <r>
    <x v="569"/>
    <n v="1"/>
    <s v="Plato_10"/>
    <s v="Descripci√≥n del Plato_10"/>
    <n v="15"/>
    <n v="26"/>
    <n v="2"/>
    <n v="8"/>
    <n v="52"/>
    <n v="22"/>
    <n v="0.42307692307692307"/>
  </r>
  <r>
    <x v="569"/>
    <n v="1"/>
    <s v="Plato_11"/>
    <s v="Descripci√≥n del Plato_11"/>
    <n v="20"/>
    <n v="33"/>
    <n v="1"/>
    <n v="38"/>
    <n v="33"/>
    <n v="13"/>
    <n v="0.39393939393939392"/>
  </r>
  <r>
    <x v="570"/>
    <n v="15"/>
    <s v="Plato_6"/>
    <s v="Descripci√≥n del Plato_6"/>
    <n v="16"/>
    <n v="27"/>
    <n v="2"/>
    <n v="26"/>
    <n v="54"/>
    <n v="22"/>
    <n v="0.40740740740740738"/>
  </r>
  <r>
    <x v="571"/>
    <n v="19"/>
    <s v="Plato_2"/>
    <s v="Descripci√≥n del Plato_2"/>
    <n v="18"/>
    <n v="30"/>
    <n v="1"/>
    <n v="34"/>
    <n v="30"/>
    <n v="12"/>
    <n v="0.4"/>
  </r>
  <r>
    <x v="571"/>
    <n v="19"/>
    <s v="Plato_5"/>
    <s v="Descripci√≥n del Plato_5"/>
    <n v="13"/>
    <n v="22"/>
    <n v="2"/>
    <n v="10"/>
    <n v="44"/>
    <n v="18"/>
    <n v="0.40909090909090912"/>
  </r>
  <r>
    <x v="572"/>
    <n v="7"/>
    <s v="Plato_13"/>
    <s v="Descripci√≥n del Plato_13"/>
    <n v="13"/>
    <n v="21"/>
    <n v="3"/>
    <n v="41"/>
    <n v="63"/>
    <n v="24"/>
    <n v="0.38095238095238093"/>
  </r>
  <r>
    <x v="572"/>
    <n v="7"/>
    <s v="Plato_18"/>
    <s v="Descripci√≥n del Plato_18"/>
    <n v="20"/>
    <n v="34"/>
    <n v="3"/>
    <n v="28"/>
    <n v="102"/>
    <n v="42"/>
    <n v="0.41176470588235292"/>
  </r>
  <r>
    <x v="573"/>
    <n v="20"/>
    <s v="Plato_10"/>
    <s v="Descripci√≥n del Plato_10"/>
    <n v="15"/>
    <n v="26"/>
    <n v="3"/>
    <n v="50"/>
    <n v="78"/>
    <n v="33"/>
    <n v="0.42307692307692307"/>
  </r>
  <r>
    <x v="573"/>
    <n v="20"/>
    <s v="Plato_13"/>
    <s v="Descripci√≥n del Plato_13"/>
    <n v="13"/>
    <n v="21"/>
    <n v="1"/>
    <n v="41"/>
    <n v="21"/>
    <n v="8"/>
    <n v="0.38095238095238093"/>
  </r>
  <r>
    <x v="573"/>
    <n v="20"/>
    <s v="Plato_19"/>
    <s v="Descripci√≥n del Plato_19"/>
    <n v="22"/>
    <n v="36"/>
    <n v="2"/>
    <n v="40"/>
    <n v="72"/>
    <n v="28"/>
    <n v="0.3888888888888889"/>
  </r>
  <r>
    <x v="573"/>
    <n v="20"/>
    <s v="Plato_4"/>
    <s v="Descripci√≥n del Plato_4"/>
    <n v="10"/>
    <n v="18"/>
    <n v="2"/>
    <n v="37"/>
    <n v="36"/>
    <n v="16"/>
    <n v="0.44444444444444442"/>
  </r>
  <r>
    <x v="574"/>
    <n v="15"/>
    <s v="Plato_4"/>
    <s v="Descripci√≥n del Plato_4"/>
    <n v="10"/>
    <n v="18"/>
    <n v="1"/>
    <n v="44"/>
    <n v="18"/>
    <n v="8"/>
    <n v="0.44444444444444442"/>
  </r>
  <r>
    <x v="575"/>
    <n v="9"/>
    <s v="Plato_11"/>
    <s v="Descripci√≥n del Plato_11"/>
    <n v="20"/>
    <n v="33"/>
    <n v="1"/>
    <n v="46"/>
    <n v="33"/>
    <n v="13"/>
    <n v="0.39393939393939392"/>
  </r>
  <r>
    <x v="575"/>
    <n v="9"/>
    <s v="Plato_17"/>
    <s v="Descripci√≥n del Plato_17"/>
    <n v="19"/>
    <n v="31"/>
    <n v="3"/>
    <n v="32"/>
    <n v="93"/>
    <n v="36"/>
    <n v="0.38709677419354838"/>
  </r>
  <r>
    <x v="575"/>
    <n v="9"/>
    <s v="Plato_19"/>
    <s v="Descripci√≥n del Plato_19"/>
    <n v="22"/>
    <n v="36"/>
    <n v="3"/>
    <n v="37"/>
    <n v="108"/>
    <n v="42"/>
    <n v="0.3888888888888889"/>
  </r>
  <r>
    <x v="576"/>
    <n v="5"/>
    <s v="Plato_4"/>
    <s v="Descripci√≥n del Plato_4"/>
    <n v="10"/>
    <n v="18"/>
    <n v="1"/>
    <n v="10"/>
    <n v="18"/>
    <n v="8"/>
    <n v="0.44444444444444442"/>
  </r>
  <r>
    <x v="576"/>
    <n v="5"/>
    <s v="Plato_5"/>
    <s v="Descripci√≥n del Plato_5"/>
    <n v="13"/>
    <n v="22"/>
    <n v="1"/>
    <n v="15"/>
    <n v="22"/>
    <n v="9"/>
    <n v="0.40909090909090912"/>
  </r>
  <r>
    <x v="577"/>
    <n v="11"/>
    <s v="Plato_2"/>
    <s v="Descripci√≥n del Plato_2"/>
    <n v="18"/>
    <n v="30"/>
    <n v="3"/>
    <n v="44"/>
    <n v="90"/>
    <n v="36"/>
    <n v="0.4"/>
  </r>
  <r>
    <x v="578"/>
    <n v="9"/>
    <s v="Plato_1"/>
    <s v="Descripci√≥n del Plato_1"/>
    <n v="15"/>
    <n v="25"/>
    <n v="2"/>
    <n v="48"/>
    <n v="50"/>
    <n v="20"/>
    <n v="0.4"/>
  </r>
  <r>
    <x v="579"/>
    <n v="10"/>
    <s v="Plato_11"/>
    <s v="Descripci√≥n del Plato_11"/>
    <n v="20"/>
    <n v="33"/>
    <n v="1"/>
    <n v="30"/>
    <n v="33"/>
    <n v="13"/>
    <n v="0.39393939393939392"/>
  </r>
  <r>
    <x v="580"/>
    <n v="18"/>
    <s v="Plato_11"/>
    <s v="Descripci√≥n del Plato_11"/>
    <n v="20"/>
    <n v="33"/>
    <n v="1"/>
    <n v="15"/>
    <n v="33"/>
    <n v="13"/>
    <n v="0.39393939393939392"/>
  </r>
  <r>
    <x v="580"/>
    <n v="18"/>
    <s v="Plato_2"/>
    <s v="Descripci√≥n del Plato_2"/>
    <n v="18"/>
    <n v="30"/>
    <n v="3"/>
    <n v="40"/>
    <n v="90"/>
    <n v="36"/>
    <n v="0.4"/>
  </r>
  <r>
    <x v="581"/>
    <n v="3"/>
    <s v="Plato_6"/>
    <s v="Descripci√≥n del Plato_6"/>
    <n v="16"/>
    <n v="27"/>
    <n v="2"/>
    <n v="42"/>
    <n v="54"/>
    <n v="22"/>
    <n v="0.40740740740740738"/>
  </r>
  <r>
    <x v="582"/>
    <n v="9"/>
    <s v="Plato_12"/>
    <s v="Descripci√≥n del Plato_12"/>
    <n v="11"/>
    <n v="19"/>
    <n v="3"/>
    <n v="15"/>
    <n v="57"/>
    <n v="24"/>
    <n v="0.42105263157894735"/>
  </r>
  <r>
    <x v="582"/>
    <n v="9"/>
    <s v="Plato_20"/>
    <s v="Descripci√≥n del Plato_20"/>
    <n v="25"/>
    <n v="40"/>
    <n v="3"/>
    <n v="50"/>
    <n v="120"/>
    <n v="45"/>
    <n v="0.375"/>
  </r>
  <r>
    <x v="582"/>
    <n v="9"/>
    <s v="Plato_4"/>
    <s v="Descripci√≥n del Plato_4"/>
    <n v="10"/>
    <n v="18"/>
    <n v="1"/>
    <n v="11"/>
    <n v="18"/>
    <n v="8"/>
    <n v="0.44444444444444442"/>
  </r>
  <r>
    <x v="582"/>
    <n v="9"/>
    <s v="Plato_7"/>
    <s v="Descripci√≥n del Plato_7"/>
    <n v="14"/>
    <n v="24"/>
    <n v="2"/>
    <n v="29"/>
    <n v="48"/>
    <n v="20"/>
    <n v="0.41666666666666669"/>
  </r>
  <r>
    <x v="583"/>
    <n v="9"/>
    <s v="Plato_13"/>
    <s v="Descripci√≥n del Plato_13"/>
    <n v="13"/>
    <n v="21"/>
    <n v="1"/>
    <n v="57"/>
    <n v="21"/>
    <n v="8"/>
    <n v="0.38095238095238093"/>
  </r>
  <r>
    <x v="583"/>
    <n v="9"/>
    <s v="Plato_16"/>
    <s v="Descripci√≥n del Plato_16"/>
    <n v="16"/>
    <n v="28"/>
    <n v="2"/>
    <n v="23"/>
    <n v="56"/>
    <n v="24"/>
    <n v="0.42857142857142855"/>
  </r>
  <r>
    <x v="583"/>
    <n v="9"/>
    <s v="Plato_17"/>
    <s v="Descripci√≥n del Plato_17"/>
    <n v="19"/>
    <n v="31"/>
    <n v="2"/>
    <n v="34"/>
    <n v="62"/>
    <n v="24"/>
    <n v="0.38709677419354838"/>
  </r>
  <r>
    <x v="584"/>
    <n v="3"/>
    <s v="Plato_1"/>
    <s v="Descripci√≥n del Plato_1"/>
    <n v="15"/>
    <n v="25"/>
    <n v="1"/>
    <n v="30"/>
    <n v="25"/>
    <n v="10"/>
    <n v="0.4"/>
  </r>
  <r>
    <x v="584"/>
    <n v="3"/>
    <s v="Plato_15"/>
    <s v="Descripci√≥n del Plato_15"/>
    <n v="19"/>
    <n v="32"/>
    <n v="1"/>
    <n v="35"/>
    <n v="32"/>
    <n v="13"/>
    <n v="0.40625"/>
  </r>
  <r>
    <x v="584"/>
    <n v="3"/>
    <s v="Plato_4"/>
    <s v="Descripci√≥n del Plato_4"/>
    <n v="10"/>
    <n v="18"/>
    <n v="2"/>
    <n v="22"/>
    <n v="36"/>
    <n v="16"/>
    <n v="0.44444444444444442"/>
  </r>
  <r>
    <x v="584"/>
    <n v="3"/>
    <s v="Plato_8"/>
    <s v="Descripci√≥n del Plato_8"/>
    <n v="21"/>
    <n v="35"/>
    <n v="1"/>
    <n v="8"/>
    <n v="35"/>
    <n v="14"/>
    <n v="0.4"/>
  </r>
  <r>
    <x v="585"/>
    <n v="17"/>
    <s v="Plato_11"/>
    <s v="Descripci√≥n del Plato_11"/>
    <n v="20"/>
    <n v="33"/>
    <n v="3"/>
    <n v="47"/>
    <n v="99"/>
    <n v="39"/>
    <n v="0.39393939393939392"/>
  </r>
  <r>
    <x v="585"/>
    <n v="17"/>
    <s v="Plato_7"/>
    <s v="Descripci√≥n del Plato_7"/>
    <n v="14"/>
    <n v="24"/>
    <n v="3"/>
    <n v="45"/>
    <n v="72"/>
    <n v="30"/>
    <n v="0.41666666666666669"/>
  </r>
  <r>
    <x v="586"/>
    <n v="7"/>
    <s v="Plato_7"/>
    <s v="Descripci√≥n del Plato_7"/>
    <n v="14"/>
    <n v="24"/>
    <n v="2"/>
    <n v="43"/>
    <n v="48"/>
    <n v="20"/>
    <n v="0.41666666666666669"/>
  </r>
  <r>
    <x v="587"/>
    <n v="15"/>
    <s v="Plato_1"/>
    <s v="Descripci√≥n del Plato_1"/>
    <n v="15"/>
    <n v="25"/>
    <n v="3"/>
    <n v="12"/>
    <n v="75"/>
    <n v="30"/>
    <n v="0.4"/>
  </r>
  <r>
    <x v="587"/>
    <n v="15"/>
    <s v="Plato_10"/>
    <s v="Descripci√≥n del Plato_10"/>
    <n v="15"/>
    <n v="26"/>
    <n v="1"/>
    <n v="25"/>
    <n v="26"/>
    <n v="11"/>
    <n v="0.42307692307692307"/>
  </r>
  <r>
    <x v="588"/>
    <n v="10"/>
    <s v="Plato_13"/>
    <s v="Descripci√≥n del Plato_13"/>
    <n v="13"/>
    <n v="21"/>
    <n v="3"/>
    <n v="7"/>
    <n v="63"/>
    <n v="24"/>
    <n v="0.38095238095238093"/>
  </r>
  <r>
    <x v="588"/>
    <n v="10"/>
    <s v="Plato_14"/>
    <s v="Descripci√≥n del Plato_14"/>
    <n v="14"/>
    <n v="23"/>
    <n v="1"/>
    <n v="45"/>
    <n v="23"/>
    <n v="9"/>
    <n v="0.39130434782608697"/>
  </r>
  <r>
    <x v="588"/>
    <n v="10"/>
    <s v="Plato_15"/>
    <s v="Descripci√≥n del Plato_15"/>
    <n v="19"/>
    <n v="32"/>
    <n v="3"/>
    <n v="9"/>
    <n v="96"/>
    <n v="39"/>
    <n v="0.40625"/>
  </r>
  <r>
    <x v="588"/>
    <n v="10"/>
    <s v="Plato_18"/>
    <s v="Descripci√≥n del Plato_18"/>
    <n v="20"/>
    <n v="34"/>
    <n v="3"/>
    <n v="59"/>
    <n v="102"/>
    <n v="42"/>
    <n v="0.41176470588235292"/>
  </r>
  <r>
    <x v="589"/>
    <n v="3"/>
    <s v="Plato_18"/>
    <s v="Descripci√≥n del Plato_18"/>
    <n v="20"/>
    <n v="34"/>
    <n v="3"/>
    <n v="43"/>
    <n v="102"/>
    <n v="42"/>
    <n v="0.41176470588235292"/>
  </r>
  <r>
    <x v="589"/>
    <n v="3"/>
    <s v="Plato_3"/>
    <s v="Descripci√≥n del Plato_3"/>
    <n v="12"/>
    <n v="20"/>
    <n v="1"/>
    <n v="21"/>
    <n v="20"/>
    <n v="8"/>
    <n v="0.4"/>
  </r>
  <r>
    <x v="590"/>
    <n v="11"/>
    <s v="Plato_20"/>
    <s v="Descripci√≥n del Plato_20"/>
    <n v="25"/>
    <n v="40"/>
    <n v="3"/>
    <n v="51"/>
    <n v="120"/>
    <n v="45"/>
    <n v="0.375"/>
  </r>
  <r>
    <x v="591"/>
    <n v="5"/>
    <s v="Plato_1"/>
    <s v="Descripci√≥n del Plato_1"/>
    <n v="15"/>
    <n v="25"/>
    <n v="2"/>
    <n v="42"/>
    <n v="50"/>
    <n v="20"/>
    <n v="0.4"/>
  </r>
  <r>
    <x v="591"/>
    <n v="5"/>
    <s v="Plato_5"/>
    <s v="Descripci√≥n del Plato_5"/>
    <n v="13"/>
    <n v="22"/>
    <n v="2"/>
    <n v="59"/>
    <n v="44"/>
    <n v="18"/>
    <n v="0.40909090909090912"/>
  </r>
  <r>
    <x v="592"/>
    <n v="17"/>
    <s v="Plato_11"/>
    <s v="Descripci√≥n del Plato_11"/>
    <n v="20"/>
    <n v="33"/>
    <n v="2"/>
    <n v="5"/>
    <n v="66"/>
    <n v="26"/>
    <n v="0.39393939393939392"/>
  </r>
  <r>
    <x v="592"/>
    <n v="17"/>
    <s v="Plato_17"/>
    <s v="Descripci√≥n del Plato_17"/>
    <n v="19"/>
    <n v="31"/>
    <n v="1"/>
    <n v="8"/>
    <n v="31"/>
    <n v="12"/>
    <n v="0.38709677419354838"/>
  </r>
  <r>
    <x v="592"/>
    <n v="17"/>
    <s v="Plato_19"/>
    <s v="Descripci√≥n del Plato_19"/>
    <n v="22"/>
    <n v="36"/>
    <n v="2"/>
    <n v="5"/>
    <n v="72"/>
    <n v="28"/>
    <n v="0.3888888888888889"/>
  </r>
  <r>
    <x v="592"/>
    <n v="17"/>
    <s v="Plato_20"/>
    <s v="Descripci√≥n del Plato_20"/>
    <n v="25"/>
    <n v="40"/>
    <n v="1"/>
    <n v="30"/>
    <n v="40"/>
    <n v="15"/>
    <n v="0.375"/>
  </r>
  <r>
    <x v="593"/>
    <n v="17"/>
    <s v="Plato_11"/>
    <s v="Descripci√≥n del Plato_11"/>
    <n v="20"/>
    <n v="33"/>
    <n v="1"/>
    <n v="5"/>
    <n v="33"/>
    <n v="13"/>
    <n v="0.39393939393939392"/>
  </r>
  <r>
    <x v="593"/>
    <n v="17"/>
    <s v="Plato_3"/>
    <s v="Descripci√≥n del Plato_3"/>
    <n v="12"/>
    <n v="20"/>
    <n v="2"/>
    <n v="49"/>
    <n v="40"/>
    <n v="16"/>
    <n v="0.4"/>
  </r>
  <r>
    <x v="593"/>
    <n v="17"/>
    <s v="Plato_5"/>
    <s v="Descripci√≥n del Plato_5"/>
    <n v="13"/>
    <n v="22"/>
    <n v="3"/>
    <n v="44"/>
    <n v="66"/>
    <n v="27"/>
    <n v="0.40909090909090912"/>
  </r>
  <r>
    <x v="594"/>
    <n v="9"/>
    <s v="Plato_13"/>
    <s v="Descripci√≥n del Plato_13"/>
    <n v="13"/>
    <n v="21"/>
    <n v="2"/>
    <n v="5"/>
    <n v="42"/>
    <n v="16"/>
    <n v="0.38095238095238093"/>
  </r>
  <r>
    <x v="594"/>
    <n v="9"/>
    <s v="Plato_2"/>
    <s v="Descripci√≥n del Plato_2"/>
    <n v="18"/>
    <n v="30"/>
    <n v="1"/>
    <n v="44"/>
    <n v="30"/>
    <n v="12"/>
    <n v="0.4"/>
  </r>
  <r>
    <x v="595"/>
    <n v="18"/>
    <s v="Plato_1"/>
    <s v="Descripci√≥n del Plato_1"/>
    <n v="15"/>
    <n v="25"/>
    <n v="2"/>
    <n v="19"/>
    <n v="50"/>
    <n v="20"/>
    <n v="0.4"/>
  </r>
  <r>
    <x v="595"/>
    <n v="18"/>
    <s v="Plato_14"/>
    <s v="Descripci√≥n del Plato_14"/>
    <n v="14"/>
    <n v="23"/>
    <n v="2"/>
    <n v="47"/>
    <n v="46"/>
    <n v="18"/>
    <n v="0.39130434782608697"/>
  </r>
  <r>
    <x v="595"/>
    <n v="18"/>
    <s v="Plato_15"/>
    <s v="Descripci√≥n del Plato_15"/>
    <n v="19"/>
    <n v="32"/>
    <n v="3"/>
    <n v="42"/>
    <n v="96"/>
    <n v="39"/>
    <n v="0.40625"/>
  </r>
  <r>
    <x v="595"/>
    <n v="18"/>
    <s v="Plato_7"/>
    <s v="Descripci√≥n del Plato_7"/>
    <n v="14"/>
    <n v="24"/>
    <n v="2"/>
    <n v="50"/>
    <n v="48"/>
    <n v="20"/>
    <n v="0.41666666666666669"/>
  </r>
  <r>
    <x v="596"/>
    <n v="16"/>
    <s v="Plato_16"/>
    <s v="Descripci√≥n del Plato_16"/>
    <n v="16"/>
    <n v="28"/>
    <n v="1"/>
    <n v="39"/>
    <n v="28"/>
    <n v="12"/>
    <n v="0.42857142857142855"/>
  </r>
  <r>
    <x v="596"/>
    <n v="16"/>
    <s v="Plato_20"/>
    <s v="Descripci√≥n del Plato_20"/>
    <n v="25"/>
    <n v="40"/>
    <n v="2"/>
    <n v="39"/>
    <n v="80"/>
    <n v="30"/>
    <n v="0.375"/>
  </r>
  <r>
    <x v="596"/>
    <n v="16"/>
    <s v="Plato_4"/>
    <s v="Descripci√≥n del Plato_4"/>
    <n v="10"/>
    <n v="18"/>
    <n v="1"/>
    <n v="55"/>
    <n v="18"/>
    <n v="8"/>
    <n v="0.44444444444444442"/>
  </r>
  <r>
    <x v="596"/>
    <n v="16"/>
    <s v="Plato_7"/>
    <s v="Descripci√≥n del Plato_7"/>
    <n v="14"/>
    <n v="24"/>
    <n v="1"/>
    <n v="8"/>
    <n v="24"/>
    <n v="10"/>
    <n v="0.41666666666666669"/>
  </r>
  <r>
    <x v="597"/>
    <n v="9"/>
    <s v="Plato_10"/>
    <s v="Descripci√≥n del Plato_10"/>
    <n v="15"/>
    <n v="26"/>
    <n v="2"/>
    <n v="44"/>
    <n v="52"/>
    <n v="22"/>
    <n v="0.42307692307692307"/>
  </r>
  <r>
    <x v="597"/>
    <n v="9"/>
    <s v="Plato_15"/>
    <s v="Descripci√≥n del Plato_15"/>
    <n v="19"/>
    <n v="32"/>
    <n v="2"/>
    <n v="22"/>
    <n v="64"/>
    <n v="26"/>
    <n v="0.40625"/>
  </r>
  <r>
    <x v="597"/>
    <n v="9"/>
    <s v="Plato_17"/>
    <s v="Descripci√≥n del Plato_17"/>
    <n v="19"/>
    <n v="31"/>
    <n v="3"/>
    <n v="15"/>
    <n v="93"/>
    <n v="36"/>
    <n v="0.38709677419354838"/>
  </r>
  <r>
    <x v="598"/>
    <n v="11"/>
    <s v="Plato_17"/>
    <s v="Descripci√≥n del Plato_17"/>
    <n v="19"/>
    <n v="31"/>
    <n v="1"/>
    <n v="49"/>
    <n v="31"/>
    <n v="12"/>
    <n v="0.38709677419354838"/>
  </r>
  <r>
    <x v="598"/>
    <n v="11"/>
    <s v="Plato_18"/>
    <s v="Descripci√≥n del Plato_18"/>
    <n v="20"/>
    <n v="34"/>
    <n v="2"/>
    <n v="5"/>
    <n v="68"/>
    <n v="28"/>
    <n v="0.41176470588235292"/>
  </r>
  <r>
    <x v="598"/>
    <n v="11"/>
    <s v="Plato_8"/>
    <s v="Descripci√≥n del Plato_8"/>
    <n v="21"/>
    <n v="35"/>
    <n v="2"/>
    <n v="54"/>
    <n v="70"/>
    <n v="28"/>
    <n v="0.4"/>
  </r>
  <r>
    <x v="599"/>
    <n v="14"/>
    <s v="Plato_16"/>
    <s v="Descripci√≥n del Plato_16"/>
    <n v="16"/>
    <n v="28"/>
    <n v="3"/>
    <n v="22"/>
    <n v="84"/>
    <n v="36"/>
    <n v="0.42857142857142855"/>
  </r>
  <r>
    <x v="599"/>
    <n v="14"/>
    <s v="Plato_2"/>
    <s v="Descripci√≥n del Plato_2"/>
    <n v="18"/>
    <n v="30"/>
    <n v="2"/>
    <n v="43"/>
    <n v="60"/>
    <n v="24"/>
    <n v="0.4"/>
  </r>
  <r>
    <x v="600"/>
    <n v="13"/>
    <s v="Plato_14"/>
    <s v="Descripci√≥n del Plato_14"/>
    <n v="14"/>
    <n v="23"/>
    <n v="1"/>
    <n v="44"/>
    <n v="23"/>
    <n v="9"/>
    <n v="0.39130434782608697"/>
  </r>
  <r>
    <x v="600"/>
    <n v="13"/>
    <s v="Plato_16"/>
    <s v="Descripci√≥n del Plato_16"/>
    <n v="16"/>
    <n v="28"/>
    <n v="3"/>
    <n v="28"/>
    <n v="84"/>
    <n v="36"/>
    <n v="0.42857142857142855"/>
  </r>
  <r>
    <x v="600"/>
    <n v="13"/>
    <s v="Plato_20"/>
    <s v="Descripci√≥n del Plato_20"/>
    <n v="25"/>
    <n v="40"/>
    <n v="2"/>
    <n v="11"/>
    <n v="80"/>
    <n v="30"/>
    <n v="0.375"/>
  </r>
  <r>
    <x v="600"/>
    <n v="13"/>
    <s v="Plato_8"/>
    <s v="Descripci√≥n del Plato_8"/>
    <n v="21"/>
    <n v="35"/>
    <n v="3"/>
    <n v="32"/>
    <n v="105"/>
    <n v="42"/>
    <n v="0.4"/>
  </r>
  <r>
    <x v="601"/>
    <n v="12"/>
    <s v="Plato_2"/>
    <s v="Descripci√≥n del Plato_2"/>
    <n v="18"/>
    <n v="30"/>
    <n v="3"/>
    <n v="12"/>
    <n v="90"/>
    <n v="36"/>
    <n v="0.4"/>
  </r>
  <r>
    <x v="601"/>
    <n v="12"/>
    <s v="Plato_20"/>
    <s v="Descripci√≥n del Plato_20"/>
    <n v="25"/>
    <n v="40"/>
    <n v="1"/>
    <n v="36"/>
    <n v="40"/>
    <n v="15"/>
    <n v="0.375"/>
  </r>
  <r>
    <x v="601"/>
    <n v="12"/>
    <s v="Plato_5"/>
    <s v="Descripci√≥n del Plato_5"/>
    <n v="13"/>
    <n v="22"/>
    <n v="3"/>
    <n v="58"/>
    <n v="66"/>
    <n v="27"/>
    <n v="0.40909090909090912"/>
  </r>
  <r>
    <x v="601"/>
    <n v="12"/>
    <s v="Plato_8"/>
    <s v="Descripci√≥n del Plato_8"/>
    <n v="21"/>
    <n v="35"/>
    <n v="2"/>
    <n v="56"/>
    <n v="70"/>
    <n v="28"/>
    <n v="0.4"/>
  </r>
  <r>
    <x v="602"/>
    <n v="19"/>
    <s v="Plato_17"/>
    <s v="Descripci√≥n del Plato_17"/>
    <n v="19"/>
    <n v="31"/>
    <n v="2"/>
    <n v="17"/>
    <n v="62"/>
    <n v="24"/>
    <n v="0.38709677419354838"/>
  </r>
  <r>
    <x v="603"/>
    <n v="14"/>
    <s v="Plato_8"/>
    <s v="Descripci√≥n del Plato_8"/>
    <n v="21"/>
    <n v="35"/>
    <n v="3"/>
    <n v="42"/>
    <n v="105"/>
    <n v="42"/>
    <n v="0.4"/>
  </r>
  <r>
    <x v="604"/>
    <n v="19"/>
    <s v="Plato_2"/>
    <s v="Descripci√≥n del Plato_2"/>
    <n v="18"/>
    <n v="30"/>
    <n v="3"/>
    <n v="50"/>
    <n v="90"/>
    <n v="36"/>
    <n v="0.4"/>
  </r>
  <r>
    <x v="604"/>
    <n v="19"/>
    <s v="Plato_20"/>
    <s v="Descripci√≥n del Plato_20"/>
    <n v="25"/>
    <n v="40"/>
    <n v="1"/>
    <n v="24"/>
    <n v="40"/>
    <n v="15"/>
    <n v="0.375"/>
  </r>
  <r>
    <x v="604"/>
    <n v="19"/>
    <s v="Plato_3"/>
    <s v="Descripci√≥n del Plato_3"/>
    <n v="12"/>
    <n v="20"/>
    <n v="1"/>
    <n v="47"/>
    <n v="20"/>
    <n v="8"/>
    <n v="0.4"/>
  </r>
  <r>
    <x v="604"/>
    <n v="19"/>
    <s v="Plato_8"/>
    <s v="Descripci√≥n del Plato_8"/>
    <n v="21"/>
    <n v="35"/>
    <n v="2"/>
    <n v="55"/>
    <n v="70"/>
    <n v="28"/>
    <n v="0.4"/>
  </r>
  <r>
    <x v="605"/>
    <n v="1"/>
    <s v="Plato_1"/>
    <s v="Descripci√≥n del Plato_1"/>
    <n v="15"/>
    <n v="25"/>
    <n v="2"/>
    <n v="47"/>
    <n v="50"/>
    <n v="20"/>
    <n v="0.4"/>
  </r>
  <r>
    <x v="605"/>
    <n v="1"/>
    <s v="Plato_10"/>
    <s v="Descripci√≥n del Plato_10"/>
    <n v="15"/>
    <n v="26"/>
    <n v="2"/>
    <n v="50"/>
    <n v="52"/>
    <n v="22"/>
    <n v="0.42307692307692307"/>
  </r>
  <r>
    <x v="605"/>
    <n v="1"/>
    <s v="Plato_6"/>
    <s v="Descripci√≥n del Plato_6"/>
    <n v="16"/>
    <n v="27"/>
    <n v="3"/>
    <n v="48"/>
    <n v="81"/>
    <n v="33"/>
    <n v="0.40740740740740738"/>
  </r>
  <r>
    <x v="606"/>
    <n v="10"/>
    <s v="Plato_16"/>
    <s v="Descripci√≥n del Plato_16"/>
    <n v="16"/>
    <n v="28"/>
    <n v="1"/>
    <n v="44"/>
    <n v="28"/>
    <n v="12"/>
    <n v="0.42857142857142855"/>
  </r>
  <r>
    <x v="606"/>
    <n v="10"/>
    <s v="Plato_20"/>
    <s v="Descripci√≥n del Plato_20"/>
    <n v="25"/>
    <n v="40"/>
    <n v="1"/>
    <n v="25"/>
    <n v="40"/>
    <n v="15"/>
    <n v="0.375"/>
  </r>
  <r>
    <x v="607"/>
    <n v="7"/>
    <s v="Plato_9"/>
    <s v="Descripci√≥n del Plato_9"/>
    <n v="17"/>
    <n v="29"/>
    <n v="1"/>
    <n v="45"/>
    <n v="29"/>
    <n v="12"/>
    <n v="0.41379310344827586"/>
  </r>
  <r>
    <x v="608"/>
    <n v="1"/>
    <s v="Plato_15"/>
    <s v="Descripci√≥n del Plato_15"/>
    <n v="19"/>
    <n v="32"/>
    <n v="1"/>
    <n v="27"/>
    <n v="32"/>
    <n v="13"/>
    <n v="0.40625"/>
  </r>
  <r>
    <x v="609"/>
    <n v="19"/>
    <s v="Plato_10"/>
    <s v="Descripci√≥n del Plato_10"/>
    <n v="15"/>
    <n v="26"/>
    <n v="1"/>
    <n v="39"/>
    <n v="26"/>
    <n v="11"/>
    <n v="0.42307692307692307"/>
  </r>
  <r>
    <x v="609"/>
    <n v="19"/>
    <s v="Plato_4"/>
    <s v="Descripci√≥n del Plato_4"/>
    <n v="10"/>
    <n v="18"/>
    <n v="1"/>
    <n v="8"/>
    <n v="18"/>
    <n v="8"/>
    <n v="0.44444444444444442"/>
  </r>
  <r>
    <x v="610"/>
    <n v="13"/>
    <s v="Plato_13"/>
    <s v="Descripci√≥n del Plato_13"/>
    <n v="13"/>
    <n v="21"/>
    <n v="2"/>
    <n v="53"/>
    <n v="42"/>
    <n v="16"/>
    <n v="0.38095238095238093"/>
  </r>
  <r>
    <x v="610"/>
    <n v="13"/>
    <s v="Plato_19"/>
    <s v="Descripci√≥n del Plato_19"/>
    <n v="22"/>
    <n v="36"/>
    <n v="1"/>
    <n v="30"/>
    <n v="36"/>
    <n v="14"/>
    <n v="0.3888888888888889"/>
  </r>
  <r>
    <x v="611"/>
    <n v="11"/>
    <s v="Plato_16"/>
    <s v="Descripci√≥n del Plato_16"/>
    <n v="16"/>
    <n v="28"/>
    <n v="2"/>
    <n v="15"/>
    <n v="56"/>
    <n v="24"/>
    <n v="0.42857142857142855"/>
  </r>
  <r>
    <x v="611"/>
    <n v="11"/>
    <s v="Plato_19"/>
    <s v="Descripci√≥n del Plato_19"/>
    <n v="22"/>
    <n v="36"/>
    <n v="3"/>
    <n v="37"/>
    <n v="108"/>
    <n v="42"/>
    <n v="0.3888888888888889"/>
  </r>
  <r>
    <x v="611"/>
    <n v="11"/>
    <s v="Plato_3"/>
    <s v="Descripci√≥n del Plato_3"/>
    <n v="12"/>
    <n v="20"/>
    <n v="2"/>
    <n v="51"/>
    <n v="40"/>
    <n v="16"/>
    <n v="0.4"/>
  </r>
  <r>
    <x v="611"/>
    <n v="11"/>
    <s v="Plato_6"/>
    <s v="Descripci√≥n del Plato_6"/>
    <n v="16"/>
    <n v="27"/>
    <n v="1"/>
    <n v="26"/>
    <n v="27"/>
    <n v="11"/>
    <n v="0.40740740740740738"/>
  </r>
  <r>
    <x v="612"/>
    <n v="1"/>
    <s v="Plato_12"/>
    <s v="Descripci√≥n del Plato_12"/>
    <n v="11"/>
    <n v="19"/>
    <n v="3"/>
    <n v="41"/>
    <n v="57"/>
    <n v="24"/>
    <n v="0.42105263157894735"/>
  </r>
  <r>
    <x v="612"/>
    <n v="1"/>
    <s v="Plato_14"/>
    <s v="Descripci√≥n del Plato_14"/>
    <n v="14"/>
    <n v="23"/>
    <n v="3"/>
    <n v="23"/>
    <n v="69"/>
    <n v="27"/>
    <n v="0.39130434782608697"/>
  </r>
  <r>
    <x v="612"/>
    <n v="1"/>
    <s v="Plato_4"/>
    <s v="Descripci√≥n del Plato_4"/>
    <n v="10"/>
    <n v="18"/>
    <n v="3"/>
    <n v="31"/>
    <n v="54"/>
    <n v="24"/>
    <n v="0.44444444444444442"/>
  </r>
  <r>
    <x v="612"/>
    <n v="1"/>
    <s v="Plato_8"/>
    <s v="Descripci√≥n del Plato_8"/>
    <n v="21"/>
    <n v="35"/>
    <n v="3"/>
    <n v="57"/>
    <n v="105"/>
    <n v="42"/>
    <n v="0.4"/>
  </r>
  <r>
    <x v="613"/>
    <n v="19"/>
    <s v="Plato_7"/>
    <s v="Descripci√≥n del Plato_7"/>
    <n v="14"/>
    <n v="24"/>
    <n v="3"/>
    <n v="50"/>
    <n v="72"/>
    <n v="30"/>
    <n v="0.41666666666666669"/>
  </r>
  <r>
    <x v="614"/>
    <n v="7"/>
    <s v="Plato_1"/>
    <s v="Descripci√≥n del Plato_1"/>
    <n v="15"/>
    <n v="25"/>
    <n v="3"/>
    <n v="41"/>
    <n v="75"/>
    <n v="30"/>
    <n v="0.4"/>
  </r>
  <r>
    <x v="614"/>
    <n v="7"/>
    <s v="Plato_14"/>
    <s v="Descripci√≥n del Plato_14"/>
    <n v="14"/>
    <n v="23"/>
    <n v="3"/>
    <n v="43"/>
    <n v="69"/>
    <n v="27"/>
    <n v="0.39130434782608697"/>
  </r>
  <r>
    <x v="614"/>
    <n v="7"/>
    <s v="Plato_15"/>
    <s v="Descripci√≥n del Plato_15"/>
    <n v="19"/>
    <n v="32"/>
    <n v="3"/>
    <n v="22"/>
    <n v="96"/>
    <n v="39"/>
    <n v="0.40625"/>
  </r>
  <r>
    <x v="614"/>
    <n v="7"/>
    <s v="Plato_17"/>
    <s v="Descripci√≥n del Plato_17"/>
    <n v="19"/>
    <n v="31"/>
    <n v="3"/>
    <n v="50"/>
    <n v="93"/>
    <n v="36"/>
    <n v="0.38709677419354838"/>
  </r>
  <r>
    <x v="615"/>
    <n v="4"/>
    <s v="Plato_2"/>
    <s v="Descripci√≥n del Plato_2"/>
    <n v="18"/>
    <n v="30"/>
    <n v="2"/>
    <n v="14"/>
    <n v="60"/>
    <n v="24"/>
    <n v="0.4"/>
  </r>
  <r>
    <x v="615"/>
    <n v="4"/>
    <s v="Plato_7"/>
    <s v="Descripci√≥n del Plato_7"/>
    <n v="14"/>
    <n v="24"/>
    <n v="3"/>
    <n v="33"/>
    <n v="72"/>
    <n v="30"/>
    <n v="0.41666666666666669"/>
  </r>
  <r>
    <x v="616"/>
    <n v="13"/>
    <s v="Plato_10"/>
    <s v="Descripci√≥n del Plato_10"/>
    <n v="15"/>
    <n v="26"/>
    <n v="2"/>
    <n v="18"/>
    <n v="52"/>
    <n v="22"/>
    <n v="0.42307692307692307"/>
  </r>
  <r>
    <x v="616"/>
    <n v="13"/>
    <s v="Plato_2"/>
    <s v="Descripci√≥n del Plato_2"/>
    <n v="18"/>
    <n v="30"/>
    <n v="3"/>
    <n v="33"/>
    <n v="90"/>
    <n v="36"/>
    <n v="0.4"/>
  </r>
  <r>
    <x v="617"/>
    <n v="3"/>
    <s v="Plato_15"/>
    <s v="Descripci√≥n del Plato_15"/>
    <n v="19"/>
    <n v="32"/>
    <n v="2"/>
    <n v="6"/>
    <n v="64"/>
    <n v="26"/>
    <n v="0.40625"/>
  </r>
  <r>
    <x v="617"/>
    <n v="3"/>
    <s v="Plato_17"/>
    <s v="Descripci√≥n del Plato_17"/>
    <n v="19"/>
    <n v="31"/>
    <n v="3"/>
    <n v="35"/>
    <n v="93"/>
    <n v="36"/>
    <n v="0.38709677419354838"/>
  </r>
  <r>
    <x v="617"/>
    <n v="3"/>
    <s v="Plato_19"/>
    <s v="Descripci√≥n del Plato_19"/>
    <n v="22"/>
    <n v="36"/>
    <n v="3"/>
    <n v="53"/>
    <n v="108"/>
    <n v="42"/>
    <n v="0.3888888888888889"/>
  </r>
  <r>
    <x v="617"/>
    <n v="3"/>
    <s v="Plato_4"/>
    <s v="Descripci√≥n del Plato_4"/>
    <n v="10"/>
    <n v="18"/>
    <n v="3"/>
    <n v="24"/>
    <n v="54"/>
    <n v="24"/>
    <n v="0.44444444444444442"/>
  </r>
  <r>
    <x v="618"/>
    <n v="6"/>
    <s v="Plato_10"/>
    <s v="Descripci√≥n del Plato_10"/>
    <n v="15"/>
    <n v="26"/>
    <n v="3"/>
    <n v="56"/>
    <n v="78"/>
    <n v="33"/>
    <n v="0.42307692307692307"/>
  </r>
  <r>
    <x v="618"/>
    <n v="6"/>
    <s v="Plato_6"/>
    <s v="Descripci√≥n del Plato_6"/>
    <n v="16"/>
    <n v="27"/>
    <n v="2"/>
    <n v="40"/>
    <n v="54"/>
    <n v="22"/>
    <n v="0.40740740740740738"/>
  </r>
  <r>
    <x v="619"/>
    <n v="16"/>
    <s v="Plato_12"/>
    <s v="Descripci√≥n del Plato_12"/>
    <n v="11"/>
    <n v="19"/>
    <n v="3"/>
    <n v="40"/>
    <n v="57"/>
    <n v="24"/>
    <n v="0.42105263157894735"/>
  </r>
  <r>
    <x v="620"/>
    <n v="5"/>
    <s v="Plato_8"/>
    <s v="Descripci√≥n del Plato_8"/>
    <n v="21"/>
    <n v="35"/>
    <n v="3"/>
    <n v="8"/>
    <n v="105"/>
    <n v="42"/>
    <n v="0.4"/>
  </r>
  <r>
    <x v="621"/>
    <n v="7"/>
    <s v="Plato_16"/>
    <s v="Descripci√≥n del Plato_16"/>
    <n v="16"/>
    <n v="28"/>
    <n v="1"/>
    <n v="25"/>
    <n v="28"/>
    <n v="12"/>
    <n v="0.42857142857142855"/>
  </r>
  <r>
    <x v="621"/>
    <n v="7"/>
    <s v="Plato_17"/>
    <s v="Descripci√≥n del Plato_17"/>
    <n v="19"/>
    <n v="31"/>
    <n v="3"/>
    <n v="53"/>
    <n v="93"/>
    <n v="36"/>
    <n v="0.38709677419354838"/>
  </r>
  <r>
    <x v="622"/>
    <n v="13"/>
    <s v="Plato_1"/>
    <s v="Descripci√≥n del Plato_1"/>
    <n v="15"/>
    <n v="25"/>
    <n v="1"/>
    <n v="20"/>
    <n v="25"/>
    <n v="10"/>
    <n v="0.4"/>
  </r>
  <r>
    <x v="622"/>
    <n v="13"/>
    <s v="Plato_15"/>
    <s v="Descripci√≥n del Plato_15"/>
    <n v="19"/>
    <n v="32"/>
    <n v="3"/>
    <n v="43"/>
    <n v="96"/>
    <n v="39"/>
    <n v="0.40625"/>
  </r>
  <r>
    <x v="622"/>
    <n v="13"/>
    <s v="Plato_5"/>
    <s v="Descripci√≥n del Plato_5"/>
    <n v="13"/>
    <n v="22"/>
    <n v="2"/>
    <n v="23"/>
    <n v="44"/>
    <n v="18"/>
    <n v="0.40909090909090912"/>
  </r>
  <r>
    <x v="622"/>
    <n v="13"/>
    <s v="Plato_8"/>
    <s v="Descripci√≥n del Plato_8"/>
    <n v="21"/>
    <n v="35"/>
    <n v="2"/>
    <n v="59"/>
    <n v="70"/>
    <n v="28"/>
    <n v="0.4"/>
  </r>
  <r>
    <x v="623"/>
    <n v="1"/>
    <s v="Plato_13"/>
    <s v="Descripci√≥n del Plato_13"/>
    <n v="13"/>
    <n v="21"/>
    <n v="2"/>
    <n v="15"/>
    <n v="42"/>
    <n v="16"/>
    <n v="0.38095238095238093"/>
  </r>
  <r>
    <x v="623"/>
    <n v="1"/>
    <s v="Plato_19"/>
    <s v="Descripci√≥n del Plato_19"/>
    <n v="22"/>
    <n v="36"/>
    <n v="1"/>
    <n v="19"/>
    <n v="36"/>
    <n v="14"/>
    <n v="0.3888888888888889"/>
  </r>
  <r>
    <x v="623"/>
    <n v="1"/>
    <s v="Plato_7"/>
    <s v="Descripci√≥n del Plato_7"/>
    <n v="14"/>
    <n v="24"/>
    <n v="1"/>
    <n v="45"/>
    <n v="24"/>
    <n v="10"/>
    <n v="0.41666666666666669"/>
  </r>
  <r>
    <x v="624"/>
    <n v="5"/>
    <s v="Plato_13"/>
    <s v="Descripci√≥n del Plato_13"/>
    <n v="13"/>
    <n v="21"/>
    <n v="3"/>
    <n v="39"/>
    <n v="63"/>
    <n v="24"/>
    <n v="0.38095238095238093"/>
  </r>
  <r>
    <x v="624"/>
    <n v="5"/>
    <s v="Plato_20"/>
    <s v="Descripci√≥n del Plato_20"/>
    <n v="25"/>
    <n v="40"/>
    <n v="1"/>
    <n v="46"/>
    <n v="40"/>
    <n v="15"/>
    <n v="0.375"/>
  </r>
  <r>
    <x v="624"/>
    <n v="5"/>
    <s v="Plato_4"/>
    <s v="Descripci√≥n del Plato_4"/>
    <n v="10"/>
    <n v="18"/>
    <n v="2"/>
    <n v="12"/>
    <n v="36"/>
    <n v="16"/>
    <n v="0.44444444444444442"/>
  </r>
  <r>
    <x v="625"/>
    <n v="14"/>
    <s v="Plato_2"/>
    <s v="Descripci√≥n del Plato_2"/>
    <n v="18"/>
    <n v="30"/>
    <n v="2"/>
    <n v="11"/>
    <n v="60"/>
    <n v="24"/>
    <n v="0.4"/>
  </r>
  <r>
    <x v="625"/>
    <n v="14"/>
    <s v="Plato_7"/>
    <s v="Descripci√≥n del Plato_7"/>
    <n v="14"/>
    <n v="24"/>
    <n v="2"/>
    <n v="36"/>
    <n v="48"/>
    <n v="20"/>
    <n v="0.41666666666666669"/>
  </r>
  <r>
    <x v="625"/>
    <n v="14"/>
    <s v="Plato_9"/>
    <s v="Descripci√≥n del Plato_9"/>
    <n v="17"/>
    <n v="29"/>
    <n v="1"/>
    <n v="11"/>
    <n v="29"/>
    <n v="12"/>
    <n v="0.41379310344827586"/>
  </r>
  <r>
    <x v="626"/>
    <n v="4"/>
    <s v="Plato_13"/>
    <s v="Descripci√≥n del Plato_13"/>
    <n v="13"/>
    <n v="21"/>
    <n v="1"/>
    <n v="37"/>
    <n v="21"/>
    <n v="8"/>
    <n v="0.38095238095238093"/>
  </r>
  <r>
    <x v="627"/>
    <n v="2"/>
    <s v="Plato_20"/>
    <s v="Descripci√≥n del Plato_20"/>
    <n v="25"/>
    <n v="40"/>
    <n v="3"/>
    <n v="33"/>
    <n v="120"/>
    <n v="45"/>
    <n v="0.375"/>
  </r>
  <r>
    <x v="627"/>
    <n v="2"/>
    <s v="Plato_7"/>
    <s v="Descripci√≥n del Plato_7"/>
    <n v="14"/>
    <n v="24"/>
    <n v="2"/>
    <n v="10"/>
    <n v="48"/>
    <n v="20"/>
    <n v="0.41666666666666669"/>
  </r>
  <r>
    <x v="628"/>
    <n v="17"/>
    <s v="Plato_18"/>
    <s v="Descripci√≥n del Plato_18"/>
    <n v="20"/>
    <n v="34"/>
    <n v="1"/>
    <n v="22"/>
    <n v="34"/>
    <n v="14"/>
    <n v="0.41176470588235292"/>
  </r>
  <r>
    <x v="628"/>
    <n v="17"/>
    <s v="Plato_3"/>
    <s v="Descripci√≥n del Plato_3"/>
    <n v="12"/>
    <n v="20"/>
    <n v="3"/>
    <n v="19"/>
    <n v="60"/>
    <n v="24"/>
    <n v="0.4"/>
  </r>
  <r>
    <x v="628"/>
    <n v="17"/>
    <s v="Plato_4"/>
    <s v="Descripci√≥n del Plato_4"/>
    <n v="10"/>
    <n v="18"/>
    <n v="2"/>
    <n v="43"/>
    <n v="36"/>
    <n v="16"/>
    <n v="0.44444444444444442"/>
  </r>
  <r>
    <x v="629"/>
    <n v="2"/>
    <s v="Plato_17"/>
    <s v="Descripci√≥n del Plato_17"/>
    <n v="19"/>
    <n v="31"/>
    <n v="2"/>
    <n v="19"/>
    <n v="62"/>
    <n v="24"/>
    <n v="0.38709677419354838"/>
  </r>
  <r>
    <x v="629"/>
    <n v="2"/>
    <s v="Plato_20"/>
    <s v="Descripci√≥n del Plato_20"/>
    <n v="25"/>
    <n v="40"/>
    <n v="3"/>
    <n v="56"/>
    <n v="120"/>
    <n v="45"/>
    <n v="0.375"/>
  </r>
  <r>
    <x v="630"/>
    <n v="6"/>
    <s v="Plato_5"/>
    <s v="Descripci√≥n del Plato_5"/>
    <n v="13"/>
    <n v="22"/>
    <n v="3"/>
    <n v="46"/>
    <n v="66"/>
    <n v="27"/>
    <n v="0.40909090909090912"/>
  </r>
  <r>
    <x v="631"/>
    <n v="16"/>
    <s v="Plato_11"/>
    <s v="Descripci√≥n del Plato_11"/>
    <n v="20"/>
    <n v="33"/>
    <n v="1"/>
    <n v="47"/>
    <n v="33"/>
    <n v="13"/>
    <n v="0.39393939393939392"/>
  </r>
  <r>
    <x v="631"/>
    <n v="16"/>
    <s v="Plato_15"/>
    <s v="Descripci√≥n del Plato_15"/>
    <n v="19"/>
    <n v="32"/>
    <n v="3"/>
    <n v="41"/>
    <n v="96"/>
    <n v="39"/>
    <n v="0.40625"/>
  </r>
  <r>
    <x v="632"/>
    <n v="16"/>
    <s v="Plato_2"/>
    <s v="Descripci√≥n del Plato_2"/>
    <n v="18"/>
    <n v="30"/>
    <n v="3"/>
    <n v="10"/>
    <n v="90"/>
    <n v="36"/>
    <n v="0.4"/>
  </r>
  <r>
    <x v="632"/>
    <n v="16"/>
    <s v="Plato_4"/>
    <s v="Descripci√≥n del Plato_4"/>
    <n v="10"/>
    <n v="18"/>
    <n v="3"/>
    <n v="54"/>
    <n v="54"/>
    <n v="24"/>
    <n v="0.44444444444444442"/>
  </r>
  <r>
    <x v="632"/>
    <n v="16"/>
    <s v="Plato_5"/>
    <s v="Descripci√≥n del Plato_5"/>
    <n v="13"/>
    <n v="22"/>
    <n v="2"/>
    <n v="34"/>
    <n v="44"/>
    <n v="18"/>
    <n v="0.40909090909090912"/>
  </r>
  <r>
    <x v="632"/>
    <n v="16"/>
    <s v="Plato_7"/>
    <s v="Descripci√≥n del Plato_7"/>
    <n v="14"/>
    <n v="24"/>
    <n v="2"/>
    <n v="51"/>
    <n v="48"/>
    <n v="20"/>
    <n v="0.41666666666666669"/>
  </r>
  <r>
    <x v="633"/>
    <n v="2"/>
    <s v="Plato_1"/>
    <s v="Descripci√≥n del Plato_1"/>
    <n v="15"/>
    <n v="25"/>
    <n v="3"/>
    <n v="43"/>
    <n v="75"/>
    <n v="30"/>
    <n v="0.4"/>
  </r>
  <r>
    <x v="633"/>
    <n v="2"/>
    <s v="Plato_20"/>
    <s v="Descripci√≥n del Plato_20"/>
    <n v="25"/>
    <n v="40"/>
    <n v="3"/>
    <n v="38"/>
    <n v="120"/>
    <n v="45"/>
    <n v="0.375"/>
  </r>
  <r>
    <x v="633"/>
    <n v="2"/>
    <s v="Plato_5"/>
    <s v="Descripci√≥n del Plato_5"/>
    <n v="13"/>
    <n v="22"/>
    <n v="2"/>
    <n v="25"/>
    <n v="44"/>
    <n v="18"/>
    <n v="0.40909090909090912"/>
  </r>
  <r>
    <x v="633"/>
    <n v="2"/>
    <s v="Plato_8"/>
    <s v="Descripci√≥n del Plato_8"/>
    <n v="21"/>
    <n v="35"/>
    <n v="3"/>
    <n v="51"/>
    <n v="105"/>
    <n v="42"/>
    <n v="0.4"/>
  </r>
  <r>
    <x v="634"/>
    <n v="5"/>
    <s v="Plato_9"/>
    <s v="Descripci√≥n del Plato_9"/>
    <n v="17"/>
    <n v="29"/>
    <n v="2"/>
    <n v="25"/>
    <n v="58"/>
    <n v="24"/>
    <n v="0.41379310344827586"/>
  </r>
  <r>
    <x v="635"/>
    <n v="14"/>
    <s v="Plato_12"/>
    <s v="Descripci√≥n del Plato_12"/>
    <n v="11"/>
    <n v="19"/>
    <n v="3"/>
    <n v="54"/>
    <n v="57"/>
    <n v="24"/>
    <n v="0.42105263157894735"/>
  </r>
  <r>
    <x v="635"/>
    <n v="14"/>
    <s v="Plato_13"/>
    <s v="Descripci√≥n del Plato_13"/>
    <n v="13"/>
    <n v="21"/>
    <n v="1"/>
    <n v="52"/>
    <n v="21"/>
    <n v="8"/>
    <n v="0.38095238095238093"/>
  </r>
  <r>
    <x v="635"/>
    <n v="14"/>
    <s v="Plato_7"/>
    <s v="Descripci√≥n del Plato_7"/>
    <n v="14"/>
    <n v="24"/>
    <n v="2"/>
    <n v="45"/>
    <n v="48"/>
    <n v="20"/>
    <n v="0.41666666666666669"/>
  </r>
  <r>
    <x v="636"/>
    <n v="6"/>
    <s v="Plato_1"/>
    <s v="Descripci√≥n del Plato_1"/>
    <n v="15"/>
    <n v="25"/>
    <n v="2"/>
    <n v="32"/>
    <n v="50"/>
    <n v="20"/>
    <n v="0.4"/>
  </r>
  <r>
    <x v="636"/>
    <n v="6"/>
    <s v="Plato_11"/>
    <s v="Descripci√≥n del Plato_11"/>
    <n v="20"/>
    <n v="33"/>
    <n v="1"/>
    <n v="23"/>
    <n v="33"/>
    <n v="13"/>
    <n v="0.39393939393939392"/>
  </r>
  <r>
    <x v="636"/>
    <n v="6"/>
    <s v="Plato_18"/>
    <s v="Descripci√≥n del Plato_18"/>
    <n v="20"/>
    <n v="34"/>
    <n v="1"/>
    <n v="6"/>
    <n v="34"/>
    <n v="14"/>
    <n v="0.41176470588235292"/>
  </r>
  <r>
    <x v="637"/>
    <n v="16"/>
    <s v="Plato_2"/>
    <s v="Descripci√≥n del Plato_2"/>
    <n v="18"/>
    <n v="30"/>
    <n v="3"/>
    <n v="44"/>
    <n v="90"/>
    <n v="36"/>
    <n v="0.4"/>
  </r>
  <r>
    <x v="638"/>
    <n v="8"/>
    <s v="Plato_10"/>
    <s v="Descripci√≥n del Plato_10"/>
    <n v="15"/>
    <n v="26"/>
    <n v="2"/>
    <n v="52"/>
    <n v="52"/>
    <n v="22"/>
    <n v="0.42307692307692307"/>
  </r>
  <r>
    <x v="638"/>
    <n v="8"/>
    <s v="Plato_12"/>
    <s v="Descripci√≥n del Plato_12"/>
    <n v="11"/>
    <n v="19"/>
    <n v="2"/>
    <n v="55"/>
    <n v="38"/>
    <n v="16"/>
    <n v="0.42105263157894735"/>
  </r>
  <r>
    <x v="638"/>
    <n v="8"/>
    <s v="Plato_17"/>
    <s v="Descripci√≥n del Plato_17"/>
    <n v="19"/>
    <n v="31"/>
    <n v="2"/>
    <n v="29"/>
    <n v="62"/>
    <n v="24"/>
    <n v="0.38709677419354838"/>
  </r>
  <r>
    <x v="639"/>
    <n v="14"/>
    <s v="Plato_10"/>
    <s v="Descripci√≥n del Plato_10"/>
    <n v="15"/>
    <n v="26"/>
    <n v="3"/>
    <n v="7"/>
    <n v="78"/>
    <n v="33"/>
    <n v="0.42307692307692307"/>
  </r>
  <r>
    <x v="639"/>
    <n v="14"/>
    <s v="Plato_11"/>
    <s v="Descripci√≥n del Plato_11"/>
    <n v="20"/>
    <n v="33"/>
    <n v="3"/>
    <n v="56"/>
    <n v="99"/>
    <n v="39"/>
    <n v="0.39393939393939392"/>
  </r>
  <r>
    <x v="639"/>
    <n v="14"/>
    <s v="Plato_13"/>
    <s v="Descripci√≥n del Plato_13"/>
    <n v="13"/>
    <n v="21"/>
    <n v="2"/>
    <n v="12"/>
    <n v="42"/>
    <n v="16"/>
    <n v="0.38095238095238093"/>
  </r>
  <r>
    <x v="640"/>
    <n v="2"/>
    <s v="Plato_1"/>
    <s v="Descripci√≥n del Plato_1"/>
    <n v="15"/>
    <n v="25"/>
    <n v="3"/>
    <n v="28"/>
    <n v="75"/>
    <n v="30"/>
    <n v="0.4"/>
  </r>
  <r>
    <x v="640"/>
    <n v="2"/>
    <s v="Plato_14"/>
    <s v="Descripci√≥n del Plato_14"/>
    <n v="14"/>
    <n v="23"/>
    <n v="2"/>
    <n v="29"/>
    <n v="46"/>
    <n v="18"/>
    <n v="0.39130434782608697"/>
  </r>
  <r>
    <x v="640"/>
    <n v="2"/>
    <s v="Plato_9"/>
    <s v="Descripci√≥n del Plato_9"/>
    <n v="17"/>
    <n v="29"/>
    <n v="3"/>
    <n v="17"/>
    <n v="87"/>
    <n v="36"/>
    <n v="0.41379310344827586"/>
  </r>
  <r>
    <x v="641"/>
    <n v="15"/>
    <s v="Plato_10"/>
    <s v="Descripci√≥n del Plato_10"/>
    <n v="15"/>
    <n v="26"/>
    <n v="1"/>
    <n v="57"/>
    <n v="26"/>
    <n v="11"/>
    <n v="0.42307692307692307"/>
  </r>
  <r>
    <x v="641"/>
    <n v="15"/>
    <s v="Plato_13"/>
    <s v="Descripci√≥n del Plato_13"/>
    <n v="13"/>
    <n v="21"/>
    <n v="3"/>
    <n v="6"/>
    <n v="63"/>
    <n v="24"/>
    <n v="0.38095238095238093"/>
  </r>
  <r>
    <x v="641"/>
    <n v="15"/>
    <s v="Plato_9"/>
    <s v="Descripci√≥n del Plato_9"/>
    <n v="17"/>
    <n v="29"/>
    <n v="3"/>
    <n v="18"/>
    <n v="87"/>
    <n v="36"/>
    <n v="0.41379310344827586"/>
  </r>
  <r>
    <x v="642"/>
    <n v="17"/>
    <s v="Plato_11"/>
    <s v="Descripci√≥n del Plato_11"/>
    <n v="20"/>
    <n v="33"/>
    <n v="1"/>
    <n v="18"/>
    <n v="33"/>
    <n v="13"/>
    <n v="0.39393939393939392"/>
  </r>
  <r>
    <x v="643"/>
    <n v="9"/>
    <s v="Plato_17"/>
    <s v="Descripci√≥n del Plato_17"/>
    <n v="19"/>
    <n v="31"/>
    <n v="3"/>
    <n v="51"/>
    <n v="93"/>
    <n v="36"/>
    <n v="0.38709677419354838"/>
  </r>
  <r>
    <x v="644"/>
    <n v="6"/>
    <s v="Plato_11"/>
    <s v="Descripci√≥n del Plato_11"/>
    <n v="20"/>
    <n v="33"/>
    <n v="3"/>
    <n v="43"/>
    <n v="99"/>
    <n v="39"/>
    <n v="0.39393939393939392"/>
  </r>
  <r>
    <x v="644"/>
    <n v="6"/>
    <s v="Plato_6"/>
    <s v="Descripci√≥n del Plato_6"/>
    <n v="16"/>
    <n v="27"/>
    <n v="3"/>
    <n v="54"/>
    <n v="81"/>
    <n v="33"/>
    <n v="0.40740740740740738"/>
  </r>
  <r>
    <x v="645"/>
    <n v="12"/>
    <s v="Plato_8"/>
    <s v="Descripci√≥n del Plato_8"/>
    <n v="21"/>
    <n v="35"/>
    <n v="2"/>
    <n v="36"/>
    <n v="70"/>
    <n v="28"/>
    <n v="0.4"/>
  </r>
  <r>
    <x v="646"/>
    <n v="12"/>
    <s v="Plato_17"/>
    <s v="Descripci√≥n del Plato_17"/>
    <n v="19"/>
    <n v="31"/>
    <n v="2"/>
    <n v="26"/>
    <n v="62"/>
    <n v="24"/>
    <n v="0.38709677419354838"/>
  </r>
  <r>
    <x v="646"/>
    <n v="12"/>
    <s v="Plato_4"/>
    <s v="Descripci√≥n del Plato_4"/>
    <n v="10"/>
    <n v="18"/>
    <n v="2"/>
    <n v="13"/>
    <n v="36"/>
    <n v="16"/>
    <n v="0.44444444444444442"/>
  </r>
  <r>
    <x v="647"/>
    <n v="9"/>
    <s v="Plato_16"/>
    <s v="Descripci√≥n del Plato_16"/>
    <n v="16"/>
    <n v="28"/>
    <n v="2"/>
    <n v="47"/>
    <n v="56"/>
    <n v="24"/>
    <n v="0.42857142857142855"/>
  </r>
  <r>
    <x v="648"/>
    <n v="9"/>
    <s v="Plato_1"/>
    <s v="Descripci√≥n del Plato_1"/>
    <n v="15"/>
    <n v="25"/>
    <n v="1"/>
    <n v="32"/>
    <n v="25"/>
    <n v="10"/>
    <n v="0.4"/>
  </r>
  <r>
    <x v="648"/>
    <n v="9"/>
    <s v="Plato_16"/>
    <s v="Descripci√≥n del Plato_16"/>
    <n v="16"/>
    <n v="28"/>
    <n v="3"/>
    <n v="40"/>
    <n v="84"/>
    <n v="36"/>
    <n v="0.42857142857142855"/>
  </r>
  <r>
    <x v="648"/>
    <n v="9"/>
    <s v="Plato_3"/>
    <s v="Descripci√≥n del Plato_3"/>
    <n v="12"/>
    <n v="20"/>
    <n v="3"/>
    <n v="15"/>
    <n v="60"/>
    <n v="24"/>
    <n v="0.4"/>
  </r>
  <r>
    <x v="648"/>
    <n v="9"/>
    <s v="Plato_9"/>
    <s v="Descripci√≥n del Plato_9"/>
    <n v="17"/>
    <n v="29"/>
    <n v="3"/>
    <n v="22"/>
    <n v="87"/>
    <n v="36"/>
    <n v="0.41379310344827586"/>
  </r>
  <r>
    <x v="649"/>
    <n v="11"/>
    <s v="Plato_13"/>
    <s v="Descripci√≥n del Plato_13"/>
    <n v="13"/>
    <n v="21"/>
    <n v="2"/>
    <n v="18"/>
    <n v="42"/>
    <n v="16"/>
    <n v="0.38095238095238093"/>
  </r>
  <r>
    <x v="649"/>
    <n v="11"/>
    <s v="Plato_15"/>
    <s v="Descripci√≥n del Plato_15"/>
    <n v="19"/>
    <n v="32"/>
    <n v="1"/>
    <n v="12"/>
    <n v="32"/>
    <n v="13"/>
    <n v="0.40625"/>
  </r>
  <r>
    <x v="649"/>
    <n v="11"/>
    <s v="Plato_8"/>
    <s v="Descripci√≥n del Plato_8"/>
    <n v="21"/>
    <n v="35"/>
    <n v="3"/>
    <n v="11"/>
    <n v="105"/>
    <n v="42"/>
    <n v="0.4"/>
  </r>
  <r>
    <x v="649"/>
    <n v="11"/>
    <s v="Plato_9"/>
    <s v="Descripci√≥n del Plato_9"/>
    <n v="17"/>
    <n v="29"/>
    <n v="2"/>
    <n v="35"/>
    <n v="58"/>
    <n v="24"/>
    <n v="0.41379310344827586"/>
  </r>
  <r>
    <x v="650"/>
    <n v="16"/>
    <s v="Plato_11"/>
    <s v="Descripci√≥n del Plato_11"/>
    <n v="20"/>
    <n v="33"/>
    <n v="2"/>
    <n v="29"/>
    <n v="66"/>
    <n v="26"/>
    <n v="0.39393939393939392"/>
  </r>
  <r>
    <x v="650"/>
    <n v="16"/>
    <s v="Plato_13"/>
    <s v="Descripci√≥n del Plato_13"/>
    <n v="13"/>
    <n v="21"/>
    <n v="3"/>
    <n v="9"/>
    <n v="63"/>
    <n v="24"/>
    <n v="0.38095238095238093"/>
  </r>
  <r>
    <x v="650"/>
    <n v="16"/>
    <s v="Plato_20"/>
    <s v="Descripci√≥n del Plato_20"/>
    <n v="25"/>
    <n v="40"/>
    <n v="2"/>
    <n v="50"/>
    <n v="80"/>
    <n v="30"/>
    <n v="0.375"/>
  </r>
  <r>
    <x v="651"/>
    <n v="14"/>
    <s v="Plato_17"/>
    <s v="Descripci√≥n del Plato_17"/>
    <n v="19"/>
    <n v="31"/>
    <n v="2"/>
    <n v="12"/>
    <n v="62"/>
    <n v="24"/>
    <n v="0.38709677419354838"/>
  </r>
  <r>
    <x v="651"/>
    <n v="14"/>
    <s v="Plato_19"/>
    <s v="Descripci√≥n del Plato_19"/>
    <n v="22"/>
    <n v="36"/>
    <n v="3"/>
    <n v="38"/>
    <n v="108"/>
    <n v="42"/>
    <n v="0.3888888888888889"/>
  </r>
  <r>
    <x v="652"/>
    <n v="13"/>
    <s v="Plato_16"/>
    <s v="Descripci√≥n del Plato_16"/>
    <n v="16"/>
    <n v="28"/>
    <n v="3"/>
    <n v="51"/>
    <n v="84"/>
    <n v="36"/>
    <n v="0.42857142857142855"/>
  </r>
  <r>
    <x v="652"/>
    <n v="13"/>
    <s v="Plato_2"/>
    <s v="Descripci√≥n del Plato_2"/>
    <n v="18"/>
    <n v="30"/>
    <n v="3"/>
    <n v="46"/>
    <n v="90"/>
    <n v="36"/>
    <n v="0.4"/>
  </r>
  <r>
    <x v="652"/>
    <n v="13"/>
    <s v="Plato_8"/>
    <s v="Descripci√≥n del Plato_8"/>
    <n v="21"/>
    <n v="35"/>
    <n v="2"/>
    <n v="53"/>
    <n v="70"/>
    <n v="28"/>
    <n v="0.4"/>
  </r>
  <r>
    <x v="653"/>
    <n v="12"/>
    <s v="Plato_3"/>
    <s v="Descripci√≥n del Plato_3"/>
    <n v="12"/>
    <n v="20"/>
    <n v="1"/>
    <n v="13"/>
    <n v="20"/>
    <n v="8"/>
    <n v="0.4"/>
  </r>
  <r>
    <x v="653"/>
    <n v="12"/>
    <s v="Plato_5"/>
    <s v="Descripci√≥n del Plato_5"/>
    <n v="13"/>
    <n v="22"/>
    <n v="1"/>
    <n v="31"/>
    <n v="22"/>
    <n v="9"/>
    <n v="0.40909090909090912"/>
  </r>
  <r>
    <x v="654"/>
    <n v="5"/>
    <s v="Plato_17"/>
    <s v="Descripci√≥n del Plato_17"/>
    <n v="19"/>
    <n v="31"/>
    <n v="3"/>
    <n v="36"/>
    <n v="93"/>
    <n v="36"/>
    <n v="0.38709677419354838"/>
  </r>
  <r>
    <x v="655"/>
    <n v="19"/>
    <s v="Plato_12"/>
    <s v="Descripci√≥n del Plato_12"/>
    <n v="11"/>
    <n v="19"/>
    <n v="2"/>
    <n v="39"/>
    <n v="38"/>
    <n v="16"/>
    <n v="0.42105263157894735"/>
  </r>
  <r>
    <x v="655"/>
    <n v="19"/>
    <s v="Plato_14"/>
    <s v="Descripci√≥n del Plato_14"/>
    <n v="14"/>
    <n v="23"/>
    <n v="1"/>
    <n v="13"/>
    <n v="23"/>
    <n v="9"/>
    <n v="0.39130434782608697"/>
  </r>
  <r>
    <x v="655"/>
    <n v="19"/>
    <s v="Plato_19"/>
    <s v="Descripci√≥n del Plato_19"/>
    <n v="22"/>
    <n v="36"/>
    <n v="1"/>
    <n v="14"/>
    <n v="36"/>
    <n v="14"/>
    <n v="0.3888888888888889"/>
  </r>
  <r>
    <x v="655"/>
    <n v="19"/>
    <s v="Plato_3"/>
    <s v="Descripci√≥n del Plato_3"/>
    <n v="12"/>
    <n v="20"/>
    <n v="3"/>
    <n v="44"/>
    <n v="60"/>
    <n v="24"/>
    <n v="0.4"/>
  </r>
  <r>
    <x v="656"/>
    <n v="1"/>
    <s v="Plato_14"/>
    <s v="Descripci√≥n del Plato_14"/>
    <n v="14"/>
    <n v="23"/>
    <n v="2"/>
    <n v="39"/>
    <n v="46"/>
    <n v="18"/>
    <n v="0.39130434782608697"/>
  </r>
  <r>
    <x v="656"/>
    <n v="1"/>
    <s v="Plato_20"/>
    <s v="Descripci√≥n del Plato_20"/>
    <n v="25"/>
    <n v="40"/>
    <n v="2"/>
    <n v="55"/>
    <n v="80"/>
    <n v="30"/>
    <n v="0.375"/>
  </r>
  <r>
    <x v="656"/>
    <n v="1"/>
    <s v="Plato_8"/>
    <s v="Descripci√≥n del Plato_8"/>
    <n v="21"/>
    <n v="35"/>
    <n v="2"/>
    <n v="40"/>
    <n v="70"/>
    <n v="28"/>
    <n v="0.4"/>
  </r>
  <r>
    <x v="657"/>
    <n v="19"/>
    <s v="Plato_15"/>
    <s v="Descripci√≥n del Plato_15"/>
    <n v="19"/>
    <n v="32"/>
    <n v="1"/>
    <n v="21"/>
    <n v="32"/>
    <n v="13"/>
    <n v="0.40625"/>
  </r>
  <r>
    <x v="657"/>
    <n v="19"/>
    <s v="Plato_6"/>
    <s v="Descripci√≥n del Plato_6"/>
    <n v="16"/>
    <n v="27"/>
    <n v="2"/>
    <n v="27"/>
    <n v="54"/>
    <n v="22"/>
    <n v="0.40740740740740738"/>
  </r>
  <r>
    <x v="658"/>
    <n v="9"/>
    <s v="Plato_9"/>
    <s v="Descripci√≥n del Plato_9"/>
    <n v="17"/>
    <n v="29"/>
    <n v="3"/>
    <n v="31"/>
    <n v="87"/>
    <n v="36"/>
    <n v="0.41379310344827586"/>
  </r>
  <r>
    <x v="659"/>
    <n v="19"/>
    <s v="Plato_12"/>
    <s v="Descripci√≥n del Plato_12"/>
    <n v="11"/>
    <n v="19"/>
    <n v="2"/>
    <n v="24"/>
    <n v="38"/>
    <n v="16"/>
    <n v="0.42105263157894735"/>
  </r>
  <r>
    <x v="659"/>
    <n v="19"/>
    <s v="Plato_2"/>
    <s v="Descripci√≥n del Plato_2"/>
    <n v="18"/>
    <n v="30"/>
    <n v="3"/>
    <n v="16"/>
    <n v="90"/>
    <n v="36"/>
    <n v="0.4"/>
  </r>
  <r>
    <x v="659"/>
    <n v="19"/>
    <s v="Plato_20"/>
    <s v="Descripci√≥n del Plato_20"/>
    <n v="25"/>
    <n v="40"/>
    <n v="2"/>
    <n v="5"/>
    <n v="80"/>
    <n v="30"/>
    <n v="0.375"/>
  </r>
  <r>
    <x v="660"/>
    <n v="16"/>
    <s v="Plato_1"/>
    <s v="Descripci√≥n del Plato_1"/>
    <n v="15"/>
    <n v="25"/>
    <n v="2"/>
    <n v="30"/>
    <n v="50"/>
    <n v="20"/>
    <n v="0.4"/>
  </r>
  <r>
    <x v="660"/>
    <n v="16"/>
    <s v="Plato_14"/>
    <s v="Descripci√≥n del Plato_14"/>
    <n v="14"/>
    <n v="23"/>
    <n v="3"/>
    <n v="56"/>
    <n v="69"/>
    <n v="27"/>
    <n v="0.39130434782608697"/>
  </r>
  <r>
    <x v="660"/>
    <n v="16"/>
    <s v="Plato_16"/>
    <s v="Descripci√≥n del Plato_16"/>
    <n v="16"/>
    <n v="28"/>
    <n v="2"/>
    <n v="27"/>
    <n v="56"/>
    <n v="24"/>
    <n v="0.42857142857142855"/>
  </r>
  <r>
    <x v="660"/>
    <n v="16"/>
    <s v="Plato_17"/>
    <s v="Descripci√≥n del Plato_17"/>
    <n v="19"/>
    <n v="31"/>
    <n v="1"/>
    <n v="22"/>
    <n v="31"/>
    <n v="12"/>
    <n v="0.38709677419354838"/>
  </r>
  <r>
    <x v="661"/>
    <n v="15"/>
    <s v="Plato_1"/>
    <s v="Descripci√≥n del Plato_1"/>
    <n v="15"/>
    <n v="25"/>
    <n v="1"/>
    <n v="10"/>
    <n v="25"/>
    <n v="10"/>
    <n v="0.4"/>
  </r>
  <r>
    <x v="661"/>
    <n v="15"/>
    <s v="Plato_19"/>
    <s v="Descripci√≥n del Plato_19"/>
    <n v="22"/>
    <n v="36"/>
    <n v="1"/>
    <n v="41"/>
    <n v="36"/>
    <n v="14"/>
    <n v="0.3888888888888889"/>
  </r>
  <r>
    <x v="661"/>
    <n v="15"/>
    <s v="Plato_7"/>
    <s v="Descripci√≥n del Plato_7"/>
    <n v="14"/>
    <n v="24"/>
    <n v="3"/>
    <n v="34"/>
    <n v="72"/>
    <n v="30"/>
    <n v="0.41666666666666669"/>
  </r>
  <r>
    <x v="662"/>
    <n v="3"/>
    <s v="Plato_3"/>
    <s v="Descripci√≥n del Plato_3"/>
    <n v="12"/>
    <n v="20"/>
    <n v="1"/>
    <n v="42"/>
    <n v="20"/>
    <n v="8"/>
    <n v="0.4"/>
  </r>
  <r>
    <x v="662"/>
    <n v="3"/>
    <s v="Plato_4"/>
    <s v="Descripci√≥n del Plato_4"/>
    <n v="10"/>
    <n v="18"/>
    <n v="2"/>
    <n v="40"/>
    <n v="36"/>
    <n v="16"/>
    <n v="0.44444444444444442"/>
  </r>
  <r>
    <x v="662"/>
    <n v="3"/>
    <s v="Plato_9"/>
    <s v="Descripci√≥n del Plato_9"/>
    <n v="17"/>
    <n v="29"/>
    <n v="2"/>
    <n v="5"/>
    <n v="58"/>
    <n v="24"/>
    <n v="0.41379310344827586"/>
  </r>
  <r>
    <x v="663"/>
    <n v="20"/>
    <s v="Plato_12"/>
    <s v="Descripci√≥n del Plato_12"/>
    <n v="11"/>
    <n v="19"/>
    <n v="2"/>
    <n v="42"/>
    <n v="38"/>
    <n v="16"/>
    <n v="0.42105263157894735"/>
  </r>
  <r>
    <x v="663"/>
    <n v="20"/>
    <s v="Plato_4"/>
    <s v="Descripci√≥n del Plato_4"/>
    <n v="10"/>
    <n v="18"/>
    <n v="1"/>
    <n v="9"/>
    <n v="18"/>
    <n v="8"/>
    <n v="0.44444444444444442"/>
  </r>
  <r>
    <x v="663"/>
    <n v="20"/>
    <s v="Plato_5"/>
    <s v="Descripci√≥n del Plato_5"/>
    <n v="13"/>
    <n v="22"/>
    <n v="3"/>
    <n v="48"/>
    <n v="66"/>
    <n v="27"/>
    <n v="0.40909090909090912"/>
  </r>
  <r>
    <x v="664"/>
    <n v="6"/>
    <s v="Plato_1"/>
    <s v="Descripci√≥n del Plato_1"/>
    <n v="15"/>
    <n v="25"/>
    <n v="3"/>
    <n v="25"/>
    <n v="75"/>
    <n v="30"/>
    <n v="0.4"/>
  </r>
  <r>
    <x v="664"/>
    <n v="6"/>
    <s v="Plato_6"/>
    <s v="Descripci√≥n del Plato_6"/>
    <n v="16"/>
    <n v="27"/>
    <n v="2"/>
    <n v="15"/>
    <n v="54"/>
    <n v="22"/>
    <n v="0.40740740740740738"/>
  </r>
  <r>
    <x v="665"/>
    <n v="8"/>
    <s v="Plato_3"/>
    <s v="Descripci√≥n del Plato_3"/>
    <n v="12"/>
    <n v="20"/>
    <n v="2"/>
    <n v="27"/>
    <n v="40"/>
    <n v="16"/>
    <n v="0.4"/>
  </r>
  <r>
    <x v="666"/>
    <n v="6"/>
    <s v="Plato_19"/>
    <s v="Descripci√≥n del Plato_19"/>
    <n v="22"/>
    <n v="36"/>
    <n v="1"/>
    <n v="12"/>
    <n v="36"/>
    <n v="14"/>
    <n v="0.3888888888888889"/>
  </r>
  <r>
    <x v="667"/>
    <n v="12"/>
    <s v="Plato_1"/>
    <s v="Descripci√≥n del Plato_1"/>
    <n v="15"/>
    <n v="25"/>
    <n v="3"/>
    <n v="47"/>
    <n v="75"/>
    <n v="30"/>
    <n v="0.4"/>
  </r>
  <r>
    <x v="667"/>
    <n v="12"/>
    <s v="Plato_10"/>
    <s v="Descripci√≥n del Plato_10"/>
    <n v="15"/>
    <n v="26"/>
    <n v="3"/>
    <n v="59"/>
    <n v="78"/>
    <n v="33"/>
    <n v="0.42307692307692307"/>
  </r>
  <r>
    <x v="667"/>
    <n v="12"/>
    <s v="Plato_7"/>
    <s v="Descripci√≥n del Plato_7"/>
    <n v="14"/>
    <n v="24"/>
    <n v="2"/>
    <n v="9"/>
    <n v="48"/>
    <n v="20"/>
    <n v="0.41666666666666669"/>
  </r>
  <r>
    <x v="668"/>
    <n v="10"/>
    <s v="Plato_15"/>
    <s v="Descripci√≥n del Plato_15"/>
    <n v="19"/>
    <n v="32"/>
    <n v="3"/>
    <n v="42"/>
    <n v="96"/>
    <n v="39"/>
    <n v="0.40625"/>
  </r>
  <r>
    <x v="668"/>
    <n v="10"/>
    <s v="Plato_17"/>
    <s v="Descripci√≥n del Plato_17"/>
    <n v="19"/>
    <n v="31"/>
    <n v="1"/>
    <n v="13"/>
    <n v="31"/>
    <n v="12"/>
    <n v="0.38709677419354838"/>
  </r>
  <r>
    <x v="668"/>
    <n v="10"/>
    <s v="Plato_6"/>
    <s v="Descripci√≥n del Plato_6"/>
    <n v="16"/>
    <n v="27"/>
    <n v="2"/>
    <n v="14"/>
    <n v="54"/>
    <n v="22"/>
    <n v="0.40740740740740738"/>
  </r>
  <r>
    <x v="669"/>
    <n v="16"/>
    <s v="Plato_14"/>
    <s v="Descripci√≥n del Plato_14"/>
    <n v="14"/>
    <n v="23"/>
    <n v="1"/>
    <n v="26"/>
    <n v="23"/>
    <n v="9"/>
    <n v="0.39130434782608697"/>
  </r>
  <r>
    <x v="669"/>
    <n v="16"/>
    <s v="Plato_19"/>
    <s v="Descripci√≥n del Plato_19"/>
    <n v="22"/>
    <n v="36"/>
    <n v="1"/>
    <n v="32"/>
    <n v="36"/>
    <n v="14"/>
    <n v="0.3888888888888889"/>
  </r>
  <r>
    <x v="669"/>
    <n v="16"/>
    <s v="Plato_8"/>
    <s v="Descripci√≥n del Plato_8"/>
    <n v="21"/>
    <n v="35"/>
    <n v="1"/>
    <n v="17"/>
    <n v="35"/>
    <n v="14"/>
    <n v="0.4"/>
  </r>
  <r>
    <x v="670"/>
    <n v="17"/>
    <s v="Plato_1"/>
    <s v="Descripci√≥n del Plato_1"/>
    <n v="15"/>
    <n v="25"/>
    <n v="2"/>
    <n v="32"/>
    <n v="50"/>
    <n v="20"/>
    <n v="0.4"/>
  </r>
  <r>
    <x v="670"/>
    <n v="17"/>
    <s v="Plato_15"/>
    <s v="Descripci√≥n del Plato_15"/>
    <n v="19"/>
    <n v="32"/>
    <n v="2"/>
    <n v="34"/>
    <n v="64"/>
    <n v="26"/>
    <n v="0.40625"/>
  </r>
  <r>
    <x v="670"/>
    <n v="17"/>
    <s v="Plato_8"/>
    <s v="Descripci√≥n del Plato_8"/>
    <n v="21"/>
    <n v="35"/>
    <n v="2"/>
    <n v="29"/>
    <n v="70"/>
    <n v="28"/>
    <n v="0.4"/>
  </r>
  <r>
    <x v="671"/>
    <n v="12"/>
    <s v="Plato_12"/>
    <s v="Descripci√≥n del Plato_12"/>
    <n v="11"/>
    <n v="19"/>
    <n v="1"/>
    <n v="42"/>
    <n v="19"/>
    <n v="8"/>
    <n v="0.42105263157894735"/>
  </r>
  <r>
    <x v="671"/>
    <n v="12"/>
    <s v="Plato_13"/>
    <s v="Descripci√≥n del Plato_13"/>
    <n v="13"/>
    <n v="21"/>
    <n v="2"/>
    <n v="15"/>
    <n v="42"/>
    <n v="16"/>
    <n v="0.38095238095238093"/>
  </r>
  <r>
    <x v="671"/>
    <n v="12"/>
    <s v="Plato_15"/>
    <s v="Descripci√≥n del Plato_15"/>
    <n v="19"/>
    <n v="32"/>
    <n v="3"/>
    <n v="21"/>
    <n v="96"/>
    <n v="39"/>
    <n v="0.40625"/>
  </r>
  <r>
    <x v="672"/>
    <n v="20"/>
    <s v="Plato_1"/>
    <s v="Descripci√≥n del Plato_1"/>
    <n v="15"/>
    <n v="25"/>
    <n v="2"/>
    <n v="45"/>
    <n v="50"/>
    <n v="20"/>
    <n v="0.4"/>
  </r>
  <r>
    <x v="672"/>
    <n v="20"/>
    <s v="Plato_2"/>
    <s v="Descripci√≥n del Plato_2"/>
    <n v="18"/>
    <n v="30"/>
    <n v="1"/>
    <n v="25"/>
    <n v="30"/>
    <n v="12"/>
    <n v="0.4"/>
  </r>
  <r>
    <x v="672"/>
    <n v="20"/>
    <s v="Plato_20"/>
    <s v="Descripci√≥n del Plato_20"/>
    <n v="25"/>
    <n v="40"/>
    <n v="2"/>
    <n v="13"/>
    <n v="80"/>
    <n v="30"/>
    <n v="0.375"/>
  </r>
  <r>
    <x v="672"/>
    <n v="20"/>
    <s v="Plato_8"/>
    <s v="Descripci√≥n del Plato_8"/>
    <n v="21"/>
    <n v="35"/>
    <n v="3"/>
    <n v="10"/>
    <n v="105"/>
    <n v="42"/>
    <n v="0.4"/>
  </r>
  <r>
    <x v="673"/>
    <n v="1"/>
    <s v="Plato_12"/>
    <s v="Descripci√≥n del Plato_12"/>
    <n v="11"/>
    <n v="19"/>
    <n v="3"/>
    <n v="11"/>
    <n v="57"/>
    <n v="24"/>
    <n v="0.42105263157894735"/>
  </r>
  <r>
    <x v="673"/>
    <n v="1"/>
    <s v="Plato_13"/>
    <s v="Descripci√≥n del Plato_13"/>
    <n v="13"/>
    <n v="21"/>
    <n v="1"/>
    <n v="35"/>
    <n v="21"/>
    <n v="8"/>
    <n v="0.38095238095238093"/>
  </r>
  <r>
    <x v="673"/>
    <n v="1"/>
    <s v="Plato_17"/>
    <s v="Descripci√≥n del Plato_17"/>
    <n v="19"/>
    <n v="31"/>
    <n v="3"/>
    <n v="7"/>
    <n v="93"/>
    <n v="36"/>
    <n v="0.38709677419354838"/>
  </r>
  <r>
    <x v="673"/>
    <n v="1"/>
    <s v="Plato_4"/>
    <s v="Descripci√≥n del Plato_4"/>
    <n v="10"/>
    <n v="18"/>
    <n v="2"/>
    <n v="12"/>
    <n v="36"/>
    <n v="16"/>
    <n v="0.44444444444444442"/>
  </r>
  <r>
    <x v="674"/>
    <n v="5"/>
    <s v="Plato_1"/>
    <s v="Descripci√≥n del Plato_1"/>
    <n v="15"/>
    <n v="25"/>
    <n v="1"/>
    <n v="8"/>
    <n v="25"/>
    <n v="10"/>
    <n v="0.4"/>
  </r>
  <r>
    <x v="674"/>
    <n v="5"/>
    <s v="Plato_19"/>
    <s v="Descripci√≥n del Plato_19"/>
    <n v="22"/>
    <n v="36"/>
    <n v="3"/>
    <n v="59"/>
    <n v="108"/>
    <n v="42"/>
    <n v="0.3888888888888889"/>
  </r>
  <r>
    <x v="674"/>
    <n v="5"/>
    <s v="Plato_3"/>
    <s v="Descripci√≥n del Plato_3"/>
    <n v="12"/>
    <n v="20"/>
    <n v="3"/>
    <n v="54"/>
    <n v="60"/>
    <n v="24"/>
    <n v="0.4"/>
  </r>
  <r>
    <x v="675"/>
    <n v="7"/>
    <s v="Plato_13"/>
    <s v="Descripci√≥n del Plato_13"/>
    <n v="13"/>
    <n v="21"/>
    <n v="2"/>
    <n v="24"/>
    <n v="42"/>
    <n v="16"/>
    <n v="0.38095238095238093"/>
  </r>
  <r>
    <x v="675"/>
    <n v="7"/>
    <s v="Plato_14"/>
    <s v="Descripci√≥n del Plato_14"/>
    <n v="14"/>
    <n v="23"/>
    <n v="1"/>
    <n v="40"/>
    <n v="23"/>
    <n v="9"/>
    <n v="0.39130434782608697"/>
  </r>
  <r>
    <x v="675"/>
    <n v="7"/>
    <s v="Plato_16"/>
    <s v="Descripci√≥n del Plato_16"/>
    <n v="16"/>
    <n v="28"/>
    <n v="1"/>
    <n v="12"/>
    <n v="28"/>
    <n v="12"/>
    <n v="0.42857142857142855"/>
  </r>
  <r>
    <x v="675"/>
    <n v="7"/>
    <s v="Plato_17"/>
    <s v="Descripci√≥n del Plato_17"/>
    <n v="19"/>
    <n v="31"/>
    <n v="1"/>
    <n v="45"/>
    <n v="31"/>
    <n v="12"/>
    <n v="0.38709677419354838"/>
  </r>
  <r>
    <x v="676"/>
    <n v="14"/>
    <s v="Plato_18"/>
    <s v="Descripci√≥n del Plato_18"/>
    <n v="20"/>
    <n v="34"/>
    <n v="1"/>
    <n v="34"/>
    <n v="34"/>
    <n v="14"/>
    <n v="0.41176470588235292"/>
  </r>
  <r>
    <x v="676"/>
    <n v="14"/>
    <s v="Plato_3"/>
    <s v="Descripci√≥n del Plato_3"/>
    <n v="12"/>
    <n v="20"/>
    <n v="2"/>
    <n v="55"/>
    <n v="40"/>
    <n v="16"/>
    <n v="0.4"/>
  </r>
  <r>
    <x v="676"/>
    <n v="14"/>
    <s v="Plato_8"/>
    <s v="Descripci√≥n del Plato_8"/>
    <n v="21"/>
    <n v="35"/>
    <n v="2"/>
    <n v="59"/>
    <n v="70"/>
    <n v="28"/>
    <n v="0.4"/>
  </r>
  <r>
    <x v="677"/>
    <n v="19"/>
    <s v="Plato_12"/>
    <s v="Descripci√≥n del Plato_12"/>
    <n v="11"/>
    <n v="19"/>
    <n v="3"/>
    <n v="37"/>
    <n v="57"/>
    <n v="24"/>
    <n v="0.42105263157894735"/>
  </r>
  <r>
    <x v="677"/>
    <n v="19"/>
    <s v="Plato_7"/>
    <s v="Descripci√≥n del Plato_7"/>
    <n v="14"/>
    <n v="24"/>
    <n v="2"/>
    <n v="20"/>
    <n v="48"/>
    <n v="20"/>
    <n v="0.41666666666666669"/>
  </r>
  <r>
    <x v="677"/>
    <n v="19"/>
    <s v="Plato_8"/>
    <s v="Descripci√≥n del Plato_8"/>
    <n v="21"/>
    <n v="35"/>
    <n v="2"/>
    <n v="37"/>
    <n v="70"/>
    <n v="28"/>
    <n v="0.4"/>
  </r>
  <r>
    <x v="677"/>
    <n v="19"/>
    <s v="Plato_9"/>
    <s v="Descripci√≥n del Plato_9"/>
    <n v="17"/>
    <n v="29"/>
    <n v="1"/>
    <n v="27"/>
    <n v="29"/>
    <n v="12"/>
    <n v="0.41379310344827586"/>
  </r>
  <r>
    <x v="678"/>
    <n v="9"/>
    <s v="Plato_1"/>
    <s v="Descripci√≥n del Plato_1"/>
    <n v="15"/>
    <n v="25"/>
    <n v="3"/>
    <n v="52"/>
    <n v="75"/>
    <n v="30"/>
    <n v="0.4"/>
  </r>
  <r>
    <x v="678"/>
    <n v="9"/>
    <s v="Plato_10"/>
    <s v="Descripci√≥n del Plato_10"/>
    <n v="15"/>
    <n v="26"/>
    <n v="1"/>
    <n v="11"/>
    <n v="26"/>
    <n v="11"/>
    <n v="0.42307692307692307"/>
  </r>
  <r>
    <x v="678"/>
    <n v="9"/>
    <s v="Plato_13"/>
    <s v="Descripci√≥n del Plato_13"/>
    <n v="13"/>
    <n v="21"/>
    <n v="2"/>
    <n v="27"/>
    <n v="42"/>
    <n v="16"/>
    <n v="0.38095238095238093"/>
  </r>
  <r>
    <x v="678"/>
    <n v="9"/>
    <s v="Plato_16"/>
    <s v="Descripci√≥n del Plato_16"/>
    <n v="16"/>
    <n v="28"/>
    <n v="2"/>
    <n v="16"/>
    <n v="56"/>
    <n v="24"/>
    <n v="0.42857142857142855"/>
  </r>
  <r>
    <x v="679"/>
    <n v="5"/>
    <s v="Plato_11"/>
    <s v="Descripci√≥n del Plato_11"/>
    <n v="20"/>
    <n v="33"/>
    <n v="2"/>
    <n v="56"/>
    <n v="66"/>
    <n v="26"/>
    <n v="0.39393939393939392"/>
  </r>
  <r>
    <x v="679"/>
    <n v="5"/>
    <s v="Plato_3"/>
    <s v="Descripci√≥n del Plato_3"/>
    <n v="12"/>
    <n v="20"/>
    <n v="3"/>
    <n v="49"/>
    <n v="60"/>
    <n v="24"/>
    <n v="0.4"/>
  </r>
  <r>
    <x v="679"/>
    <n v="5"/>
    <s v="Plato_4"/>
    <s v="Descripci√≥n del Plato_4"/>
    <n v="10"/>
    <n v="18"/>
    <n v="2"/>
    <n v="6"/>
    <n v="36"/>
    <n v="16"/>
    <n v="0.44444444444444442"/>
  </r>
  <r>
    <x v="680"/>
    <n v="2"/>
    <s v="Plato_11"/>
    <s v="Descripci√≥n del Plato_11"/>
    <n v="20"/>
    <n v="33"/>
    <n v="1"/>
    <n v="44"/>
    <n v="33"/>
    <n v="13"/>
    <n v="0.39393939393939392"/>
  </r>
  <r>
    <x v="680"/>
    <n v="2"/>
    <s v="Plato_13"/>
    <s v="Descripci√≥n del Plato_13"/>
    <n v="13"/>
    <n v="21"/>
    <n v="2"/>
    <n v="21"/>
    <n v="42"/>
    <n v="16"/>
    <n v="0.38095238095238093"/>
  </r>
  <r>
    <x v="681"/>
    <n v="1"/>
    <s v="Plato_14"/>
    <s v="Descripci√≥n del Plato_14"/>
    <n v="14"/>
    <n v="23"/>
    <n v="1"/>
    <n v="43"/>
    <n v="23"/>
    <n v="9"/>
    <n v="0.39130434782608697"/>
  </r>
  <r>
    <x v="682"/>
    <n v="2"/>
    <s v="Plato_17"/>
    <s v="Descripci√≥n del Plato_17"/>
    <n v="19"/>
    <n v="31"/>
    <n v="2"/>
    <n v="16"/>
    <n v="62"/>
    <n v="24"/>
    <n v="0.38709677419354838"/>
  </r>
  <r>
    <x v="682"/>
    <n v="2"/>
    <s v="Plato_20"/>
    <s v="Descripci√≥n del Plato_20"/>
    <n v="25"/>
    <n v="40"/>
    <n v="1"/>
    <n v="6"/>
    <n v="40"/>
    <n v="15"/>
    <n v="0.375"/>
  </r>
  <r>
    <x v="682"/>
    <n v="2"/>
    <s v="Plato_3"/>
    <s v="Descripci√≥n del Plato_3"/>
    <n v="12"/>
    <n v="20"/>
    <n v="2"/>
    <n v="35"/>
    <n v="40"/>
    <n v="16"/>
    <n v="0.4"/>
  </r>
  <r>
    <x v="682"/>
    <n v="2"/>
    <s v="Plato_5"/>
    <s v="Descripci√≥n del Plato_5"/>
    <n v="13"/>
    <n v="22"/>
    <n v="1"/>
    <n v="25"/>
    <n v="22"/>
    <n v="9"/>
    <n v="0.40909090909090912"/>
  </r>
  <r>
    <x v="683"/>
    <n v="10"/>
    <s v="Plato_10"/>
    <s v="Descripci√≥n del Plato_10"/>
    <n v="15"/>
    <n v="26"/>
    <n v="1"/>
    <n v="25"/>
    <n v="26"/>
    <n v="11"/>
    <n v="0.42307692307692307"/>
  </r>
  <r>
    <x v="683"/>
    <n v="10"/>
    <s v="Plato_17"/>
    <s v="Descripci√≥n del Plato_17"/>
    <n v="19"/>
    <n v="31"/>
    <n v="1"/>
    <n v="10"/>
    <n v="31"/>
    <n v="12"/>
    <n v="0.38709677419354838"/>
  </r>
  <r>
    <x v="683"/>
    <n v="10"/>
    <s v="Plato_19"/>
    <s v="Descripci√≥n del Plato_19"/>
    <n v="22"/>
    <n v="36"/>
    <n v="1"/>
    <n v="38"/>
    <n v="36"/>
    <n v="14"/>
    <n v="0.3888888888888889"/>
  </r>
  <r>
    <x v="683"/>
    <n v="10"/>
    <s v="Plato_9"/>
    <s v="Descripci√≥n del Plato_9"/>
    <n v="17"/>
    <n v="29"/>
    <n v="3"/>
    <n v="37"/>
    <n v="87"/>
    <n v="36"/>
    <n v="0.41379310344827586"/>
  </r>
  <r>
    <x v="684"/>
    <n v="5"/>
    <s v="Plato_6"/>
    <s v="Descripci√≥n del Plato_6"/>
    <n v="16"/>
    <n v="27"/>
    <n v="2"/>
    <n v="17"/>
    <n v="54"/>
    <n v="22"/>
    <n v="0.40740740740740738"/>
  </r>
  <r>
    <x v="685"/>
    <n v="10"/>
    <s v="Plato_17"/>
    <s v="Descripci√≥n del Plato_17"/>
    <n v="19"/>
    <n v="31"/>
    <n v="2"/>
    <n v="37"/>
    <n v="62"/>
    <n v="24"/>
    <n v="0.38709677419354838"/>
  </r>
  <r>
    <x v="685"/>
    <n v="10"/>
    <s v="Plato_3"/>
    <s v="Descripci√≥n del Plato_3"/>
    <n v="12"/>
    <n v="20"/>
    <n v="2"/>
    <n v="21"/>
    <n v="40"/>
    <n v="16"/>
    <n v="0.4"/>
  </r>
  <r>
    <x v="686"/>
    <n v="2"/>
    <s v="Plato_19"/>
    <s v="Descripci√≥n del Plato_19"/>
    <n v="22"/>
    <n v="36"/>
    <n v="2"/>
    <n v="29"/>
    <n v="72"/>
    <n v="28"/>
    <n v="0.3888888888888889"/>
  </r>
  <r>
    <x v="687"/>
    <n v="3"/>
    <s v="Plato_9"/>
    <s v="Descripci√≥n del Plato_9"/>
    <n v="17"/>
    <n v="29"/>
    <n v="1"/>
    <n v="14"/>
    <n v="29"/>
    <n v="12"/>
    <n v="0.41379310344827586"/>
  </r>
  <r>
    <x v="688"/>
    <n v="14"/>
    <s v="Plato_1"/>
    <s v="Descripci√≥n del Plato_1"/>
    <n v="15"/>
    <n v="25"/>
    <n v="3"/>
    <n v="7"/>
    <n v="75"/>
    <n v="30"/>
    <n v="0.4"/>
  </r>
  <r>
    <x v="688"/>
    <n v="14"/>
    <s v="Plato_13"/>
    <s v="Descripci√≥n del Plato_13"/>
    <n v="13"/>
    <n v="21"/>
    <n v="1"/>
    <n v="6"/>
    <n v="21"/>
    <n v="8"/>
    <n v="0.38095238095238093"/>
  </r>
  <r>
    <x v="688"/>
    <n v="14"/>
    <s v="Plato_14"/>
    <s v="Descripci√≥n del Plato_14"/>
    <n v="14"/>
    <n v="23"/>
    <n v="3"/>
    <n v="16"/>
    <n v="69"/>
    <n v="27"/>
    <n v="0.39130434782608697"/>
  </r>
  <r>
    <x v="689"/>
    <n v="15"/>
    <s v="Plato_11"/>
    <s v="Descripci√≥n del Plato_11"/>
    <n v="20"/>
    <n v="33"/>
    <n v="1"/>
    <n v="24"/>
    <n v="33"/>
    <n v="13"/>
    <n v="0.39393939393939392"/>
  </r>
  <r>
    <x v="689"/>
    <n v="15"/>
    <s v="Plato_16"/>
    <s v="Descripci√≥n del Plato_16"/>
    <n v="16"/>
    <n v="28"/>
    <n v="2"/>
    <n v="54"/>
    <n v="56"/>
    <n v="24"/>
    <n v="0.42857142857142855"/>
  </r>
  <r>
    <x v="689"/>
    <n v="15"/>
    <s v="Plato_17"/>
    <s v="Descripci√≥n del Plato_17"/>
    <n v="19"/>
    <n v="31"/>
    <n v="2"/>
    <n v="16"/>
    <n v="62"/>
    <n v="24"/>
    <n v="0.38709677419354838"/>
  </r>
  <r>
    <x v="689"/>
    <n v="15"/>
    <s v="Plato_20"/>
    <s v="Descripci√≥n del Plato_20"/>
    <n v="25"/>
    <n v="40"/>
    <n v="1"/>
    <n v="49"/>
    <n v="40"/>
    <n v="15"/>
    <n v="0.375"/>
  </r>
  <r>
    <x v="690"/>
    <n v="19"/>
    <s v="Plato_5"/>
    <s v="Descripci√≥n del Plato_5"/>
    <n v="13"/>
    <n v="22"/>
    <n v="3"/>
    <n v="34"/>
    <n v="66"/>
    <n v="27"/>
    <n v="0.40909090909090912"/>
  </r>
  <r>
    <x v="691"/>
    <n v="9"/>
    <s v="Plato_2"/>
    <s v="Descripci√≥n del Plato_2"/>
    <n v="18"/>
    <n v="30"/>
    <n v="1"/>
    <n v="49"/>
    <n v="30"/>
    <n v="12"/>
    <n v="0.4"/>
  </r>
  <r>
    <x v="691"/>
    <n v="9"/>
    <s v="Plato_3"/>
    <s v="Descripci√≥n del Plato_3"/>
    <n v="12"/>
    <n v="20"/>
    <n v="1"/>
    <n v="7"/>
    <n v="20"/>
    <n v="8"/>
    <n v="0.4"/>
  </r>
  <r>
    <x v="691"/>
    <n v="9"/>
    <s v="Plato_4"/>
    <s v="Descripci√≥n del Plato_4"/>
    <n v="10"/>
    <n v="18"/>
    <n v="1"/>
    <n v="11"/>
    <n v="18"/>
    <n v="8"/>
    <n v="0.44444444444444442"/>
  </r>
  <r>
    <x v="691"/>
    <n v="9"/>
    <s v="Plato_8"/>
    <s v="Descripci√≥n del Plato_8"/>
    <n v="21"/>
    <n v="35"/>
    <n v="3"/>
    <n v="33"/>
    <n v="105"/>
    <n v="42"/>
    <n v="0.4"/>
  </r>
  <r>
    <x v="692"/>
    <n v="15"/>
    <s v="Plato_13"/>
    <s v="Descripci√≥n del Plato_13"/>
    <n v="13"/>
    <n v="21"/>
    <n v="2"/>
    <n v="24"/>
    <n v="42"/>
    <n v="16"/>
    <n v="0.38095238095238093"/>
  </r>
  <r>
    <x v="692"/>
    <n v="15"/>
    <s v="Plato_19"/>
    <s v="Descripci√≥n del Plato_19"/>
    <n v="22"/>
    <n v="36"/>
    <n v="1"/>
    <n v="20"/>
    <n v="36"/>
    <n v="14"/>
    <n v="0.3888888888888889"/>
  </r>
  <r>
    <x v="693"/>
    <n v="5"/>
    <s v="Plato_13"/>
    <s v="Descripci√≥n del Plato_13"/>
    <n v="13"/>
    <n v="21"/>
    <n v="1"/>
    <n v="42"/>
    <n v="21"/>
    <n v="8"/>
    <n v="0.38095238095238093"/>
  </r>
  <r>
    <x v="693"/>
    <n v="5"/>
    <s v="Plato_20"/>
    <s v="Descripci√≥n del Plato_20"/>
    <n v="25"/>
    <n v="40"/>
    <n v="1"/>
    <n v="40"/>
    <n v="40"/>
    <n v="15"/>
    <n v="0.375"/>
  </r>
  <r>
    <x v="693"/>
    <n v="5"/>
    <s v="Plato_3"/>
    <s v="Descripci√≥n del Plato_3"/>
    <n v="12"/>
    <n v="20"/>
    <n v="3"/>
    <n v="20"/>
    <n v="60"/>
    <n v="24"/>
    <n v="0.4"/>
  </r>
  <r>
    <x v="693"/>
    <n v="5"/>
    <s v="Plato_4"/>
    <s v="Descripci√≥n del Plato_4"/>
    <n v="10"/>
    <n v="18"/>
    <n v="2"/>
    <n v="26"/>
    <n v="36"/>
    <n v="16"/>
    <n v="0.44444444444444442"/>
  </r>
  <r>
    <x v="694"/>
    <n v="9"/>
    <s v="Plato_16"/>
    <s v="Descripci√≥n del Plato_16"/>
    <n v="16"/>
    <n v="28"/>
    <n v="2"/>
    <n v="30"/>
    <n v="56"/>
    <n v="24"/>
    <n v="0.42857142857142855"/>
  </r>
  <r>
    <x v="694"/>
    <n v="9"/>
    <s v="Plato_2"/>
    <s v="Descripci√≥n del Plato_2"/>
    <n v="18"/>
    <n v="30"/>
    <n v="2"/>
    <n v="7"/>
    <n v="60"/>
    <n v="24"/>
    <n v="0.4"/>
  </r>
  <r>
    <x v="695"/>
    <n v="2"/>
    <s v="Plato_14"/>
    <s v="Descripci√≥n del Plato_14"/>
    <n v="14"/>
    <n v="23"/>
    <n v="2"/>
    <n v="23"/>
    <n v="46"/>
    <n v="18"/>
    <n v="0.39130434782608697"/>
  </r>
  <r>
    <x v="696"/>
    <n v="4"/>
    <s v="Plato_11"/>
    <s v="Descripci√≥n del Plato_11"/>
    <n v="20"/>
    <n v="33"/>
    <n v="2"/>
    <n v="41"/>
    <n v="66"/>
    <n v="26"/>
    <n v="0.39393939393939392"/>
  </r>
  <r>
    <x v="696"/>
    <n v="4"/>
    <s v="Plato_14"/>
    <s v="Descripci√≥n del Plato_14"/>
    <n v="14"/>
    <n v="23"/>
    <n v="2"/>
    <n v="24"/>
    <n v="46"/>
    <n v="18"/>
    <n v="0.39130434782608697"/>
  </r>
  <r>
    <x v="696"/>
    <n v="4"/>
    <s v="Plato_2"/>
    <s v="Descripci√≥n del Plato_2"/>
    <n v="18"/>
    <n v="30"/>
    <n v="2"/>
    <n v="35"/>
    <n v="60"/>
    <n v="24"/>
    <n v="0.4"/>
  </r>
  <r>
    <x v="696"/>
    <n v="4"/>
    <s v="Plato_6"/>
    <s v="Descripci√≥n del Plato_6"/>
    <n v="16"/>
    <n v="27"/>
    <n v="1"/>
    <n v="7"/>
    <n v="27"/>
    <n v="11"/>
    <n v="0.40740740740740738"/>
  </r>
  <r>
    <x v="697"/>
    <n v="19"/>
    <s v="Plato_10"/>
    <s v="Descripci√≥n del Plato_10"/>
    <n v="15"/>
    <n v="26"/>
    <n v="1"/>
    <n v="12"/>
    <n v="26"/>
    <n v="11"/>
    <n v="0.42307692307692307"/>
  </r>
  <r>
    <x v="697"/>
    <n v="19"/>
    <s v="Plato_13"/>
    <s v="Descripci√≥n del Plato_13"/>
    <n v="13"/>
    <n v="21"/>
    <n v="3"/>
    <n v="15"/>
    <n v="63"/>
    <n v="24"/>
    <n v="0.38095238095238093"/>
  </r>
  <r>
    <x v="697"/>
    <n v="19"/>
    <s v="Plato_14"/>
    <s v="Descripci√≥n del Plato_14"/>
    <n v="14"/>
    <n v="23"/>
    <n v="3"/>
    <n v="19"/>
    <n v="69"/>
    <n v="27"/>
    <n v="0.39130434782608697"/>
  </r>
  <r>
    <x v="697"/>
    <n v="19"/>
    <s v="Plato_6"/>
    <s v="Descripci√≥n del Plato_6"/>
    <n v="16"/>
    <n v="27"/>
    <n v="1"/>
    <n v="55"/>
    <n v="27"/>
    <n v="11"/>
    <n v="0.40740740740740738"/>
  </r>
  <r>
    <x v="698"/>
    <n v="8"/>
    <s v="Plato_9"/>
    <s v="Descripci√≥n del Plato_9"/>
    <n v="17"/>
    <n v="29"/>
    <n v="2"/>
    <n v="11"/>
    <n v="58"/>
    <n v="24"/>
    <n v="0.41379310344827586"/>
  </r>
  <r>
    <x v="699"/>
    <n v="8"/>
    <s v="Plato_10"/>
    <s v="Descripci√≥n del Plato_10"/>
    <n v="15"/>
    <n v="26"/>
    <n v="3"/>
    <n v="35"/>
    <n v="78"/>
    <n v="33"/>
    <n v="0.42307692307692307"/>
  </r>
  <r>
    <x v="699"/>
    <n v="8"/>
    <s v="Plato_18"/>
    <s v="Descripci√≥n del Plato_18"/>
    <n v="20"/>
    <n v="34"/>
    <n v="3"/>
    <n v="37"/>
    <n v="102"/>
    <n v="42"/>
    <n v="0.41176470588235292"/>
  </r>
  <r>
    <x v="699"/>
    <n v="8"/>
    <s v="Plato_6"/>
    <s v="Descripci√≥n del Plato_6"/>
    <n v="16"/>
    <n v="27"/>
    <n v="2"/>
    <n v="14"/>
    <n v="54"/>
    <n v="22"/>
    <n v="0.40740740740740738"/>
  </r>
  <r>
    <x v="700"/>
    <n v="19"/>
    <s v="Plato_11"/>
    <s v="Descripci√≥n del Plato_11"/>
    <n v="20"/>
    <n v="33"/>
    <n v="2"/>
    <n v="42"/>
    <n v="66"/>
    <n v="26"/>
    <n v="0.39393939393939392"/>
  </r>
  <r>
    <x v="700"/>
    <n v="19"/>
    <s v="Plato_4"/>
    <s v="Descripci√≥n del Plato_4"/>
    <n v="10"/>
    <n v="18"/>
    <n v="2"/>
    <n v="55"/>
    <n v="36"/>
    <n v="16"/>
    <n v="0.44444444444444442"/>
  </r>
  <r>
    <x v="701"/>
    <n v="13"/>
    <s v="Plato_13"/>
    <s v="Descripci√≥n del Plato_13"/>
    <n v="13"/>
    <n v="21"/>
    <n v="1"/>
    <n v="36"/>
    <n v="21"/>
    <n v="8"/>
    <n v="0.38095238095238093"/>
  </r>
  <r>
    <x v="701"/>
    <n v="13"/>
    <s v="Plato_16"/>
    <s v="Descripci√≥n del Plato_16"/>
    <n v="16"/>
    <n v="28"/>
    <n v="3"/>
    <n v="31"/>
    <n v="84"/>
    <n v="36"/>
    <n v="0.42857142857142855"/>
  </r>
  <r>
    <x v="701"/>
    <n v="13"/>
    <s v="Plato_4"/>
    <s v="Descripci√≥n del Plato_4"/>
    <n v="10"/>
    <n v="18"/>
    <n v="2"/>
    <n v="59"/>
    <n v="36"/>
    <n v="16"/>
    <n v="0.44444444444444442"/>
  </r>
  <r>
    <x v="701"/>
    <n v="13"/>
    <s v="Plato_6"/>
    <s v="Descripci√≥n del Plato_6"/>
    <n v="16"/>
    <n v="27"/>
    <n v="2"/>
    <n v="29"/>
    <n v="54"/>
    <n v="22"/>
    <n v="0.40740740740740738"/>
  </r>
  <r>
    <x v="702"/>
    <n v="9"/>
    <s v="Plato_13"/>
    <s v="Descripci√≥n del Plato_13"/>
    <n v="13"/>
    <n v="21"/>
    <n v="3"/>
    <n v="29"/>
    <n v="63"/>
    <n v="24"/>
    <n v="0.38095238095238093"/>
  </r>
  <r>
    <x v="703"/>
    <n v="13"/>
    <s v="Plato_4"/>
    <s v="Descripci√≥n del Plato_4"/>
    <n v="10"/>
    <n v="18"/>
    <n v="1"/>
    <n v="38"/>
    <n v="18"/>
    <n v="8"/>
    <n v="0.44444444444444442"/>
  </r>
  <r>
    <x v="704"/>
    <n v="12"/>
    <s v="Plato_10"/>
    <s v="Descripci√≥n del Plato_10"/>
    <n v="15"/>
    <n v="26"/>
    <n v="2"/>
    <n v="8"/>
    <n v="52"/>
    <n v="22"/>
    <n v="0.42307692307692307"/>
  </r>
  <r>
    <x v="704"/>
    <n v="12"/>
    <s v="Plato_3"/>
    <s v="Descripci√≥n del Plato_3"/>
    <n v="12"/>
    <n v="20"/>
    <n v="3"/>
    <n v="25"/>
    <n v="60"/>
    <n v="24"/>
    <n v="0.4"/>
  </r>
  <r>
    <x v="705"/>
    <n v="20"/>
    <s v="Plato_4"/>
    <s v="Descripci√≥n del Plato_4"/>
    <n v="10"/>
    <n v="18"/>
    <n v="3"/>
    <n v="33"/>
    <n v="54"/>
    <n v="24"/>
    <n v="0.44444444444444442"/>
  </r>
  <r>
    <x v="706"/>
    <n v="15"/>
    <s v="Plato_13"/>
    <s v="Descripci√≥n del Plato_13"/>
    <n v="13"/>
    <n v="21"/>
    <n v="1"/>
    <n v="42"/>
    <n v="21"/>
    <n v="8"/>
    <n v="0.38095238095238093"/>
  </r>
  <r>
    <x v="706"/>
    <n v="15"/>
    <s v="Plato_15"/>
    <s v="Descripci√≥n del Plato_15"/>
    <n v="19"/>
    <n v="32"/>
    <n v="1"/>
    <n v="31"/>
    <n v="32"/>
    <n v="13"/>
    <n v="0.40625"/>
  </r>
  <r>
    <x v="706"/>
    <n v="15"/>
    <s v="Plato_19"/>
    <s v="Descripci√≥n del Plato_19"/>
    <n v="22"/>
    <n v="36"/>
    <n v="2"/>
    <n v="11"/>
    <n v="72"/>
    <n v="28"/>
    <n v="0.3888888888888889"/>
  </r>
  <r>
    <x v="706"/>
    <n v="15"/>
    <s v="Plato_2"/>
    <s v="Descripci√≥n del Plato_2"/>
    <n v="18"/>
    <n v="30"/>
    <n v="2"/>
    <n v="53"/>
    <n v="60"/>
    <n v="24"/>
    <n v="0.4"/>
  </r>
  <r>
    <x v="707"/>
    <n v="5"/>
    <s v="Plato_6"/>
    <s v="Descripci√≥n del Plato_6"/>
    <n v="16"/>
    <n v="27"/>
    <n v="2"/>
    <n v="24"/>
    <n v="54"/>
    <n v="22"/>
    <n v="0.40740740740740738"/>
  </r>
  <r>
    <x v="708"/>
    <n v="8"/>
    <s v="Plato_1"/>
    <s v="Descripci√≥n del Plato_1"/>
    <n v="15"/>
    <n v="25"/>
    <n v="2"/>
    <n v="31"/>
    <n v="50"/>
    <n v="20"/>
    <n v="0.4"/>
  </r>
  <r>
    <x v="708"/>
    <n v="8"/>
    <s v="Plato_11"/>
    <s v="Descripci√≥n del Plato_11"/>
    <n v="20"/>
    <n v="33"/>
    <n v="2"/>
    <n v="27"/>
    <n v="66"/>
    <n v="26"/>
    <n v="0.39393939393939392"/>
  </r>
  <r>
    <x v="708"/>
    <n v="8"/>
    <s v="Plato_13"/>
    <s v="Descripci√≥n del Plato_13"/>
    <n v="13"/>
    <n v="21"/>
    <n v="2"/>
    <n v="7"/>
    <n v="42"/>
    <n v="16"/>
    <n v="0.38095238095238093"/>
  </r>
  <r>
    <x v="708"/>
    <n v="8"/>
    <s v="Plato_8"/>
    <s v="Descripci√≥n del Plato_8"/>
    <n v="21"/>
    <n v="35"/>
    <n v="1"/>
    <n v="33"/>
    <n v="35"/>
    <n v="14"/>
    <n v="0.4"/>
  </r>
  <r>
    <x v="709"/>
    <n v="18"/>
    <s v="Plato_12"/>
    <s v="Descripci√≥n del Plato_12"/>
    <n v="11"/>
    <n v="19"/>
    <n v="3"/>
    <n v="45"/>
    <n v="57"/>
    <n v="24"/>
    <n v="0.42105263157894735"/>
  </r>
  <r>
    <x v="709"/>
    <n v="18"/>
    <s v="Plato_14"/>
    <s v="Descripci√≥n del Plato_14"/>
    <n v="14"/>
    <n v="23"/>
    <n v="1"/>
    <n v="43"/>
    <n v="23"/>
    <n v="9"/>
    <n v="0.39130434782608697"/>
  </r>
  <r>
    <x v="709"/>
    <n v="18"/>
    <s v="Plato_3"/>
    <s v="Descripci√≥n del Plato_3"/>
    <n v="12"/>
    <n v="20"/>
    <n v="2"/>
    <n v="32"/>
    <n v="40"/>
    <n v="16"/>
    <n v="0.4"/>
  </r>
  <r>
    <x v="709"/>
    <n v="18"/>
    <s v="Plato_4"/>
    <s v="Descripci√≥n del Plato_4"/>
    <n v="10"/>
    <n v="18"/>
    <n v="1"/>
    <n v="20"/>
    <n v="18"/>
    <n v="8"/>
    <n v="0.44444444444444442"/>
  </r>
  <r>
    <x v="710"/>
    <n v="20"/>
    <s v="Plato_15"/>
    <s v="Descripci√≥n del Plato_15"/>
    <n v="19"/>
    <n v="32"/>
    <n v="2"/>
    <n v="16"/>
    <n v="64"/>
    <n v="26"/>
    <n v="0.40625"/>
  </r>
  <r>
    <x v="710"/>
    <n v="20"/>
    <s v="Plato_18"/>
    <s v="Descripci√≥n del Plato_18"/>
    <n v="20"/>
    <n v="34"/>
    <n v="3"/>
    <n v="43"/>
    <n v="102"/>
    <n v="42"/>
    <n v="0.41176470588235292"/>
  </r>
  <r>
    <x v="711"/>
    <n v="10"/>
    <s v="Plato_7"/>
    <s v="Descripci√≥n del Plato_7"/>
    <n v="14"/>
    <n v="24"/>
    <n v="2"/>
    <n v="49"/>
    <n v="48"/>
    <n v="20"/>
    <n v="0.41666666666666669"/>
  </r>
  <r>
    <x v="712"/>
    <n v="6"/>
    <s v="Plato_10"/>
    <s v="Descripci√≥n del Plato_10"/>
    <n v="15"/>
    <n v="26"/>
    <n v="3"/>
    <n v="25"/>
    <n v="78"/>
    <n v="33"/>
    <n v="0.42307692307692307"/>
  </r>
  <r>
    <x v="712"/>
    <n v="6"/>
    <s v="Plato_11"/>
    <s v="Descripci√≥n del Plato_11"/>
    <n v="20"/>
    <n v="33"/>
    <n v="3"/>
    <n v="41"/>
    <n v="99"/>
    <n v="39"/>
    <n v="0.39393939393939392"/>
  </r>
  <r>
    <x v="712"/>
    <n v="6"/>
    <s v="Plato_15"/>
    <s v="Descripci√≥n del Plato_15"/>
    <n v="19"/>
    <n v="32"/>
    <n v="3"/>
    <n v="45"/>
    <n v="96"/>
    <n v="39"/>
    <n v="0.40625"/>
  </r>
  <r>
    <x v="712"/>
    <n v="6"/>
    <s v="Plato_9"/>
    <s v="Descripci√≥n del Plato_9"/>
    <n v="17"/>
    <n v="29"/>
    <n v="3"/>
    <n v="14"/>
    <n v="87"/>
    <n v="36"/>
    <n v="0.41379310344827586"/>
  </r>
  <r>
    <x v="713"/>
    <n v="19"/>
    <s v="Plato_11"/>
    <s v="Descripci√≥n del Plato_11"/>
    <n v="20"/>
    <n v="33"/>
    <n v="1"/>
    <n v="29"/>
    <n v="33"/>
    <n v="13"/>
    <n v="0.39393939393939392"/>
  </r>
  <r>
    <x v="713"/>
    <n v="19"/>
    <s v="Plato_18"/>
    <s v="Descripci√≥n del Plato_18"/>
    <n v="20"/>
    <n v="34"/>
    <n v="3"/>
    <n v="17"/>
    <n v="102"/>
    <n v="42"/>
    <n v="0.41176470588235292"/>
  </r>
  <r>
    <x v="713"/>
    <n v="19"/>
    <s v="Plato_2"/>
    <s v="Descripci√≥n del Plato_2"/>
    <n v="18"/>
    <n v="30"/>
    <n v="3"/>
    <n v="17"/>
    <n v="90"/>
    <n v="36"/>
    <n v="0.4"/>
  </r>
  <r>
    <x v="714"/>
    <n v="12"/>
    <s v="Plato_1"/>
    <s v="Descripci√≥n del Plato_1"/>
    <n v="15"/>
    <n v="25"/>
    <n v="3"/>
    <n v="38"/>
    <n v="75"/>
    <n v="30"/>
    <n v="0.4"/>
  </r>
  <r>
    <x v="714"/>
    <n v="12"/>
    <s v="Plato_2"/>
    <s v="Descripci√≥n del Plato_2"/>
    <n v="18"/>
    <n v="30"/>
    <n v="3"/>
    <n v="35"/>
    <n v="90"/>
    <n v="36"/>
    <n v="0.4"/>
  </r>
  <r>
    <x v="714"/>
    <n v="12"/>
    <s v="Plato_4"/>
    <s v="Descripci√≥n del Plato_4"/>
    <n v="10"/>
    <n v="18"/>
    <n v="3"/>
    <n v="49"/>
    <n v="54"/>
    <n v="24"/>
    <n v="0.44444444444444442"/>
  </r>
  <r>
    <x v="714"/>
    <n v="12"/>
    <s v="Plato_6"/>
    <s v="Descripci√≥n del Plato_6"/>
    <n v="16"/>
    <n v="27"/>
    <n v="1"/>
    <n v="14"/>
    <n v="27"/>
    <n v="11"/>
    <n v="0.40740740740740738"/>
  </r>
  <r>
    <x v="715"/>
    <n v="12"/>
    <s v="Plato_1"/>
    <s v="Descripci√≥n del Plato_1"/>
    <n v="15"/>
    <n v="25"/>
    <n v="3"/>
    <n v="48"/>
    <n v="75"/>
    <n v="30"/>
    <n v="0.4"/>
  </r>
  <r>
    <x v="715"/>
    <n v="12"/>
    <s v="Plato_13"/>
    <s v="Descripci√≥n del Plato_13"/>
    <n v="13"/>
    <n v="21"/>
    <n v="3"/>
    <n v="12"/>
    <n v="63"/>
    <n v="24"/>
    <n v="0.38095238095238093"/>
  </r>
  <r>
    <x v="715"/>
    <n v="12"/>
    <s v="Plato_17"/>
    <s v="Descripci√≥n del Plato_17"/>
    <n v="19"/>
    <n v="31"/>
    <n v="3"/>
    <n v="30"/>
    <n v="93"/>
    <n v="36"/>
    <n v="0.38709677419354838"/>
  </r>
  <r>
    <x v="716"/>
    <n v="8"/>
    <s v="Plato_2"/>
    <s v="Descripci√≥n del Plato_2"/>
    <n v="18"/>
    <n v="30"/>
    <n v="1"/>
    <n v="36"/>
    <n v="30"/>
    <n v="12"/>
    <n v="0.4"/>
  </r>
  <r>
    <x v="716"/>
    <n v="8"/>
    <s v="Plato_5"/>
    <s v="Descripci√≥n del Plato_5"/>
    <n v="13"/>
    <n v="22"/>
    <n v="2"/>
    <n v="23"/>
    <n v="44"/>
    <n v="18"/>
    <n v="0.40909090909090912"/>
  </r>
  <r>
    <x v="716"/>
    <n v="8"/>
    <s v="Plato_6"/>
    <s v="Descripci√≥n del Plato_6"/>
    <n v="16"/>
    <n v="27"/>
    <n v="3"/>
    <n v="13"/>
    <n v="81"/>
    <n v="33"/>
    <n v="0.40740740740740738"/>
  </r>
  <r>
    <x v="717"/>
    <n v="7"/>
    <s v="Plato_3"/>
    <s v="Descripci√≥n del Plato_3"/>
    <n v="12"/>
    <n v="20"/>
    <n v="1"/>
    <n v="58"/>
    <n v="20"/>
    <n v="8"/>
    <n v="0.4"/>
  </r>
  <r>
    <x v="718"/>
    <n v="16"/>
    <s v="Plato_12"/>
    <s v="Descripci√≥n del Plato_12"/>
    <n v="11"/>
    <n v="19"/>
    <n v="2"/>
    <n v="34"/>
    <n v="38"/>
    <n v="16"/>
    <n v="0.42105263157894735"/>
  </r>
  <r>
    <x v="718"/>
    <n v="16"/>
    <s v="Plato_20"/>
    <s v="Descripci√≥n del Plato_20"/>
    <n v="25"/>
    <n v="40"/>
    <n v="1"/>
    <n v="15"/>
    <n v="40"/>
    <n v="15"/>
    <n v="0.375"/>
  </r>
  <r>
    <x v="718"/>
    <n v="16"/>
    <s v="Plato_9"/>
    <s v="Descripci√≥n del Plato_9"/>
    <n v="17"/>
    <n v="29"/>
    <n v="1"/>
    <n v="21"/>
    <n v="29"/>
    <n v="12"/>
    <n v="0.41379310344827586"/>
  </r>
  <r>
    <x v="719"/>
    <n v="4"/>
    <s v="Plato_11"/>
    <s v="Descripci√≥n del Plato_11"/>
    <n v="20"/>
    <n v="33"/>
    <n v="1"/>
    <n v="36"/>
    <n v="33"/>
    <n v="13"/>
    <n v="0.39393939393939392"/>
  </r>
  <r>
    <x v="719"/>
    <n v="4"/>
    <s v="Plato_7"/>
    <s v="Descripci√≥n del Plato_7"/>
    <n v="14"/>
    <n v="24"/>
    <n v="2"/>
    <n v="53"/>
    <n v="48"/>
    <n v="20"/>
    <n v="0.41666666666666669"/>
  </r>
  <r>
    <x v="719"/>
    <n v="4"/>
    <s v="Plato_9"/>
    <s v="Descripci√≥n del Plato_9"/>
    <n v="17"/>
    <n v="29"/>
    <n v="3"/>
    <n v="44"/>
    <n v="87"/>
    <n v="36"/>
    <n v="0.41379310344827586"/>
  </r>
  <r>
    <x v="720"/>
    <n v="6"/>
    <s v="Plato_19"/>
    <s v="Descripci√≥n del Plato_19"/>
    <n v="22"/>
    <n v="36"/>
    <n v="1"/>
    <n v="15"/>
    <n v="36"/>
    <n v="14"/>
    <n v="0.3888888888888889"/>
  </r>
  <r>
    <x v="720"/>
    <n v="6"/>
    <s v="Plato_6"/>
    <s v="Descripci√≥n del Plato_6"/>
    <n v="16"/>
    <n v="27"/>
    <n v="3"/>
    <n v="54"/>
    <n v="81"/>
    <n v="33"/>
    <n v="0.40740740740740738"/>
  </r>
  <r>
    <x v="720"/>
    <n v="6"/>
    <s v="Plato_7"/>
    <s v="Descripci√≥n del Plato_7"/>
    <n v="14"/>
    <n v="24"/>
    <n v="3"/>
    <n v="44"/>
    <n v="72"/>
    <n v="30"/>
    <n v="0.41666666666666669"/>
  </r>
  <r>
    <x v="720"/>
    <n v="6"/>
    <s v="Plato_9"/>
    <s v="Descripci√≥n del Plato_9"/>
    <n v="17"/>
    <n v="29"/>
    <n v="1"/>
    <n v="20"/>
    <n v="29"/>
    <n v="12"/>
    <n v="0.41379310344827586"/>
  </r>
  <r>
    <x v="721"/>
    <n v="13"/>
    <s v="Plato_13"/>
    <s v="Descripci√≥n del Plato_13"/>
    <n v="13"/>
    <n v="21"/>
    <n v="3"/>
    <n v="43"/>
    <n v="63"/>
    <n v="24"/>
    <n v="0.38095238095238093"/>
  </r>
  <r>
    <x v="721"/>
    <n v="13"/>
    <s v="Plato_5"/>
    <s v="Descripci√≥n del Plato_5"/>
    <n v="13"/>
    <n v="22"/>
    <n v="1"/>
    <n v="16"/>
    <n v="22"/>
    <n v="9"/>
    <n v="0.40909090909090912"/>
  </r>
  <r>
    <x v="722"/>
    <n v="12"/>
    <s v="Plato_16"/>
    <s v="Descripci√≥n del Plato_16"/>
    <n v="16"/>
    <n v="28"/>
    <n v="2"/>
    <n v="22"/>
    <n v="56"/>
    <n v="24"/>
    <n v="0.42857142857142855"/>
  </r>
  <r>
    <x v="722"/>
    <n v="12"/>
    <s v="Plato_8"/>
    <s v="Descripci√≥n del Plato_8"/>
    <n v="21"/>
    <n v="35"/>
    <n v="2"/>
    <n v="9"/>
    <n v="70"/>
    <n v="28"/>
    <n v="0.4"/>
  </r>
  <r>
    <x v="723"/>
    <n v="8"/>
    <s v="Plato_5"/>
    <s v="Descripci√≥n del Plato_5"/>
    <n v="13"/>
    <n v="22"/>
    <n v="3"/>
    <n v="56"/>
    <n v="66"/>
    <n v="27"/>
    <n v="0.40909090909090912"/>
  </r>
  <r>
    <x v="724"/>
    <n v="10"/>
    <s v="Plato_18"/>
    <s v="Descripci√≥n del Plato_18"/>
    <n v="20"/>
    <n v="34"/>
    <n v="3"/>
    <n v="30"/>
    <n v="102"/>
    <n v="42"/>
    <n v="0.41176470588235292"/>
  </r>
  <r>
    <x v="724"/>
    <n v="10"/>
    <s v="Plato_5"/>
    <s v="Descripci√≥n del Plato_5"/>
    <n v="13"/>
    <n v="22"/>
    <n v="3"/>
    <n v="55"/>
    <n v="66"/>
    <n v="27"/>
    <n v="0.40909090909090912"/>
  </r>
  <r>
    <x v="725"/>
    <n v="11"/>
    <s v="Plato_14"/>
    <s v="Descripci√≥n del Plato_14"/>
    <n v="14"/>
    <n v="23"/>
    <n v="2"/>
    <n v="55"/>
    <n v="46"/>
    <n v="18"/>
    <n v="0.39130434782608697"/>
  </r>
  <r>
    <x v="725"/>
    <n v="11"/>
    <s v="Plato_19"/>
    <s v="Descripci√≥n del Plato_19"/>
    <n v="22"/>
    <n v="36"/>
    <n v="1"/>
    <n v="13"/>
    <n v="36"/>
    <n v="14"/>
    <n v="0.3888888888888889"/>
  </r>
  <r>
    <x v="725"/>
    <n v="11"/>
    <s v="Plato_5"/>
    <s v="Descripci√≥n del Plato_5"/>
    <n v="13"/>
    <n v="22"/>
    <n v="2"/>
    <n v="6"/>
    <n v="44"/>
    <n v="18"/>
    <n v="0.40909090909090912"/>
  </r>
  <r>
    <x v="726"/>
    <n v="17"/>
    <s v="Plato_3"/>
    <s v="Descripci√≥n del Plato_3"/>
    <n v="12"/>
    <n v="20"/>
    <n v="2"/>
    <n v="21"/>
    <n v="40"/>
    <n v="16"/>
    <n v="0.4"/>
  </r>
  <r>
    <x v="727"/>
    <n v="9"/>
    <s v="Plato_15"/>
    <s v="Descripci√≥n del Plato_15"/>
    <n v="19"/>
    <n v="32"/>
    <n v="3"/>
    <n v="22"/>
    <n v="96"/>
    <n v="39"/>
    <n v="0.40625"/>
  </r>
  <r>
    <x v="727"/>
    <n v="9"/>
    <s v="Plato_4"/>
    <s v="Descripci√≥n del Plato_4"/>
    <n v="10"/>
    <n v="18"/>
    <n v="1"/>
    <n v="42"/>
    <n v="18"/>
    <n v="8"/>
    <n v="0.44444444444444442"/>
  </r>
  <r>
    <x v="727"/>
    <n v="9"/>
    <s v="Plato_6"/>
    <s v="Descripci√≥n del Plato_6"/>
    <n v="16"/>
    <n v="27"/>
    <n v="3"/>
    <n v="8"/>
    <n v="81"/>
    <n v="33"/>
    <n v="0.40740740740740738"/>
  </r>
  <r>
    <x v="728"/>
    <n v="20"/>
    <s v="Plato_18"/>
    <s v="Descripci√≥n del Plato_18"/>
    <n v="20"/>
    <n v="34"/>
    <n v="2"/>
    <n v="57"/>
    <n v="68"/>
    <n v="28"/>
    <n v="0.41176470588235292"/>
  </r>
  <r>
    <x v="728"/>
    <n v="20"/>
    <s v="Plato_3"/>
    <s v="Descripci√≥n del Plato_3"/>
    <n v="12"/>
    <n v="20"/>
    <n v="3"/>
    <n v="8"/>
    <n v="60"/>
    <n v="24"/>
    <n v="0.4"/>
  </r>
  <r>
    <x v="729"/>
    <n v="8"/>
    <s v="Plato_2"/>
    <s v="Descripci√≥n del Plato_2"/>
    <n v="18"/>
    <n v="30"/>
    <n v="3"/>
    <n v="32"/>
    <n v="90"/>
    <n v="36"/>
    <n v="0.4"/>
  </r>
  <r>
    <x v="729"/>
    <n v="8"/>
    <s v="Plato_7"/>
    <s v="Descripci√≥n del Plato_7"/>
    <n v="14"/>
    <n v="24"/>
    <n v="1"/>
    <n v="47"/>
    <n v="24"/>
    <n v="10"/>
    <n v="0.41666666666666669"/>
  </r>
  <r>
    <x v="730"/>
    <n v="17"/>
    <s v="Plato_15"/>
    <s v="Descripci√≥n del Plato_15"/>
    <n v="19"/>
    <n v="32"/>
    <n v="2"/>
    <n v="47"/>
    <n v="64"/>
    <n v="26"/>
    <n v="0.40625"/>
  </r>
  <r>
    <x v="731"/>
    <n v="12"/>
    <s v="Plato_10"/>
    <s v="Descripci√≥n del Plato_10"/>
    <n v="15"/>
    <n v="26"/>
    <n v="3"/>
    <n v="36"/>
    <n v="78"/>
    <n v="33"/>
    <n v="0.42307692307692307"/>
  </r>
  <r>
    <x v="731"/>
    <n v="12"/>
    <s v="Plato_19"/>
    <s v="Descripci√≥n del Plato_19"/>
    <n v="22"/>
    <n v="36"/>
    <n v="3"/>
    <n v="56"/>
    <n v="108"/>
    <n v="42"/>
    <n v="0.3888888888888889"/>
  </r>
  <r>
    <x v="731"/>
    <n v="12"/>
    <s v="Plato_20"/>
    <s v="Descripci√≥n del Plato_20"/>
    <n v="25"/>
    <n v="40"/>
    <n v="3"/>
    <n v="29"/>
    <n v="120"/>
    <n v="45"/>
    <n v="0.375"/>
  </r>
  <r>
    <x v="732"/>
    <n v="14"/>
    <s v="Plato_19"/>
    <s v="Descripci√≥n del Plato_19"/>
    <n v="22"/>
    <n v="36"/>
    <n v="3"/>
    <n v="31"/>
    <n v="108"/>
    <n v="42"/>
    <n v="0.3888888888888889"/>
  </r>
  <r>
    <x v="732"/>
    <n v="14"/>
    <s v="Plato_6"/>
    <s v="Descripci√≥n del Plato_6"/>
    <n v="16"/>
    <n v="27"/>
    <n v="2"/>
    <n v="9"/>
    <n v="54"/>
    <n v="22"/>
    <n v="0.40740740740740738"/>
  </r>
  <r>
    <x v="732"/>
    <n v="14"/>
    <s v="Plato_7"/>
    <s v="Descripci√≥n del Plato_7"/>
    <n v="14"/>
    <n v="24"/>
    <n v="1"/>
    <n v="34"/>
    <n v="24"/>
    <n v="10"/>
    <n v="0.41666666666666669"/>
  </r>
  <r>
    <x v="733"/>
    <n v="14"/>
    <s v="Plato_12"/>
    <s v="Descripci√≥n del Plato_12"/>
    <n v="11"/>
    <n v="19"/>
    <n v="1"/>
    <n v="25"/>
    <n v="19"/>
    <n v="8"/>
    <n v="0.42105263157894735"/>
  </r>
  <r>
    <x v="733"/>
    <n v="14"/>
    <s v="Plato_15"/>
    <s v="Descripci√≥n del Plato_15"/>
    <n v="19"/>
    <n v="32"/>
    <n v="3"/>
    <n v="11"/>
    <n v="96"/>
    <n v="39"/>
    <n v="0.40625"/>
  </r>
  <r>
    <x v="733"/>
    <n v="14"/>
    <s v="Plato_7"/>
    <s v="Descripci√≥n del Plato_7"/>
    <n v="14"/>
    <n v="24"/>
    <n v="1"/>
    <n v="16"/>
    <n v="24"/>
    <n v="10"/>
    <n v="0.41666666666666669"/>
  </r>
  <r>
    <x v="734"/>
    <n v="20"/>
    <s v="Plato_14"/>
    <s v="Descripci√≥n del Plato_14"/>
    <n v="14"/>
    <n v="23"/>
    <n v="2"/>
    <n v="30"/>
    <n v="46"/>
    <n v="18"/>
    <n v="0.39130434782608697"/>
  </r>
  <r>
    <x v="734"/>
    <n v="20"/>
    <s v="Plato_15"/>
    <s v="Descripci√≥n del Plato_15"/>
    <n v="19"/>
    <n v="32"/>
    <n v="3"/>
    <n v="57"/>
    <n v="96"/>
    <n v="39"/>
    <n v="0.40625"/>
  </r>
  <r>
    <x v="735"/>
    <n v="17"/>
    <s v="Plato_16"/>
    <s v="Descripci√≥n del Plato_16"/>
    <n v="16"/>
    <n v="28"/>
    <n v="2"/>
    <n v="43"/>
    <n v="56"/>
    <n v="24"/>
    <n v="0.42857142857142855"/>
  </r>
  <r>
    <x v="735"/>
    <n v="17"/>
    <s v="Plato_17"/>
    <s v="Descripci√≥n del Plato_17"/>
    <n v="19"/>
    <n v="31"/>
    <n v="3"/>
    <n v="27"/>
    <n v="93"/>
    <n v="36"/>
    <n v="0.38709677419354838"/>
  </r>
  <r>
    <x v="735"/>
    <n v="17"/>
    <s v="Plato_5"/>
    <s v="Descripci√≥n del Plato_5"/>
    <n v="13"/>
    <n v="22"/>
    <n v="3"/>
    <n v="22"/>
    <n v="66"/>
    <n v="27"/>
    <n v="0.40909090909090912"/>
  </r>
  <r>
    <x v="736"/>
    <n v="6"/>
    <s v="Plato_2"/>
    <s v="Descripci√≥n del Plato_2"/>
    <n v="18"/>
    <n v="30"/>
    <n v="2"/>
    <n v="5"/>
    <n v="60"/>
    <n v="24"/>
    <n v="0.4"/>
  </r>
  <r>
    <x v="736"/>
    <n v="6"/>
    <s v="Plato_9"/>
    <s v="Descripci√≥n del Plato_9"/>
    <n v="17"/>
    <n v="29"/>
    <n v="2"/>
    <n v="17"/>
    <n v="58"/>
    <n v="24"/>
    <n v="0.41379310344827586"/>
  </r>
  <r>
    <x v="737"/>
    <n v="15"/>
    <s v="Plato_10"/>
    <s v="Descripci√≥n del Plato_10"/>
    <n v="15"/>
    <n v="26"/>
    <n v="2"/>
    <n v="59"/>
    <n v="52"/>
    <n v="22"/>
    <n v="0.42307692307692307"/>
  </r>
  <r>
    <x v="737"/>
    <n v="15"/>
    <s v="Plato_16"/>
    <s v="Descripci√≥n del Plato_16"/>
    <n v="16"/>
    <n v="28"/>
    <n v="1"/>
    <n v="15"/>
    <n v="28"/>
    <n v="12"/>
    <n v="0.42857142857142855"/>
  </r>
  <r>
    <x v="737"/>
    <n v="15"/>
    <s v="Plato_4"/>
    <s v="Descripci√≥n del Plato_4"/>
    <n v="10"/>
    <n v="18"/>
    <n v="3"/>
    <n v="20"/>
    <n v="54"/>
    <n v="24"/>
    <n v="0.44444444444444442"/>
  </r>
  <r>
    <x v="738"/>
    <n v="10"/>
    <s v="Plato_14"/>
    <s v="Descripci√≥n del Plato_14"/>
    <n v="14"/>
    <n v="23"/>
    <n v="2"/>
    <n v="54"/>
    <n v="46"/>
    <n v="18"/>
    <n v="0.39130434782608697"/>
  </r>
  <r>
    <x v="739"/>
    <n v="16"/>
    <s v="Plato_14"/>
    <s v="Descripci√≥n del Plato_14"/>
    <n v="14"/>
    <n v="23"/>
    <n v="3"/>
    <n v="21"/>
    <n v="69"/>
    <n v="27"/>
    <n v="0.39130434782608697"/>
  </r>
  <r>
    <x v="739"/>
    <n v="16"/>
    <s v="Plato_15"/>
    <s v="Descripci√≥n del Plato_15"/>
    <n v="19"/>
    <n v="32"/>
    <n v="1"/>
    <n v="16"/>
    <n v="32"/>
    <n v="13"/>
    <n v="0.40625"/>
  </r>
  <r>
    <x v="739"/>
    <n v="16"/>
    <s v="Plato_16"/>
    <s v="Descripci√≥n del Plato_16"/>
    <n v="16"/>
    <n v="28"/>
    <n v="3"/>
    <n v="31"/>
    <n v="84"/>
    <n v="36"/>
    <n v="0.42857142857142855"/>
  </r>
  <r>
    <x v="739"/>
    <n v="16"/>
    <s v="Plato_19"/>
    <s v="Descripci√≥n del Plato_19"/>
    <n v="22"/>
    <n v="36"/>
    <n v="3"/>
    <n v="45"/>
    <n v="108"/>
    <n v="42"/>
    <n v="0.3888888888888889"/>
  </r>
  <r>
    <x v="740"/>
    <n v="14"/>
    <s v="Plato_11"/>
    <s v="Descripci√≥n del Plato_11"/>
    <n v="20"/>
    <n v="33"/>
    <n v="3"/>
    <n v="39"/>
    <n v="99"/>
    <n v="39"/>
    <n v="0.39393939393939392"/>
  </r>
  <r>
    <x v="740"/>
    <n v="14"/>
    <s v="Plato_16"/>
    <s v="Descripci√≥n del Plato_16"/>
    <n v="16"/>
    <n v="28"/>
    <n v="2"/>
    <n v="34"/>
    <n v="56"/>
    <n v="24"/>
    <n v="0.42857142857142855"/>
  </r>
  <r>
    <x v="740"/>
    <n v="14"/>
    <s v="Plato_7"/>
    <s v="Descripci√≥n del Plato_7"/>
    <n v="14"/>
    <n v="24"/>
    <n v="3"/>
    <n v="52"/>
    <n v="72"/>
    <n v="30"/>
    <n v="0.41666666666666669"/>
  </r>
  <r>
    <x v="740"/>
    <n v="14"/>
    <s v="Plato_9"/>
    <s v="Descripci√≥n del Plato_9"/>
    <n v="17"/>
    <n v="29"/>
    <n v="2"/>
    <n v="40"/>
    <n v="58"/>
    <n v="24"/>
    <n v="0.41379310344827586"/>
  </r>
  <r>
    <x v="741"/>
    <n v="20"/>
    <s v="Plato_10"/>
    <s v="Descripci√≥n del Plato_10"/>
    <n v="15"/>
    <n v="26"/>
    <n v="1"/>
    <n v="26"/>
    <n v="26"/>
    <n v="11"/>
    <n v="0.42307692307692307"/>
  </r>
  <r>
    <x v="741"/>
    <n v="20"/>
    <s v="Plato_12"/>
    <s v="Descripci√≥n del Plato_12"/>
    <n v="11"/>
    <n v="19"/>
    <n v="1"/>
    <n v="35"/>
    <n v="19"/>
    <n v="8"/>
    <n v="0.42105263157894735"/>
  </r>
  <r>
    <x v="741"/>
    <n v="20"/>
    <s v="Plato_17"/>
    <s v="Descripci√≥n del Plato_17"/>
    <n v="19"/>
    <n v="31"/>
    <n v="1"/>
    <n v="41"/>
    <n v="31"/>
    <n v="12"/>
    <n v="0.38709677419354838"/>
  </r>
  <r>
    <x v="741"/>
    <n v="20"/>
    <s v="Plato_2"/>
    <s v="Descripci√≥n del Plato_2"/>
    <n v="18"/>
    <n v="30"/>
    <n v="3"/>
    <n v="43"/>
    <n v="90"/>
    <n v="36"/>
    <n v="0.4"/>
  </r>
  <r>
    <x v="742"/>
    <n v="19"/>
    <s v="Plato_10"/>
    <s v="Descripci√≥n del Plato_10"/>
    <n v="15"/>
    <n v="26"/>
    <n v="2"/>
    <n v="59"/>
    <n v="52"/>
    <n v="22"/>
    <n v="0.42307692307692307"/>
  </r>
  <r>
    <x v="742"/>
    <n v="19"/>
    <s v="Plato_14"/>
    <s v="Descripci√≥n del Plato_14"/>
    <n v="14"/>
    <n v="23"/>
    <n v="2"/>
    <n v="43"/>
    <n v="46"/>
    <n v="18"/>
    <n v="0.39130434782608697"/>
  </r>
  <r>
    <x v="742"/>
    <n v="19"/>
    <s v="Plato_4"/>
    <s v="Descripci√≥n del Plato_4"/>
    <n v="10"/>
    <n v="18"/>
    <n v="2"/>
    <n v="41"/>
    <n v="36"/>
    <n v="16"/>
    <n v="0.44444444444444442"/>
  </r>
  <r>
    <x v="743"/>
    <n v="11"/>
    <s v="Plato_4"/>
    <s v="Descripci√≥n del Plato_4"/>
    <n v="10"/>
    <n v="18"/>
    <n v="1"/>
    <n v="57"/>
    <n v="18"/>
    <n v="8"/>
    <n v="0.44444444444444442"/>
  </r>
  <r>
    <x v="743"/>
    <n v="11"/>
    <s v="Plato_9"/>
    <s v="Descripci√≥n del Plato_9"/>
    <n v="17"/>
    <n v="29"/>
    <n v="2"/>
    <n v="10"/>
    <n v="58"/>
    <n v="24"/>
    <n v="0.41379310344827586"/>
  </r>
  <r>
    <x v="744"/>
    <n v="3"/>
    <s v="Plato_1"/>
    <s v="Descripci√≥n del Plato_1"/>
    <n v="15"/>
    <n v="25"/>
    <n v="2"/>
    <n v="23"/>
    <n v="50"/>
    <n v="20"/>
    <n v="0.4"/>
  </r>
  <r>
    <x v="744"/>
    <n v="3"/>
    <s v="Plato_6"/>
    <s v="Descripci√≥n del Plato_6"/>
    <n v="16"/>
    <n v="27"/>
    <n v="3"/>
    <n v="7"/>
    <n v="81"/>
    <n v="33"/>
    <n v="0.40740740740740738"/>
  </r>
  <r>
    <x v="744"/>
    <n v="3"/>
    <s v="Plato_7"/>
    <s v="Descripci√≥n del Plato_7"/>
    <n v="14"/>
    <n v="24"/>
    <n v="2"/>
    <n v="9"/>
    <n v="48"/>
    <n v="20"/>
    <n v="0.41666666666666669"/>
  </r>
  <r>
    <x v="744"/>
    <n v="3"/>
    <s v="Plato_8"/>
    <s v="Descripci√≥n del Plato_8"/>
    <n v="21"/>
    <n v="35"/>
    <n v="3"/>
    <n v="34"/>
    <n v="105"/>
    <n v="42"/>
    <n v="0.4"/>
  </r>
  <r>
    <x v="745"/>
    <n v="13"/>
    <s v="Plato_15"/>
    <s v="Descripci√≥n del Plato_15"/>
    <n v="19"/>
    <n v="32"/>
    <n v="3"/>
    <n v="43"/>
    <n v="96"/>
    <n v="39"/>
    <n v="0.40625"/>
  </r>
  <r>
    <x v="745"/>
    <n v="13"/>
    <s v="Plato_8"/>
    <s v="Descripci√≥n del Plato_8"/>
    <n v="21"/>
    <n v="35"/>
    <n v="3"/>
    <n v="34"/>
    <n v="105"/>
    <n v="42"/>
    <n v="0.4"/>
  </r>
  <r>
    <x v="746"/>
    <n v="16"/>
    <s v="Plato_1"/>
    <s v="Descripci√≥n del Plato_1"/>
    <n v="15"/>
    <n v="25"/>
    <n v="1"/>
    <n v="28"/>
    <n v="25"/>
    <n v="10"/>
    <n v="0.4"/>
  </r>
  <r>
    <x v="747"/>
    <n v="2"/>
    <s v="Plato_10"/>
    <s v="Descripci√≥n del Plato_10"/>
    <n v="15"/>
    <n v="26"/>
    <n v="3"/>
    <n v="32"/>
    <n v="78"/>
    <n v="33"/>
    <n v="0.42307692307692307"/>
  </r>
  <r>
    <x v="747"/>
    <n v="2"/>
    <s v="Plato_15"/>
    <s v="Descripci√≥n del Plato_15"/>
    <n v="19"/>
    <n v="32"/>
    <n v="1"/>
    <n v="5"/>
    <n v="32"/>
    <n v="13"/>
    <n v="0.40625"/>
  </r>
  <r>
    <x v="748"/>
    <n v="1"/>
    <s v="Plato_8"/>
    <s v="Descripci√≥n del Plato_8"/>
    <n v="21"/>
    <n v="35"/>
    <n v="2"/>
    <n v="8"/>
    <n v="70"/>
    <n v="28"/>
    <n v="0.4"/>
  </r>
  <r>
    <x v="749"/>
    <n v="6"/>
    <s v="Plato_10"/>
    <s v="Descripci√≥n del Plato_10"/>
    <n v="15"/>
    <n v="26"/>
    <n v="1"/>
    <n v="39"/>
    <n v="26"/>
    <n v="11"/>
    <n v="0.42307692307692307"/>
  </r>
  <r>
    <x v="749"/>
    <n v="6"/>
    <s v="Plato_17"/>
    <s v="Descripci√≥n del Plato_17"/>
    <n v="19"/>
    <n v="31"/>
    <n v="3"/>
    <n v="47"/>
    <n v="93"/>
    <n v="36"/>
    <n v="0.38709677419354838"/>
  </r>
  <r>
    <x v="750"/>
    <n v="17"/>
    <s v="Plato_1"/>
    <s v="Descripci√≥n del Plato_1"/>
    <n v="15"/>
    <n v="25"/>
    <n v="3"/>
    <n v="31"/>
    <n v="75"/>
    <n v="30"/>
    <n v="0.4"/>
  </r>
  <r>
    <x v="750"/>
    <n v="17"/>
    <s v="Plato_5"/>
    <s v="Descripci√≥n del Plato_5"/>
    <n v="13"/>
    <n v="22"/>
    <n v="3"/>
    <n v="19"/>
    <n v="66"/>
    <n v="27"/>
    <n v="0.40909090909090912"/>
  </r>
  <r>
    <x v="750"/>
    <n v="17"/>
    <s v="Plato_9"/>
    <s v="Descripci√≥n del Plato_9"/>
    <n v="17"/>
    <n v="29"/>
    <n v="1"/>
    <n v="37"/>
    <n v="29"/>
    <n v="12"/>
    <n v="0.41379310344827586"/>
  </r>
  <r>
    <x v="751"/>
    <n v="3"/>
    <s v="Plato_2"/>
    <s v="Descripci√≥n del Plato_2"/>
    <n v="18"/>
    <n v="30"/>
    <n v="2"/>
    <n v="30"/>
    <n v="60"/>
    <n v="24"/>
    <n v="0.4"/>
  </r>
  <r>
    <x v="752"/>
    <n v="11"/>
    <s v="Plato_14"/>
    <s v="Descripci√≥n del Plato_14"/>
    <n v="14"/>
    <n v="23"/>
    <n v="1"/>
    <n v="23"/>
    <n v="23"/>
    <n v="9"/>
    <n v="0.39130434782608697"/>
  </r>
  <r>
    <x v="752"/>
    <n v="11"/>
    <s v="Plato_15"/>
    <s v="Descripci√≥n del Plato_15"/>
    <n v="19"/>
    <n v="32"/>
    <n v="1"/>
    <n v="35"/>
    <n v="32"/>
    <n v="13"/>
    <n v="0.40625"/>
  </r>
  <r>
    <x v="752"/>
    <n v="11"/>
    <s v="Plato_19"/>
    <s v="Descripci√≥n del Plato_19"/>
    <n v="22"/>
    <n v="36"/>
    <n v="1"/>
    <n v="46"/>
    <n v="36"/>
    <n v="14"/>
    <n v="0.3888888888888889"/>
  </r>
  <r>
    <x v="752"/>
    <n v="11"/>
    <s v="Plato_7"/>
    <s v="Descripci√≥n del Plato_7"/>
    <n v="14"/>
    <n v="24"/>
    <n v="3"/>
    <n v="24"/>
    <n v="72"/>
    <n v="30"/>
    <n v="0.41666666666666669"/>
  </r>
  <r>
    <x v="753"/>
    <n v="8"/>
    <s v="Plato_16"/>
    <s v="Descripci√≥n del Plato_16"/>
    <n v="16"/>
    <n v="28"/>
    <n v="3"/>
    <n v="52"/>
    <n v="84"/>
    <n v="36"/>
    <n v="0.42857142857142855"/>
  </r>
  <r>
    <x v="753"/>
    <n v="8"/>
    <s v="Plato_6"/>
    <s v="Descripci√≥n del Plato_6"/>
    <n v="16"/>
    <n v="27"/>
    <n v="3"/>
    <n v="11"/>
    <n v="81"/>
    <n v="33"/>
    <n v="0.40740740740740738"/>
  </r>
  <r>
    <x v="753"/>
    <n v="8"/>
    <s v="Plato_7"/>
    <s v="Descripci√≥n del Plato_7"/>
    <n v="14"/>
    <n v="24"/>
    <n v="3"/>
    <n v="26"/>
    <n v="72"/>
    <n v="30"/>
    <n v="0.41666666666666669"/>
  </r>
  <r>
    <x v="754"/>
    <n v="12"/>
    <s v="Plato_1"/>
    <s v="Descripci√≥n del Plato_1"/>
    <n v="15"/>
    <n v="25"/>
    <n v="3"/>
    <n v="37"/>
    <n v="75"/>
    <n v="30"/>
    <n v="0.4"/>
  </r>
  <r>
    <x v="754"/>
    <n v="12"/>
    <s v="Plato_12"/>
    <s v="Descripci√≥n del Plato_12"/>
    <n v="11"/>
    <n v="19"/>
    <n v="3"/>
    <n v="46"/>
    <n v="57"/>
    <n v="24"/>
    <n v="0.42105263157894735"/>
  </r>
  <r>
    <x v="754"/>
    <n v="12"/>
    <s v="Plato_13"/>
    <s v="Descripci√≥n del Plato_13"/>
    <n v="13"/>
    <n v="21"/>
    <n v="1"/>
    <n v="6"/>
    <n v="21"/>
    <n v="8"/>
    <n v="0.38095238095238093"/>
  </r>
  <r>
    <x v="754"/>
    <n v="12"/>
    <s v="Plato_9"/>
    <s v="Descripci√≥n del Plato_9"/>
    <n v="17"/>
    <n v="29"/>
    <n v="2"/>
    <n v="20"/>
    <n v="58"/>
    <n v="24"/>
    <n v="0.41379310344827586"/>
  </r>
  <r>
    <x v="755"/>
    <n v="11"/>
    <s v="Plato_12"/>
    <s v="Descripci√≥n del Plato_12"/>
    <n v="11"/>
    <n v="19"/>
    <n v="1"/>
    <n v="13"/>
    <n v="19"/>
    <n v="8"/>
    <n v="0.42105263157894735"/>
  </r>
  <r>
    <x v="755"/>
    <n v="11"/>
    <s v="Plato_17"/>
    <s v="Descripci√≥n del Plato_17"/>
    <n v="19"/>
    <n v="31"/>
    <n v="1"/>
    <n v="21"/>
    <n v="31"/>
    <n v="12"/>
    <n v="0.38709677419354838"/>
  </r>
  <r>
    <x v="756"/>
    <n v="3"/>
    <s v="Plato_2"/>
    <s v="Descripci√≥n del Plato_2"/>
    <n v="18"/>
    <n v="30"/>
    <n v="2"/>
    <n v="40"/>
    <n v="60"/>
    <n v="24"/>
    <n v="0.4"/>
  </r>
  <r>
    <x v="757"/>
    <n v="18"/>
    <s v="Plato_2"/>
    <s v="Descripci√≥n del Plato_2"/>
    <n v="18"/>
    <n v="30"/>
    <n v="1"/>
    <n v="32"/>
    <n v="30"/>
    <n v="12"/>
    <n v="0.4"/>
  </r>
  <r>
    <x v="757"/>
    <n v="18"/>
    <s v="Plato_5"/>
    <s v="Descripci√≥n del Plato_5"/>
    <n v="13"/>
    <n v="22"/>
    <n v="1"/>
    <n v="9"/>
    <n v="22"/>
    <n v="9"/>
    <n v="0.40909090909090912"/>
  </r>
  <r>
    <x v="758"/>
    <n v="20"/>
    <s v="Plato_1"/>
    <s v="Descripci√≥n del Plato_1"/>
    <n v="15"/>
    <n v="25"/>
    <n v="3"/>
    <n v="41"/>
    <n v="75"/>
    <n v="30"/>
    <n v="0.4"/>
  </r>
  <r>
    <x v="758"/>
    <n v="20"/>
    <s v="Plato_11"/>
    <s v="Descripci√≥n del Plato_11"/>
    <n v="20"/>
    <n v="33"/>
    <n v="3"/>
    <n v="48"/>
    <n v="99"/>
    <n v="39"/>
    <n v="0.39393939393939392"/>
  </r>
  <r>
    <x v="758"/>
    <n v="20"/>
    <s v="Plato_6"/>
    <s v="Descripci√≥n del Plato_6"/>
    <n v="16"/>
    <n v="27"/>
    <n v="3"/>
    <n v="51"/>
    <n v="81"/>
    <n v="33"/>
    <n v="0.40740740740740738"/>
  </r>
  <r>
    <x v="758"/>
    <n v="20"/>
    <s v="Plato_9"/>
    <s v="Descripci√≥n del Plato_9"/>
    <n v="17"/>
    <n v="29"/>
    <n v="3"/>
    <n v="56"/>
    <n v="87"/>
    <n v="36"/>
    <n v="0.41379310344827586"/>
  </r>
  <r>
    <x v="759"/>
    <n v="5"/>
    <s v="Plato_8"/>
    <s v="Descripci√≥n del Plato_8"/>
    <n v="21"/>
    <n v="35"/>
    <n v="3"/>
    <n v="20"/>
    <n v="105"/>
    <n v="42"/>
    <n v="0.4"/>
  </r>
  <r>
    <x v="760"/>
    <n v="4"/>
    <s v="Plato_14"/>
    <s v="Descripci√≥n del Plato_14"/>
    <n v="14"/>
    <n v="23"/>
    <n v="2"/>
    <n v="28"/>
    <n v="46"/>
    <n v="18"/>
    <n v="0.39130434782608697"/>
  </r>
  <r>
    <x v="760"/>
    <n v="4"/>
    <s v="Plato_16"/>
    <s v="Descripci√≥n del Plato_16"/>
    <n v="16"/>
    <n v="28"/>
    <n v="2"/>
    <n v="20"/>
    <n v="56"/>
    <n v="24"/>
    <n v="0.42857142857142855"/>
  </r>
  <r>
    <x v="760"/>
    <n v="4"/>
    <s v="Plato_7"/>
    <s v="Descripci√≥n del Plato_7"/>
    <n v="14"/>
    <n v="24"/>
    <n v="3"/>
    <n v="54"/>
    <n v="72"/>
    <n v="30"/>
    <n v="0.41666666666666669"/>
  </r>
  <r>
    <x v="761"/>
    <n v="4"/>
    <s v="Plato_10"/>
    <s v="Descripci√≥n del Plato_10"/>
    <n v="15"/>
    <n v="26"/>
    <n v="3"/>
    <n v="9"/>
    <n v="78"/>
    <n v="33"/>
    <n v="0.42307692307692307"/>
  </r>
  <r>
    <x v="761"/>
    <n v="4"/>
    <s v="Plato_13"/>
    <s v="Descripci√≥n del Plato_13"/>
    <n v="13"/>
    <n v="21"/>
    <n v="1"/>
    <n v="20"/>
    <n v="21"/>
    <n v="8"/>
    <n v="0.38095238095238093"/>
  </r>
  <r>
    <x v="762"/>
    <n v="18"/>
    <s v="Plato_11"/>
    <s v="Descripci√≥n del Plato_11"/>
    <n v="20"/>
    <n v="33"/>
    <n v="2"/>
    <n v="14"/>
    <n v="66"/>
    <n v="26"/>
    <n v="0.39393939393939392"/>
  </r>
  <r>
    <x v="762"/>
    <n v="18"/>
    <s v="Plato_12"/>
    <s v="Descripci√≥n del Plato_12"/>
    <n v="11"/>
    <n v="19"/>
    <n v="2"/>
    <n v="18"/>
    <n v="38"/>
    <n v="16"/>
    <n v="0.42105263157894735"/>
  </r>
  <r>
    <x v="763"/>
    <n v="20"/>
    <s v="Plato_18"/>
    <s v="Descripci√≥n del Plato_18"/>
    <n v="20"/>
    <n v="34"/>
    <n v="1"/>
    <n v="24"/>
    <n v="34"/>
    <n v="14"/>
    <n v="0.41176470588235292"/>
  </r>
  <r>
    <x v="763"/>
    <n v="20"/>
    <s v="Plato_6"/>
    <s v="Descripci√≥n del Plato_6"/>
    <n v="16"/>
    <n v="27"/>
    <n v="1"/>
    <n v="53"/>
    <n v="27"/>
    <n v="11"/>
    <n v="0.40740740740740738"/>
  </r>
  <r>
    <x v="763"/>
    <n v="20"/>
    <s v="Plato_7"/>
    <s v="Descripci√≥n del Plato_7"/>
    <n v="14"/>
    <n v="24"/>
    <n v="1"/>
    <n v="35"/>
    <n v="24"/>
    <n v="10"/>
    <n v="0.41666666666666669"/>
  </r>
  <r>
    <x v="764"/>
    <n v="20"/>
    <s v="Plato_10"/>
    <s v="Descripci√≥n del Plato_10"/>
    <n v="15"/>
    <n v="26"/>
    <n v="3"/>
    <n v="55"/>
    <n v="78"/>
    <n v="33"/>
    <n v="0.42307692307692307"/>
  </r>
  <r>
    <x v="764"/>
    <n v="20"/>
    <s v="Plato_13"/>
    <s v="Descripci√≥n del Plato_13"/>
    <n v="13"/>
    <n v="21"/>
    <n v="3"/>
    <n v="52"/>
    <n v="63"/>
    <n v="24"/>
    <n v="0.38095238095238093"/>
  </r>
  <r>
    <x v="764"/>
    <n v="20"/>
    <s v="Plato_16"/>
    <s v="Descripci√≥n del Plato_16"/>
    <n v="16"/>
    <n v="28"/>
    <n v="2"/>
    <n v="14"/>
    <n v="56"/>
    <n v="24"/>
    <n v="0.42857142857142855"/>
  </r>
  <r>
    <x v="764"/>
    <n v="20"/>
    <s v="Plato_19"/>
    <s v="Descripci√≥n del Plato_19"/>
    <n v="22"/>
    <n v="36"/>
    <n v="1"/>
    <n v="43"/>
    <n v="36"/>
    <n v="14"/>
    <n v="0.3888888888888889"/>
  </r>
  <r>
    <x v="765"/>
    <n v="17"/>
    <s v="Plato_12"/>
    <s v="Descripci√≥n del Plato_12"/>
    <n v="11"/>
    <n v="19"/>
    <n v="1"/>
    <n v="59"/>
    <n v="19"/>
    <n v="8"/>
    <n v="0.42105263157894735"/>
  </r>
  <r>
    <x v="765"/>
    <n v="17"/>
    <s v="Plato_14"/>
    <s v="Descripci√≥n del Plato_14"/>
    <n v="14"/>
    <n v="23"/>
    <n v="2"/>
    <n v="16"/>
    <n v="46"/>
    <n v="18"/>
    <n v="0.39130434782608697"/>
  </r>
  <r>
    <x v="765"/>
    <n v="17"/>
    <s v="Plato_2"/>
    <s v="Descripci√≥n del Plato_2"/>
    <n v="18"/>
    <n v="30"/>
    <n v="2"/>
    <n v="52"/>
    <n v="60"/>
    <n v="24"/>
    <n v="0.4"/>
  </r>
  <r>
    <x v="765"/>
    <n v="17"/>
    <s v="Plato_3"/>
    <s v="Descripci√≥n del Plato_3"/>
    <n v="12"/>
    <n v="20"/>
    <n v="3"/>
    <n v="7"/>
    <n v="60"/>
    <n v="24"/>
    <n v="0.4"/>
  </r>
  <r>
    <x v="766"/>
    <n v="10"/>
    <s v="Plato_13"/>
    <s v="Descripci√≥n del Plato_13"/>
    <n v="13"/>
    <n v="21"/>
    <n v="3"/>
    <n v="43"/>
    <n v="63"/>
    <n v="24"/>
    <n v="0.38095238095238093"/>
  </r>
  <r>
    <x v="766"/>
    <n v="10"/>
    <s v="Plato_7"/>
    <s v="Descripci√≥n del Plato_7"/>
    <n v="14"/>
    <n v="24"/>
    <n v="2"/>
    <n v="30"/>
    <n v="48"/>
    <n v="20"/>
    <n v="0.41666666666666669"/>
  </r>
  <r>
    <x v="766"/>
    <n v="10"/>
    <s v="Plato_9"/>
    <s v="Descripci√≥n del Plato_9"/>
    <n v="17"/>
    <n v="29"/>
    <n v="2"/>
    <n v="12"/>
    <n v="58"/>
    <n v="24"/>
    <n v="0.4137931034482758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7">
  <r>
    <n v="10"/>
    <x v="0"/>
    <n v="6"/>
    <d v="2023-04-01T01:07:00"/>
    <x v="0"/>
    <x v="0"/>
    <x v="0"/>
    <x v="0"/>
    <n v="48.55"/>
    <x v="0"/>
    <n v="1"/>
    <x v="0"/>
    <s v="Plato_7, Plato_2"/>
    <n v="56"/>
    <x v="0"/>
    <d v="2023-04-01T01:07:00"/>
    <d v="2023-04-01T03:50:00"/>
    <d v="1899-12-30T02:43:00"/>
    <x v="0"/>
    <x v="0"/>
    <x v="0"/>
  </r>
  <r>
    <n v="6"/>
    <x v="1"/>
    <n v="6"/>
    <d v="2023-04-01T01:28:00"/>
    <x v="1"/>
    <x v="1"/>
    <x v="1"/>
    <x v="1"/>
    <n v="43.3"/>
    <x v="0"/>
    <n v="2"/>
    <x v="1"/>
    <s v="Plato_17, Plato_6"/>
    <n v="23"/>
    <x v="1"/>
    <d v="2023-04-01T01:28:00"/>
    <d v="2023-04-01T03:49:00"/>
    <d v="1899-12-30T02:21:00"/>
    <x v="1"/>
    <x v="1"/>
    <x v="0"/>
  </r>
  <r>
    <n v="20"/>
    <x v="2"/>
    <n v="1"/>
    <d v="2023-04-01T00:29:00"/>
    <x v="2"/>
    <x v="2"/>
    <x v="1"/>
    <x v="2"/>
    <n v="30.87"/>
    <x v="1"/>
    <n v="3"/>
    <x v="2"/>
    <s v="Plato_20, Plato_17, Plato_19, Plato_9"/>
    <n v="65"/>
    <x v="2"/>
    <d v="2023-04-01T00:29:00"/>
    <d v="2023-04-01T03:56:00"/>
    <d v="1899-12-30T03:27:00"/>
    <x v="2"/>
    <x v="2"/>
    <x v="0"/>
  </r>
  <r>
    <n v="3"/>
    <x v="3"/>
    <n v="1"/>
    <d v="2023-04-01T03:03:00"/>
    <x v="3"/>
    <x v="3"/>
    <x v="0"/>
    <x v="2"/>
    <n v="34.68"/>
    <x v="1"/>
    <n v="4"/>
    <x v="3"/>
    <s v="Plato_11, Plato_16"/>
    <n v="75"/>
    <x v="3"/>
    <d v="2023-04-01T03:03:00"/>
    <d v="2023-04-01T04:31:00"/>
    <d v="1899-12-30T01:28:00"/>
    <x v="3"/>
    <x v="3"/>
    <x v="0"/>
  </r>
  <r>
    <n v="8"/>
    <x v="4"/>
    <n v="2"/>
    <d v="2023-04-01T00:01:00"/>
    <x v="4"/>
    <x v="4"/>
    <x v="0"/>
    <x v="2"/>
    <n v="24.33"/>
    <x v="1"/>
    <n v="5"/>
    <x v="4"/>
    <s v="Plato_12, Plato_7"/>
    <n v="28"/>
    <x v="4"/>
    <d v="2023-04-01T00:01:00"/>
    <d v="2023-04-01T02:06:00"/>
    <d v="1899-12-30T02:05:00"/>
    <x v="4"/>
    <x v="4"/>
    <x v="0"/>
  </r>
  <r>
    <n v="7"/>
    <x v="5"/>
    <n v="5"/>
    <d v="2023-04-01T01:24:00"/>
    <x v="5"/>
    <x v="4"/>
    <x v="2"/>
    <x v="2"/>
    <n v="26.57"/>
    <x v="1"/>
    <n v="6"/>
    <x v="4"/>
    <s v="Plato_8"/>
    <n v="28"/>
    <x v="5"/>
    <d v="2023-04-01T01:24:00"/>
    <d v="2023-04-01T03:32:00"/>
    <d v="1899-12-30T02:08:00"/>
    <x v="5"/>
    <x v="5"/>
    <x v="0"/>
  </r>
  <r>
    <n v="17"/>
    <x v="6"/>
    <n v="6"/>
    <d v="2023-04-01T01:57:00"/>
    <x v="6"/>
    <x v="2"/>
    <x v="2"/>
    <x v="2"/>
    <n v="10.54"/>
    <x v="2"/>
    <n v="7"/>
    <x v="5"/>
    <s v="Plato_15, Plato_19"/>
    <n v="68"/>
    <x v="6"/>
    <d v="2023-04-01T01:57:00"/>
    <d v="2023-04-01T04:22:00"/>
    <d v="1899-12-30T02:40:00"/>
    <x v="6"/>
    <x v="6"/>
    <x v="0"/>
  </r>
  <r>
    <n v="11"/>
    <x v="7"/>
    <n v="1"/>
    <d v="2023-04-01T02:11:00"/>
    <x v="7"/>
    <x v="2"/>
    <x v="1"/>
    <x v="2"/>
    <n v="49.18"/>
    <x v="0"/>
    <n v="8"/>
    <x v="3"/>
    <s v="Plato_5, Plato_16, Plato_20"/>
    <n v="96"/>
    <x v="7"/>
    <d v="2023-04-01T02:11:00"/>
    <d v="2023-04-01T04:49:00"/>
    <d v="1899-12-30T02:38:00"/>
    <x v="7"/>
    <x v="7"/>
    <x v="0"/>
  </r>
  <r>
    <n v="15"/>
    <x v="8"/>
    <n v="5"/>
    <d v="2023-04-01T02:03:00"/>
    <x v="8"/>
    <x v="2"/>
    <x v="0"/>
    <x v="0"/>
    <n v="46.85"/>
    <x v="1"/>
    <n v="9"/>
    <x v="6"/>
    <s v="Plato_2, Plato_7, Plato_12, Plato_15"/>
    <n v="69"/>
    <x v="8"/>
    <d v="2023-04-01T02:03:00"/>
    <d v="2023-04-01T04:25:00"/>
    <d v="1899-12-30T02:22:00"/>
    <x v="8"/>
    <x v="8"/>
    <x v="1"/>
  </r>
  <r>
    <n v="17"/>
    <x v="9"/>
    <n v="1"/>
    <d v="2023-04-01T00:02:00"/>
    <x v="9"/>
    <x v="4"/>
    <x v="0"/>
    <x v="2"/>
    <n v="16.600000000000001"/>
    <x v="2"/>
    <n v="10"/>
    <x v="7"/>
    <s v="Plato_18, Plato_20"/>
    <n v="58"/>
    <x v="9"/>
    <d v="2023-04-01T00:02:00"/>
    <d v="2023-04-01T01:53:00"/>
    <d v="1899-12-30T02:06:00"/>
    <x v="9"/>
    <x v="9"/>
    <x v="0"/>
  </r>
  <r>
    <n v="14"/>
    <x v="10"/>
    <n v="1"/>
    <d v="2023-04-01T03:46:00"/>
    <x v="10"/>
    <x v="1"/>
    <x v="0"/>
    <x v="2"/>
    <n v="32.89"/>
    <x v="1"/>
    <n v="11"/>
    <x v="4"/>
    <s v="Plato_16, Plato_2"/>
    <n v="36"/>
    <x v="10"/>
    <d v="2023-04-01T03:46:00"/>
    <d v="2023-04-01T06:33:00"/>
    <d v="1899-12-30T02:47:00"/>
    <x v="10"/>
    <x v="10"/>
    <x v="0"/>
  </r>
  <r>
    <n v="14"/>
    <x v="11"/>
    <n v="6"/>
    <d v="2023-04-01T00:04:00"/>
    <x v="11"/>
    <x v="4"/>
    <x v="2"/>
    <x v="2"/>
    <n v="45.27"/>
    <x v="2"/>
    <n v="12"/>
    <x v="1"/>
    <s v="Plato_16, Plato_19, Plato_8, Plato_20"/>
    <n v="127"/>
    <x v="11"/>
    <d v="2023-04-01T00:04:00"/>
    <d v="2023-04-01T03:23:00"/>
    <d v="1899-12-30T03:34:00"/>
    <x v="11"/>
    <x v="6"/>
    <x v="0"/>
  </r>
  <r>
    <s v="2"/>
    <x v="12"/>
    <n v="1"/>
    <d v="2023-04-01T03:09:00"/>
    <x v="12"/>
    <x v="3"/>
    <x v="0"/>
    <x v="1"/>
    <n v="22.06"/>
    <x v="2"/>
    <n v="13"/>
    <x v="2"/>
    <s v="Plato_9"/>
    <n v="36"/>
    <x v="12"/>
    <d v="2023-04-01T03:09:00"/>
    <d v="2023-04-01T05:32:00"/>
    <d v="1899-12-30T02:38:00"/>
    <x v="12"/>
    <x v="11"/>
    <x v="0"/>
  </r>
  <r>
    <n v="16"/>
    <x v="13"/>
    <n v="6"/>
    <d v="2023-04-01T00:18:00"/>
    <x v="13"/>
    <x v="2"/>
    <x v="0"/>
    <x v="1"/>
    <n v="48.76"/>
    <x v="1"/>
    <n v="14"/>
    <x v="4"/>
    <s v="Plato_3, Plato_11, Plato_14, Plato_2"/>
    <n v="51"/>
    <x v="13"/>
    <d v="2023-04-01T00:18:00"/>
    <d v="2023-04-01T01:58:00"/>
    <d v="1899-12-30T01:40:00"/>
    <x v="13"/>
    <x v="8"/>
    <x v="1"/>
  </r>
  <r>
    <n v="6"/>
    <x v="14"/>
    <n v="4"/>
    <d v="2023-04-01T03:24:00"/>
    <x v="14"/>
    <x v="1"/>
    <x v="1"/>
    <x v="2"/>
    <n v="28.77"/>
    <x v="2"/>
    <n v="15"/>
    <x v="7"/>
    <s v="Plato_16, Plato_13, Plato_8"/>
    <n v="90"/>
    <x v="14"/>
    <d v="2023-04-01T03:24:00"/>
    <d v="2023-04-01T04:59:00"/>
    <d v="1899-12-30T01:50:00"/>
    <x v="14"/>
    <x v="12"/>
    <x v="0"/>
  </r>
  <r>
    <s v="20"/>
    <x v="15"/>
    <n v="5"/>
    <d v="2023-04-01T02:31:00"/>
    <x v="15"/>
    <x v="4"/>
    <x v="0"/>
    <x v="1"/>
    <n v="3.79"/>
    <x v="0"/>
    <n v="16"/>
    <x v="6"/>
    <s v="Plato_16"/>
    <n v="12"/>
    <x v="15"/>
    <d v="2023-04-01T02:31:00"/>
    <d v="2023-04-01T04:24:00"/>
    <d v="1899-12-30T01:53:00"/>
    <x v="15"/>
    <x v="13"/>
    <x v="0"/>
  </r>
  <r>
    <n v="14"/>
    <x v="16"/>
    <n v="6"/>
    <d v="2023-04-01T00:09:00"/>
    <x v="16"/>
    <x v="2"/>
    <x v="1"/>
    <x v="2"/>
    <n v="12.17"/>
    <x v="1"/>
    <n v="17"/>
    <x v="8"/>
    <s v="Plato_8, Plato_4, Plato_5"/>
    <n v="57"/>
    <x v="16"/>
    <d v="2023-04-01T00:09:00"/>
    <d v="2023-04-01T03:27:00"/>
    <d v="1899-12-30T03:18:00"/>
    <x v="16"/>
    <x v="14"/>
    <x v="0"/>
  </r>
  <r>
    <n v="9"/>
    <x v="17"/>
    <n v="2"/>
    <d v="2023-04-01T02:06:00"/>
    <x v="17"/>
    <x v="2"/>
    <x v="1"/>
    <x v="2"/>
    <n v="33.090000000000003"/>
    <x v="1"/>
    <n v="18"/>
    <x v="1"/>
    <s v="Plato_9, Plato_20, Plato_10, Plato_15"/>
    <n v="101"/>
    <x v="17"/>
    <d v="2023-04-01T02:06:00"/>
    <d v="2023-04-01T04:26:00"/>
    <d v="1899-12-30T02:20:00"/>
    <x v="17"/>
    <x v="15"/>
    <x v="0"/>
  </r>
  <r>
    <s v="18"/>
    <x v="18"/>
    <n v="3"/>
    <d v="2023-04-01T00:35:00"/>
    <x v="18"/>
    <x v="2"/>
    <x v="0"/>
    <x v="2"/>
    <n v="17.45"/>
    <x v="1"/>
    <n v="19"/>
    <x v="9"/>
    <s v="Plato_20"/>
    <n v="30"/>
    <x v="18"/>
    <d v="2023-04-01T00:35:00"/>
    <d v="2023-04-01T03:29:00"/>
    <d v="1899-12-30T02:54:00"/>
    <x v="18"/>
    <x v="16"/>
    <x v="0"/>
  </r>
  <r>
    <n v="8"/>
    <x v="19"/>
    <n v="2"/>
    <d v="2023-04-01T01:25:00"/>
    <x v="19"/>
    <x v="0"/>
    <x v="0"/>
    <x v="2"/>
    <n v="31.7"/>
    <x v="0"/>
    <n v="20"/>
    <x v="9"/>
    <s v="Plato_8, Plato_1, Plato_14"/>
    <n v="71"/>
    <x v="19"/>
    <d v="2023-04-01T01:25:00"/>
    <d v="2023-04-01T05:12:00"/>
    <d v="1899-12-30T03:47:00"/>
    <x v="19"/>
    <x v="17"/>
    <x v="0"/>
  </r>
  <r>
    <n v="12"/>
    <x v="20"/>
    <n v="2"/>
    <d v="2023-04-01T03:39:00"/>
    <x v="20"/>
    <x v="0"/>
    <x v="0"/>
    <x v="2"/>
    <n v="20.53"/>
    <x v="0"/>
    <n v="21"/>
    <x v="7"/>
    <s v="Plato_20, Plato_3, Plato_15, Plato_1"/>
    <n v="107"/>
    <x v="20"/>
    <d v="2023-04-01T03:39:00"/>
    <d v="2023-04-01T05:52:00"/>
    <d v="1899-12-30T02:13:00"/>
    <x v="20"/>
    <x v="8"/>
    <x v="1"/>
  </r>
  <r>
    <n v="15"/>
    <x v="21"/>
    <n v="1"/>
    <d v="2023-04-01T02:16:00"/>
    <x v="21"/>
    <x v="4"/>
    <x v="0"/>
    <x v="2"/>
    <n v="45.41"/>
    <x v="1"/>
    <n v="22"/>
    <x v="8"/>
    <s v="Plato_4, Plato_18, Plato_9, Plato_8"/>
    <n v="88"/>
    <x v="21"/>
    <d v="2023-04-01T02:16:00"/>
    <d v="2023-04-01T04:47:00"/>
    <d v="1899-12-30T02:31:00"/>
    <x v="21"/>
    <x v="18"/>
    <x v="0"/>
  </r>
  <r>
    <n v="1"/>
    <x v="22"/>
    <n v="5"/>
    <d v="2023-04-01T02:44:00"/>
    <x v="22"/>
    <x v="3"/>
    <x v="2"/>
    <x v="2"/>
    <n v="38.46"/>
    <x v="1"/>
    <n v="23"/>
    <x v="9"/>
    <s v="Plato_12, Plato_6"/>
    <n v="57"/>
    <x v="22"/>
    <d v="2023-04-01T02:44:00"/>
    <d v="2023-04-01T04:09:00"/>
    <d v="1899-12-30T01:25:00"/>
    <x v="22"/>
    <x v="19"/>
    <x v="0"/>
  </r>
  <r>
    <n v="5"/>
    <x v="23"/>
    <n v="5"/>
    <d v="2023-04-01T03:01:00"/>
    <x v="23"/>
    <x v="0"/>
    <x v="0"/>
    <x v="2"/>
    <n v="38.18"/>
    <x v="2"/>
    <n v="24"/>
    <x v="5"/>
    <s v="Plato_10, Plato_9, Plato_14, Plato_20"/>
    <n v="93"/>
    <x v="23"/>
    <d v="2023-04-01T03:01:00"/>
    <d v="2023-04-01T06:20:00"/>
    <d v="1899-12-30T03:34:00"/>
    <x v="23"/>
    <x v="20"/>
    <x v="0"/>
  </r>
  <r>
    <s v="12"/>
    <x v="24"/>
    <n v="5"/>
    <d v="2023-04-01T03:01:00"/>
    <x v="14"/>
    <x v="3"/>
    <x v="2"/>
    <x v="0"/>
    <n v="46.15"/>
    <x v="2"/>
    <n v="25"/>
    <x v="1"/>
    <s v="Plato_18"/>
    <n v="14"/>
    <x v="23"/>
    <d v="2023-04-01T03:01:00"/>
    <d v="2023-04-01T04:59:00"/>
    <d v="1899-12-30T02:13:00"/>
    <x v="24"/>
    <x v="21"/>
    <x v="0"/>
  </r>
  <r>
    <n v="18"/>
    <x v="25"/>
    <n v="2"/>
    <d v="2023-04-01T02:04:00"/>
    <x v="24"/>
    <x v="3"/>
    <x v="1"/>
    <x v="2"/>
    <n v="10.37"/>
    <x v="2"/>
    <n v="26"/>
    <x v="7"/>
    <s v="Plato_4, Plato_13, Plato_7"/>
    <n v="52"/>
    <x v="24"/>
    <d v="2023-04-01T02:04:00"/>
    <d v="2023-04-01T05:47:00"/>
    <d v="1899-12-30T03:58:00"/>
    <x v="25"/>
    <x v="22"/>
    <x v="0"/>
  </r>
  <r>
    <n v="4"/>
    <x v="26"/>
    <n v="2"/>
    <d v="2023-04-01T01:19:00"/>
    <x v="25"/>
    <x v="3"/>
    <x v="0"/>
    <x v="2"/>
    <n v="19.27"/>
    <x v="2"/>
    <n v="27"/>
    <x v="2"/>
    <s v="Plato_8, Plato_10"/>
    <n v="25"/>
    <x v="25"/>
    <d v="2023-04-01T01:19:00"/>
    <d v="2023-04-01T02:27:00"/>
    <d v="1899-12-30T01:23:00"/>
    <x v="7"/>
    <x v="18"/>
    <x v="0"/>
  </r>
  <r>
    <n v="2"/>
    <x v="27"/>
    <n v="2"/>
    <d v="2023-04-01T00:49:00"/>
    <x v="26"/>
    <x v="4"/>
    <x v="2"/>
    <x v="2"/>
    <n v="41.22"/>
    <x v="0"/>
    <n v="28"/>
    <x v="10"/>
    <s v="Plato_4, Plato_9"/>
    <n v="40"/>
    <x v="26"/>
    <d v="2023-04-01T00:49:00"/>
    <d v="2023-04-01T03:16:00"/>
    <d v="1899-12-30T02:27:00"/>
    <x v="10"/>
    <x v="23"/>
    <x v="0"/>
  </r>
  <r>
    <n v="20"/>
    <x v="28"/>
    <n v="5"/>
    <d v="2023-04-01T03:02:00"/>
    <x v="27"/>
    <x v="2"/>
    <x v="0"/>
    <x v="2"/>
    <n v="14.83"/>
    <x v="2"/>
    <n v="29"/>
    <x v="8"/>
    <s v="Plato_1, Plato_4, Plato_17"/>
    <n v="70"/>
    <x v="27"/>
    <d v="2023-04-01T03:02:00"/>
    <d v="2023-04-01T06:10:00"/>
    <d v="1899-12-30T03:23:00"/>
    <x v="26"/>
    <x v="24"/>
    <x v="0"/>
  </r>
  <r>
    <n v="14"/>
    <x v="29"/>
    <n v="4"/>
    <d v="2023-04-01T02:55:00"/>
    <x v="28"/>
    <x v="4"/>
    <x v="0"/>
    <x v="1"/>
    <n v="26.29"/>
    <x v="1"/>
    <n v="30"/>
    <x v="5"/>
    <s v="Plato_10, Plato_3"/>
    <n v="46"/>
    <x v="28"/>
    <d v="2023-04-01T02:55:00"/>
    <d v="2023-04-01T06:13:00"/>
    <d v="1899-12-30T03:18:00"/>
    <x v="27"/>
    <x v="22"/>
    <x v="0"/>
  </r>
  <r>
    <n v="13"/>
    <x v="30"/>
    <n v="3"/>
    <d v="2023-04-01T02:51:00"/>
    <x v="29"/>
    <x v="2"/>
    <x v="1"/>
    <x v="2"/>
    <n v="19.809999999999999"/>
    <x v="2"/>
    <n v="31"/>
    <x v="10"/>
    <s v="Plato_9, Plato_12"/>
    <n v="28"/>
    <x v="29"/>
    <d v="2023-04-01T02:51:00"/>
    <d v="2023-04-01T06:02:00"/>
    <d v="1899-12-30T03:26:00"/>
    <x v="28"/>
    <x v="25"/>
    <x v="0"/>
  </r>
  <r>
    <n v="5"/>
    <x v="31"/>
    <n v="1"/>
    <d v="2023-04-01T03:08:00"/>
    <x v="30"/>
    <x v="1"/>
    <x v="0"/>
    <x v="2"/>
    <n v="28.25"/>
    <x v="2"/>
    <n v="32"/>
    <x v="7"/>
    <s v="Plato_15, Plato_11, Plato_10, Plato_4"/>
    <n v="88"/>
    <x v="30"/>
    <d v="2023-04-01T03:08:00"/>
    <d v="2023-04-01T06:49:00"/>
    <d v="1899-12-30T03:56:00"/>
    <x v="29"/>
    <x v="4"/>
    <x v="0"/>
  </r>
  <r>
    <n v="4"/>
    <x v="32"/>
    <n v="5"/>
    <d v="2023-04-01T03:33:00"/>
    <x v="31"/>
    <x v="4"/>
    <x v="2"/>
    <x v="0"/>
    <n v="20.38"/>
    <x v="2"/>
    <n v="33"/>
    <x v="4"/>
    <s v="Plato_8, Plato_6, Plato_15, Plato_10"/>
    <n v="125"/>
    <x v="31"/>
    <d v="2023-04-01T03:33:00"/>
    <d v="2023-04-01T06:21:00"/>
    <d v="1899-12-30T03:03:00"/>
    <x v="30"/>
    <x v="26"/>
    <x v="0"/>
  </r>
  <r>
    <n v="15"/>
    <x v="33"/>
    <n v="1"/>
    <d v="2023-04-01T02:16:00"/>
    <x v="32"/>
    <x v="4"/>
    <x v="1"/>
    <x v="2"/>
    <n v="13.08"/>
    <x v="1"/>
    <n v="34"/>
    <x v="4"/>
    <s v="Plato_18, Plato_10"/>
    <n v="47"/>
    <x v="21"/>
    <d v="2023-04-01T02:16:00"/>
    <d v="2023-04-01T06:07:00"/>
    <d v="1899-12-30T03:51:00"/>
    <x v="31"/>
    <x v="27"/>
    <x v="0"/>
  </r>
  <r>
    <n v="13"/>
    <x v="34"/>
    <n v="2"/>
    <d v="2023-04-01T03:18:00"/>
    <x v="33"/>
    <x v="0"/>
    <x v="0"/>
    <x v="2"/>
    <n v="15.75"/>
    <x v="2"/>
    <n v="35"/>
    <x v="4"/>
    <s v="Plato_2, Plato_9, Plato_11, Plato_17"/>
    <n v="85"/>
    <x v="32"/>
    <d v="2023-04-01T03:18:00"/>
    <d v="2023-04-01T05:55:00"/>
    <d v="1899-12-30T02:52:00"/>
    <x v="31"/>
    <x v="28"/>
    <x v="0"/>
  </r>
  <r>
    <s v="5"/>
    <x v="35"/>
    <n v="5"/>
    <d v="2023-04-01T03:27:00"/>
    <x v="34"/>
    <x v="2"/>
    <x v="0"/>
    <x v="2"/>
    <n v="45.28"/>
    <x v="2"/>
    <n v="36"/>
    <x v="6"/>
    <s v="Plato_2"/>
    <n v="12"/>
    <x v="33"/>
    <d v="2023-04-01T03:27:00"/>
    <d v="2023-04-01T06:26:00"/>
    <d v="1899-12-30T03:14:00"/>
    <x v="15"/>
    <x v="29"/>
    <x v="0"/>
  </r>
  <r>
    <s v="20"/>
    <x v="36"/>
    <n v="1"/>
    <d v="2023-04-01T03:24:00"/>
    <x v="29"/>
    <x v="3"/>
    <x v="2"/>
    <x v="2"/>
    <n v="10.39"/>
    <x v="2"/>
    <n v="37"/>
    <x v="2"/>
    <s v="Plato_13"/>
    <n v="8"/>
    <x v="14"/>
    <d v="2023-04-01T03:24:00"/>
    <d v="2023-04-01T06:02:00"/>
    <d v="1899-12-30T02:53:00"/>
    <x v="32"/>
    <x v="30"/>
    <x v="0"/>
  </r>
  <r>
    <n v="10"/>
    <x v="37"/>
    <n v="6"/>
    <d v="2023-04-01T02:38:00"/>
    <x v="35"/>
    <x v="4"/>
    <x v="0"/>
    <x v="0"/>
    <n v="16.309999999999999"/>
    <x v="0"/>
    <n v="38"/>
    <x v="9"/>
    <s v="Plato_17, Plato_8, Plato_19"/>
    <n v="92"/>
    <x v="34"/>
    <d v="2023-04-01T02:38:00"/>
    <d v="2023-04-01T03:53:00"/>
    <d v="1899-12-30T01:15:00"/>
    <x v="33"/>
    <x v="8"/>
    <x v="1"/>
  </r>
  <r>
    <s v="15"/>
    <x v="38"/>
    <n v="3"/>
    <d v="2023-04-01T03:41:00"/>
    <x v="36"/>
    <x v="2"/>
    <x v="2"/>
    <x v="1"/>
    <n v="48.36"/>
    <x v="2"/>
    <n v="39"/>
    <x v="6"/>
    <s v="Plato_19"/>
    <n v="42"/>
    <x v="35"/>
    <d v="2023-04-01T03:41:00"/>
    <d v="2023-04-01T07:39:00"/>
    <d v="1899-12-30T04:13:00"/>
    <x v="0"/>
    <x v="31"/>
    <x v="0"/>
  </r>
  <r>
    <n v="1"/>
    <x v="39"/>
    <n v="1"/>
    <d v="2023-04-01T02:00:00"/>
    <x v="37"/>
    <x v="0"/>
    <x v="0"/>
    <x v="1"/>
    <n v="13.68"/>
    <x v="1"/>
    <n v="40"/>
    <x v="10"/>
    <s v="Plato_9, Plato_11, Plato_16"/>
    <n v="61"/>
    <x v="36"/>
    <d v="2023-04-01T02:00:00"/>
    <d v="2023-04-01T04:05:00"/>
    <d v="1899-12-30T02:05:00"/>
    <x v="34"/>
    <x v="32"/>
    <x v="0"/>
  </r>
  <r>
    <n v="7"/>
    <x v="40"/>
    <n v="4"/>
    <d v="2023-04-01T02:14:00"/>
    <x v="38"/>
    <x v="2"/>
    <x v="0"/>
    <x v="2"/>
    <n v="15.24"/>
    <x v="2"/>
    <n v="41"/>
    <x v="4"/>
    <s v="Plato_15, Plato_10, Plato_2"/>
    <n v="84"/>
    <x v="37"/>
    <d v="2023-04-01T02:14:00"/>
    <d v="2023-04-01T04:20:00"/>
    <d v="1899-12-30T02:21:00"/>
    <x v="35"/>
    <x v="33"/>
    <x v="0"/>
  </r>
  <r>
    <n v="14"/>
    <x v="41"/>
    <n v="1"/>
    <d v="2023-04-01T00:25:00"/>
    <x v="39"/>
    <x v="2"/>
    <x v="0"/>
    <x v="2"/>
    <n v="49.58"/>
    <x v="0"/>
    <n v="42"/>
    <x v="6"/>
    <s v="Plato_5, Plato_20"/>
    <n v="39"/>
    <x v="38"/>
    <d v="2023-04-01T00:25:00"/>
    <d v="2023-04-01T01:46:00"/>
    <d v="1899-12-30T01:21:00"/>
    <x v="27"/>
    <x v="34"/>
    <x v="0"/>
  </r>
  <r>
    <n v="8"/>
    <x v="42"/>
    <n v="6"/>
    <d v="2023-04-01T01:02:00"/>
    <x v="40"/>
    <x v="4"/>
    <x v="0"/>
    <x v="2"/>
    <n v="32.19"/>
    <x v="2"/>
    <n v="43"/>
    <x v="4"/>
    <s v="Plato_15, Plato_18, Plato_7, Plato_17"/>
    <n v="83"/>
    <x v="39"/>
    <d v="2023-04-01T01:02:00"/>
    <d v="2023-04-01T03:14:00"/>
    <d v="1899-12-30T02:27:00"/>
    <x v="8"/>
    <x v="35"/>
    <x v="0"/>
  </r>
  <r>
    <n v="18"/>
    <x v="39"/>
    <n v="1"/>
    <d v="2023-04-01T03:06:00"/>
    <x v="41"/>
    <x v="4"/>
    <x v="0"/>
    <x v="2"/>
    <n v="42.6"/>
    <x v="1"/>
    <n v="44"/>
    <x v="0"/>
    <s v="Plato_10, Plato_1, Plato_13"/>
    <n v="49"/>
    <x v="40"/>
    <d v="2023-04-01T03:06:00"/>
    <d v="2023-04-01T06:18:00"/>
    <d v="1899-12-30T03:12:00"/>
    <x v="1"/>
    <x v="28"/>
    <x v="0"/>
  </r>
  <r>
    <s v="17"/>
    <x v="43"/>
    <n v="2"/>
    <d v="2023-04-01T02:15:00"/>
    <x v="42"/>
    <x v="2"/>
    <x v="0"/>
    <x v="2"/>
    <n v="25.41"/>
    <x v="0"/>
    <n v="45"/>
    <x v="4"/>
    <s v="Plato_4"/>
    <n v="24"/>
    <x v="41"/>
    <d v="2023-04-01T02:15:00"/>
    <d v="2023-04-01T04:01:00"/>
    <d v="1899-12-30T01:46:00"/>
    <x v="32"/>
    <x v="36"/>
    <x v="0"/>
  </r>
  <r>
    <n v="10"/>
    <x v="44"/>
    <n v="1"/>
    <d v="2023-04-01T01:47:00"/>
    <x v="43"/>
    <x v="3"/>
    <x v="0"/>
    <x v="2"/>
    <n v="27.97"/>
    <x v="1"/>
    <n v="46"/>
    <x v="9"/>
    <s v="Plato_2, Plato_18, Plato_14"/>
    <n v="56"/>
    <x v="42"/>
    <d v="2023-04-01T01:47:00"/>
    <d v="2023-04-01T03:39:00"/>
    <d v="1899-12-30T01:52:00"/>
    <x v="36"/>
    <x v="37"/>
    <x v="0"/>
  </r>
  <r>
    <n v="18"/>
    <x v="45"/>
    <n v="3"/>
    <d v="2023-04-01T03:30:00"/>
    <x v="44"/>
    <x v="2"/>
    <x v="0"/>
    <x v="2"/>
    <n v="10.98"/>
    <x v="2"/>
    <n v="47"/>
    <x v="2"/>
    <s v="Plato_11, Plato_14, Plato_3"/>
    <n v="43"/>
    <x v="43"/>
    <d v="2023-04-01T03:30:00"/>
    <d v="2023-04-01T07:29:00"/>
    <d v="1899-12-30T04:14:00"/>
    <x v="37"/>
    <x v="38"/>
    <x v="0"/>
  </r>
  <r>
    <n v="17"/>
    <x v="46"/>
    <n v="2"/>
    <d v="2023-04-01T00:28:00"/>
    <x v="45"/>
    <x v="0"/>
    <x v="1"/>
    <x v="2"/>
    <n v="25.31"/>
    <x v="1"/>
    <n v="48"/>
    <x v="6"/>
    <s v="Plato_6, Plato_5, Plato_11"/>
    <n v="64"/>
    <x v="44"/>
    <d v="2023-04-01T00:28:00"/>
    <d v="2023-04-01T04:02:00"/>
    <d v="1899-12-30T03:34:00"/>
    <x v="38"/>
    <x v="39"/>
    <x v="0"/>
  </r>
  <r>
    <n v="8"/>
    <x v="47"/>
    <n v="3"/>
    <d v="2023-04-01T01:44:00"/>
    <x v="46"/>
    <x v="2"/>
    <x v="0"/>
    <x v="2"/>
    <n v="20.92"/>
    <x v="1"/>
    <n v="49"/>
    <x v="7"/>
    <s v="Plato_7, Plato_15, Plato_4"/>
    <n v="77"/>
    <x v="45"/>
    <d v="2023-04-01T01:44:00"/>
    <d v="2023-04-01T05:29:00"/>
    <d v="1899-12-30T03:45:00"/>
    <x v="39"/>
    <x v="40"/>
    <x v="0"/>
  </r>
  <r>
    <n v="19"/>
    <x v="48"/>
    <n v="5"/>
    <d v="2023-04-01T03:54:00"/>
    <x v="47"/>
    <x v="4"/>
    <x v="0"/>
    <x v="0"/>
    <n v="16.739999999999998"/>
    <x v="2"/>
    <n v="50"/>
    <x v="10"/>
    <s v="Plato_15, Plato_5"/>
    <n v="31"/>
    <x v="46"/>
    <d v="2023-04-01T03:54:00"/>
    <d v="2023-04-01T06:57:00"/>
    <d v="1899-12-30T03:18:00"/>
    <x v="40"/>
    <x v="41"/>
    <x v="0"/>
  </r>
  <r>
    <n v="12"/>
    <x v="49"/>
    <n v="1"/>
    <d v="2023-04-01T01:42:00"/>
    <x v="48"/>
    <x v="3"/>
    <x v="2"/>
    <x v="2"/>
    <n v="37.08"/>
    <x v="0"/>
    <n v="51"/>
    <x v="0"/>
    <s v="Plato_14, Plato_11, Plato_5, Plato_4"/>
    <n v="91"/>
    <x v="47"/>
    <d v="2023-04-01T01:42:00"/>
    <d v="2023-04-01T03:02:00"/>
    <d v="1899-12-30T01:20:00"/>
    <x v="41"/>
    <x v="8"/>
    <x v="1"/>
  </r>
  <r>
    <n v="7"/>
    <x v="50"/>
    <n v="4"/>
    <d v="2023-04-01T00:01:00"/>
    <x v="49"/>
    <x v="0"/>
    <x v="0"/>
    <x v="2"/>
    <n v="46.88"/>
    <x v="1"/>
    <n v="52"/>
    <x v="3"/>
    <s v="Plato_11, Plato_17, Plato_18"/>
    <n v="105"/>
    <x v="4"/>
    <d v="2023-04-01T00:01:00"/>
    <d v="2023-04-01T01:11:00"/>
    <d v="1899-12-30T01:10:00"/>
    <x v="42"/>
    <x v="42"/>
    <x v="0"/>
  </r>
  <r>
    <n v="16"/>
    <x v="51"/>
    <n v="5"/>
    <d v="2023-04-01T03:01:00"/>
    <x v="50"/>
    <x v="3"/>
    <x v="0"/>
    <x v="0"/>
    <n v="36.880000000000003"/>
    <x v="1"/>
    <n v="53"/>
    <x v="3"/>
    <s v="Plato_14, Plato_2, Plato_19"/>
    <n v="105"/>
    <x v="23"/>
    <d v="2023-04-01T03:01:00"/>
    <d v="2023-04-01T04:44:00"/>
    <d v="1899-12-30T01:43:00"/>
    <x v="43"/>
    <x v="8"/>
    <x v="1"/>
  </r>
  <r>
    <n v="6"/>
    <x v="52"/>
    <n v="6"/>
    <d v="2023-04-01T00:40:00"/>
    <x v="51"/>
    <x v="4"/>
    <x v="2"/>
    <x v="2"/>
    <n v="23.36"/>
    <x v="0"/>
    <n v="54"/>
    <x v="6"/>
    <s v="Plato_8, Plato_17, Plato_4, Plato_11"/>
    <n v="75"/>
    <x v="48"/>
    <d v="2023-04-01T00:40:00"/>
    <d v="2023-04-01T04:14:00"/>
    <d v="1899-12-30T03:34:00"/>
    <x v="44"/>
    <x v="43"/>
    <x v="0"/>
  </r>
  <r>
    <n v="20"/>
    <x v="53"/>
    <n v="5"/>
    <d v="2023-04-01T01:30:00"/>
    <x v="52"/>
    <x v="4"/>
    <x v="2"/>
    <x v="2"/>
    <n v="45.49"/>
    <x v="2"/>
    <n v="55"/>
    <x v="4"/>
    <s v="Plato_11, Plato_7, Plato_19, Plato_15"/>
    <n v="102"/>
    <x v="49"/>
    <d v="2023-04-01T01:30:00"/>
    <d v="2023-04-01T05:00:00"/>
    <d v="1899-12-30T03:45:00"/>
    <x v="45"/>
    <x v="22"/>
    <x v="0"/>
  </r>
  <r>
    <n v="1"/>
    <x v="14"/>
    <n v="3"/>
    <d v="2023-04-01T01:20:00"/>
    <x v="53"/>
    <x v="3"/>
    <x v="0"/>
    <x v="0"/>
    <n v="43.2"/>
    <x v="1"/>
    <n v="56"/>
    <x v="8"/>
    <s v="Plato_9, Plato_12"/>
    <n v="20"/>
    <x v="50"/>
    <d v="2023-04-01T01:20:00"/>
    <d v="2023-04-01T04:57:00"/>
    <d v="1899-12-30T03:37:00"/>
    <x v="34"/>
    <x v="44"/>
    <x v="0"/>
  </r>
  <r>
    <n v="18"/>
    <x v="54"/>
    <n v="2"/>
    <d v="2023-04-01T03:04:00"/>
    <x v="54"/>
    <x v="2"/>
    <x v="0"/>
    <x v="2"/>
    <n v="45.45"/>
    <x v="1"/>
    <n v="57"/>
    <x v="1"/>
    <s v="Plato_8, Plato_20, Plato_5, Plato_19"/>
    <n v="66"/>
    <x v="51"/>
    <d v="2023-04-01T03:04:00"/>
    <d v="2023-04-01T04:52:00"/>
    <d v="1899-12-30T01:48:00"/>
    <x v="46"/>
    <x v="14"/>
    <x v="0"/>
  </r>
  <r>
    <n v="8"/>
    <x v="55"/>
    <n v="3"/>
    <d v="2023-04-01T01:31:00"/>
    <x v="55"/>
    <x v="1"/>
    <x v="2"/>
    <x v="2"/>
    <n v="30.7"/>
    <x v="0"/>
    <n v="58"/>
    <x v="2"/>
    <s v="Plato_5, Plato_3"/>
    <n v="33"/>
    <x v="52"/>
    <d v="2023-04-01T01:31:00"/>
    <d v="2023-04-01T04:21:00"/>
    <d v="1899-12-30T02:50:00"/>
    <x v="47"/>
    <x v="9"/>
    <x v="0"/>
  </r>
  <r>
    <n v="8"/>
    <x v="56"/>
    <n v="4"/>
    <d v="2023-04-01T01:21:00"/>
    <x v="56"/>
    <x v="1"/>
    <x v="0"/>
    <x v="1"/>
    <n v="33.89"/>
    <x v="1"/>
    <n v="59"/>
    <x v="1"/>
    <s v="Plato_12, Plato_14, Plato_4, Plato_20"/>
    <n v="65"/>
    <x v="53"/>
    <d v="2023-04-01T01:21:00"/>
    <d v="2023-04-01T05:04:00"/>
    <d v="1899-12-30T03:43:00"/>
    <x v="48"/>
    <x v="45"/>
    <x v="0"/>
  </r>
  <r>
    <n v="6"/>
    <x v="57"/>
    <n v="1"/>
    <d v="2023-04-01T02:09:00"/>
    <x v="57"/>
    <x v="1"/>
    <x v="0"/>
    <x v="2"/>
    <n v="19.54"/>
    <x v="0"/>
    <n v="60"/>
    <x v="6"/>
    <s v="Plato_4, Plato_11"/>
    <n v="42"/>
    <x v="54"/>
    <d v="2023-04-01T02:09:00"/>
    <d v="2023-04-01T05:46:00"/>
    <d v="1899-12-30T03:37:00"/>
    <x v="49"/>
    <x v="46"/>
    <x v="0"/>
  </r>
  <r>
    <n v="10"/>
    <x v="58"/>
    <n v="5"/>
    <d v="2023-04-01T03:49:00"/>
    <x v="58"/>
    <x v="2"/>
    <x v="0"/>
    <x v="2"/>
    <n v="42.87"/>
    <x v="2"/>
    <n v="61"/>
    <x v="9"/>
    <s v="Plato_20, Plato_4, Plato_2, Plato_16"/>
    <n v="98"/>
    <x v="55"/>
    <d v="2023-04-01T03:49:00"/>
    <d v="2023-04-01T06:22:00"/>
    <d v="1899-12-30T02:48:00"/>
    <x v="50"/>
    <x v="47"/>
    <x v="0"/>
  </r>
  <r>
    <n v="2"/>
    <x v="59"/>
    <n v="1"/>
    <d v="2023-04-01T02:47:00"/>
    <x v="59"/>
    <x v="1"/>
    <x v="2"/>
    <x v="2"/>
    <n v="37.93"/>
    <x v="2"/>
    <n v="62"/>
    <x v="10"/>
    <s v="Plato_2, Plato_12, Plato_17"/>
    <n v="60"/>
    <x v="56"/>
    <d v="2023-04-01T02:47:00"/>
    <d v="2023-04-01T06:24:00"/>
    <d v="1899-12-30T03:52:00"/>
    <x v="51"/>
    <x v="48"/>
    <x v="0"/>
  </r>
  <r>
    <n v="17"/>
    <x v="10"/>
    <n v="4"/>
    <d v="2023-04-01T00:41:00"/>
    <x v="60"/>
    <x v="4"/>
    <x v="0"/>
    <x v="2"/>
    <n v="33.340000000000003"/>
    <x v="0"/>
    <n v="63"/>
    <x v="1"/>
    <s v="Plato_3, Plato_8"/>
    <n v="22"/>
    <x v="57"/>
    <d v="2023-04-01T00:41:00"/>
    <d v="2023-04-01T04:06:00"/>
    <d v="1899-12-30T03:25:00"/>
    <x v="52"/>
    <x v="45"/>
    <x v="0"/>
  </r>
  <r>
    <n v="3"/>
    <x v="60"/>
    <n v="3"/>
    <d v="2023-04-01T01:40:00"/>
    <x v="45"/>
    <x v="3"/>
    <x v="1"/>
    <x v="1"/>
    <n v="34.770000000000003"/>
    <x v="0"/>
    <n v="64"/>
    <x v="4"/>
    <s v="Plato_3, Plato_20, Plato_19"/>
    <n v="111"/>
    <x v="58"/>
    <d v="2023-04-01T01:40:00"/>
    <d v="2023-04-01T04:02:00"/>
    <d v="1899-12-30T02:22:00"/>
    <x v="53"/>
    <x v="49"/>
    <x v="0"/>
  </r>
  <r>
    <n v="5"/>
    <x v="61"/>
    <n v="1"/>
    <d v="2023-04-01T01:54:00"/>
    <x v="61"/>
    <x v="0"/>
    <x v="0"/>
    <x v="0"/>
    <n v="14"/>
    <x v="2"/>
    <n v="65"/>
    <x v="6"/>
    <s v="Plato_16, Plato_17, Plato_12, Plato_20"/>
    <n v="78"/>
    <x v="59"/>
    <d v="2023-04-01T01:54:00"/>
    <d v="2023-04-01T03:03:00"/>
    <d v="1899-12-30T01:24:00"/>
    <x v="51"/>
    <x v="8"/>
    <x v="1"/>
  </r>
  <r>
    <n v="18"/>
    <x v="62"/>
    <n v="2"/>
    <d v="2023-04-01T02:28:00"/>
    <x v="41"/>
    <x v="3"/>
    <x v="0"/>
    <x v="2"/>
    <n v="10.88"/>
    <x v="0"/>
    <n v="66"/>
    <x v="0"/>
    <s v="Plato_19, Plato_20, Plato_4"/>
    <n v="83"/>
    <x v="60"/>
    <d v="2023-04-01T02:28:00"/>
    <d v="2023-04-01T06:18:00"/>
    <d v="1899-12-30T03:50:00"/>
    <x v="54"/>
    <x v="50"/>
    <x v="0"/>
  </r>
  <r>
    <n v="2"/>
    <x v="63"/>
    <n v="6"/>
    <d v="2023-04-01T03:45:00"/>
    <x v="62"/>
    <x v="2"/>
    <x v="0"/>
    <x v="0"/>
    <n v="21.25"/>
    <x v="0"/>
    <n v="67"/>
    <x v="4"/>
    <s v="Plato_20, Plato_19, Plato_10, Plato_2"/>
    <n v="102"/>
    <x v="61"/>
    <d v="2023-04-01T03:45:00"/>
    <d v="2023-04-01T05:10:00"/>
    <d v="1899-12-30T01:25:00"/>
    <x v="55"/>
    <x v="8"/>
    <x v="1"/>
  </r>
  <r>
    <n v="8"/>
    <x v="64"/>
    <n v="4"/>
    <d v="2023-04-01T00:02:00"/>
    <x v="63"/>
    <x v="3"/>
    <x v="2"/>
    <x v="2"/>
    <n v="45.65"/>
    <x v="2"/>
    <n v="68"/>
    <x v="2"/>
    <s v="Plato_14, Plato_16, Plato_15, Plato_1"/>
    <n v="88"/>
    <x v="9"/>
    <d v="2023-04-01T00:02:00"/>
    <d v="2023-04-01T03:15:00"/>
    <d v="1899-12-30T03:28:00"/>
    <x v="56"/>
    <x v="51"/>
    <x v="0"/>
  </r>
  <r>
    <n v="5"/>
    <x v="65"/>
    <n v="4"/>
    <d v="2023-04-01T02:02:00"/>
    <x v="64"/>
    <x v="2"/>
    <x v="0"/>
    <x v="2"/>
    <n v="31.49"/>
    <x v="1"/>
    <n v="69"/>
    <x v="4"/>
    <s v="Plato_13, Plato_7, Plato_11"/>
    <n v="93"/>
    <x v="62"/>
    <d v="2023-04-01T02:02:00"/>
    <d v="2023-04-01T03:57:00"/>
    <d v="1899-12-30T01:55:00"/>
    <x v="57"/>
    <x v="52"/>
    <x v="0"/>
  </r>
  <r>
    <n v="17"/>
    <x v="66"/>
    <n v="4"/>
    <d v="2023-04-01T00:11:00"/>
    <x v="65"/>
    <x v="4"/>
    <x v="0"/>
    <x v="0"/>
    <n v="28.26"/>
    <x v="1"/>
    <n v="70"/>
    <x v="3"/>
    <s v="Plato_1, Plato_18"/>
    <n v="48"/>
    <x v="63"/>
    <d v="2023-04-01T00:11:00"/>
    <d v="2023-04-01T01:22:00"/>
    <d v="1899-12-30T01:11:00"/>
    <x v="3"/>
    <x v="53"/>
    <x v="0"/>
  </r>
  <r>
    <n v="18"/>
    <x v="67"/>
    <n v="4"/>
    <d v="2023-04-01T01:57:00"/>
    <x v="66"/>
    <x v="0"/>
    <x v="0"/>
    <x v="2"/>
    <n v="24.01"/>
    <x v="2"/>
    <n v="71"/>
    <x v="3"/>
    <s v="Plato_2, Plato_14"/>
    <n v="54"/>
    <x v="6"/>
    <d v="2023-04-01T01:57:00"/>
    <d v="2023-04-01T05:56:00"/>
    <d v="1899-12-30T04:14:00"/>
    <x v="58"/>
    <x v="54"/>
    <x v="0"/>
  </r>
  <r>
    <n v="17"/>
    <x v="68"/>
    <n v="1"/>
    <d v="2023-04-01T02:42:00"/>
    <x v="67"/>
    <x v="2"/>
    <x v="0"/>
    <x v="2"/>
    <n v="15.28"/>
    <x v="0"/>
    <n v="72"/>
    <x v="4"/>
    <s v="Plato_13, Plato_4"/>
    <n v="32"/>
    <x v="64"/>
    <d v="2023-04-01T02:42:00"/>
    <d v="2023-04-01T05:51:00"/>
    <d v="1899-12-30T03:09:00"/>
    <x v="59"/>
    <x v="55"/>
    <x v="0"/>
  </r>
  <r>
    <s v="1"/>
    <x v="69"/>
    <n v="4"/>
    <d v="2023-04-01T02:39:00"/>
    <x v="68"/>
    <x v="4"/>
    <x v="1"/>
    <x v="2"/>
    <n v="34.51"/>
    <x v="1"/>
    <n v="73"/>
    <x v="10"/>
    <s v="Plato_6"/>
    <n v="33"/>
    <x v="65"/>
    <d v="2023-04-01T02:39:00"/>
    <d v="2023-04-01T06:09:00"/>
    <d v="1899-12-30T03:30:00"/>
    <x v="60"/>
    <x v="56"/>
    <x v="0"/>
  </r>
  <r>
    <n v="19"/>
    <x v="70"/>
    <n v="4"/>
    <d v="2023-04-01T01:04:00"/>
    <x v="69"/>
    <x v="4"/>
    <x v="0"/>
    <x v="2"/>
    <n v="30.83"/>
    <x v="1"/>
    <n v="74"/>
    <x v="2"/>
    <s v="Plato_10, Plato_18, Plato_15"/>
    <n v="90"/>
    <x v="66"/>
    <d v="2023-04-01T01:04:00"/>
    <d v="2023-04-01T04:13:00"/>
    <d v="1899-12-30T03:09:00"/>
    <x v="61"/>
    <x v="57"/>
    <x v="0"/>
  </r>
  <r>
    <n v="19"/>
    <x v="71"/>
    <n v="5"/>
    <d v="2023-04-01T03:36:00"/>
    <x v="7"/>
    <x v="3"/>
    <x v="0"/>
    <x v="2"/>
    <n v="45.23"/>
    <x v="2"/>
    <n v="75"/>
    <x v="5"/>
    <s v="Plato_20, Plato_14"/>
    <n v="42"/>
    <x v="67"/>
    <d v="2023-04-01T03:36:00"/>
    <d v="2023-04-01T04:49:00"/>
    <d v="1899-12-30T01:28:00"/>
    <x v="62"/>
    <x v="58"/>
    <x v="0"/>
  </r>
  <r>
    <n v="17"/>
    <x v="72"/>
    <n v="3"/>
    <d v="2023-04-01T02:57:00"/>
    <x v="70"/>
    <x v="1"/>
    <x v="0"/>
    <x v="2"/>
    <n v="17.760000000000002"/>
    <x v="0"/>
    <n v="76"/>
    <x v="10"/>
    <s v="Plato_2, Plato_4, Plato_7, Plato_10"/>
    <n v="65"/>
    <x v="68"/>
    <d v="2023-04-01T02:57:00"/>
    <d v="2023-04-01T05:24:00"/>
    <d v="1899-12-30T02:27:00"/>
    <x v="63"/>
    <x v="59"/>
    <x v="0"/>
  </r>
  <r>
    <n v="3"/>
    <x v="73"/>
    <n v="1"/>
    <d v="2023-04-01T02:46:00"/>
    <x v="71"/>
    <x v="0"/>
    <x v="2"/>
    <x v="2"/>
    <n v="19.88"/>
    <x v="1"/>
    <n v="77"/>
    <x v="6"/>
    <s v="Plato_4, Plato_7, Plato_11"/>
    <n v="41"/>
    <x v="69"/>
    <d v="2023-04-01T02:46:00"/>
    <d v="2023-04-01T06:15:00"/>
    <d v="1899-12-30T03:29:00"/>
    <x v="63"/>
    <x v="60"/>
    <x v="0"/>
  </r>
  <r>
    <s v="7"/>
    <x v="74"/>
    <n v="4"/>
    <d v="2023-04-01T01:34:00"/>
    <x v="61"/>
    <x v="0"/>
    <x v="0"/>
    <x v="2"/>
    <n v="20.02"/>
    <x v="1"/>
    <n v="78"/>
    <x v="1"/>
    <s v="Plato_12"/>
    <n v="24"/>
    <x v="70"/>
    <d v="2023-04-01T01:34:00"/>
    <d v="2023-04-01T03:03:00"/>
    <d v="1899-12-30T01:29:00"/>
    <x v="59"/>
    <x v="61"/>
    <x v="0"/>
  </r>
  <r>
    <n v="16"/>
    <x v="75"/>
    <n v="2"/>
    <d v="2023-04-01T01:34:00"/>
    <x v="72"/>
    <x v="0"/>
    <x v="0"/>
    <x v="2"/>
    <n v="34.01"/>
    <x v="1"/>
    <n v="79"/>
    <x v="5"/>
    <s v="Plato_9, Plato_11, Plato_3, Plato_13"/>
    <n v="123"/>
    <x v="70"/>
    <d v="2023-04-01T01:34:00"/>
    <d v="2023-04-01T05:08:00"/>
    <d v="1899-12-30T03:34:00"/>
    <x v="45"/>
    <x v="62"/>
    <x v="0"/>
  </r>
  <r>
    <n v="18"/>
    <x v="76"/>
    <n v="6"/>
    <d v="2023-04-01T02:14:00"/>
    <x v="73"/>
    <x v="4"/>
    <x v="0"/>
    <x v="2"/>
    <n v="39.049999999999997"/>
    <x v="1"/>
    <n v="80"/>
    <x v="5"/>
    <s v="Plato_5, Plato_9, Plato_7"/>
    <n v="50"/>
    <x v="37"/>
    <d v="2023-04-01T02:14:00"/>
    <d v="2023-04-01T03:46:00"/>
    <d v="1899-12-30T01:32:00"/>
    <x v="64"/>
    <x v="63"/>
    <x v="0"/>
  </r>
  <r>
    <s v="17"/>
    <x v="77"/>
    <n v="4"/>
    <d v="2023-04-01T03:40:00"/>
    <x v="74"/>
    <x v="3"/>
    <x v="2"/>
    <x v="2"/>
    <n v="23.69"/>
    <x v="2"/>
    <n v="81"/>
    <x v="7"/>
    <s v="Plato_17"/>
    <n v="24"/>
    <x v="71"/>
    <d v="2023-04-01T03:40:00"/>
    <d v="2023-04-01T06:31:00"/>
    <d v="1899-12-30T03:06:00"/>
    <x v="12"/>
    <x v="64"/>
    <x v="0"/>
  </r>
  <r>
    <n v="16"/>
    <x v="78"/>
    <n v="3"/>
    <d v="2023-04-01T03:25:00"/>
    <x v="75"/>
    <x v="3"/>
    <x v="1"/>
    <x v="2"/>
    <n v="38.6"/>
    <x v="1"/>
    <n v="82"/>
    <x v="3"/>
    <s v="Plato_1, Plato_2"/>
    <n v="32"/>
    <x v="72"/>
    <d v="2023-04-01T03:25:00"/>
    <d v="2023-04-01T07:10:00"/>
    <d v="1899-12-30T03:45:00"/>
    <x v="65"/>
    <x v="65"/>
    <x v="0"/>
  </r>
  <r>
    <n v="15"/>
    <x v="79"/>
    <n v="1"/>
    <d v="2023-04-01T03:42:00"/>
    <x v="76"/>
    <x v="1"/>
    <x v="2"/>
    <x v="2"/>
    <n v="24.94"/>
    <x v="2"/>
    <n v="83"/>
    <x v="10"/>
    <s v="Plato_6, Plato_3, Plato_15"/>
    <n v="69"/>
    <x v="73"/>
    <d v="2023-04-01T03:42:00"/>
    <d v="2023-04-01T06:39:00"/>
    <d v="1899-12-30T03:12:00"/>
    <x v="66"/>
    <x v="21"/>
    <x v="0"/>
  </r>
  <r>
    <s v="19"/>
    <x v="80"/>
    <n v="5"/>
    <d v="2023-04-01T01:42:00"/>
    <x v="77"/>
    <x v="4"/>
    <x v="0"/>
    <x v="2"/>
    <n v="15.11"/>
    <x v="2"/>
    <n v="84"/>
    <x v="4"/>
    <s v="Plato_2"/>
    <n v="24"/>
    <x v="47"/>
    <d v="2023-04-01T01:42:00"/>
    <d v="2023-04-01T03:18:00"/>
    <d v="1899-12-30T01:51:00"/>
    <x v="67"/>
    <x v="25"/>
    <x v="0"/>
  </r>
  <r>
    <n v="8"/>
    <x v="81"/>
    <n v="3"/>
    <d v="2023-04-01T02:35:00"/>
    <x v="3"/>
    <x v="2"/>
    <x v="2"/>
    <x v="2"/>
    <n v="45.96"/>
    <x v="1"/>
    <n v="85"/>
    <x v="8"/>
    <s v="Plato_16, Plato_19, Plato_3, Plato_15"/>
    <n v="85"/>
    <x v="74"/>
    <d v="2023-04-01T02:35:00"/>
    <d v="2023-04-01T04:31:00"/>
    <d v="1899-12-30T01:56:00"/>
    <x v="68"/>
    <x v="8"/>
    <x v="1"/>
  </r>
  <r>
    <s v="20"/>
    <x v="82"/>
    <n v="3"/>
    <d v="2023-04-01T00:02:00"/>
    <x v="78"/>
    <x v="3"/>
    <x v="0"/>
    <x v="0"/>
    <n v="11.84"/>
    <x v="1"/>
    <n v="86"/>
    <x v="0"/>
    <s v="Plato_1"/>
    <n v="20"/>
    <x v="9"/>
    <d v="2023-04-01T00:02:00"/>
    <d v="2023-04-01T02:08:00"/>
    <d v="1899-12-30T02:06:00"/>
    <x v="69"/>
    <x v="62"/>
    <x v="0"/>
  </r>
  <r>
    <n v="3"/>
    <x v="83"/>
    <n v="2"/>
    <d v="2023-04-01T01:46:00"/>
    <x v="77"/>
    <x v="4"/>
    <x v="0"/>
    <x v="2"/>
    <n v="29.46"/>
    <x v="2"/>
    <n v="87"/>
    <x v="5"/>
    <s v="Plato_4, Plato_15, Plato_17"/>
    <n v="41"/>
    <x v="75"/>
    <d v="2023-04-01T01:46:00"/>
    <d v="2023-04-01T03:18:00"/>
    <d v="1899-12-30T01:47:00"/>
    <x v="26"/>
    <x v="66"/>
    <x v="0"/>
  </r>
  <r>
    <n v="18"/>
    <x v="84"/>
    <n v="1"/>
    <d v="2023-04-01T03:30:00"/>
    <x v="79"/>
    <x v="4"/>
    <x v="0"/>
    <x v="0"/>
    <n v="23.93"/>
    <x v="0"/>
    <n v="88"/>
    <x v="8"/>
    <s v="Plato_20, Plato_12, Plato_10"/>
    <n v="50"/>
    <x v="43"/>
    <d v="2023-04-01T03:30:00"/>
    <d v="2023-04-01T06:40:00"/>
    <d v="1899-12-30T03:10:00"/>
    <x v="70"/>
    <x v="67"/>
    <x v="0"/>
  </r>
  <r>
    <n v="11"/>
    <x v="58"/>
    <n v="4"/>
    <d v="2023-04-01T00:42:00"/>
    <x v="80"/>
    <x v="3"/>
    <x v="1"/>
    <x v="0"/>
    <n v="12.28"/>
    <x v="1"/>
    <n v="89"/>
    <x v="7"/>
    <s v="Plato_14, Plato_18, Plato_5"/>
    <n v="64"/>
    <x v="76"/>
    <d v="2023-04-01T00:42:00"/>
    <d v="2023-04-01T02:19:00"/>
    <d v="1899-12-30T01:37:00"/>
    <x v="68"/>
    <x v="8"/>
    <x v="1"/>
  </r>
  <r>
    <s v="6"/>
    <x v="85"/>
    <n v="3"/>
    <d v="2023-04-01T01:17:00"/>
    <x v="81"/>
    <x v="3"/>
    <x v="0"/>
    <x v="0"/>
    <n v="30.69"/>
    <x v="0"/>
    <n v="90"/>
    <x v="8"/>
    <s v="Plato_18"/>
    <n v="14"/>
    <x v="77"/>
    <d v="2023-04-01T01:17:00"/>
    <d v="2023-04-01T03:13:00"/>
    <d v="1899-12-30T01:56:00"/>
    <x v="48"/>
    <x v="68"/>
    <x v="0"/>
  </r>
  <r>
    <n v="1"/>
    <x v="86"/>
    <n v="5"/>
    <d v="2023-04-01T03:38:00"/>
    <x v="70"/>
    <x v="3"/>
    <x v="0"/>
    <x v="2"/>
    <n v="39.1"/>
    <x v="0"/>
    <n v="91"/>
    <x v="0"/>
    <s v="Plato_8, Plato_13, Plato_5, Plato_6"/>
    <n v="117"/>
    <x v="78"/>
    <d v="2023-04-01T03:38:00"/>
    <d v="2023-04-01T05:24:00"/>
    <d v="1899-12-30T01:46:00"/>
    <x v="71"/>
    <x v="8"/>
    <x v="1"/>
  </r>
  <r>
    <n v="6"/>
    <x v="87"/>
    <n v="2"/>
    <d v="2023-04-01T03:35:00"/>
    <x v="68"/>
    <x v="2"/>
    <x v="1"/>
    <x v="2"/>
    <n v="12.75"/>
    <x v="1"/>
    <n v="92"/>
    <x v="5"/>
    <s v="Plato_9, Plato_7"/>
    <n v="34"/>
    <x v="79"/>
    <d v="2023-04-01T03:35:00"/>
    <d v="2023-04-01T06:09:00"/>
    <d v="1899-12-30T02:34:00"/>
    <x v="72"/>
    <x v="60"/>
    <x v="0"/>
  </r>
  <r>
    <s v="2"/>
    <x v="88"/>
    <n v="2"/>
    <d v="2023-04-01T01:39:00"/>
    <x v="82"/>
    <x v="2"/>
    <x v="0"/>
    <x v="2"/>
    <n v="45.66"/>
    <x v="1"/>
    <n v="93"/>
    <x v="4"/>
    <s v="Plato_9"/>
    <n v="12"/>
    <x v="80"/>
    <d v="2023-04-01T01:39:00"/>
    <d v="2023-04-01T03:48:00"/>
    <d v="1899-12-30T02:09:00"/>
    <x v="73"/>
    <x v="10"/>
    <x v="0"/>
  </r>
  <r>
    <n v="12"/>
    <x v="89"/>
    <n v="1"/>
    <d v="2023-04-01T01:52:00"/>
    <x v="83"/>
    <x v="4"/>
    <x v="0"/>
    <x v="2"/>
    <n v="28.36"/>
    <x v="2"/>
    <n v="94"/>
    <x v="9"/>
    <s v="Plato_2, Plato_15, Plato_11"/>
    <n v="101"/>
    <x v="81"/>
    <d v="2023-04-01T01:52:00"/>
    <d v="2023-04-01T04:53:00"/>
    <d v="1899-12-30T03:16:00"/>
    <x v="74"/>
    <x v="69"/>
    <x v="0"/>
  </r>
  <r>
    <n v="12"/>
    <x v="90"/>
    <n v="5"/>
    <d v="2023-04-01T03:19:00"/>
    <x v="32"/>
    <x v="2"/>
    <x v="2"/>
    <x v="2"/>
    <n v="24.68"/>
    <x v="2"/>
    <n v="95"/>
    <x v="0"/>
    <s v="Plato_12, Plato_15"/>
    <n v="63"/>
    <x v="82"/>
    <d v="2023-04-01T03:19:00"/>
    <d v="2023-04-01T06:07:00"/>
    <d v="1899-12-30T03:03:00"/>
    <x v="6"/>
    <x v="70"/>
    <x v="0"/>
  </r>
  <r>
    <n v="16"/>
    <x v="91"/>
    <n v="5"/>
    <d v="2023-04-01T01:59:00"/>
    <x v="84"/>
    <x v="4"/>
    <x v="1"/>
    <x v="2"/>
    <n v="33.630000000000003"/>
    <x v="1"/>
    <n v="96"/>
    <x v="6"/>
    <s v="Plato_11, Plato_12, Plato_7"/>
    <n v="72"/>
    <x v="83"/>
    <d v="2023-04-01T01:59:00"/>
    <d v="2023-04-01T05:26:00"/>
    <d v="1899-12-30T03:27:00"/>
    <x v="75"/>
    <x v="71"/>
    <x v="0"/>
  </r>
  <r>
    <n v="14"/>
    <x v="92"/>
    <n v="2"/>
    <d v="2023-04-01T01:46:00"/>
    <x v="61"/>
    <x v="2"/>
    <x v="2"/>
    <x v="2"/>
    <n v="19.22"/>
    <x v="2"/>
    <n v="97"/>
    <x v="8"/>
    <s v="Plato_10, Plato_3, Plato_18"/>
    <n v="77"/>
    <x v="75"/>
    <d v="2023-04-01T01:46:00"/>
    <d v="2023-04-01T03:03:00"/>
    <d v="1899-12-30T01:32:00"/>
    <x v="76"/>
    <x v="72"/>
    <x v="0"/>
  </r>
  <r>
    <n v="7"/>
    <x v="93"/>
    <n v="3"/>
    <d v="2023-04-01T01:01:00"/>
    <x v="85"/>
    <x v="3"/>
    <x v="0"/>
    <x v="2"/>
    <n v="17.149999999999999"/>
    <x v="2"/>
    <n v="98"/>
    <x v="6"/>
    <s v="Plato_3, Plato_9, Plato_12"/>
    <n v="68"/>
    <x v="84"/>
    <d v="2023-04-01T01:01:00"/>
    <d v="2023-04-01T03:22:00"/>
    <d v="1899-12-30T02:36:00"/>
    <x v="77"/>
    <x v="73"/>
    <x v="0"/>
  </r>
  <r>
    <n v="2"/>
    <x v="12"/>
    <n v="6"/>
    <d v="2023-04-01T02:22:00"/>
    <x v="41"/>
    <x v="2"/>
    <x v="0"/>
    <x v="2"/>
    <n v="33.549999999999997"/>
    <x v="2"/>
    <n v="99"/>
    <x v="9"/>
    <s v="Plato_2, Plato_17, Plato_12, Plato_9"/>
    <n v="56"/>
    <x v="85"/>
    <d v="2023-04-01T02:22:00"/>
    <d v="2023-04-01T06:18:00"/>
    <d v="1899-12-30T04:11:00"/>
    <x v="36"/>
    <x v="74"/>
    <x v="0"/>
  </r>
  <r>
    <n v="18"/>
    <x v="5"/>
    <n v="1"/>
    <d v="2023-04-01T03:32:00"/>
    <x v="86"/>
    <x v="1"/>
    <x v="0"/>
    <x v="2"/>
    <n v="15.15"/>
    <x v="0"/>
    <n v="100"/>
    <x v="3"/>
    <s v="Plato_7, Plato_5, Plato_1"/>
    <n v="68"/>
    <x v="86"/>
    <d v="2023-04-01T03:32:00"/>
    <d v="2023-04-01T06:45:00"/>
    <d v="1899-12-30T03:13:00"/>
    <x v="14"/>
    <x v="39"/>
    <x v="0"/>
  </r>
  <r>
    <n v="1"/>
    <x v="94"/>
    <n v="5"/>
    <d v="2023-04-01T00:14:00"/>
    <x v="87"/>
    <x v="4"/>
    <x v="0"/>
    <x v="2"/>
    <n v="15.09"/>
    <x v="1"/>
    <n v="101"/>
    <x v="5"/>
    <s v="Plato_17, Plato_1, Plato_5, Plato_8"/>
    <n v="55"/>
    <x v="87"/>
    <d v="2023-04-01T00:14:00"/>
    <d v="2023-04-01T02:15:00"/>
    <d v="1899-12-30T02:01:00"/>
    <x v="17"/>
    <x v="8"/>
    <x v="1"/>
  </r>
  <r>
    <n v="19"/>
    <x v="95"/>
    <n v="2"/>
    <d v="2023-04-01T01:33:00"/>
    <x v="51"/>
    <x v="0"/>
    <x v="0"/>
    <x v="2"/>
    <n v="12.65"/>
    <x v="0"/>
    <n v="102"/>
    <x v="5"/>
    <s v="Plato_16, Plato_9"/>
    <n v="72"/>
    <x v="88"/>
    <d v="2023-04-01T01:33:00"/>
    <d v="2023-04-01T04:14:00"/>
    <d v="1899-12-30T02:41:00"/>
    <x v="78"/>
    <x v="75"/>
    <x v="0"/>
  </r>
  <r>
    <n v="13"/>
    <x v="96"/>
    <n v="3"/>
    <d v="2023-04-01T01:42:00"/>
    <x v="62"/>
    <x v="4"/>
    <x v="0"/>
    <x v="0"/>
    <n v="26.75"/>
    <x v="0"/>
    <n v="103"/>
    <x v="2"/>
    <s v="Plato_13, Plato_18, Plato_4"/>
    <n v="30"/>
    <x v="47"/>
    <d v="2023-04-01T01:42:00"/>
    <d v="2023-04-01T05:10:00"/>
    <d v="1899-12-30T03:28:00"/>
    <x v="79"/>
    <x v="76"/>
    <x v="0"/>
  </r>
  <r>
    <n v="14"/>
    <x v="97"/>
    <n v="4"/>
    <d v="2023-04-01T01:28:00"/>
    <x v="88"/>
    <x v="0"/>
    <x v="1"/>
    <x v="0"/>
    <n v="11.12"/>
    <x v="0"/>
    <n v="104"/>
    <x v="7"/>
    <s v="Plato_14, Plato_17"/>
    <n v="30"/>
    <x v="1"/>
    <d v="2023-04-01T01:28:00"/>
    <d v="2023-04-01T02:44:00"/>
    <d v="1899-12-30T01:16:00"/>
    <x v="7"/>
    <x v="77"/>
    <x v="0"/>
  </r>
  <r>
    <n v="14"/>
    <x v="98"/>
    <n v="6"/>
    <d v="2023-04-01T01:18:00"/>
    <x v="89"/>
    <x v="0"/>
    <x v="0"/>
    <x v="2"/>
    <n v="15.64"/>
    <x v="1"/>
    <n v="105"/>
    <x v="2"/>
    <s v="Plato_3, Plato_6"/>
    <n v="57"/>
    <x v="89"/>
    <d v="2023-04-01T01:18:00"/>
    <d v="2023-04-01T04:00:00"/>
    <d v="1899-12-30T02:42:00"/>
    <x v="49"/>
    <x v="6"/>
    <x v="0"/>
  </r>
  <r>
    <s v="15"/>
    <x v="99"/>
    <n v="3"/>
    <d v="2023-04-01T02:00:00"/>
    <x v="72"/>
    <x v="4"/>
    <x v="1"/>
    <x v="1"/>
    <n v="22.72"/>
    <x v="1"/>
    <n v="106"/>
    <x v="7"/>
    <s v="Plato_18"/>
    <n v="28"/>
    <x v="36"/>
    <d v="2023-04-01T02:00:00"/>
    <d v="2023-04-01T05:08:00"/>
    <d v="1899-12-30T03:08:00"/>
    <x v="9"/>
    <x v="78"/>
    <x v="0"/>
  </r>
  <r>
    <n v="11"/>
    <x v="100"/>
    <n v="5"/>
    <d v="2023-04-01T01:29:00"/>
    <x v="90"/>
    <x v="2"/>
    <x v="0"/>
    <x v="0"/>
    <n v="48.77"/>
    <x v="0"/>
    <n v="107"/>
    <x v="6"/>
    <s v="Plato_15, Plato_9, Plato_18"/>
    <n v="104"/>
    <x v="90"/>
    <d v="2023-04-01T01:29:00"/>
    <d v="2023-04-01T02:58:00"/>
    <d v="1899-12-30T01:29:00"/>
    <x v="80"/>
    <x v="8"/>
    <x v="1"/>
  </r>
  <r>
    <n v="3"/>
    <x v="101"/>
    <n v="3"/>
    <d v="2023-04-01T01:32:00"/>
    <x v="91"/>
    <x v="4"/>
    <x v="1"/>
    <x v="0"/>
    <n v="23.26"/>
    <x v="0"/>
    <n v="108"/>
    <x v="3"/>
    <s v="Plato_9, Plato_4, Plato_3, Plato_16"/>
    <n v="52"/>
    <x v="91"/>
    <d v="2023-04-01T01:32:00"/>
    <d v="2023-04-01T03:37:00"/>
    <d v="1899-12-30T02:05:00"/>
    <x v="81"/>
    <x v="79"/>
    <x v="0"/>
  </r>
  <r>
    <n v="10"/>
    <x v="102"/>
    <n v="2"/>
    <d v="2023-04-01T01:25:00"/>
    <x v="92"/>
    <x v="4"/>
    <x v="1"/>
    <x v="2"/>
    <n v="42.95"/>
    <x v="1"/>
    <n v="109"/>
    <x v="8"/>
    <s v="Plato_18, Plato_14, Plato_5"/>
    <n v="69"/>
    <x v="19"/>
    <d v="2023-04-01T01:25:00"/>
    <d v="2023-04-01T02:26:00"/>
    <d v="1899-12-30T01:01:00"/>
    <x v="82"/>
    <x v="8"/>
    <x v="1"/>
  </r>
  <r>
    <n v="5"/>
    <x v="103"/>
    <n v="1"/>
    <d v="2023-04-01T03:32:00"/>
    <x v="93"/>
    <x v="1"/>
    <x v="0"/>
    <x v="2"/>
    <n v="47.91"/>
    <x v="0"/>
    <n v="110"/>
    <x v="3"/>
    <s v="Plato_9, Plato_10, Plato_6"/>
    <n v="68"/>
    <x v="86"/>
    <d v="2023-04-01T03:32:00"/>
    <d v="2023-04-01T06:37:00"/>
    <d v="1899-12-30T03:05:00"/>
    <x v="83"/>
    <x v="80"/>
    <x v="0"/>
  </r>
  <r>
    <n v="3"/>
    <x v="104"/>
    <n v="2"/>
    <d v="2023-04-01T01:48:00"/>
    <x v="94"/>
    <x v="0"/>
    <x v="1"/>
    <x v="2"/>
    <n v="18.82"/>
    <x v="0"/>
    <n v="111"/>
    <x v="8"/>
    <s v="Plato_15, Plato_5, Plato_7, Plato_9"/>
    <n v="84"/>
    <x v="92"/>
    <d v="2023-04-01T01:48:00"/>
    <d v="2023-04-01T05:07:00"/>
    <d v="1899-12-30T03:19:00"/>
    <x v="84"/>
    <x v="81"/>
    <x v="0"/>
  </r>
  <r>
    <s v="6"/>
    <x v="105"/>
    <n v="2"/>
    <d v="2023-04-01T01:49:00"/>
    <x v="42"/>
    <x v="2"/>
    <x v="2"/>
    <x v="1"/>
    <n v="35.36"/>
    <x v="2"/>
    <n v="112"/>
    <x v="4"/>
    <s v="Plato_3"/>
    <n v="8"/>
    <x v="93"/>
    <d v="2023-04-01T01:49:00"/>
    <d v="2023-04-01T04:01:00"/>
    <d v="1899-12-30T02:27:00"/>
    <x v="85"/>
    <x v="71"/>
    <x v="0"/>
  </r>
  <r>
    <s v="4"/>
    <x v="106"/>
    <n v="2"/>
    <d v="2023-04-01T01:12:00"/>
    <x v="55"/>
    <x v="0"/>
    <x v="0"/>
    <x v="2"/>
    <n v="29.74"/>
    <x v="2"/>
    <n v="113"/>
    <x v="2"/>
    <s v="Plato_18"/>
    <n v="28"/>
    <x v="94"/>
    <d v="2023-04-01T01:12:00"/>
    <d v="2023-04-01T04:21:00"/>
    <d v="1899-12-30T03:24:00"/>
    <x v="62"/>
    <x v="82"/>
    <x v="0"/>
  </r>
  <r>
    <n v="7"/>
    <x v="107"/>
    <n v="6"/>
    <d v="2023-04-01T00:49:00"/>
    <x v="95"/>
    <x v="1"/>
    <x v="0"/>
    <x v="2"/>
    <n v="38.81"/>
    <x v="2"/>
    <n v="114"/>
    <x v="9"/>
    <s v="Plato_2, Plato_9, Plato_4, Plato_5"/>
    <n v="105"/>
    <x v="26"/>
    <d v="2023-04-01T00:49:00"/>
    <d v="2023-04-01T03:30:00"/>
    <d v="1899-12-30T02:56:00"/>
    <x v="55"/>
    <x v="83"/>
    <x v="0"/>
  </r>
  <r>
    <n v="12"/>
    <x v="94"/>
    <n v="6"/>
    <d v="2023-04-01T03:43:00"/>
    <x v="34"/>
    <x v="1"/>
    <x v="2"/>
    <x v="0"/>
    <n v="46.46"/>
    <x v="2"/>
    <n v="115"/>
    <x v="7"/>
    <s v="Plato_6, Plato_2, Plato_15"/>
    <n v="96"/>
    <x v="95"/>
    <d v="2023-04-01T03:43:00"/>
    <d v="2023-04-01T06:26:00"/>
    <d v="1899-12-30T02:58:00"/>
    <x v="33"/>
    <x v="84"/>
    <x v="0"/>
  </r>
  <r>
    <n v="8"/>
    <x v="108"/>
    <n v="5"/>
    <d v="2023-04-01T03:15:00"/>
    <x v="10"/>
    <x v="1"/>
    <x v="0"/>
    <x v="2"/>
    <n v="47.69"/>
    <x v="2"/>
    <n v="116"/>
    <x v="9"/>
    <s v="Plato_15, Plato_8, Plato_19, Plato_18"/>
    <n v="109"/>
    <x v="96"/>
    <d v="2023-04-01T03:15:00"/>
    <d v="2023-04-01T06:33:00"/>
    <d v="1899-12-30T03:33:00"/>
    <x v="74"/>
    <x v="85"/>
    <x v="0"/>
  </r>
  <r>
    <s v="8"/>
    <x v="109"/>
    <n v="4"/>
    <d v="2023-04-01T02:55:00"/>
    <x v="96"/>
    <x v="0"/>
    <x v="1"/>
    <x v="2"/>
    <n v="11.65"/>
    <x v="2"/>
    <n v="117"/>
    <x v="9"/>
    <s v="Plato_8"/>
    <n v="28"/>
    <x v="28"/>
    <d v="2023-04-01T02:55:00"/>
    <d v="2023-04-01T05:45:00"/>
    <d v="1899-12-30T03:05:00"/>
    <x v="69"/>
    <x v="41"/>
    <x v="0"/>
  </r>
  <r>
    <n v="13"/>
    <x v="110"/>
    <n v="1"/>
    <d v="2023-04-01T00:34:00"/>
    <x v="97"/>
    <x v="3"/>
    <x v="2"/>
    <x v="0"/>
    <n v="49.32"/>
    <x v="1"/>
    <n v="118"/>
    <x v="6"/>
    <s v="Plato_4, Plato_14, Plato_6, Plato_15"/>
    <n v="86"/>
    <x v="97"/>
    <d v="2023-04-01T00:34:00"/>
    <d v="2023-04-01T01:45:00"/>
    <d v="1899-12-30T01:11:00"/>
    <x v="86"/>
    <x v="8"/>
    <x v="1"/>
  </r>
  <r>
    <n v="17"/>
    <x v="111"/>
    <n v="3"/>
    <d v="2023-04-02T03:24:00"/>
    <x v="98"/>
    <x v="2"/>
    <x v="1"/>
    <x v="2"/>
    <n v="11.5"/>
    <x v="0"/>
    <n v="119"/>
    <x v="4"/>
    <s v="Plato_10, Plato_19, Plato_4"/>
    <n v="55"/>
    <x v="98"/>
    <d v="2023-04-02T03:24:00"/>
    <d v="2023-04-02T05:03:00"/>
    <d v="1899-12-30T01:39:00"/>
    <x v="59"/>
    <x v="83"/>
    <x v="0"/>
  </r>
  <r>
    <n v="4"/>
    <x v="112"/>
    <n v="2"/>
    <d v="2023-04-02T00:38:00"/>
    <x v="99"/>
    <x v="1"/>
    <x v="0"/>
    <x v="1"/>
    <n v="12.51"/>
    <x v="0"/>
    <n v="120"/>
    <x v="7"/>
    <s v="Plato_17, Plato_10"/>
    <n v="58"/>
    <x v="99"/>
    <d v="2023-04-02T00:38:00"/>
    <d v="2023-04-02T01:42:00"/>
    <d v="1899-12-30T01:04:00"/>
    <x v="63"/>
    <x v="8"/>
    <x v="1"/>
  </r>
  <r>
    <s v="5"/>
    <x v="113"/>
    <n v="4"/>
    <d v="2023-04-02T03:45:00"/>
    <x v="100"/>
    <x v="4"/>
    <x v="0"/>
    <x v="2"/>
    <n v="1.23"/>
    <x v="0"/>
    <n v="121"/>
    <x v="3"/>
    <s v="Plato_10"/>
    <n v="22"/>
    <x v="100"/>
    <d v="2023-04-02T03:45:00"/>
    <d v="2023-04-02T06:13:00"/>
    <d v="1899-12-30T02:28:00"/>
    <x v="15"/>
    <x v="86"/>
    <x v="0"/>
  </r>
  <r>
    <s v="6"/>
    <x v="114"/>
    <n v="6"/>
    <d v="2023-04-02T01:23:00"/>
    <x v="101"/>
    <x v="1"/>
    <x v="0"/>
    <x v="0"/>
    <n v="20.38"/>
    <x v="2"/>
    <n v="122"/>
    <x v="1"/>
    <s v="Plato_8"/>
    <n v="42"/>
    <x v="101"/>
    <d v="2023-04-02T01:23:00"/>
    <d v="2023-04-02T02:48:00"/>
    <d v="1899-12-30T01:40:00"/>
    <x v="87"/>
    <x v="68"/>
    <x v="0"/>
  </r>
  <r>
    <s v="16"/>
    <x v="115"/>
    <n v="6"/>
    <d v="2023-04-02T03:09:00"/>
    <x v="102"/>
    <x v="4"/>
    <x v="0"/>
    <x v="0"/>
    <n v="46.88"/>
    <x v="0"/>
    <n v="123"/>
    <x v="10"/>
    <s v="Plato_7"/>
    <n v="10"/>
    <x v="102"/>
    <d v="2023-04-02T03:09:00"/>
    <d v="2023-04-02T04:10:00"/>
    <d v="1899-12-30T01:01:00"/>
    <x v="88"/>
    <x v="18"/>
    <x v="0"/>
  </r>
  <r>
    <n v="16"/>
    <x v="116"/>
    <n v="5"/>
    <d v="2023-04-02T03:39:00"/>
    <x v="103"/>
    <x v="0"/>
    <x v="0"/>
    <x v="0"/>
    <n v="10.85"/>
    <x v="1"/>
    <n v="124"/>
    <x v="0"/>
    <s v="Plato_3, Plato_1, Plato_11, Plato_9"/>
    <n v="89"/>
    <x v="103"/>
    <d v="2023-04-02T03:39:00"/>
    <d v="2023-04-02T05:22:00"/>
    <d v="1899-12-30T01:43:00"/>
    <x v="89"/>
    <x v="8"/>
    <x v="1"/>
  </r>
  <r>
    <n v="14"/>
    <x v="117"/>
    <n v="2"/>
    <d v="2023-04-02T02:56:00"/>
    <x v="100"/>
    <x v="0"/>
    <x v="0"/>
    <x v="2"/>
    <n v="24.66"/>
    <x v="1"/>
    <n v="125"/>
    <x v="6"/>
    <s v="Plato_16, Plato_18, Plato_3"/>
    <n v="76"/>
    <x v="104"/>
    <d v="2023-04-02T02:56:00"/>
    <d v="2023-04-02T06:13:00"/>
    <d v="1899-12-30T03:17:00"/>
    <x v="90"/>
    <x v="87"/>
    <x v="0"/>
  </r>
  <r>
    <n v="18"/>
    <x v="118"/>
    <n v="3"/>
    <d v="2023-04-02T02:45:00"/>
    <x v="104"/>
    <x v="1"/>
    <x v="0"/>
    <x v="2"/>
    <n v="41.82"/>
    <x v="1"/>
    <n v="126"/>
    <x v="4"/>
    <s v="Plato_16, Plato_8, Plato_7, Plato_2"/>
    <n v="68"/>
    <x v="105"/>
    <d v="2023-04-02T02:45:00"/>
    <d v="2023-04-02T05:12:00"/>
    <d v="1899-12-30T02:27:00"/>
    <x v="91"/>
    <x v="42"/>
    <x v="0"/>
  </r>
  <r>
    <s v="6"/>
    <x v="119"/>
    <n v="4"/>
    <d v="2023-04-02T00:42:00"/>
    <x v="105"/>
    <x v="4"/>
    <x v="0"/>
    <x v="2"/>
    <n v="32.82"/>
    <x v="1"/>
    <n v="127"/>
    <x v="10"/>
    <s v="Plato_19"/>
    <n v="28"/>
    <x v="106"/>
    <d v="2023-04-02T00:42:00"/>
    <d v="2023-04-02T02:28:00"/>
    <d v="1899-12-30T01:46:00"/>
    <x v="52"/>
    <x v="88"/>
    <x v="0"/>
  </r>
  <r>
    <n v="2"/>
    <x v="120"/>
    <n v="5"/>
    <d v="2023-04-02T01:31:00"/>
    <x v="106"/>
    <x v="2"/>
    <x v="0"/>
    <x v="1"/>
    <n v="49.36"/>
    <x v="2"/>
    <n v="128"/>
    <x v="7"/>
    <s v="Plato_1, Plato_4, Plato_7, Plato_17"/>
    <n v="98"/>
    <x v="107"/>
    <d v="2023-04-02T01:31:00"/>
    <d v="2023-04-02T03:28:00"/>
    <d v="1899-12-30T02:12:00"/>
    <x v="92"/>
    <x v="8"/>
    <x v="1"/>
  </r>
  <r>
    <n v="16"/>
    <x v="121"/>
    <n v="5"/>
    <d v="2023-04-02T00:41:00"/>
    <x v="107"/>
    <x v="2"/>
    <x v="0"/>
    <x v="2"/>
    <n v="49.3"/>
    <x v="0"/>
    <n v="129"/>
    <x v="4"/>
    <s v="Plato_12, Plato_3, Plato_9"/>
    <n v="44"/>
    <x v="108"/>
    <d v="2023-04-02T00:41:00"/>
    <d v="2023-04-02T02:41:00"/>
    <d v="1899-12-30T02:00:00"/>
    <x v="93"/>
    <x v="14"/>
    <x v="0"/>
  </r>
  <r>
    <s v="10"/>
    <x v="122"/>
    <n v="4"/>
    <d v="2023-04-02T00:26:00"/>
    <x v="108"/>
    <x v="2"/>
    <x v="0"/>
    <x v="2"/>
    <n v="38.130000000000003"/>
    <x v="1"/>
    <n v="130"/>
    <x v="1"/>
    <s v="Plato_8"/>
    <n v="14"/>
    <x v="109"/>
    <d v="2023-04-02T00:26:00"/>
    <d v="2023-04-02T01:32:00"/>
    <d v="1899-12-30T01:06:00"/>
    <x v="94"/>
    <x v="89"/>
    <x v="0"/>
  </r>
  <r>
    <n v="7"/>
    <x v="14"/>
    <n v="5"/>
    <d v="2023-04-02T00:43:00"/>
    <x v="109"/>
    <x v="4"/>
    <x v="0"/>
    <x v="2"/>
    <n v="42.41"/>
    <x v="2"/>
    <n v="131"/>
    <x v="8"/>
    <s v="Plato_20, Plato_4, Plato_13"/>
    <n v="63"/>
    <x v="110"/>
    <d v="2023-04-02T00:43:00"/>
    <d v="2023-04-02T04:18:00"/>
    <d v="1899-12-30T03:50:00"/>
    <x v="95"/>
    <x v="86"/>
    <x v="0"/>
  </r>
  <r>
    <n v="9"/>
    <x v="123"/>
    <n v="2"/>
    <d v="2023-04-02T01:26:00"/>
    <x v="110"/>
    <x v="0"/>
    <x v="2"/>
    <x v="0"/>
    <n v="30.96"/>
    <x v="0"/>
    <n v="132"/>
    <x v="6"/>
    <s v="Plato_14, Plato_19, Plato_13, Plato_8"/>
    <n v="81"/>
    <x v="111"/>
    <d v="2023-04-02T01:26:00"/>
    <d v="2023-04-02T02:43:00"/>
    <d v="1899-12-30T01:17:00"/>
    <x v="96"/>
    <x v="8"/>
    <x v="1"/>
  </r>
  <r>
    <n v="20"/>
    <x v="124"/>
    <n v="6"/>
    <d v="2023-04-02T00:54:00"/>
    <x v="111"/>
    <x v="2"/>
    <x v="0"/>
    <x v="2"/>
    <n v="39.74"/>
    <x v="2"/>
    <n v="133"/>
    <x v="9"/>
    <s v="Plato_15, Plato_18, Plato_17, Plato_4"/>
    <n v="75"/>
    <x v="112"/>
    <d v="2023-04-02T00:54:00"/>
    <d v="2023-04-02T03:52:00"/>
    <d v="1899-12-30T03:13:00"/>
    <x v="97"/>
    <x v="90"/>
    <x v="0"/>
  </r>
  <r>
    <n v="3"/>
    <x v="125"/>
    <n v="6"/>
    <d v="2023-04-02T00:07:00"/>
    <x v="111"/>
    <x v="1"/>
    <x v="2"/>
    <x v="2"/>
    <n v="30.1"/>
    <x v="1"/>
    <n v="134"/>
    <x v="7"/>
    <s v="Plato_7, Plato_15"/>
    <n v="49"/>
    <x v="113"/>
    <d v="2023-04-02T00:07:00"/>
    <d v="2023-04-02T03:52:00"/>
    <d v="1899-12-30T03:45:00"/>
    <x v="48"/>
    <x v="41"/>
    <x v="0"/>
  </r>
  <r>
    <n v="11"/>
    <x v="126"/>
    <n v="1"/>
    <d v="2023-04-02T01:00:00"/>
    <x v="112"/>
    <x v="3"/>
    <x v="2"/>
    <x v="2"/>
    <n v="34.700000000000003"/>
    <x v="2"/>
    <n v="135"/>
    <x v="2"/>
    <s v="Plato_17, Plato_20, Plato_9"/>
    <n v="102"/>
    <x v="114"/>
    <d v="2023-04-02T01:00:00"/>
    <d v="2023-04-02T03:01:00"/>
    <d v="1899-12-30T02:16:00"/>
    <x v="98"/>
    <x v="3"/>
    <x v="0"/>
  </r>
  <r>
    <s v="6"/>
    <x v="127"/>
    <n v="1"/>
    <d v="2023-04-02T01:50:00"/>
    <x v="113"/>
    <x v="1"/>
    <x v="0"/>
    <x v="2"/>
    <n v="30.25"/>
    <x v="2"/>
    <n v="136"/>
    <x v="6"/>
    <s v="Plato_20"/>
    <n v="30"/>
    <x v="115"/>
    <d v="2023-04-02T01:50:00"/>
    <d v="2023-04-02T05:01:00"/>
    <d v="1899-12-30T03:26:00"/>
    <x v="99"/>
    <x v="91"/>
    <x v="0"/>
  </r>
  <r>
    <s v="13"/>
    <x v="128"/>
    <n v="3"/>
    <d v="2023-04-02T01:21:00"/>
    <x v="114"/>
    <x v="4"/>
    <x v="1"/>
    <x v="2"/>
    <n v="1.24"/>
    <x v="2"/>
    <n v="137"/>
    <x v="1"/>
    <s v="Plato_13"/>
    <n v="24"/>
    <x v="116"/>
    <d v="2023-04-02T01:21:00"/>
    <d v="2023-04-02T04:11:00"/>
    <d v="1899-12-30T03:05:00"/>
    <x v="6"/>
    <x v="40"/>
    <x v="0"/>
  </r>
  <r>
    <n v="6"/>
    <x v="129"/>
    <n v="2"/>
    <d v="2023-04-02T03:48:00"/>
    <x v="115"/>
    <x v="2"/>
    <x v="1"/>
    <x v="0"/>
    <n v="32.79"/>
    <x v="2"/>
    <n v="138"/>
    <x v="5"/>
    <s v="Plato_17, Plato_12, Plato_10, Plato_2"/>
    <n v="97"/>
    <x v="117"/>
    <d v="2023-04-02T03:48:00"/>
    <d v="2023-04-02T05:09:00"/>
    <d v="1899-12-30T01:36:00"/>
    <x v="63"/>
    <x v="8"/>
    <x v="1"/>
  </r>
  <r>
    <s v="16"/>
    <x v="130"/>
    <n v="3"/>
    <d v="2023-04-02T00:40:00"/>
    <x v="116"/>
    <x v="2"/>
    <x v="0"/>
    <x v="2"/>
    <n v="4.72"/>
    <x v="1"/>
    <n v="139"/>
    <x v="9"/>
    <s v="Plato_8"/>
    <n v="14"/>
    <x v="118"/>
    <d v="2023-04-02T00:40:00"/>
    <d v="2023-04-02T04:39:00"/>
    <d v="1899-12-30T03:59:00"/>
    <x v="100"/>
    <x v="92"/>
    <x v="0"/>
  </r>
  <r>
    <n v="11"/>
    <x v="131"/>
    <n v="4"/>
    <d v="2023-04-02T03:49:00"/>
    <x v="117"/>
    <x v="2"/>
    <x v="0"/>
    <x v="1"/>
    <n v="32.130000000000003"/>
    <x v="1"/>
    <n v="140"/>
    <x v="3"/>
    <s v="Plato_1, Plato_8, Plato_4"/>
    <n v="78"/>
    <x v="119"/>
    <d v="2023-04-02T03:49:00"/>
    <d v="2023-04-02T06:29:00"/>
    <d v="1899-12-30T02:40:00"/>
    <x v="82"/>
    <x v="93"/>
    <x v="0"/>
  </r>
  <r>
    <s v="4"/>
    <x v="132"/>
    <n v="4"/>
    <d v="2023-04-02T01:58:00"/>
    <x v="118"/>
    <x v="0"/>
    <x v="1"/>
    <x v="2"/>
    <n v="41.56"/>
    <x v="0"/>
    <n v="141"/>
    <x v="8"/>
    <s v="Plato_13"/>
    <n v="8"/>
    <x v="120"/>
    <d v="2023-04-02T01:58:00"/>
    <d v="2023-04-02T05:45:00"/>
    <d v="1899-12-30T03:47:00"/>
    <x v="101"/>
    <x v="94"/>
    <x v="0"/>
  </r>
  <r>
    <n v="14"/>
    <x v="133"/>
    <n v="3"/>
    <d v="2023-04-02T02:05:00"/>
    <x v="119"/>
    <x v="4"/>
    <x v="0"/>
    <x v="2"/>
    <n v="16.29"/>
    <x v="2"/>
    <n v="142"/>
    <x v="10"/>
    <s v="Plato_7, Plato_14, Plato_20"/>
    <n v="72"/>
    <x v="121"/>
    <d v="2023-04-02T02:05:00"/>
    <d v="2023-04-02T04:05:00"/>
    <d v="1899-12-30T02:15:00"/>
    <x v="19"/>
    <x v="95"/>
    <x v="0"/>
  </r>
  <r>
    <s v="9"/>
    <x v="134"/>
    <n v="4"/>
    <d v="2023-04-02T00:32:00"/>
    <x v="120"/>
    <x v="4"/>
    <x v="0"/>
    <x v="1"/>
    <n v="48.26"/>
    <x v="1"/>
    <n v="143"/>
    <x v="4"/>
    <s v="Plato_1"/>
    <n v="20"/>
    <x v="122"/>
    <d v="2023-04-02T00:32:00"/>
    <d v="2023-04-02T04:30:00"/>
    <d v="1899-12-30T03:58:00"/>
    <x v="85"/>
    <x v="96"/>
    <x v="0"/>
  </r>
  <r>
    <n v="18"/>
    <x v="135"/>
    <n v="1"/>
    <d v="2023-04-02T02:58:00"/>
    <x v="121"/>
    <x v="4"/>
    <x v="2"/>
    <x v="2"/>
    <n v="11.22"/>
    <x v="2"/>
    <n v="144"/>
    <x v="4"/>
    <s v="Plato_19, Plato_12, Plato_9, Plato_18"/>
    <n v="76"/>
    <x v="123"/>
    <d v="2023-04-02T02:58:00"/>
    <d v="2023-04-02T05:32:00"/>
    <d v="1899-12-30T02:49:00"/>
    <x v="102"/>
    <x v="97"/>
    <x v="0"/>
  </r>
  <r>
    <n v="2"/>
    <x v="136"/>
    <n v="5"/>
    <d v="2023-04-02T00:37:00"/>
    <x v="99"/>
    <x v="2"/>
    <x v="2"/>
    <x v="2"/>
    <n v="11.32"/>
    <x v="2"/>
    <n v="145"/>
    <x v="5"/>
    <s v="Plato_5, Plato_2"/>
    <n v="51"/>
    <x v="124"/>
    <d v="2023-04-02T00:37:00"/>
    <d v="2023-04-02T01:42:00"/>
    <d v="1899-12-30T01:20:00"/>
    <x v="103"/>
    <x v="8"/>
    <x v="1"/>
  </r>
  <r>
    <s v="8"/>
    <x v="137"/>
    <n v="6"/>
    <d v="2023-04-02T01:40:00"/>
    <x v="122"/>
    <x v="0"/>
    <x v="0"/>
    <x v="2"/>
    <n v="3.84"/>
    <x v="0"/>
    <n v="146"/>
    <x v="3"/>
    <s v="Plato_17"/>
    <n v="24"/>
    <x v="125"/>
    <d v="2023-04-02T01:40:00"/>
    <d v="2023-04-02T02:54:00"/>
    <d v="1899-12-30T01:14:00"/>
    <x v="32"/>
    <x v="98"/>
    <x v="0"/>
  </r>
  <r>
    <n v="5"/>
    <x v="138"/>
    <n v="4"/>
    <d v="2023-04-02T03:18:00"/>
    <x v="123"/>
    <x v="0"/>
    <x v="1"/>
    <x v="2"/>
    <n v="27.14"/>
    <x v="0"/>
    <n v="147"/>
    <x v="1"/>
    <s v="Plato_20, Plato_5"/>
    <n v="33"/>
    <x v="126"/>
    <d v="2023-04-02T03:18:00"/>
    <d v="2023-04-02T04:58:00"/>
    <d v="1899-12-30T01:40:00"/>
    <x v="88"/>
    <x v="69"/>
    <x v="0"/>
  </r>
  <r>
    <n v="10"/>
    <x v="139"/>
    <n v="6"/>
    <d v="2023-04-02T03:52:00"/>
    <x v="124"/>
    <x v="0"/>
    <x v="0"/>
    <x v="0"/>
    <n v="46.26"/>
    <x v="2"/>
    <n v="148"/>
    <x v="1"/>
    <s v="Plato_9, Plato_18, Plato_3, Plato_10"/>
    <n v="87"/>
    <x v="127"/>
    <d v="2023-04-02T03:52:00"/>
    <d v="2023-04-02T05:59:00"/>
    <d v="1899-12-30T02:22:00"/>
    <x v="50"/>
    <x v="8"/>
    <x v="1"/>
  </r>
  <r>
    <n v="18"/>
    <x v="140"/>
    <n v="4"/>
    <d v="2023-04-02T01:35:00"/>
    <x v="125"/>
    <x v="3"/>
    <x v="1"/>
    <x v="2"/>
    <n v="15.92"/>
    <x v="2"/>
    <n v="149"/>
    <x v="2"/>
    <s v="Plato_18, Plato_2, Plato_4, Plato_9"/>
    <n v="94"/>
    <x v="128"/>
    <d v="2023-04-02T01:35:00"/>
    <d v="2023-04-02T04:50:00"/>
    <d v="1899-12-30T03:30:00"/>
    <x v="91"/>
    <x v="99"/>
    <x v="0"/>
  </r>
  <r>
    <n v="18"/>
    <x v="141"/>
    <n v="6"/>
    <d v="2023-04-02T00:37:00"/>
    <x v="126"/>
    <x v="1"/>
    <x v="0"/>
    <x v="0"/>
    <n v="48.43"/>
    <x v="1"/>
    <n v="150"/>
    <x v="10"/>
    <s v="Plato_5, Plato_11, Plato_3"/>
    <n v="60"/>
    <x v="124"/>
    <d v="2023-04-02T00:37:00"/>
    <d v="2023-04-02T03:10:00"/>
    <d v="1899-12-30T02:33:00"/>
    <x v="103"/>
    <x v="32"/>
    <x v="0"/>
  </r>
  <r>
    <n v="6"/>
    <x v="142"/>
    <n v="2"/>
    <d v="2023-04-02T03:15:00"/>
    <x v="127"/>
    <x v="4"/>
    <x v="2"/>
    <x v="2"/>
    <n v="41.51"/>
    <x v="2"/>
    <n v="151"/>
    <x v="8"/>
    <s v="Plato_14, Plato_13"/>
    <n v="51"/>
    <x v="129"/>
    <d v="2023-04-02T03:15:00"/>
    <d v="2023-04-02T06:53:00"/>
    <d v="1899-12-30T03:53:00"/>
    <x v="65"/>
    <x v="100"/>
    <x v="0"/>
  </r>
  <r>
    <s v="5"/>
    <x v="143"/>
    <n v="6"/>
    <d v="2023-04-02T01:14:00"/>
    <x v="128"/>
    <x v="4"/>
    <x v="0"/>
    <x v="0"/>
    <n v="25.57"/>
    <x v="0"/>
    <n v="152"/>
    <x v="8"/>
    <s v="Plato_16"/>
    <n v="24"/>
    <x v="130"/>
    <d v="2023-04-02T01:14:00"/>
    <d v="2023-04-02T02:52:00"/>
    <d v="1899-12-30T01:38:00"/>
    <x v="104"/>
    <x v="90"/>
    <x v="0"/>
  </r>
  <r>
    <n v="10"/>
    <x v="40"/>
    <n v="1"/>
    <d v="2023-04-02T03:06:00"/>
    <x v="129"/>
    <x v="2"/>
    <x v="1"/>
    <x v="0"/>
    <n v="42.84"/>
    <x v="2"/>
    <n v="153"/>
    <x v="3"/>
    <s v="Plato_11, Plato_7, Plato_20"/>
    <n v="79"/>
    <x v="131"/>
    <d v="2023-04-02T03:06:00"/>
    <d v="2023-04-02T05:26:00"/>
    <d v="1899-12-30T02:35:00"/>
    <x v="35"/>
    <x v="101"/>
    <x v="0"/>
  </r>
  <r>
    <n v="11"/>
    <x v="144"/>
    <n v="6"/>
    <d v="2023-04-02T02:09:00"/>
    <x v="130"/>
    <x v="1"/>
    <x v="1"/>
    <x v="2"/>
    <n v="17.2"/>
    <x v="1"/>
    <n v="154"/>
    <x v="8"/>
    <s v="Plato_19, Plato_4"/>
    <n v="58"/>
    <x v="132"/>
    <d v="2023-04-02T02:09:00"/>
    <d v="2023-04-02T03:36:00"/>
    <d v="1899-12-30T01:27:00"/>
    <x v="53"/>
    <x v="102"/>
    <x v="0"/>
  </r>
  <r>
    <n v="7"/>
    <x v="145"/>
    <n v="2"/>
    <d v="2023-04-02T01:53:00"/>
    <x v="131"/>
    <x v="3"/>
    <x v="0"/>
    <x v="2"/>
    <n v="25.72"/>
    <x v="0"/>
    <n v="155"/>
    <x v="5"/>
    <s v="Plato_6, Plato_17, Plato_3"/>
    <n v="54"/>
    <x v="133"/>
    <d v="2023-04-02T01:53:00"/>
    <d v="2023-04-02T04:44:00"/>
    <d v="1899-12-30T02:51:00"/>
    <x v="61"/>
    <x v="99"/>
    <x v="0"/>
  </r>
  <r>
    <s v="6"/>
    <x v="146"/>
    <n v="4"/>
    <d v="2023-04-02T00:40:00"/>
    <x v="132"/>
    <x v="0"/>
    <x v="2"/>
    <x v="2"/>
    <n v="19.03"/>
    <x v="1"/>
    <n v="156"/>
    <x v="0"/>
    <s v="Plato_16"/>
    <n v="24"/>
    <x v="118"/>
    <d v="2023-04-02T00:40:00"/>
    <d v="2023-04-02T04:17:00"/>
    <d v="1899-12-30T03:37:00"/>
    <x v="105"/>
    <x v="103"/>
    <x v="0"/>
  </r>
  <r>
    <n v="13"/>
    <x v="147"/>
    <n v="5"/>
    <d v="2023-04-02T03:22:00"/>
    <x v="133"/>
    <x v="0"/>
    <x v="1"/>
    <x v="2"/>
    <n v="28.48"/>
    <x v="2"/>
    <n v="157"/>
    <x v="4"/>
    <s v="Plato_1, Plato_16, Plato_2, Plato_19"/>
    <n v="108"/>
    <x v="134"/>
    <d v="2023-04-02T03:22:00"/>
    <d v="2023-04-02T06:15:00"/>
    <d v="1899-12-30T03:08:00"/>
    <x v="102"/>
    <x v="104"/>
    <x v="0"/>
  </r>
  <r>
    <n v="5"/>
    <x v="148"/>
    <n v="5"/>
    <d v="2023-04-02T02:45:00"/>
    <x v="134"/>
    <x v="0"/>
    <x v="0"/>
    <x v="2"/>
    <n v="48.75"/>
    <x v="1"/>
    <n v="158"/>
    <x v="9"/>
    <s v="Plato_12, Plato_10, Plato_19, Plato_8"/>
    <n v="125"/>
    <x v="105"/>
    <d v="2023-04-02T02:45:00"/>
    <d v="2023-04-02T03:59:00"/>
    <d v="1899-12-30T01:14:00"/>
    <x v="106"/>
    <x v="8"/>
    <x v="1"/>
  </r>
  <r>
    <n v="16"/>
    <x v="149"/>
    <n v="1"/>
    <d v="2023-04-02T00:10:00"/>
    <x v="135"/>
    <x v="0"/>
    <x v="1"/>
    <x v="2"/>
    <n v="47.81"/>
    <x v="2"/>
    <n v="159"/>
    <x v="2"/>
    <s v="Plato_9, Plato_17, Plato_4, Plato_11"/>
    <n v="103"/>
    <x v="135"/>
    <d v="2023-04-02T00:10:00"/>
    <d v="2023-04-02T01:15:00"/>
    <d v="1899-12-30T01:20:00"/>
    <x v="107"/>
    <x v="15"/>
    <x v="0"/>
  </r>
  <r>
    <n v="19"/>
    <x v="150"/>
    <n v="6"/>
    <d v="2023-04-02T01:06:00"/>
    <x v="136"/>
    <x v="2"/>
    <x v="0"/>
    <x v="2"/>
    <n v="26.02"/>
    <x v="0"/>
    <n v="160"/>
    <x v="1"/>
    <s v="Plato_19, Plato_7"/>
    <n v="62"/>
    <x v="136"/>
    <d v="2023-04-02T01:06:00"/>
    <d v="2023-04-02T04:33:00"/>
    <d v="1899-12-30T03:27:00"/>
    <x v="64"/>
    <x v="105"/>
    <x v="0"/>
  </r>
  <r>
    <s v="13"/>
    <x v="151"/>
    <n v="6"/>
    <d v="2023-04-02T00:45:00"/>
    <x v="137"/>
    <x v="2"/>
    <x v="0"/>
    <x v="2"/>
    <n v="18.86"/>
    <x v="0"/>
    <n v="161"/>
    <x v="3"/>
    <s v="Plato_16"/>
    <n v="36"/>
    <x v="137"/>
    <d v="2023-04-02T00:45:00"/>
    <d v="2023-04-02T04:23:00"/>
    <d v="1899-12-30T03:38:00"/>
    <x v="0"/>
    <x v="106"/>
    <x v="0"/>
  </r>
  <r>
    <s v="14"/>
    <x v="152"/>
    <n v="4"/>
    <d v="2023-04-02T00:57:00"/>
    <x v="138"/>
    <x v="1"/>
    <x v="0"/>
    <x v="2"/>
    <n v="17.55"/>
    <x v="0"/>
    <n v="162"/>
    <x v="3"/>
    <s v="Plato_7"/>
    <n v="30"/>
    <x v="138"/>
    <d v="2023-04-02T00:57:00"/>
    <d v="2023-04-02T02:34:00"/>
    <d v="1899-12-30T01:37:00"/>
    <x v="94"/>
    <x v="107"/>
    <x v="0"/>
  </r>
  <r>
    <n v="6"/>
    <x v="153"/>
    <n v="1"/>
    <d v="2023-04-02T01:35:00"/>
    <x v="139"/>
    <x v="3"/>
    <x v="0"/>
    <x v="2"/>
    <n v="14.94"/>
    <x v="2"/>
    <n v="163"/>
    <x v="9"/>
    <s v="Plato_17, Plato_2, Plato_11, Plato_5"/>
    <n v="107"/>
    <x v="128"/>
    <d v="2023-04-02T01:35:00"/>
    <d v="2023-04-02T04:09:00"/>
    <d v="1899-12-30T02:49:00"/>
    <x v="26"/>
    <x v="21"/>
    <x v="0"/>
  </r>
  <r>
    <n v="8"/>
    <x v="154"/>
    <n v="2"/>
    <d v="2023-04-02T02:34:00"/>
    <x v="140"/>
    <x v="4"/>
    <x v="2"/>
    <x v="2"/>
    <n v="47.53"/>
    <x v="0"/>
    <n v="164"/>
    <x v="1"/>
    <s v="Plato_5, Plato_19, Plato_15, Plato_7"/>
    <n v="69"/>
    <x v="139"/>
    <d v="2023-04-02T02:34:00"/>
    <d v="2023-04-02T06:02:00"/>
    <d v="1899-12-30T03:28:00"/>
    <x v="28"/>
    <x v="7"/>
    <x v="0"/>
  </r>
  <r>
    <n v="10"/>
    <x v="155"/>
    <n v="3"/>
    <d v="2023-04-02T02:21:00"/>
    <x v="104"/>
    <x v="0"/>
    <x v="2"/>
    <x v="2"/>
    <n v="41.9"/>
    <x v="2"/>
    <n v="165"/>
    <x v="4"/>
    <s v="Plato_7, Plato_13"/>
    <n v="36"/>
    <x v="140"/>
    <d v="2023-04-02T02:21:00"/>
    <d v="2023-04-02T05:12:00"/>
    <d v="1899-12-30T03:06:00"/>
    <x v="10"/>
    <x v="16"/>
    <x v="0"/>
  </r>
  <r>
    <s v="12"/>
    <x v="156"/>
    <n v="1"/>
    <d v="2023-04-02T01:18:00"/>
    <x v="141"/>
    <x v="4"/>
    <x v="0"/>
    <x v="1"/>
    <n v="43.95"/>
    <x v="2"/>
    <n v="166"/>
    <x v="4"/>
    <s v="Plato_14"/>
    <n v="18"/>
    <x v="141"/>
    <d v="2023-04-02T01:18:00"/>
    <d v="2023-04-02T02:44:00"/>
    <d v="1899-12-30T01:41:00"/>
    <x v="108"/>
    <x v="108"/>
    <x v="0"/>
  </r>
  <r>
    <n v="5"/>
    <x v="157"/>
    <n v="6"/>
    <d v="2023-04-02T01:19:00"/>
    <x v="142"/>
    <x v="2"/>
    <x v="0"/>
    <x v="0"/>
    <n v="42.74"/>
    <x v="0"/>
    <n v="167"/>
    <x v="10"/>
    <s v="Plato_12, Plato_18, Plato_17"/>
    <n v="62"/>
    <x v="142"/>
    <d v="2023-04-02T01:19:00"/>
    <d v="2023-04-02T02:46:00"/>
    <d v="1899-12-30T01:27:00"/>
    <x v="75"/>
    <x v="43"/>
    <x v="0"/>
  </r>
  <r>
    <s v="17"/>
    <x v="158"/>
    <n v="4"/>
    <d v="2023-04-02T02:05:00"/>
    <x v="143"/>
    <x v="1"/>
    <x v="0"/>
    <x v="2"/>
    <n v="17.09"/>
    <x v="0"/>
    <n v="168"/>
    <x v="5"/>
    <s v="Plato_5"/>
    <n v="18"/>
    <x v="121"/>
    <d v="2023-04-02T02:05:00"/>
    <d v="2023-04-02T03:23:00"/>
    <d v="1899-12-30T01:18:00"/>
    <x v="109"/>
    <x v="99"/>
    <x v="0"/>
  </r>
  <r>
    <n v="19"/>
    <x v="159"/>
    <n v="1"/>
    <d v="2023-04-02T01:56:00"/>
    <x v="144"/>
    <x v="0"/>
    <x v="0"/>
    <x v="0"/>
    <n v="16.62"/>
    <x v="1"/>
    <n v="169"/>
    <x v="3"/>
    <s v="Plato_13, Plato_18, Plato_5"/>
    <n v="62"/>
    <x v="143"/>
    <d v="2023-04-02T01:56:00"/>
    <d v="2023-04-02T05:14:00"/>
    <d v="1899-12-30T03:18:00"/>
    <x v="110"/>
    <x v="109"/>
    <x v="0"/>
  </r>
  <r>
    <n v="12"/>
    <x v="160"/>
    <n v="2"/>
    <d v="2023-04-02T02:37:00"/>
    <x v="129"/>
    <x v="2"/>
    <x v="2"/>
    <x v="2"/>
    <n v="25.98"/>
    <x v="1"/>
    <n v="170"/>
    <x v="1"/>
    <s v="Plato_3, Plato_9, Plato_19, Plato_2"/>
    <n v="98"/>
    <x v="144"/>
    <d v="2023-04-02T02:37:00"/>
    <d v="2023-04-02T05:26:00"/>
    <d v="1899-12-30T02:49:00"/>
    <x v="47"/>
    <x v="110"/>
    <x v="0"/>
  </r>
  <r>
    <n v="16"/>
    <x v="161"/>
    <n v="6"/>
    <d v="2023-04-02T01:53:00"/>
    <x v="145"/>
    <x v="2"/>
    <x v="2"/>
    <x v="2"/>
    <n v="46.56"/>
    <x v="1"/>
    <n v="171"/>
    <x v="2"/>
    <s v="Plato_10, Plato_9"/>
    <n v="58"/>
    <x v="133"/>
    <d v="2023-04-02T01:53:00"/>
    <d v="2023-04-02T03:04:00"/>
    <d v="1899-12-30T01:11:00"/>
    <x v="62"/>
    <x v="111"/>
    <x v="0"/>
  </r>
  <r>
    <s v="12"/>
    <x v="162"/>
    <n v="3"/>
    <d v="2023-04-02T02:49:00"/>
    <x v="146"/>
    <x v="1"/>
    <x v="0"/>
    <x v="2"/>
    <n v="45.17"/>
    <x v="2"/>
    <n v="172"/>
    <x v="6"/>
    <s v="Plato_18"/>
    <n v="28"/>
    <x v="145"/>
    <d v="2023-04-02T02:49:00"/>
    <d v="2023-04-02T06:06:00"/>
    <d v="1899-12-30T03:32:00"/>
    <x v="111"/>
    <x v="112"/>
    <x v="0"/>
  </r>
  <r>
    <n v="11"/>
    <x v="163"/>
    <n v="3"/>
    <d v="2023-04-02T00:18:00"/>
    <x v="147"/>
    <x v="4"/>
    <x v="0"/>
    <x v="2"/>
    <n v="48.73"/>
    <x v="2"/>
    <n v="173"/>
    <x v="9"/>
    <s v="Plato_6, Plato_15"/>
    <n v="72"/>
    <x v="146"/>
    <d v="2023-04-02T00:18:00"/>
    <d v="2023-04-02T03:43:00"/>
    <d v="1899-12-30T03:40:00"/>
    <x v="64"/>
    <x v="82"/>
    <x v="0"/>
  </r>
  <r>
    <s v="10"/>
    <x v="164"/>
    <n v="5"/>
    <d v="2023-04-02T00:09:00"/>
    <x v="148"/>
    <x v="4"/>
    <x v="0"/>
    <x v="2"/>
    <n v="48.24"/>
    <x v="0"/>
    <n v="174"/>
    <x v="5"/>
    <s v="Plato_2"/>
    <n v="24"/>
    <x v="147"/>
    <d v="2023-04-02T00:09:00"/>
    <d v="2023-04-02T01:12:00"/>
    <d v="1899-12-30T01:03:00"/>
    <x v="104"/>
    <x v="113"/>
    <x v="0"/>
  </r>
  <r>
    <n v="14"/>
    <x v="81"/>
    <n v="3"/>
    <d v="2023-04-02T01:27:00"/>
    <x v="145"/>
    <x v="0"/>
    <x v="0"/>
    <x v="2"/>
    <n v="27.94"/>
    <x v="0"/>
    <n v="175"/>
    <x v="1"/>
    <s v="Plato_15, Plato_7"/>
    <n v="59"/>
    <x v="148"/>
    <d v="2023-04-02T01:27:00"/>
    <d v="2023-04-02T03:04:00"/>
    <d v="1899-12-30T01:37:00"/>
    <x v="32"/>
    <x v="59"/>
    <x v="0"/>
  </r>
  <r>
    <s v="20"/>
    <x v="165"/>
    <n v="4"/>
    <d v="2023-04-02T02:27:00"/>
    <x v="149"/>
    <x v="2"/>
    <x v="0"/>
    <x v="2"/>
    <n v="3.05"/>
    <x v="2"/>
    <n v="176"/>
    <x v="9"/>
    <s v="Plato_13"/>
    <n v="24"/>
    <x v="149"/>
    <d v="2023-04-02T02:27:00"/>
    <d v="2023-04-02T04:32:00"/>
    <d v="1899-12-30T02:20:00"/>
    <x v="48"/>
    <x v="114"/>
    <x v="0"/>
  </r>
  <r>
    <n v="4"/>
    <x v="166"/>
    <n v="1"/>
    <d v="2023-04-02T00:14:00"/>
    <x v="150"/>
    <x v="4"/>
    <x v="2"/>
    <x v="2"/>
    <n v="10.39"/>
    <x v="2"/>
    <n v="177"/>
    <x v="4"/>
    <s v="Plato_7, Plato_10, Plato_13, Plato_12"/>
    <n v="71"/>
    <x v="150"/>
    <d v="2023-04-02T00:14:00"/>
    <d v="2023-04-02T01:14:00"/>
    <d v="1899-12-30T01:15:00"/>
    <x v="68"/>
    <x v="8"/>
    <x v="1"/>
  </r>
  <r>
    <n v="11"/>
    <x v="167"/>
    <n v="6"/>
    <d v="2023-04-02T01:53:00"/>
    <x v="151"/>
    <x v="0"/>
    <x v="2"/>
    <x v="2"/>
    <n v="31.6"/>
    <x v="0"/>
    <n v="178"/>
    <x v="5"/>
    <s v="Plato_2, Plato_8, Plato_5, Plato_11"/>
    <n v="83"/>
    <x v="133"/>
    <d v="2023-04-02T01:53:00"/>
    <d v="2023-04-02T05:18:00"/>
    <d v="1899-12-30T03:25:00"/>
    <x v="8"/>
    <x v="36"/>
    <x v="0"/>
  </r>
  <r>
    <s v="12"/>
    <x v="168"/>
    <n v="2"/>
    <d v="2023-04-02T00:44:00"/>
    <x v="152"/>
    <x v="4"/>
    <x v="1"/>
    <x v="2"/>
    <n v="1.33"/>
    <x v="0"/>
    <n v="179"/>
    <x v="1"/>
    <s v="Plato_17"/>
    <n v="24"/>
    <x v="151"/>
    <d v="2023-04-02T00:44:00"/>
    <d v="2023-04-02T03:08:00"/>
    <d v="1899-12-30T02:24:00"/>
    <x v="100"/>
    <x v="62"/>
    <x v="0"/>
  </r>
  <r>
    <n v="10"/>
    <x v="169"/>
    <n v="1"/>
    <d v="2023-04-02T02:21:00"/>
    <x v="115"/>
    <x v="2"/>
    <x v="2"/>
    <x v="2"/>
    <n v="46.61"/>
    <x v="0"/>
    <n v="180"/>
    <x v="2"/>
    <s v="Plato_9, Plato_2, Plato_3, Plato_6"/>
    <n v="67"/>
    <x v="140"/>
    <d v="2023-04-02T02:21:00"/>
    <d v="2023-04-02T05:09:00"/>
    <d v="1899-12-30T02:48:00"/>
    <x v="112"/>
    <x v="12"/>
    <x v="0"/>
  </r>
  <r>
    <s v="15"/>
    <x v="170"/>
    <n v="1"/>
    <d v="2023-04-02T02:45:00"/>
    <x v="153"/>
    <x v="1"/>
    <x v="2"/>
    <x v="2"/>
    <n v="42.58"/>
    <x v="2"/>
    <n v="181"/>
    <x v="3"/>
    <s v="Plato_6"/>
    <n v="11"/>
    <x v="105"/>
    <d v="2023-04-02T02:45:00"/>
    <d v="2023-04-02T03:54:00"/>
    <d v="1899-12-30T01:24:00"/>
    <x v="7"/>
    <x v="115"/>
    <x v="0"/>
  </r>
  <r>
    <s v="18"/>
    <x v="171"/>
    <n v="2"/>
    <d v="2023-04-02T03:53:00"/>
    <x v="154"/>
    <x v="0"/>
    <x v="0"/>
    <x v="0"/>
    <n v="38.36"/>
    <x v="1"/>
    <n v="182"/>
    <x v="3"/>
    <s v="Plato_12"/>
    <n v="16"/>
    <x v="152"/>
    <d v="2023-04-02T03:53:00"/>
    <d v="2023-04-02T06:30:00"/>
    <d v="1899-12-30T02:37:00"/>
    <x v="5"/>
    <x v="116"/>
    <x v="0"/>
  </r>
  <r>
    <n v="18"/>
    <x v="172"/>
    <n v="1"/>
    <d v="2023-04-02T02:46:00"/>
    <x v="155"/>
    <x v="1"/>
    <x v="0"/>
    <x v="2"/>
    <n v="11.69"/>
    <x v="2"/>
    <n v="183"/>
    <x v="7"/>
    <s v="Plato_15, Plato_10, Plato_3, Plato_8"/>
    <n v="103"/>
    <x v="153"/>
    <d v="2023-04-02T02:46:00"/>
    <d v="2023-04-02T06:28:00"/>
    <d v="1899-12-30T03:57:00"/>
    <x v="113"/>
    <x v="99"/>
    <x v="0"/>
  </r>
  <r>
    <n v="4"/>
    <x v="173"/>
    <n v="6"/>
    <d v="2023-04-02T03:55:00"/>
    <x v="156"/>
    <x v="3"/>
    <x v="0"/>
    <x v="2"/>
    <n v="24.24"/>
    <x v="2"/>
    <n v="184"/>
    <x v="9"/>
    <s v="Plato_16, Plato_6, Plato_3"/>
    <n v="85"/>
    <x v="154"/>
    <d v="2023-04-02T03:55:00"/>
    <d v="2023-04-02T07:01:00"/>
    <d v="1899-12-30T03:21:00"/>
    <x v="9"/>
    <x v="117"/>
    <x v="0"/>
  </r>
  <r>
    <n v="16"/>
    <x v="137"/>
    <n v="2"/>
    <d v="2023-04-02T02:47:00"/>
    <x v="157"/>
    <x v="1"/>
    <x v="1"/>
    <x v="2"/>
    <n v="28.07"/>
    <x v="1"/>
    <n v="185"/>
    <x v="7"/>
    <s v="Plato_13, Plato_16"/>
    <n v="36"/>
    <x v="155"/>
    <d v="2023-04-02T02:47:00"/>
    <d v="2023-04-02T06:26:00"/>
    <d v="1899-12-30T03:39:00"/>
    <x v="3"/>
    <x v="118"/>
    <x v="0"/>
  </r>
  <r>
    <n v="13"/>
    <x v="174"/>
    <n v="6"/>
    <d v="2023-04-02T00:40:00"/>
    <x v="158"/>
    <x v="1"/>
    <x v="0"/>
    <x v="2"/>
    <n v="17.55"/>
    <x v="0"/>
    <n v="186"/>
    <x v="1"/>
    <s v="Plato_6, Plato_15, Plato_17"/>
    <n v="108"/>
    <x v="118"/>
    <d v="2023-04-02T00:40:00"/>
    <d v="2023-04-02T04:14:00"/>
    <d v="1899-12-30T03:34:00"/>
    <x v="114"/>
    <x v="119"/>
    <x v="0"/>
  </r>
  <r>
    <n v="5"/>
    <x v="175"/>
    <n v="1"/>
    <d v="2023-04-02T02:23:00"/>
    <x v="159"/>
    <x v="4"/>
    <x v="0"/>
    <x v="2"/>
    <n v="17.399999999999999"/>
    <x v="1"/>
    <n v="187"/>
    <x v="5"/>
    <s v="Plato_18, Plato_10, Plato_9, Plato_6"/>
    <n v="86"/>
    <x v="156"/>
    <d v="2023-04-02T02:23:00"/>
    <d v="2023-04-02T05:28:00"/>
    <d v="1899-12-30T03:05:00"/>
    <x v="2"/>
    <x v="36"/>
    <x v="0"/>
  </r>
  <r>
    <n v="20"/>
    <x v="176"/>
    <n v="4"/>
    <d v="2023-04-02T03:40:00"/>
    <x v="160"/>
    <x v="0"/>
    <x v="1"/>
    <x v="2"/>
    <n v="13.95"/>
    <x v="0"/>
    <n v="188"/>
    <x v="1"/>
    <s v="Plato_17, Plato_10"/>
    <n v="34"/>
    <x v="157"/>
    <d v="2023-04-02T03:40:00"/>
    <d v="2023-04-02T05:21:00"/>
    <d v="1899-12-30T01:41:00"/>
    <x v="28"/>
    <x v="8"/>
    <x v="1"/>
  </r>
  <r>
    <n v="11"/>
    <x v="177"/>
    <n v="4"/>
    <d v="2023-04-02T03:48:00"/>
    <x v="161"/>
    <x v="2"/>
    <x v="0"/>
    <x v="2"/>
    <n v="41.66"/>
    <x v="0"/>
    <n v="189"/>
    <x v="0"/>
    <s v="Plato_18, Plato_10, Plato_7"/>
    <n v="80"/>
    <x v="117"/>
    <d v="2023-04-02T03:48:00"/>
    <d v="2023-04-02T06:10:00"/>
    <d v="1899-12-30T02:22:00"/>
    <x v="70"/>
    <x v="63"/>
    <x v="0"/>
  </r>
  <r>
    <n v="5"/>
    <x v="140"/>
    <n v="2"/>
    <d v="2023-04-02T01:31:00"/>
    <x v="162"/>
    <x v="2"/>
    <x v="0"/>
    <x v="2"/>
    <n v="38.880000000000003"/>
    <x v="1"/>
    <n v="190"/>
    <x v="1"/>
    <s v="Plato_4, Plato_20, Plato_8, Plato_14"/>
    <n v="79"/>
    <x v="107"/>
    <d v="2023-04-02T01:31:00"/>
    <d v="2023-04-02T03:22:00"/>
    <d v="1899-12-30T01:51:00"/>
    <x v="96"/>
    <x v="47"/>
    <x v="0"/>
  </r>
  <r>
    <n v="12"/>
    <x v="178"/>
    <n v="6"/>
    <d v="2023-04-02T00:00:00"/>
    <x v="163"/>
    <x v="2"/>
    <x v="0"/>
    <x v="2"/>
    <n v="24.36"/>
    <x v="2"/>
    <n v="191"/>
    <x v="3"/>
    <s v="Plato_1, Plato_9"/>
    <n v="66"/>
    <x v="158"/>
    <d v="2023-04-02T00:00:00"/>
    <d v="2023-04-02T02:36:00"/>
    <d v="1899-12-30T02:51:00"/>
    <x v="37"/>
    <x v="85"/>
    <x v="0"/>
  </r>
  <r>
    <s v="17"/>
    <x v="179"/>
    <n v="4"/>
    <d v="2023-04-02T02:36:00"/>
    <x v="164"/>
    <x v="2"/>
    <x v="1"/>
    <x v="1"/>
    <n v="15.99"/>
    <x v="1"/>
    <n v="192"/>
    <x v="9"/>
    <s v="Plato_1"/>
    <n v="30"/>
    <x v="159"/>
    <d v="2023-04-02T02:36:00"/>
    <d v="2023-04-02T04:53:00"/>
    <d v="1899-12-30T02:17:00"/>
    <x v="100"/>
    <x v="10"/>
    <x v="0"/>
  </r>
  <r>
    <n v="3"/>
    <x v="180"/>
    <n v="5"/>
    <d v="2023-04-02T00:12:00"/>
    <x v="145"/>
    <x v="3"/>
    <x v="1"/>
    <x v="2"/>
    <n v="24.85"/>
    <x v="0"/>
    <n v="193"/>
    <x v="10"/>
    <s v="Plato_10, Plato_19, Plato_6, Plato_14"/>
    <n v="88"/>
    <x v="160"/>
    <d v="2023-04-02T00:12:00"/>
    <d v="2023-04-02T03:04:00"/>
    <d v="1899-12-30T02:52:00"/>
    <x v="115"/>
    <x v="35"/>
    <x v="0"/>
  </r>
  <r>
    <n v="3"/>
    <x v="181"/>
    <n v="6"/>
    <d v="2023-04-02T02:40:00"/>
    <x v="165"/>
    <x v="3"/>
    <x v="0"/>
    <x v="0"/>
    <n v="11.41"/>
    <x v="0"/>
    <n v="194"/>
    <x v="4"/>
    <s v="Plato_11, Plato_2"/>
    <n v="38"/>
    <x v="161"/>
    <d v="2023-04-02T02:40:00"/>
    <d v="2023-04-02T03:56:00"/>
    <d v="1899-12-30T01:16:00"/>
    <x v="46"/>
    <x v="42"/>
    <x v="0"/>
  </r>
  <r>
    <s v="2"/>
    <x v="182"/>
    <n v="1"/>
    <d v="2023-04-02T03:04:00"/>
    <x v="139"/>
    <x v="0"/>
    <x v="0"/>
    <x v="0"/>
    <n v="10.06"/>
    <x v="2"/>
    <n v="195"/>
    <x v="1"/>
    <s v="Plato_1"/>
    <n v="20"/>
    <x v="162"/>
    <d v="2023-04-02T03:04:00"/>
    <d v="2023-04-02T04:09:00"/>
    <d v="1899-12-30T01:20:00"/>
    <x v="62"/>
    <x v="115"/>
    <x v="0"/>
  </r>
  <r>
    <n v="4"/>
    <x v="5"/>
    <n v="3"/>
    <d v="2023-04-02T00:11:00"/>
    <x v="102"/>
    <x v="2"/>
    <x v="0"/>
    <x v="2"/>
    <n v="42.65"/>
    <x v="0"/>
    <n v="196"/>
    <x v="0"/>
    <s v="Plato_3, Plato_14, Plato_9, Plato_16"/>
    <n v="78"/>
    <x v="163"/>
    <d v="2023-04-02T00:11:00"/>
    <d v="2023-04-02T04:10:00"/>
    <d v="1899-12-30T03:59:00"/>
    <x v="116"/>
    <x v="51"/>
    <x v="0"/>
  </r>
  <r>
    <n v="5"/>
    <x v="183"/>
    <n v="6"/>
    <d v="2023-04-02T02:46:00"/>
    <x v="166"/>
    <x v="2"/>
    <x v="1"/>
    <x v="0"/>
    <n v="20.11"/>
    <x v="2"/>
    <n v="197"/>
    <x v="1"/>
    <s v="Plato_18, Plato_6"/>
    <n v="53"/>
    <x v="153"/>
    <d v="2023-04-02T02:46:00"/>
    <d v="2023-04-02T04:54:00"/>
    <d v="1899-12-30T02:23:00"/>
    <x v="117"/>
    <x v="99"/>
    <x v="0"/>
  </r>
  <r>
    <s v="9"/>
    <x v="184"/>
    <n v="4"/>
    <d v="2023-04-02T00:36:00"/>
    <x v="167"/>
    <x v="1"/>
    <x v="0"/>
    <x v="2"/>
    <n v="36.72"/>
    <x v="0"/>
    <n v="198"/>
    <x v="0"/>
    <s v="Plato_6"/>
    <n v="22"/>
    <x v="164"/>
    <d v="2023-04-02T00:36:00"/>
    <d v="2023-04-02T03:05:00"/>
    <d v="1899-12-30T02:29:00"/>
    <x v="88"/>
    <x v="50"/>
    <x v="0"/>
  </r>
  <r>
    <n v="11"/>
    <x v="185"/>
    <n v="5"/>
    <d v="2023-04-02T01:56:00"/>
    <x v="168"/>
    <x v="2"/>
    <x v="2"/>
    <x v="0"/>
    <n v="13.26"/>
    <x v="1"/>
    <n v="199"/>
    <x v="3"/>
    <s v="Plato_9, Plato_8, Plato_13, Plato_6"/>
    <n v="105"/>
    <x v="143"/>
    <d v="2023-04-02T01:56:00"/>
    <d v="2023-04-02T05:40:00"/>
    <d v="1899-12-30T03:44:00"/>
    <x v="68"/>
    <x v="120"/>
    <x v="0"/>
  </r>
  <r>
    <n v="11"/>
    <x v="186"/>
    <n v="4"/>
    <d v="2023-04-02T02:35:00"/>
    <x v="129"/>
    <x v="0"/>
    <x v="0"/>
    <x v="2"/>
    <n v="48.73"/>
    <x v="0"/>
    <n v="200"/>
    <x v="1"/>
    <s v="Plato_12, Plato_1"/>
    <n v="36"/>
    <x v="165"/>
    <d v="2023-04-02T02:35:00"/>
    <d v="2023-04-02T05:26:00"/>
    <d v="1899-12-30T02:51:00"/>
    <x v="64"/>
    <x v="121"/>
    <x v="0"/>
  </r>
  <r>
    <s v="3"/>
    <x v="187"/>
    <n v="5"/>
    <d v="2023-04-02T00:18:00"/>
    <x v="169"/>
    <x v="1"/>
    <x v="2"/>
    <x v="2"/>
    <n v="19.84"/>
    <x v="0"/>
    <n v="201"/>
    <x v="4"/>
    <s v="Plato_7"/>
    <n v="30"/>
    <x v="146"/>
    <d v="2023-04-02T00:18:00"/>
    <d v="2023-04-02T01:50:00"/>
    <d v="1899-12-30T01:32:00"/>
    <x v="118"/>
    <x v="20"/>
    <x v="0"/>
  </r>
  <r>
    <n v="16"/>
    <x v="188"/>
    <n v="5"/>
    <d v="2023-04-02T00:58:00"/>
    <x v="170"/>
    <x v="0"/>
    <x v="0"/>
    <x v="2"/>
    <n v="24.19"/>
    <x v="2"/>
    <n v="202"/>
    <x v="6"/>
    <s v="Plato_19, Plato_20, Plato_7, Plato_2"/>
    <n v="80"/>
    <x v="166"/>
    <d v="2023-04-02T00:58:00"/>
    <d v="2023-04-02T02:00:00"/>
    <d v="1899-12-30T01:17:00"/>
    <x v="119"/>
    <x v="8"/>
    <x v="1"/>
  </r>
  <r>
    <n v="5"/>
    <x v="189"/>
    <n v="2"/>
    <d v="2023-04-02T03:57:00"/>
    <x v="160"/>
    <x v="1"/>
    <x v="0"/>
    <x v="2"/>
    <n v="40.19"/>
    <x v="1"/>
    <n v="203"/>
    <x v="4"/>
    <s v="Plato_17, Plato_13"/>
    <n v="60"/>
    <x v="167"/>
    <d v="2023-04-02T03:57:00"/>
    <d v="2023-04-02T05:21:00"/>
    <d v="1899-12-30T01:24:00"/>
    <x v="1"/>
    <x v="8"/>
    <x v="1"/>
  </r>
  <r>
    <s v="16"/>
    <x v="190"/>
    <n v="5"/>
    <d v="2023-04-02T00:17:00"/>
    <x v="171"/>
    <x v="1"/>
    <x v="0"/>
    <x v="1"/>
    <n v="49.56"/>
    <x v="1"/>
    <n v="204"/>
    <x v="7"/>
    <s v="Plato_7"/>
    <n v="20"/>
    <x v="168"/>
    <d v="2023-04-02T00:17:00"/>
    <d v="2023-04-02T02:25:00"/>
    <d v="1899-12-30T02:08:00"/>
    <x v="40"/>
    <x v="28"/>
    <x v="0"/>
  </r>
  <r>
    <n v="14"/>
    <x v="191"/>
    <n v="1"/>
    <d v="2023-04-02T02:15:00"/>
    <x v="172"/>
    <x v="2"/>
    <x v="0"/>
    <x v="0"/>
    <n v="26.49"/>
    <x v="1"/>
    <n v="205"/>
    <x v="9"/>
    <s v="Plato_15, Plato_9"/>
    <n v="25"/>
    <x v="169"/>
    <d v="2023-04-02T02:15:00"/>
    <d v="2023-04-02T06:14:00"/>
    <d v="1899-12-30T03:59:00"/>
    <x v="36"/>
    <x v="82"/>
    <x v="0"/>
  </r>
  <r>
    <s v="4"/>
    <x v="192"/>
    <n v="6"/>
    <d v="2023-04-02T03:27:00"/>
    <x v="173"/>
    <x v="4"/>
    <x v="0"/>
    <x v="2"/>
    <n v="36.96"/>
    <x v="2"/>
    <n v="206"/>
    <x v="6"/>
    <s v="Plato_2"/>
    <n v="12"/>
    <x v="170"/>
    <d v="2023-04-02T03:27:00"/>
    <d v="2023-04-02T06:09:00"/>
    <d v="1899-12-30T02:57:00"/>
    <x v="118"/>
    <x v="6"/>
    <x v="0"/>
  </r>
  <r>
    <n v="20"/>
    <x v="193"/>
    <n v="3"/>
    <d v="2023-04-02T02:49:00"/>
    <x v="174"/>
    <x v="3"/>
    <x v="2"/>
    <x v="2"/>
    <n v="46.54"/>
    <x v="0"/>
    <n v="207"/>
    <x v="2"/>
    <s v="Plato_10, Plato_8, Plato_17"/>
    <n v="72"/>
    <x v="145"/>
    <d v="2023-04-02T02:49:00"/>
    <d v="2023-04-02T04:02:00"/>
    <d v="1899-12-30T01:13:00"/>
    <x v="120"/>
    <x v="8"/>
    <x v="1"/>
  </r>
  <r>
    <n v="16"/>
    <x v="194"/>
    <n v="4"/>
    <d v="2023-04-02T03:33:00"/>
    <x v="175"/>
    <x v="1"/>
    <x v="0"/>
    <x v="0"/>
    <n v="36.700000000000003"/>
    <x v="2"/>
    <n v="208"/>
    <x v="4"/>
    <s v="Plato_15, Plato_19, Plato_3"/>
    <n v="71"/>
    <x v="171"/>
    <d v="2023-04-02T03:33:00"/>
    <d v="2023-04-02T06:36:00"/>
    <d v="1899-12-30T03:18:00"/>
    <x v="61"/>
    <x v="21"/>
    <x v="0"/>
  </r>
  <r>
    <n v="9"/>
    <x v="195"/>
    <n v="6"/>
    <d v="2023-04-02T01:31:00"/>
    <x v="176"/>
    <x v="1"/>
    <x v="2"/>
    <x v="1"/>
    <n v="34.49"/>
    <x v="0"/>
    <n v="209"/>
    <x v="6"/>
    <s v="Plato_14, Plato_18, Plato_1, Plato_10"/>
    <n v="87"/>
    <x v="107"/>
    <d v="2023-04-02T01:31:00"/>
    <d v="2023-04-02T04:06:00"/>
    <d v="1899-12-30T02:35:00"/>
    <x v="115"/>
    <x v="8"/>
    <x v="1"/>
  </r>
  <r>
    <n v="10"/>
    <x v="196"/>
    <n v="4"/>
    <d v="2023-04-02T02:43:00"/>
    <x v="177"/>
    <x v="2"/>
    <x v="1"/>
    <x v="2"/>
    <n v="14.67"/>
    <x v="1"/>
    <n v="210"/>
    <x v="5"/>
    <s v="Plato_13, Plato_2, Plato_7, Plato_20"/>
    <n v="75"/>
    <x v="172"/>
    <d v="2023-04-02T02:43:00"/>
    <d v="2023-04-02T04:29:00"/>
    <d v="1899-12-30T01:46:00"/>
    <x v="16"/>
    <x v="8"/>
    <x v="1"/>
  </r>
  <r>
    <n v="1"/>
    <x v="197"/>
    <n v="2"/>
    <d v="2023-04-02T03:40:00"/>
    <x v="129"/>
    <x v="1"/>
    <x v="0"/>
    <x v="0"/>
    <n v="11.13"/>
    <x v="0"/>
    <n v="211"/>
    <x v="10"/>
    <s v="Plato_13, Plato_4, Plato_1, Plato_3"/>
    <n v="68"/>
    <x v="157"/>
    <d v="2023-04-02T03:40:00"/>
    <d v="2023-04-02T05:26:00"/>
    <d v="1899-12-30T01:46:00"/>
    <x v="106"/>
    <x v="8"/>
    <x v="1"/>
  </r>
  <r>
    <n v="14"/>
    <x v="84"/>
    <n v="6"/>
    <d v="2023-04-02T02:35:00"/>
    <x v="178"/>
    <x v="4"/>
    <x v="0"/>
    <x v="0"/>
    <n v="18.850000000000001"/>
    <x v="2"/>
    <n v="212"/>
    <x v="4"/>
    <s v="Plato_2, Plato_10, Plato_13, Plato_16"/>
    <n v="101"/>
    <x v="165"/>
    <d v="2023-04-02T02:35:00"/>
    <d v="2023-04-02T03:40:00"/>
    <d v="1899-12-30T01:20:00"/>
    <x v="41"/>
    <x v="8"/>
    <x v="1"/>
  </r>
  <r>
    <n v="13"/>
    <x v="198"/>
    <n v="6"/>
    <d v="2023-04-02T01:46:00"/>
    <x v="123"/>
    <x v="3"/>
    <x v="0"/>
    <x v="2"/>
    <n v="28.1"/>
    <x v="1"/>
    <n v="213"/>
    <x v="4"/>
    <s v="Plato_6, Plato_2"/>
    <n v="35"/>
    <x v="173"/>
    <d v="2023-04-02T01:46:00"/>
    <d v="2023-04-02T04:58:00"/>
    <d v="1899-12-30T03:12:00"/>
    <x v="61"/>
    <x v="114"/>
    <x v="0"/>
  </r>
  <r>
    <n v="2"/>
    <x v="199"/>
    <n v="4"/>
    <d v="2023-04-02T03:18:00"/>
    <x v="115"/>
    <x v="1"/>
    <x v="0"/>
    <x v="0"/>
    <n v="33.39"/>
    <x v="2"/>
    <n v="214"/>
    <x v="10"/>
    <s v="Plato_18, Plato_20, Plato_3"/>
    <n v="89"/>
    <x v="126"/>
    <d v="2023-04-02T03:18:00"/>
    <d v="2023-04-02T05:09:00"/>
    <d v="1899-12-30T02:06:00"/>
    <x v="15"/>
    <x v="109"/>
    <x v="0"/>
  </r>
  <r>
    <n v="6"/>
    <x v="200"/>
    <n v="4"/>
    <d v="2023-04-02T03:52:00"/>
    <x v="179"/>
    <x v="0"/>
    <x v="0"/>
    <x v="0"/>
    <n v="35.64"/>
    <x v="2"/>
    <n v="215"/>
    <x v="7"/>
    <s v="Plato_18, Plato_2"/>
    <n v="64"/>
    <x v="127"/>
    <d v="2023-04-02T03:52:00"/>
    <d v="2023-04-02T06:25:00"/>
    <d v="1899-12-30T02:48:00"/>
    <x v="78"/>
    <x v="122"/>
    <x v="0"/>
  </r>
  <r>
    <n v="17"/>
    <x v="201"/>
    <n v="6"/>
    <d v="2023-04-02T01:46:00"/>
    <x v="180"/>
    <x v="2"/>
    <x v="0"/>
    <x v="2"/>
    <n v="35.69"/>
    <x v="1"/>
    <n v="216"/>
    <x v="7"/>
    <s v="Plato_1, Plato_13, Plato_6"/>
    <n v="56"/>
    <x v="173"/>
    <d v="2023-04-02T01:46:00"/>
    <d v="2023-04-02T05:36:00"/>
    <d v="1899-12-30T03:50:00"/>
    <x v="95"/>
    <x v="86"/>
    <x v="0"/>
  </r>
  <r>
    <s v="1"/>
    <x v="164"/>
    <n v="2"/>
    <d v="2023-04-02T00:54:00"/>
    <x v="181"/>
    <x v="0"/>
    <x v="2"/>
    <x v="2"/>
    <n v="31.17"/>
    <x v="2"/>
    <n v="217"/>
    <x v="1"/>
    <s v="Plato_15"/>
    <n v="39"/>
    <x v="112"/>
    <d v="2023-04-02T00:54:00"/>
    <d v="2023-04-02T04:45:00"/>
    <d v="1899-12-30T04:06:00"/>
    <x v="99"/>
    <x v="123"/>
    <x v="0"/>
  </r>
  <r>
    <n v="13"/>
    <x v="202"/>
    <n v="3"/>
    <d v="2023-04-02T00:27:00"/>
    <x v="182"/>
    <x v="3"/>
    <x v="0"/>
    <x v="2"/>
    <n v="23.34"/>
    <x v="2"/>
    <n v="218"/>
    <x v="10"/>
    <s v="Plato_12, Plato_6, Plato_14"/>
    <n v="75"/>
    <x v="174"/>
    <d v="2023-04-02T00:27:00"/>
    <d v="2023-04-02T03:41:00"/>
    <d v="1899-12-30T03:29:00"/>
    <x v="78"/>
    <x v="124"/>
    <x v="0"/>
  </r>
  <r>
    <n v="1"/>
    <x v="203"/>
    <n v="5"/>
    <d v="2023-04-02T02:33:00"/>
    <x v="183"/>
    <x v="0"/>
    <x v="0"/>
    <x v="2"/>
    <n v="46.96"/>
    <x v="1"/>
    <n v="219"/>
    <x v="5"/>
    <s v="Plato_14, Plato_17"/>
    <n v="54"/>
    <x v="175"/>
    <d v="2023-04-02T02:33:00"/>
    <d v="2023-04-02T04:49:00"/>
    <d v="1899-12-30T02:16:00"/>
    <x v="121"/>
    <x v="87"/>
    <x v="0"/>
  </r>
  <r>
    <s v="15"/>
    <x v="181"/>
    <n v="6"/>
    <d v="2023-04-02T01:01:00"/>
    <x v="184"/>
    <x v="3"/>
    <x v="0"/>
    <x v="2"/>
    <n v="4.8499999999999996"/>
    <x v="0"/>
    <n v="220"/>
    <x v="8"/>
    <s v="Plato_7"/>
    <n v="10"/>
    <x v="176"/>
    <d v="2023-04-02T01:01:00"/>
    <d v="2023-04-02T04:57:00"/>
    <d v="1899-12-30T03:56:00"/>
    <x v="99"/>
    <x v="125"/>
    <x v="0"/>
  </r>
  <r>
    <n v="16"/>
    <x v="204"/>
    <n v="1"/>
    <d v="2023-04-02T01:51:00"/>
    <x v="167"/>
    <x v="0"/>
    <x v="0"/>
    <x v="2"/>
    <n v="17.829999999999998"/>
    <x v="1"/>
    <n v="221"/>
    <x v="9"/>
    <s v="Plato_15, Plato_18, Plato_9"/>
    <n v="79"/>
    <x v="177"/>
    <d v="2023-04-02T01:51:00"/>
    <d v="2023-04-02T03:05:00"/>
    <d v="1899-12-30T01:14:00"/>
    <x v="122"/>
    <x v="8"/>
    <x v="1"/>
  </r>
  <r>
    <n v="3"/>
    <x v="205"/>
    <n v="3"/>
    <d v="2023-04-02T03:38:00"/>
    <x v="185"/>
    <x v="3"/>
    <x v="2"/>
    <x v="0"/>
    <n v="32.58"/>
    <x v="1"/>
    <n v="222"/>
    <x v="8"/>
    <s v="Plato_14, Plato_16"/>
    <n v="39"/>
    <x v="178"/>
    <d v="2023-04-02T03:38:00"/>
    <d v="2023-04-02T06:42:00"/>
    <d v="1899-12-30T03:04:00"/>
    <x v="1"/>
    <x v="11"/>
    <x v="0"/>
  </r>
  <r>
    <s v="19"/>
    <x v="206"/>
    <n v="2"/>
    <d v="2023-04-02T01:16:00"/>
    <x v="186"/>
    <x v="3"/>
    <x v="2"/>
    <x v="2"/>
    <n v="49.62"/>
    <x v="0"/>
    <n v="223"/>
    <x v="10"/>
    <s v="Plato_15"/>
    <n v="13"/>
    <x v="179"/>
    <d v="2023-04-02T01:16:00"/>
    <d v="2023-04-02T02:50:00"/>
    <d v="1899-12-30T01:34:00"/>
    <x v="123"/>
    <x v="89"/>
    <x v="0"/>
  </r>
  <r>
    <s v="7"/>
    <x v="207"/>
    <n v="6"/>
    <d v="2023-04-02T02:07:00"/>
    <x v="187"/>
    <x v="0"/>
    <x v="0"/>
    <x v="2"/>
    <n v="17.61"/>
    <x v="2"/>
    <n v="224"/>
    <x v="6"/>
    <s v="Plato_10"/>
    <n v="22"/>
    <x v="180"/>
    <d v="2023-04-02T02:07:00"/>
    <d v="2023-04-02T05:47:00"/>
    <d v="1899-12-30T03:55:00"/>
    <x v="60"/>
    <x v="126"/>
    <x v="0"/>
  </r>
  <r>
    <n v="19"/>
    <x v="208"/>
    <n v="4"/>
    <d v="2023-04-02T00:14:00"/>
    <x v="188"/>
    <x v="0"/>
    <x v="1"/>
    <x v="2"/>
    <n v="35.020000000000003"/>
    <x v="0"/>
    <n v="225"/>
    <x v="4"/>
    <s v="Plato_11, Plato_14"/>
    <n v="66"/>
    <x v="150"/>
    <d v="2023-04-02T00:14:00"/>
    <d v="2023-04-02T01:24:00"/>
    <d v="1899-12-30T01:10:00"/>
    <x v="66"/>
    <x v="8"/>
    <x v="1"/>
  </r>
  <r>
    <n v="7"/>
    <x v="209"/>
    <n v="6"/>
    <d v="2023-04-02T00:58:00"/>
    <x v="139"/>
    <x v="1"/>
    <x v="2"/>
    <x v="2"/>
    <n v="39.479999999999997"/>
    <x v="0"/>
    <n v="226"/>
    <x v="5"/>
    <s v="Plato_3, Plato_13, Plato_6, Plato_9"/>
    <n v="69"/>
    <x v="166"/>
    <d v="2023-04-02T00:58:00"/>
    <d v="2023-04-02T04:09:00"/>
    <d v="1899-12-30T03:11:00"/>
    <x v="8"/>
    <x v="83"/>
    <x v="0"/>
  </r>
  <r>
    <n v="17"/>
    <x v="87"/>
    <n v="6"/>
    <d v="2023-04-02T01:49:00"/>
    <x v="189"/>
    <x v="3"/>
    <x v="0"/>
    <x v="2"/>
    <n v="41.05"/>
    <x v="1"/>
    <n v="227"/>
    <x v="9"/>
    <s v="Plato_7, Plato_17, Plato_16, Plato_11"/>
    <n v="84"/>
    <x v="181"/>
    <d v="2023-04-02T01:49:00"/>
    <d v="2023-04-02T04:52:00"/>
    <d v="1899-12-30T03:03:00"/>
    <x v="124"/>
    <x v="80"/>
    <x v="0"/>
  </r>
  <r>
    <s v="16"/>
    <x v="210"/>
    <n v="4"/>
    <d v="2023-04-02T01:40:00"/>
    <x v="174"/>
    <x v="0"/>
    <x v="0"/>
    <x v="2"/>
    <n v="10.66"/>
    <x v="2"/>
    <n v="228"/>
    <x v="8"/>
    <s v="Plato_14"/>
    <n v="27"/>
    <x v="125"/>
    <d v="2023-04-02T01:40:00"/>
    <d v="2023-04-02T04:02:00"/>
    <d v="1899-12-30T02:37:00"/>
    <x v="24"/>
    <x v="122"/>
    <x v="0"/>
  </r>
  <r>
    <n v="14"/>
    <x v="211"/>
    <n v="3"/>
    <d v="2023-04-02T02:34:00"/>
    <x v="120"/>
    <x v="2"/>
    <x v="2"/>
    <x v="2"/>
    <n v="28.58"/>
    <x v="0"/>
    <n v="229"/>
    <x v="6"/>
    <s v="Plato_1, Plato_8, Plato_19, Plato_16"/>
    <n v="50"/>
    <x v="139"/>
    <d v="2023-04-02T02:34:00"/>
    <d v="2023-04-02T04:30:00"/>
    <d v="1899-12-30T01:56:00"/>
    <x v="70"/>
    <x v="8"/>
    <x v="1"/>
  </r>
  <r>
    <n v="5"/>
    <x v="37"/>
    <n v="5"/>
    <d v="2023-04-02T02:15:00"/>
    <x v="190"/>
    <x v="2"/>
    <x v="0"/>
    <x v="2"/>
    <n v="15.84"/>
    <x v="1"/>
    <n v="230"/>
    <x v="5"/>
    <s v="Plato_15, Plato_16, Plato_17"/>
    <n v="87"/>
    <x v="169"/>
    <d v="2023-04-02T02:15:00"/>
    <d v="2023-04-02T04:48:00"/>
    <d v="1899-12-30T02:33:00"/>
    <x v="125"/>
    <x v="81"/>
    <x v="0"/>
  </r>
  <r>
    <n v="8"/>
    <x v="212"/>
    <n v="2"/>
    <d v="2023-04-02T01:12:00"/>
    <x v="126"/>
    <x v="2"/>
    <x v="0"/>
    <x v="2"/>
    <n v="49.1"/>
    <x v="2"/>
    <n v="231"/>
    <x v="4"/>
    <s v="Plato_13, Plato_18, Plato_17, Plato_11"/>
    <n v="83"/>
    <x v="182"/>
    <d v="2023-04-02T01:12:00"/>
    <d v="2023-04-02T03:10:00"/>
    <d v="1899-12-30T02:13:00"/>
    <x v="102"/>
    <x v="8"/>
    <x v="1"/>
  </r>
  <r>
    <n v="2"/>
    <x v="213"/>
    <n v="2"/>
    <d v="2023-04-02T02:04:00"/>
    <x v="191"/>
    <x v="1"/>
    <x v="0"/>
    <x v="2"/>
    <n v="15.43"/>
    <x v="0"/>
    <n v="232"/>
    <x v="10"/>
    <s v="Plato_7, Plato_6, Plato_2, Plato_10"/>
    <n v="78"/>
    <x v="183"/>
    <d v="2023-04-02T02:04:00"/>
    <d v="2023-04-02T03:25:00"/>
    <d v="1899-12-30T01:21:00"/>
    <x v="91"/>
    <x v="8"/>
    <x v="1"/>
  </r>
  <r>
    <s v="8"/>
    <x v="10"/>
    <n v="1"/>
    <d v="2023-04-02T00:52:00"/>
    <x v="192"/>
    <x v="2"/>
    <x v="1"/>
    <x v="0"/>
    <n v="45.64"/>
    <x v="1"/>
    <n v="233"/>
    <x v="10"/>
    <s v="Plato_12"/>
    <n v="16"/>
    <x v="184"/>
    <d v="2023-04-02T00:52:00"/>
    <d v="2023-04-02T02:39:00"/>
    <d v="1899-12-30T01:47:00"/>
    <x v="126"/>
    <x v="88"/>
    <x v="0"/>
  </r>
  <r>
    <n v="17"/>
    <x v="214"/>
    <n v="6"/>
    <d v="2023-04-02T02:46:00"/>
    <x v="159"/>
    <x v="0"/>
    <x v="1"/>
    <x v="2"/>
    <n v="10.220000000000001"/>
    <x v="1"/>
    <n v="234"/>
    <x v="2"/>
    <s v="Plato_2, Plato_7, Plato_17"/>
    <n v="90"/>
    <x v="153"/>
    <d v="2023-04-02T02:46:00"/>
    <d v="2023-04-02T05:28:00"/>
    <d v="1899-12-30T02:42:00"/>
    <x v="79"/>
    <x v="51"/>
    <x v="0"/>
  </r>
  <r>
    <s v="13"/>
    <x v="41"/>
    <n v="5"/>
    <d v="2023-04-02T00:22:00"/>
    <x v="101"/>
    <x v="0"/>
    <x v="2"/>
    <x v="2"/>
    <n v="26.37"/>
    <x v="0"/>
    <n v="235"/>
    <x v="0"/>
    <s v="Plato_11"/>
    <n v="13"/>
    <x v="185"/>
    <d v="2023-04-02T00:22:00"/>
    <d v="2023-04-02T02:48:00"/>
    <d v="1899-12-30T02:26:00"/>
    <x v="94"/>
    <x v="119"/>
    <x v="0"/>
  </r>
  <r>
    <n v="12"/>
    <x v="215"/>
    <n v="2"/>
    <d v="2023-04-02T00:52:00"/>
    <x v="193"/>
    <x v="0"/>
    <x v="0"/>
    <x v="2"/>
    <n v="39.81"/>
    <x v="1"/>
    <n v="236"/>
    <x v="10"/>
    <s v="Plato_11, Plato_5, Plato_8, Plato_15"/>
    <n v="102"/>
    <x v="184"/>
    <d v="2023-04-02T00:52:00"/>
    <d v="2023-04-02T02:26:00"/>
    <d v="1899-12-30T01:34:00"/>
    <x v="127"/>
    <x v="8"/>
    <x v="1"/>
  </r>
  <r>
    <n v="4"/>
    <x v="169"/>
    <n v="6"/>
    <d v="2023-04-02T02:45:00"/>
    <x v="194"/>
    <x v="2"/>
    <x v="0"/>
    <x v="2"/>
    <n v="13.15"/>
    <x v="2"/>
    <n v="237"/>
    <x v="4"/>
    <s v="Plato_14, Plato_2"/>
    <n v="42"/>
    <x v="105"/>
    <d v="2023-04-02T02:45:00"/>
    <d v="2023-04-02T06:00:00"/>
    <d v="1899-12-30T03:30:00"/>
    <x v="128"/>
    <x v="127"/>
    <x v="0"/>
  </r>
  <r>
    <s v="13"/>
    <x v="216"/>
    <n v="6"/>
    <d v="2023-04-02T02:17:00"/>
    <x v="195"/>
    <x v="2"/>
    <x v="1"/>
    <x v="2"/>
    <n v="33.020000000000003"/>
    <x v="1"/>
    <n v="238"/>
    <x v="2"/>
    <s v="Plato_19"/>
    <n v="28"/>
    <x v="186"/>
    <d v="2023-04-02T02:17:00"/>
    <d v="2023-04-02T04:56:00"/>
    <d v="1899-12-30T02:39:00"/>
    <x v="129"/>
    <x v="128"/>
    <x v="0"/>
  </r>
  <r>
    <n v="12"/>
    <x v="217"/>
    <n v="6"/>
    <d v="2023-04-02T02:46:00"/>
    <x v="196"/>
    <x v="4"/>
    <x v="0"/>
    <x v="1"/>
    <n v="11.76"/>
    <x v="0"/>
    <n v="239"/>
    <x v="2"/>
    <s v="Plato_10, Plato_7"/>
    <n v="31"/>
    <x v="153"/>
    <d v="2023-04-02T02:46:00"/>
    <d v="2023-04-02T06:07:00"/>
    <d v="1899-12-30T03:21:00"/>
    <x v="47"/>
    <x v="129"/>
    <x v="0"/>
  </r>
  <r>
    <n v="9"/>
    <x v="218"/>
    <n v="1"/>
    <d v="2023-04-02T00:16:00"/>
    <x v="126"/>
    <x v="0"/>
    <x v="0"/>
    <x v="0"/>
    <n v="33.81"/>
    <x v="1"/>
    <n v="240"/>
    <x v="4"/>
    <s v="Plato_17, Plato_14, Plato_4, Plato_15"/>
    <n v="118"/>
    <x v="187"/>
    <d v="2023-04-02T00:16:00"/>
    <d v="2023-04-02T03:10:00"/>
    <d v="1899-12-30T02:54:00"/>
    <x v="74"/>
    <x v="83"/>
    <x v="0"/>
  </r>
  <r>
    <s v="12"/>
    <x v="219"/>
    <n v="4"/>
    <d v="2023-04-02T00:04:00"/>
    <x v="197"/>
    <x v="3"/>
    <x v="0"/>
    <x v="2"/>
    <n v="38.97"/>
    <x v="2"/>
    <n v="241"/>
    <x v="2"/>
    <s v="Plato_4"/>
    <n v="8"/>
    <x v="188"/>
    <d v="2023-04-02T00:04:00"/>
    <d v="2023-04-02T01:04:00"/>
    <d v="1899-12-30T01:15:00"/>
    <x v="5"/>
    <x v="80"/>
    <x v="0"/>
  </r>
  <r>
    <n v="12"/>
    <x v="220"/>
    <n v="2"/>
    <d v="2023-04-02T03:42:00"/>
    <x v="115"/>
    <x v="2"/>
    <x v="0"/>
    <x v="2"/>
    <n v="31.29"/>
    <x v="0"/>
    <n v="242"/>
    <x v="5"/>
    <s v="Plato_10, Plato_1, Plato_11"/>
    <n v="54"/>
    <x v="189"/>
    <d v="2023-04-02T03:42:00"/>
    <d v="2023-04-02T05:09:00"/>
    <d v="1899-12-30T01:27:00"/>
    <x v="79"/>
    <x v="8"/>
    <x v="1"/>
  </r>
  <r>
    <s v="4"/>
    <x v="221"/>
    <n v="4"/>
    <d v="2023-04-02T00:42:00"/>
    <x v="114"/>
    <x v="2"/>
    <x v="0"/>
    <x v="2"/>
    <n v="21.45"/>
    <x v="1"/>
    <n v="243"/>
    <x v="0"/>
    <s v="Plato_20"/>
    <n v="45"/>
    <x v="106"/>
    <d v="2023-04-02T00:42:00"/>
    <d v="2023-04-02T04:11:00"/>
    <d v="1899-12-30T03:29:00"/>
    <x v="108"/>
    <x v="130"/>
    <x v="0"/>
  </r>
  <r>
    <n v="17"/>
    <x v="53"/>
    <n v="6"/>
    <d v="2023-04-02T03:44:00"/>
    <x v="198"/>
    <x v="0"/>
    <x v="0"/>
    <x v="1"/>
    <n v="17.649999999999999"/>
    <x v="0"/>
    <n v="244"/>
    <x v="4"/>
    <s v="Plato_20, Plato_12"/>
    <n v="61"/>
    <x v="190"/>
    <d v="2023-04-02T03:44:00"/>
    <d v="2023-04-02T06:01:00"/>
    <d v="1899-12-30T02:17:00"/>
    <x v="35"/>
    <x v="3"/>
    <x v="0"/>
  </r>
  <r>
    <n v="11"/>
    <x v="222"/>
    <n v="1"/>
    <d v="2023-04-02T03:31:00"/>
    <x v="199"/>
    <x v="1"/>
    <x v="0"/>
    <x v="2"/>
    <n v="14.82"/>
    <x v="0"/>
    <n v="245"/>
    <x v="6"/>
    <s v="Plato_4, Plato_17, Plato_20, Plato_19"/>
    <n v="108"/>
    <x v="191"/>
    <d v="2023-04-02T03:31:00"/>
    <d v="2023-04-02T06:57:00"/>
    <d v="1899-12-30T03:26:00"/>
    <x v="130"/>
    <x v="39"/>
    <x v="0"/>
  </r>
  <r>
    <n v="2"/>
    <x v="220"/>
    <n v="6"/>
    <d v="2023-04-02T01:50:00"/>
    <x v="139"/>
    <x v="2"/>
    <x v="0"/>
    <x v="2"/>
    <n v="42.75"/>
    <x v="1"/>
    <n v="246"/>
    <x v="6"/>
    <s v="Plato_6, Plato_7, Plato_8, Plato_17"/>
    <n v="131"/>
    <x v="115"/>
    <d v="2023-04-02T01:50:00"/>
    <d v="2023-04-02T04:09:00"/>
    <d v="1899-12-30T02:19:00"/>
    <x v="8"/>
    <x v="8"/>
    <x v="1"/>
  </r>
  <r>
    <s v="11"/>
    <x v="150"/>
    <n v="6"/>
    <d v="2023-04-02T02:34:00"/>
    <x v="160"/>
    <x v="2"/>
    <x v="0"/>
    <x v="2"/>
    <n v="49.07"/>
    <x v="2"/>
    <n v="247"/>
    <x v="8"/>
    <s v="Plato_11"/>
    <n v="26"/>
    <x v="139"/>
    <d v="2023-04-02T02:34:00"/>
    <d v="2023-04-02T05:21:00"/>
    <d v="1899-12-30T03:02:00"/>
    <x v="12"/>
    <x v="131"/>
    <x v="0"/>
  </r>
  <r>
    <n v="12"/>
    <x v="223"/>
    <n v="6"/>
    <d v="2023-04-02T00:26:00"/>
    <x v="200"/>
    <x v="2"/>
    <x v="0"/>
    <x v="0"/>
    <n v="18.690000000000001"/>
    <x v="2"/>
    <n v="248"/>
    <x v="9"/>
    <s v="Plato_18, Plato_9, Plato_6, Plato_1"/>
    <n v="92"/>
    <x v="109"/>
    <d v="2023-04-02T00:26:00"/>
    <d v="2023-04-02T02:18:00"/>
    <d v="1899-12-30T02:07:00"/>
    <x v="95"/>
    <x v="12"/>
    <x v="0"/>
  </r>
  <r>
    <n v="8"/>
    <x v="224"/>
    <n v="6"/>
    <d v="2023-04-02T00:58:00"/>
    <x v="201"/>
    <x v="2"/>
    <x v="2"/>
    <x v="2"/>
    <n v="47.71"/>
    <x v="2"/>
    <n v="249"/>
    <x v="0"/>
    <s v="Plato_5, Plato_4"/>
    <n v="34"/>
    <x v="166"/>
    <d v="2023-04-02T00:58:00"/>
    <d v="2023-04-02T03:55:00"/>
    <d v="1899-12-30T03:12:00"/>
    <x v="25"/>
    <x v="132"/>
    <x v="0"/>
  </r>
  <r>
    <s v="8"/>
    <x v="225"/>
    <n v="2"/>
    <d v="2023-04-02T02:56:00"/>
    <x v="202"/>
    <x v="4"/>
    <x v="0"/>
    <x v="2"/>
    <n v="23.21"/>
    <x v="1"/>
    <n v="250"/>
    <x v="0"/>
    <s v="Plato_3"/>
    <n v="8"/>
    <x v="104"/>
    <d v="2023-04-02T02:56:00"/>
    <d v="2023-04-02T06:33:00"/>
    <d v="1899-12-30T03:37:00"/>
    <x v="9"/>
    <x v="133"/>
    <x v="0"/>
  </r>
  <r>
    <n v="12"/>
    <x v="226"/>
    <n v="6"/>
    <d v="2023-04-02T01:20:00"/>
    <x v="203"/>
    <x v="1"/>
    <x v="0"/>
    <x v="2"/>
    <n v="13.69"/>
    <x v="2"/>
    <n v="251"/>
    <x v="7"/>
    <s v="Plato_10, Plato_5, Plato_14, Plato_12"/>
    <n v="45"/>
    <x v="192"/>
    <d v="2023-04-02T01:20:00"/>
    <d v="2023-04-02T04:24:00"/>
    <d v="1899-12-30T03:19:00"/>
    <x v="131"/>
    <x v="48"/>
    <x v="0"/>
  </r>
  <r>
    <n v="4"/>
    <x v="227"/>
    <n v="3"/>
    <d v="2023-04-02T00:39:00"/>
    <x v="203"/>
    <x v="4"/>
    <x v="0"/>
    <x v="2"/>
    <n v="43.81"/>
    <x v="1"/>
    <n v="252"/>
    <x v="1"/>
    <s v="Plato_1, Plato_10"/>
    <n v="42"/>
    <x v="193"/>
    <d v="2023-04-02T00:39:00"/>
    <d v="2023-04-02T04:24:00"/>
    <d v="1899-12-30T03:45:00"/>
    <x v="90"/>
    <x v="134"/>
    <x v="0"/>
  </r>
  <r>
    <n v="8"/>
    <x v="228"/>
    <n v="2"/>
    <d v="2023-04-02T00:54:00"/>
    <x v="204"/>
    <x v="0"/>
    <x v="2"/>
    <x v="2"/>
    <n v="34.69"/>
    <x v="2"/>
    <n v="253"/>
    <x v="10"/>
    <s v="Plato_1, Plato_13, Plato_9"/>
    <n v="62"/>
    <x v="112"/>
    <d v="2023-04-02T00:54:00"/>
    <d v="2023-04-02T03:45:00"/>
    <d v="1899-12-30T03:06:00"/>
    <x v="7"/>
    <x v="71"/>
    <x v="0"/>
  </r>
  <r>
    <n v="10"/>
    <x v="229"/>
    <n v="6"/>
    <d v="2023-04-02T03:05:00"/>
    <x v="187"/>
    <x v="1"/>
    <x v="2"/>
    <x v="2"/>
    <n v="36.43"/>
    <x v="0"/>
    <n v="254"/>
    <x v="3"/>
    <s v="Plato_17, Plato_10, Plato_18, Plato_16"/>
    <n v="122"/>
    <x v="194"/>
    <d v="2023-04-02T03:05:00"/>
    <d v="2023-04-02T05:47:00"/>
    <d v="1899-12-30T02:42:00"/>
    <x v="80"/>
    <x v="77"/>
    <x v="0"/>
  </r>
  <r>
    <s v="8"/>
    <x v="230"/>
    <n v="4"/>
    <d v="2023-04-02T02:23:00"/>
    <x v="134"/>
    <x v="2"/>
    <x v="2"/>
    <x v="1"/>
    <n v="13.34"/>
    <x v="0"/>
    <n v="255"/>
    <x v="7"/>
    <s v="Plato_1"/>
    <n v="10"/>
    <x v="156"/>
    <d v="2023-04-02T02:23:00"/>
    <d v="2023-04-02T03:59:00"/>
    <d v="1899-12-30T01:36:00"/>
    <x v="128"/>
    <x v="36"/>
    <x v="0"/>
  </r>
  <r>
    <s v="5"/>
    <x v="231"/>
    <n v="2"/>
    <d v="2023-04-02T00:23:00"/>
    <x v="205"/>
    <x v="3"/>
    <x v="1"/>
    <x v="1"/>
    <n v="49.88"/>
    <x v="0"/>
    <n v="256"/>
    <x v="10"/>
    <s v="Plato_13"/>
    <n v="8"/>
    <x v="195"/>
    <d v="2023-04-02T00:23:00"/>
    <d v="2023-04-02T03:27:00"/>
    <d v="1899-12-30T03:04:00"/>
    <x v="85"/>
    <x v="135"/>
    <x v="0"/>
  </r>
  <r>
    <s v="12"/>
    <x v="232"/>
    <n v="5"/>
    <d v="2023-04-02T02:08:00"/>
    <x v="206"/>
    <x v="2"/>
    <x v="0"/>
    <x v="2"/>
    <n v="26.78"/>
    <x v="0"/>
    <n v="257"/>
    <x v="8"/>
    <s v="Plato_14"/>
    <n v="18"/>
    <x v="196"/>
    <d v="2023-04-02T02:08:00"/>
    <d v="2023-04-02T03:17:00"/>
    <d v="1899-12-30T01:09:00"/>
    <x v="101"/>
    <x v="89"/>
    <x v="0"/>
  </r>
  <r>
    <n v="12"/>
    <x v="233"/>
    <n v="1"/>
    <d v="2023-04-02T00:39:00"/>
    <x v="149"/>
    <x v="2"/>
    <x v="1"/>
    <x v="2"/>
    <n v="47.99"/>
    <x v="0"/>
    <n v="258"/>
    <x v="6"/>
    <s v="Plato_1, Plato_3, Plato_15, Plato_20"/>
    <n v="46"/>
    <x v="193"/>
    <d v="2023-04-02T00:39:00"/>
    <d v="2023-04-02T04:32:00"/>
    <d v="1899-12-30T03:53:00"/>
    <x v="28"/>
    <x v="129"/>
    <x v="0"/>
  </r>
  <r>
    <s v="10"/>
    <x v="58"/>
    <n v="5"/>
    <d v="2023-04-02T03:27:00"/>
    <x v="207"/>
    <x v="1"/>
    <x v="0"/>
    <x v="2"/>
    <n v="46.72"/>
    <x v="2"/>
    <n v="259"/>
    <x v="5"/>
    <s v="Plato_6"/>
    <n v="33"/>
    <x v="170"/>
    <d v="2023-04-02T03:27:00"/>
    <d v="2023-04-02T06:16:00"/>
    <d v="1899-12-30T03:04:00"/>
    <x v="5"/>
    <x v="127"/>
    <x v="0"/>
  </r>
  <r>
    <s v="20"/>
    <x v="234"/>
    <n v="6"/>
    <d v="2023-04-02T01:23:00"/>
    <x v="208"/>
    <x v="3"/>
    <x v="0"/>
    <x v="1"/>
    <n v="47.55"/>
    <x v="2"/>
    <n v="260"/>
    <x v="7"/>
    <s v="Plato_14"/>
    <n v="27"/>
    <x v="101"/>
    <d v="2023-04-02T01:23:00"/>
    <d v="2023-04-02T04:38:00"/>
    <d v="1899-12-30T03:30:00"/>
    <x v="58"/>
    <x v="106"/>
    <x v="0"/>
  </r>
  <r>
    <n v="8"/>
    <x v="235"/>
    <n v="1"/>
    <d v="2023-04-02T01:08:00"/>
    <x v="209"/>
    <x v="4"/>
    <x v="0"/>
    <x v="2"/>
    <n v="32.42"/>
    <x v="2"/>
    <n v="261"/>
    <x v="9"/>
    <s v="Plato_15, Plato_9"/>
    <n v="63"/>
    <x v="197"/>
    <d v="2023-04-02T01:08:00"/>
    <d v="2023-04-02T02:55:00"/>
    <d v="1899-12-30T02:02:00"/>
    <x v="7"/>
    <x v="69"/>
    <x v="0"/>
  </r>
  <r>
    <n v="18"/>
    <x v="236"/>
    <n v="4"/>
    <d v="2023-04-02T03:44:00"/>
    <x v="210"/>
    <x v="2"/>
    <x v="0"/>
    <x v="2"/>
    <n v="42.83"/>
    <x v="2"/>
    <n v="262"/>
    <x v="5"/>
    <s v="Plato_5, Plato_17"/>
    <n v="45"/>
    <x v="190"/>
    <d v="2023-04-02T03:44:00"/>
    <d v="2023-04-02T07:21:00"/>
    <d v="1899-12-30T03:52:00"/>
    <x v="48"/>
    <x v="136"/>
    <x v="0"/>
  </r>
  <r>
    <n v="5"/>
    <x v="117"/>
    <n v="1"/>
    <d v="2023-04-02T02:53:00"/>
    <x v="129"/>
    <x v="1"/>
    <x v="1"/>
    <x v="2"/>
    <n v="42.96"/>
    <x v="1"/>
    <n v="263"/>
    <x v="7"/>
    <s v="Plato_15, Plato_8, Plato_2, Plato_7"/>
    <n v="49"/>
    <x v="198"/>
    <d v="2023-04-02T02:53:00"/>
    <d v="2023-04-02T05:26:00"/>
    <d v="1899-12-30T02:33:00"/>
    <x v="132"/>
    <x v="137"/>
    <x v="0"/>
  </r>
  <r>
    <n v="2"/>
    <x v="237"/>
    <n v="1"/>
    <d v="2023-04-02T03:11:00"/>
    <x v="211"/>
    <x v="1"/>
    <x v="0"/>
    <x v="2"/>
    <n v="49.21"/>
    <x v="1"/>
    <n v="264"/>
    <x v="6"/>
    <s v="Plato_8, Plato_15, Plato_2, Plato_1"/>
    <n v="73"/>
    <x v="199"/>
    <d v="2023-04-02T03:11:00"/>
    <d v="2023-04-02T04:26:00"/>
    <d v="1899-12-30T01:15:00"/>
    <x v="70"/>
    <x v="8"/>
    <x v="1"/>
  </r>
  <r>
    <n v="6"/>
    <x v="238"/>
    <n v="1"/>
    <d v="2023-04-02T02:54:00"/>
    <x v="133"/>
    <x v="2"/>
    <x v="1"/>
    <x v="0"/>
    <n v="21.48"/>
    <x v="1"/>
    <n v="265"/>
    <x v="9"/>
    <s v="Plato_14, Plato_17, Plato_6, Plato_2"/>
    <n v="68"/>
    <x v="200"/>
    <d v="2023-04-02T02:54:00"/>
    <d v="2023-04-02T06:15:00"/>
    <d v="1899-12-30T03:21:00"/>
    <x v="106"/>
    <x v="101"/>
    <x v="0"/>
  </r>
  <r>
    <n v="4"/>
    <x v="239"/>
    <n v="4"/>
    <d v="2023-04-02T00:30:00"/>
    <x v="212"/>
    <x v="2"/>
    <x v="0"/>
    <x v="2"/>
    <n v="24.75"/>
    <x v="0"/>
    <n v="266"/>
    <x v="3"/>
    <s v="Plato_7, Plato_1"/>
    <n v="40"/>
    <x v="201"/>
    <d v="2023-04-02T00:30:00"/>
    <d v="2023-04-02T02:04:00"/>
    <d v="1899-12-30T01:34:00"/>
    <x v="103"/>
    <x v="8"/>
    <x v="1"/>
  </r>
  <r>
    <n v="7"/>
    <x v="240"/>
    <n v="5"/>
    <d v="2023-04-03T02:07:00"/>
    <x v="213"/>
    <x v="2"/>
    <x v="2"/>
    <x v="2"/>
    <n v="44.66"/>
    <x v="2"/>
    <n v="267"/>
    <x v="0"/>
    <s v="Plato_15, Plato_16, Plato_2"/>
    <n v="49"/>
    <x v="202"/>
    <d v="2023-04-03T02:07:00"/>
    <d v="2023-04-03T03:48:00"/>
    <d v="1899-12-30T01:56:00"/>
    <x v="45"/>
    <x v="111"/>
    <x v="0"/>
  </r>
  <r>
    <n v="14"/>
    <x v="241"/>
    <n v="1"/>
    <d v="2023-04-03T00:46:00"/>
    <x v="214"/>
    <x v="0"/>
    <x v="0"/>
    <x v="0"/>
    <n v="23.16"/>
    <x v="1"/>
    <n v="268"/>
    <x v="7"/>
    <s v="Plato_7, Plato_5"/>
    <n v="28"/>
    <x v="203"/>
    <d v="2023-04-03T00:46:00"/>
    <d v="2023-04-03T03:44:00"/>
    <d v="1899-12-30T02:58:00"/>
    <x v="133"/>
    <x v="138"/>
    <x v="0"/>
  </r>
  <r>
    <n v="11"/>
    <x v="242"/>
    <n v="2"/>
    <d v="2023-04-03T02:58:00"/>
    <x v="215"/>
    <x v="2"/>
    <x v="0"/>
    <x v="0"/>
    <n v="39.17"/>
    <x v="1"/>
    <n v="269"/>
    <x v="5"/>
    <s v="Plato_19, Plato_20, Plato_18"/>
    <n v="99"/>
    <x v="204"/>
    <d v="2023-04-03T02:58:00"/>
    <d v="2023-04-03T04:15:00"/>
    <d v="1899-12-30T01:17:00"/>
    <x v="127"/>
    <x v="8"/>
    <x v="1"/>
  </r>
  <r>
    <s v="10"/>
    <x v="26"/>
    <n v="1"/>
    <d v="2023-04-03T01:11:00"/>
    <x v="216"/>
    <x v="4"/>
    <x v="0"/>
    <x v="2"/>
    <n v="10.130000000000001"/>
    <x v="1"/>
    <n v="270"/>
    <x v="8"/>
    <s v="Plato_18"/>
    <n v="42"/>
    <x v="205"/>
    <d v="2023-04-03T01:11:00"/>
    <d v="2023-04-03T04:59:00"/>
    <d v="1899-12-30T03:48:00"/>
    <x v="100"/>
    <x v="139"/>
    <x v="0"/>
  </r>
  <r>
    <s v="3"/>
    <x v="243"/>
    <n v="3"/>
    <d v="2023-04-03T01:40:00"/>
    <x v="217"/>
    <x v="0"/>
    <x v="0"/>
    <x v="2"/>
    <n v="16.11"/>
    <x v="2"/>
    <n v="271"/>
    <x v="6"/>
    <s v="Plato_5"/>
    <n v="18"/>
    <x v="206"/>
    <d v="2023-04-03T01:40:00"/>
    <d v="2023-04-03T05:10:00"/>
    <d v="1899-12-30T03:45:00"/>
    <x v="7"/>
    <x v="140"/>
    <x v="0"/>
  </r>
  <r>
    <n v="7"/>
    <x v="244"/>
    <n v="1"/>
    <d v="2023-04-03T00:34:00"/>
    <x v="218"/>
    <x v="4"/>
    <x v="0"/>
    <x v="2"/>
    <n v="42.73"/>
    <x v="0"/>
    <n v="272"/>
    <x v="0"/>
    <s v="Plato_7, Plato_8"/>
    <n v="34"/>
    <x v="207"/>
    <d v="2023-04-03T00:34:00"/>
    <d v="2023-04-03T04:24:00"/>
    <d v="1899-12-30T03:50:00"/>
    <x v="133"/>
    <x v="141"/>
    <x v="0"/>
  </r>
  <r>
    <n v="20"/>
    <x v="140"/>
    <n v="5"/>
    <d v="2023-04-03T01:47:00"/>
    <x v="219"/>
    <x v="2"/>
    <x v="0"/>
    <x v="1"/>
    <n v="36.299999999999997"/>
    <x v="2"/>
    <n v="273"/>
    <x v="1"/>
    <s v="Plato_15, Plato_5, Plato_1"/>
    <n v="50"/>
    <x v="208"/>
    <d v="2023-04-03T01:47:00"/>
    <d v="2023-04-03T03:29:00"/>
    <d v="1899-12-30T01:57:00"/>
    <x v="64"/>
    <x v="59"/>
    <x v="0"/>
  </r>
  <r>
    <n v="7"/>
    <x v="245"/>
    <n v="1"/>
    <d v="2023-04-03T03:15:00"/>
    <x v="220"/>
    <x v="1"/>
    <x v="0"/>
    <x v="0"/>
    <n v="19.93"/>
    <x v="2"/>
    <n v="274"/>
    <x v="2"/>
    <s v="Plato_10, Plato_12"/>
    <n v="49"/>
    <x v="209"/>
    <d v="2023-04-03T03:15:00"/>
    <d v="2023-04-03T05:52:00"/>
    <d v="1899-12-30T02:52:00"/>
    <x v="134"/>
    <x v="9"/>
    <x v="0"/>
  </r>
  <r>
    <n v="5"/>
    <x v="186"/>
    <n v="3"/>
    <d v="2023-04-03T02:13:00"/>
    <x v="221"/>
    <x v="2"/>
    <x v="0"/>
    <x v="2"/>
    <n v="49.67"/>
    <x v="0"/>
    <n v="275"/>
    <x v="6"/>
    <s v="Plato_11, Plato_17, Plato_10"/>
    <n v="48"/>
    <x v="210"/>
    <d v="2023-04-03T02:13:00"/>
    <d v="2023-04-03T05:58:00"/>
    <d v="1899-12-30T03:45:00"/>
    <x v="131"/>
    <x v="7"/>
    <x v="0"/>
  </r>
  <r>
    <n v="15"/>
    <x v="246"/>
    <n v="6"/>
    <d v="2023-04-03T02:35:00"/>
    <x v="222"/>
    <x v="4"/>
    <x v="0"/>
    <x v="0"/>
    <n v="20.98"/>
    <x v="0"/>
    <n v="276"/>
    <x v="8"/>
    <s v="Plato_5, Plato_10"/>
    <n v="29"/>
    <x v="211"/>
    <d v="2023-04-03T02:35:00"/>
    <d v="2023-04-03T05:34:00"/>
    <d v="1899-12-30T02:59:00"/>
    <x v="1"/>
    <x v="142"/>
    <x v="0"/>
  </r>
  <r>
    <s v="4"/>
    <x v="247"/>
    <n v="2"/>
    <d v="2023-04-03T01:28:00"/>
    <x v="223"/>
    <x v="3"/>
    <x v="0"/>
    <x v="2"/>
    <n v="10.29"/>
    <x v="1"/>
    <n v="277"/>
    <x v="0"/>
    <s v="Plato_17"/>
    <n v="36"/>
    <x v="212"/>
    <d v="2023-04-03T01:28:00"/>
    <d v="2023-04-03T03:56:00"/>
    <d v="1899-12-30T02:28:00"/>
    <x v="9"/>
    <x v="6"/>
    <x v="0"/>
  </r>
  <r>
    <n v="5"/>
    <x v="36"/>
    <n v="4"/>
    <d v="2023-04-03T03:10:00"/>
    <x v="224"/>
    <x v="0"/>
    <x v="0"/>
    <x v="1"/>
    <n v="41.36"/>
    <x v="1"/>
    <n v="278"/>
    <x v="5"/>
    <s v="Plato_17, Plato_7"/>
    <n v="56"/>
    <x v="213"/>
    <d v="2023-04-03T03:10:00"/>
    <d v="2023-04-03T05:12:00"/>
    <d v="1899-12-30T02:02:00"/>
    <x v="135"/>
    <x v="143"/>
    <x v="0"/>
  </r>
  <r>
    <n v="11"/>
    <x v="55"/>
    <n v="5"/>
    <d v="2023-04-03T00:15:00"/>
    <x v="225"/>
    <x v="2"/>
    <x v="2"/>
    <x v="2"/>
    <n v="43.53"/>
    <x v="1"/>
    <n v="279"/>
    <x v="5"/>
    <s v="Plato_20, Plato_8, Plato_4, Plato_16"/>
    <n v="79"/>
    <x v="214"/>
    <d v="2023-04-03T00:15:00"/>
    <d v="2023-04-03T02:35:00"/>
    <d v="1899-12-30T02:20:00"/>
    <x v="68"/>
    <x v="8"/>
    <x v="1"/>
  </r>
  <r>
    <n v="14"/>
    <x v="248"/>
    <n v="6"/>
    <d v="2023-04-03T00:30:00"/>
    <x v="226"/>
    <x v="3"/>
    <x v="0"/>
    <x v="2"/>
    <n v="36.08"/>
    <x v="0"/>
    <n v="280"/>
    <x v="8"/>
    <s v="Plato_7, Plato_14"/>
    <n v="47"/>
    <x v="215"/>
    <d v="2023-04-03T00:30:00"/>
    <d v="2023-04-03T02:41:00"/>
    <d v="1899-12-30T02:11:00"/>
    <x v="36"/>
    <x v="83"/>
    <x v="0"/>
  </r>
  <r>
    <s v="18"/>
    <x v="249"/>
    <n v="2"/>
    <d v="2023-04-03T03:52:00"/>
    <x v="227"/>
    <x v="4"/>
    <x v="1"/>
    <x v="1"/>
    <n v="4.43"/>
    <x v="2"/>
    <n v="281"/>
    <x v="4"/>
    <s v="Plato_11"/>
    <n v="26"/>
    <x v="216"/>
    <d v="2023-04-03T03:52:00"/>
    <d v="2023-04-03T07:50:00"/>
    <d v="1899-12-30T04:13:00"/>
    <x v="136"/>
    <x v="144"/>
    <x v="0"/>
  </r>
  <r>
    <n v="6"/>
    <x v="250"/>
    <n v="1"/>
    <d v="2023-04-03T01:11:00"/>
    <x v="228"/>
    <x v="4"/>
    <x v="0"/>
    <x v="2"/>
    <n v="19.05"/>
    <x v="1"/>
    <n v="282"/>
    <x v="7"/>
    <s v="Plato_4, Plato_3"/>
    <n v="32"/>
    <x v="205"/>
    <d v="2023-04-03T01:11:00"/>
    <d v="2023-04-03T05:02:00"/>
    <d v="1899-12-30T03:51:00"/>
    <x v="54"/>
    <x v="5"/>
    <x v="0"/>
  </r>
  <r>
    <s v="19"/>
    <x v="251"/>
    <n v="5"/>
    <d v="2023-04-03T01:04:00"/>
    <x v="229"/>
    <x v="3"/>
    <x v="2"/>
    <x v="2"/>
    <n v="43.07"/>
    <x v="1"/>
    <n v="283"/>
    <x v="2"/>
    <s v="Plato_10"/>
    <n v="33"/>
    <x v="217"/>
    <d v="2023-04-03T01:04:00"/>
    <d v="2023-04-03T04:48:00"/>
    <d v="1899-12-30T03:44:00"/>
    <x v="105"/>
    <x v="145"/>
    <x v="0"/>
  </r>
  <r>
    <n v="11"/>
    <x v="252"/>
    <n v="4"/>
    <d v="2023-04-03T02:28:00"/>
    <x v="230"/>
    <x v="3"/>
    <x v="0"/>
    <x v="0"/>
    <n v="29.99"/>
    <x v="2"/>
    <n v="284"/>
    <x v="4"/>
    <s v="Plato_3, Plato_6, Plato_12, Plato_11"/>
    <n v="64"/>
    <x v="218"/>
    <d v="2023-04-03T02:28:00"/>
    <d v="2023-04-03T04:37:00"/>
    <d v="1899-12-30T02:24:00"/>
    <x v="137"/>
    <x v="8"/>
    <x v="1"/>
  </r>
  <r>
    <s v="18"/>
    <x v="253"/>
    <n v="6"/>
    <d v="2023-04-03T03:03:00"/>
    <x v="231"/>
    <x v="4"/>
    <x v="0"/>
    <x v="0"/>
    <n v="10.94"/>
    <x v="0"/>
    <n v="285"/>
    <x v="0"/>
    <s v="Plato_13"/>
    <n v="16"/>
    <x v="219"/>
    <d v="2023-04-03T03:03:00"/>
    <d v="2023-04-03T06:05:00"/>
    <d v="1899-12-30T03:02:00"/>
    <x v="104"/>
    <x v="140"/>
    <x v="0"/>
  </r>
  <r>
    <s v="15"/>
    <x v="90"/>
    <n v="6"/>
    <d v="2023-04-03T00:22:00"/>
    <x v="232"/>
    <x v="0"/>
    <x v="0"/>
    <x v="2"/>
    <n v="41.96"/>
    <x v="2"/>
    <n v="286"/>
    <x v="10"/>
    <s v="Plato_18"/>
    <n v="28"/>
    <x v="220"/>
    <d v="2023-04-03T00:22:00"/>
    <d v="2023-04-03T02:28:00"/>
    <d v="1899-12-30T02:21:00"/>
    <x v="94"/>
    <x v="50"/>
    <x v="0"/>
  </r>
  <r>
    <n v="20"/>
    <x v="133"/>
    <n v="2"/>
    <d v="2023-04-03T03:37:00"/>
    <x v="233"/>
    <x v="3"/>
    <x v="0"/>
    <x v="0"/>
    <n v="31.67"/>
    <x v="0"/>
    <n v="287"/>
    <x v="1"/>
    <s v="Plato_15, Plato_14, Plato_2"/>
    <n v="81"/>
    <x v="221"/>
    <d v="2023-04-03T03:37:00"/>
    <d v="2023-04-03T04:44:00"/>
    <d v="1899-12-30T01:07:00"/>
    <x v="83"/>
    <x v="8"/>
    <x v="1"/>
  </r>
  <r>
    <n v="15"/>
    <x v="254"/>
    <n v="3"/>
    <d v="2023-04-03T02:08:00"/>
    <x v="234"/>
    <x v="3"/>
    <x v="2"/>
    <x v="2"/>
    <n v="13.3"/>
    <x v="0"/>
    <n v="288"/>
    <x v="7"/>
    <s v="Plato_7, Plato_12"/>
    <n v="36"/>
    <x v="222"/>
    <d v="2023-04-03T02:08:00"/>
    <d v="2023-04-03T05:33:00"/>
    <d v="1899-12-30T03:25:00"/>
    <x v="15"/>
    <x v="38"/>
    <x v="0"/>
  </r>
  <r>
    <n v="15"/>
    <x v="255"/>
    <n v="5"/>
    <d v="2023-04-03T03:08:00"/>
    <x v="235"/>
    <x v="3"/>
    <x v="0"/>
    <x v="0"/>
    <n v="26.56"/>
    <x v="1"/>
    <n v="289"/>
    <x v="0"/>
    <s v="Plato_3, Plato_10"/>
    <n v="57"/>
    <x v="223"/>
    <d v="2023-04-03T03:08:00"/>
    <d v="2023-04-03T06:23:00"/>
    <d v="1899-12-30T03:15:00"/>
    <x v="46"/>
    <x v="64"/>
    <x v="0"/>
  </r>
  <r>
    <s v="19"/>
    <x v="124"/>
    <n v="3"/>
    <d v="2023-04-03T02:06:00"/>
    <x v="236"/>
    <x v="0"/>
    <x v="0"/>
    <x v="2"/>
    <n v="14.59"/>
    <x v="2"/>
    <n v="290"/>
    <x v="0"/>
    <s v="Plato_20"/>
    <n v="15"/>
    <x v="224"/>
    <d v="2023-04-03T02:06:00"/>
    <d v="2023-04-03T04:33:00"/>
    <d v="1899-12-30T02:42:00"/>
    <x v="0"/>
    <x v="146"/>
    <x v="0"/>
  </r>
  <r>
    <n v="2"/>
    <x v="256"/>
    <n v="6"/>
    <d v="2023-04-03T03:18:00"/>
    <x v="237"/>
    <x v="2"/>
    <x v="1"/>
    <x v="1"/>
    <n v="15.44"/>
    <x v="2"/>
    <n v="291"/>
    <x v="6"/>
    <s v="Plato_18, Plato_1, Plato_8, Plato_17"/>
    <n v="104"/>
    <x v="225"/>
    <d v="2023-04-03T03:18:00"/>
    <d v="2023-04-03T06:09:00"/>
    <d v="1899-12-30T03:06:00"/>
    <x v="11"/>
    <x v="23"/>
    <x v="0"/>
  </r>
  <r>
    <s v="10"/>
    <x v="257"/>
    <n v="3"/>
    <d v="2023-04-03T00:09:00"/>
    <x v="238"/>
    <x v="0"/>
    <x v="2"/>
    <x v="0"/>
    <n v="29.72"/>
    <x v="0"/>
    <n v="292"/>
    <x v="10"/>
    <s v="Plato_16"/>
    <n v="36"/>
    <x v="226"/>
    <d v="2023-04-03T00:09:00"/>
    <d v="2023-04-03T01:51:00"/>
    <d v="1899-12-30T01:42:00"/>
    <x v="121"/>
    <x v="108"/>
    <x v="0"/>
  </r>
  <r>
    <n v="16"/>
    <x v="258"/>
    <n v="4"/>
    <d v="2023-04-03T02:55:00"/>
    <x v="239"/>
    <x v="0"/>
    <x v="0"/>
    <x v="0"/>
    <n v="33.11"/>
    <x v="0"/>
    <n v="293"/>
    <x v="10"/>
    <s v="Plato_16, Plato_2, Plato_19"/>
    <n v="88"/>
    <x v="227"/>
    <d v="2023-04-03T02:55:00"/>
    <d v="2023-04-03T04:35:00"/>
    <d v="1899-12-30T01:40:00"/>
    <x v="95"/>
    <x v="8"/>
    <x v="1"/>
  </r>
  <r>
    <n v="17"/>
    <x v="192"/>
    <n v="6"/>
    <d v="2023-04-03T00:26:00"/>
    <x v="240"/>
    <x v="2"/>
    <x v="1"/>
    <x v="2"/>
    <n v="20.36"/>
    <x v="1"/>
    <n v="294"/>
    <x v="1"/>
    <s v="Plato_17, Plato_19, Plato_4, Plato_18"/>
    <n v="132"/>
    <x v="228"/>
    <d v="2023-04-03T00:26:00"/>
    <d v="2023-04-03T03:57:00"/>
    <d v="1899-12-30T03:31:00"/>
    <x v="36"/>
    <x v="147"/>
    <x v="0"/>
  </r>
  <r>
    <n v="3"/>
    <x v="259"/>
    <n v="1"/>
    <d v="2023-04-03T00:10:00"/>
    <x v="241"/>
    <x v="2"/>
    <x v="0"/>
    <x v="2"/>
    <n v="46.42"/>
    <x v="0"/>
    <n v="295"/>
    <x v="7"/>
    <s v="Plato_15, Plato_2, Plato_17, Plato_13"/>
    <n v="97"/>
    <x v="229"/>
    <d v="2023-04-03T00:10:00"/>
    <d v="2023-04-03T02:01:00"/>
    <d v="1899-12-30T01:51:00"/>
    <x v="138"/>
    <x v="8"/>
    <x v="1"/>
  </r>
  <r>
    <n v="14"/>
    <x v="260"/>
    <n v="1"/>
    <d v="2023-04-03T02:49:00"/>
    <x v="221"/>
    <x v="2"/>
    <x v="2"/>
    <x v="2"/>
    <n v="29.07"/>
    <x v="2"/>
    <n v="296"/>
    <x v="0"/>
    <s v="Plato_14, Plato_19"/>
    <n v="23"/>
    <x v="230"/>
    <d v="2023-04-03T02:49:00"/>
    <d v="2023-04-03T05:58:00"/>
    <d v="1899-12-30T03:24:00"/>
    <x v="78"/>
    <x v="148"/>
    <x v="0"/>
  </r>
  <r>
    <n v="4"/>
    <x v="12"/>
    <n v="3"/>
    <d v="2023-04-03T01:03:00"/>
    <x v="242"/>
    <x v="1"/>
    <x v="0"/>
    <x v="2"/>
    <n v="43.46"/>
    <x v="2"/>
    <n v="297"/>
    <x v="0"/>
    <s v="Plato_9, Plato_4, Plato_13"/>
    <n v="72"/>
    <x v="231"/>
    <d v="2023-04-03T01:03:00"/>
    <d v="2023-04-03T04:27:00"/>
    <d v="1899-12-30T03:39:00"/>
    <x v="43"/>
    <x v="28"/>
    <x v="0"/>
  </r>
  <r>
    <n v="11"/>
    <x v="261"/>
    <n v="4"/>
    <d v="2023-04-03T03:14:00"/>
    <x v="243"/>
    <x v="3"/>
    <x v="1"/>
    <x v="2"/>
    <n v="23.24"/>
    <x v="0"/>
    <n v="298"/>
    <x v="6"/>
    <s v="Plato_6, Plato_19, Plato_5"/>
    <n v="102"/>
    <x v="232"/>
    <d v="2023-04-03T03:14:00"/>
    <d v="2023-04-03T05:29:00"/>
    <d v="1899-12-30T02:15:00"/>
    <x v="80"/>
    <x v="8"/>
    <x v="1"/>
  </r>
  <r>
    <n v="6"/>
    <x v="262"/>
    <n v="1"/>
    <d v="2023-04-03T01:19:00"/>
    <x v="244"/>
    <x v="3"/>
    <x v="2"/>
    <x v="1"/>
    <n v="29.68"/>
    <x v="2"/>
    <n v="299"/>
    <x v="7"/>
    <s v="Plato_3, Plato_19, Plato_7, Plato_4"/>
    <n v="74"/>
    <x v="233"/>
    <d v="2023-04-03T01:19:00"/>
    <d v="2023-04-03T02:45:00"/>
    <d v="1899-12-30T01:41:00"/>
    <x v="139"/>
    <x v="8"/>
    <x v="1"/>
  </r>
  <r>
    <n v="18"/>
    <x v="118"/>
    <n v="6"/>
    <d v="2023-04-03T02:17:00"/>
    <x v="245"/>
    <x v="2"/>
    <x v="1"/>
    <x v="2"/>
    <n v="38.380000000000003"/>
    <x v="0"/>
    <n v="300"/>
    <x v="3"/>
    <s v="Plato_20, Plato_4, Plato_10, Plato_2"/>
    <n v="116"/>
    <x v="234"/>
    <d v="2023-04-03T02:17:00"/>
    <d v="2023-04-03T04:19:00"/>
    <d v="1899-12-30T02:02:00"/>
    <x v="82"/>
    <x v="137"/>
    <x v="0"/>
  </r>
  <r>
    <n v="8"/>
    <x v="263"/>
    <n v="6"/>
    <d v="2023-04-03T02:14:00"/>
    <x v="246"/>
    <x v="3"/>
    <x v="0"/>
    <x v="2"/>
    <n v="16.52"/>
    <x v="0"/>
    <n v="301"/>
    <x v="7"/>
    <s v="Plato_17, Plato_10, Plato_9, Plato_3"/>
    <n v="90"/>
    <x v="235"/>
    <d v="2023-04-03T02:14:00"/>
    <d v="2023-04-03T04:08:00"/>
    <d v="1899-12-30T01:54:00"/>
    <x v="140"/>
    <x v="8"/>
    <x v="1"/>
  </r>
  <r>
    <s v="5"/>
    <x v="47"/>
    <n v="2"/>
    <d v="2023-04-03T01:20:00"/>
    <x v="247"/>
    <x v="1"/>
    <x v="1"/>
    <x v="2"/>
    <n v="39.89"/>
    <x v="0"/>
    <n v="302"/>
    <x v="1"/>
    <s v="Plato_15"/>
    <n v="39"/>
    <x v="236"/>
    <d v="2023-04-03T01:20:00"/>
    <d v="2023-04-03T04:56:00"/>
    <d v="1899-12-30T03:36:00"/>
    <x v="141"/>
    <x v="149"/>
    <x v="0"/>
  </r>
  <r>
    <n v="14"/>
    <x v="264"/>
    <n v="5"/>
    <d v="2023-04-03T03:38:00"/>
    <x v="248"/>
    <x v="3"/>
    <x v="1"/>
    <x v="0"/>
    <n v="16.489999999999998"/>
    <x v="2"/>
    <n v="303"/>
    <x v="2"/>
    <s v="Plato_3, Plato_20, Plato_10, Plato_7"/>
    <n v="82"/>
    <x v="237"/>
    <d v="2023-04-03T03:38:00"/>
    <d v="2023-04-03T06:24:00"/>
    <d v="1899-12-30T03:01:00"/>
    <x v="57"/>
    <x v="57"/>
    <x v="0"/>
  </r>
  <r>
    <n v="6"/>
    <x v="265"/>
    <n v="4"/>
    <d v="2023-04-03T03:24:00"/>
    <x v="249"/>
    <x v="1"/>
    <x v="0"/>
    <x v="2"/>
    <n v="22.05"/>
    <x v="0"/>
    <n v="304"/>
    <x v="1"/>
    <s v="Plato_15, Plato_13, Plato_20, Plato_17"/>
    <n v="108"/>
    <x v="238"/>
    <d v="2023-04-03T03:24:00"/>
    <d v="2023-04-03T04:40:00"/>
    <d v="1899-12-30T01:16:00"/>
    <x v="1"/>
    <x v="8"/>
    <x v="1"/>
  </r>
  <r>
    <n v="1"/>
    <x v="266"/>
    <n v="2"/>
    <d v="2023-04-03T00:45:00"/>
    <x v="250"/>
    <x v="1"/>
    <x v="0"/>
    <x v="2"/>
    <n v="37.92"/>
    <x v="0"/>
    <n v="305"/>
    <x v="9"/>
    <s v="Plato_8, Plato_14"/>
    <n v="51"/>
    <x v="239"/>
    <d v="2023-04-03T00:45:00"/>
    <d v="2023-04-03T04:13:00"/>
    <d v="1899-12-30T03:28:00"/>
    <x v="31"/>
    <x v="150"/>
    <x v="0"/>
  </r>
  <r>
    <s v="7"/>
    <x v="267"/>
    <n v="4"/>
    <d v="2023-04-03T00:03:00"/>
    <x v="251"/>
    <x v="3"/>
    <x v="0"/>
    <x v="2"/>
    <n v="16.96"/>
    <x v="2"/>
    <n v="306"/>
    <x v="9"/>
    <s v="Plato_15"/>
    <n v="13"/>
    <x v="240"/>
    <d v="2023-04-03T00:03:00"/>
    <d v="2023-04-03T02:32:00"/>
    <d v="1899-12-30T02:44:00"/>
    <x v="40"/>
    <x v="150"/>
    <x v="0"/>
  </r>
  <r>
    <s v="20"/>
    <x v="15"/>
    <n v="5"/>
    <d v="2023-04-03T03:09:00"/>
    <x v="252"/>
    <x v="1"/>
    <x v="0"/>
    <x v="1"/>
    <n v="31.66"/>
    <x v="1"/>
    <n v="307"/>
    <x v="4"/>
    <s v="Plato_13"/>
    <n v="24"/>
    <x v="241"/>
    <d v="2023-04-03T03:09:00"/>
    <d v="2023-04-03T05:39:00"/>
    <d v="1899-12-30T02:30:00"/>
    <x v="142"/>
    <x v="10"/>
    <x v="0"/>
  </r>
  <r>
    <n v="14"/>
    <x v="268"/>
    <n v="6"/>
    <d v="2023-04-03T01:55:00"/>
    <x v="253"/>
    <x v="2"/>
    <x v="0"/>
    <x v="2"/>
    <n v="33.79"/>
    <x v="0"/>
    <n v="308"/>
    <x v="7"/>
    <s v="Plato_18, Plato_8, Plato_17, Plato_16"/>
    <n v="90"/>
    <x v="242"/>
    <d v="2023-04-03T01:55:00"/>
    <d v="2023-04-03T04:39:00"/>
    <d v="1899-12-30T02:44:00"/>
    <x v="143"/>
    <x v="8"/>
    <x v="1"/>
  </r>
  <r>
    <n v="9"/>
    <x v="269"/>
    <n v="3"/>
    <d v="2023-04-03T00:28:00"/>
    <x v="254"/>
    <x v="1"/>
    <x v="0"/>
    <x v="2"/>
    <n v="36.090000000000003"/>
    <x v="0"/>
    <n v="309"/>
    <x v="10"/>
    <s v="Plato_20, Plato_17, Plato_8"/>
    <n v="67"/>
    <x v="243"/>
    <d v="2023-04-03T00:28:00"/>
    <d v="2023-04-03T04:05:00"/>
    <d v="1899-12-30T03:37:00"/>
    <x v="21"/>
    <x v="142"/>
    <x v="0"/>
  </r>
  <r>
    <n v="17"/>
    <x v="270"/>
    <n v="3"/>
    <d v="2023-04-03T03:04:00"/>
    <x v="235"/>
    <x v="3"/>
    <x v="2"/>
    <x v="2"/>
    <n v="11.47"/>
    <x v="1"/>
    <n v="310"/>
    <x v="7"/>
    <s v="Plato_10, Plato_2"/>
    <n v="57"/>
    <x v="244"/>
    <d v="2023-04-03T03:04:00"/>
    <d v="2023-04-03T06:23:00"/>
    <d v="1899-12-30T03:19:00"/>
    <x v="63"/>
    <x v="151"/>
    <x v="0"/>
  </r>
  <r>
    <n v="6"/>
    <x v="271"/>
    <n v="4"/>
    <d v="2023-04-03T01:40:00"/>
    <x v="255"/>
    <x v="0"/>
    <x v="1"/>
    <x v="1"/>
    <n v="39.270000000000003"/>
    <x v="2"/>
    <n v="311"/>
    <x v="3"/>
    <s v="Plato_7, Plato_9"/>
    <n v="22"/>
    <x v="206"/>
    <d v="2023-04-03T01:40:00"/>
    <d v="2023-04-03T02:43:00"/>
    <d v="1899-12-30T01:18:00"/>
    <x v="107"/>
    <x v="137"/>
    <x v="0"/>
  </r>
  <r>
    <n v="2"/>
    <x v="272"/>
    <n v="4"/>
    <d v="2023-04-03T03:07:00"/>
    <x v="256"/>
    <x v="0"/>
    <x v="0"/>
    <x v="2"/>
    <n v="30.89"/>
    <x v="0"/>
    <n v="312"/>
    <x v="7"/>
    <s v="Plato_15, Plato_8"/>
    <n v="54"/>
    <x v="245"/>
    <d v="2023-04-03T03:07:00"/>
    <d v="2023-04-03T06:12:00"/>
    <d v="1899-12-30T03:05:00"/>
    <x v="7"/>
    <x v="16"/>
    <x v="0"/>
  </r>
  <r>
    <n v="10"/>
    <x v="7"/>
    <n v="3"/>
    <d v="2023-04-03T02:23:00"/>
    <x v="257"/>
    <x v="1"/>
    <x v="1"/>
    <x v="0"/>
    <n v="43.14"/>
    <x v="0"/>
    <n v="313"/>
    <x v="0"/>
    <s v="Plato_12, Plato_17, Plato_19, Plato_7"/>
    <n v="92"/>
    <x v="246"/>
    <d v="2023-04-03T02:23:00"/>
    <d v="2023-04-03T05:46:00"/>
    <d v="1899-12-30T03:23:00"/>
    <x v="103"/>
    <x v="9"/>
    <x v="0"/>
  </r>
  <r>
    <s v="20"/>
    <x v="273"/>
    <n v="5"/>
    <d v="2023-04-03T00:46:00"/>
    <x v="258"/>
    <x v="4"/>
    <x v="0"/>
    <x v="0"/>
    <n v="32.18"/>
    <x v="2"/>
    <n v="314"/>
    <x v="9"/>
    <s v="Plato_6"/>
    <n v="11"/>
    <x v="203"/>
    <d v="2023-04-03T00:46:00"/>
    <d v="2023-04-03T03:53:00"/>
    <d v="1899-12-30T03:22:00"/>
    <x v="144"/>
    <x v="152"/>
    <x v="0"/>
  </r>
  <r>
    <n v="14"/>
    <x v="274"/>
    <n v="1"/>
    <d v="2023-04-03T00:12:00"/>
    <x v="219"/>
    <x v="2"/>
    <x v="0"/>
    <x v="2"/>
    <n v="20.6"/>
    <x v="1"/>
    <n v="315"/>
    <x v="9"/>
    <s v="Plato_1, Plato_16, Plato_9, Plato_13"/>
    <n v="66"/>
    <x v="247"/>
    <d v="2023-04-03T00:12:00"/>
    <d v="2023-04-03T03:29:00"/>
    <d v="1899-12-30T03:17:00"/>
    <x v="2"/>
    <x v="99"/>
    <x v="0"/>
  </r>
  <r>
    <n v="2"/>
    <x v="275"/>
    <n v="2"/>
    <d v="2023-04-03T01:38:00"/>
    <x v="259"/>
    <x v="3"/>
    <x v="1"/>
    <x v="2"/>
    <n v="31.13"/>
    <x v="0"/>
    <n v="316"/>
    <x v="4"/>
    <s v="Plato_4, Plato_13, Plato_6, Plato_20"/>
    <n v="64"/>
    <x v="248"/>
    <d v="2023-04-03T01:38:00"/>
    <d v="2023-04-03T05:32:00"/>
    <d v="1899-12-30T03:54:00"/>
    <x v="16"/>
    <x v="88"/>
    <x v="0"/>
  </r>
  <r>
    <n v="17"/>
    <x v="67"/>
    <n v="2"/>
    <d v="2023-04-03T02:25:00"/>
    <x v="260"/>
    <x v="2"/>
    <x v="1"/>
    <x v="1"/>
    <n v="24.55"/>
    <x v="1"/>
    <n v="317"/>
    <x v="7"/>
    <s v="Plato_5, Plato_18, Plato_15"/>
    <n v="73"/>
    <x v="249"/>
    <d v="2023-04-03T02:25:00"/>
    <d v="2023-04-03T06:16:00"/>
    <d v="1899-12-30T03:51:00"/>
    <x v="98"/>
    <x v="150"/>
    <x v="0"/>
  </r>
  <r>
    <s v="13"/>
    <x v="276"/>
    <n v="3"/>
    <d v="2023-04-03T03:33:00"/>
    <x v="261"/>
    <x v="0"/>
    <x v="2"/>
    <x v="2"/>
    <n v="10.08"/>
    <x v="0"/>
    <n v="318"/>
    <x v="5"/>
    <s v="Plato_9"/>
    <n v="12"/>
    <x v="250"/>
    <d v="2023-04-03T03:33:00"/>
    <d v="2023-04-03T05:09:00"/>
    <d v="1899-12-30T01:36:00"/>
    <x v="142"/>
    <x v="153"/>
    <x v="0"/>
  </r>
  <r>
    <n v="1"/>
    <x v="277"/>
    <n v="1"/>
    <d v="2023-04-03T00:48:00"/>
    <x v="262"/>
    <x v="1"/>
    <x v="0"/>
    <x v="1"/>
    <n v="30.05"/>
    <x v="1"/>
    <n v="319"/>
    <x v="6"/>
    <s v="Plato_15, Plato_8, Plato_20, Plato_17"/>
    <n v="106"/>
    <x v="251"/>
    <d v="2023-04-03T00:48:00"/>
    <d v="2023-04-03T03:59:00"/>
    <d v="1899-12-30T03:11:00"/>
    <x v="2"/>
    <x v="95"/>
    <x v="0"/>
  </r>
  <r>
    <n v="9"/>
    <x v="278"/>
    <n v="1"/>
    <d v="2023-04-03T01:30:00"/>
    <x v="263"/>
    <x v="0"/>
    <x v="0"/>
    <x v="0"/>
    <n v="44.02"/>
    <x v="0"/>
    <n v="320"/>
    <x v="0"/>
    <s v="Plato_13, Plato_5, Plato_18"/>
    <n v="39"/>
    <x v="252"/>
    <d v="2023-04-03T01:30:00"/>
    <d v="2023-04-03T04:17:00"/>
    <d v="1899-12-30T02:47:00"/>
    <x v="30"/>
    <x v="58"/>
    <x v="0"/>
  </r>
  <r>
    <n v="18"/>
    <x v="279"/>
    <n v="5"/>
    <d v="2023-04-03T02:04:00"/>
    <x v="264"/>
    <x v="1"/>
    <x v="0"/>
    <x v="2"/>
    <n v="23.59"/>
    <x v="1"/>
    <n v="321"/>
    <x v="5"/>
    <s v="Plato_16, Plato_5, Plato_14"/>
    <n v="57"/>
    <x v="253"/>
    <d v="2023-04-03T02:04:00"/>
    <d v="2023-04-03T04:18:00"/>
    <d v="1899-12-30T02:14:00"/>
    <x v="11"/>
    <x v="154"/>
    <x v="0"/>
  </r>
  <r>
    <n v="12"/>
    <x v="280"/>
    <n v="1"/>
    <d v="2023-04-03T03:41:00"/>
    <x v="265"/>
    <x v="2"/>
    <x v="2"/>
    <x v="2"/>
    <n v="24.69"/>
    <x v="2"/>
    <n v="322"/>
    <x v="8"/>
    <s v="Plato_15, Plato_13"/>
    <n v="34"/>
    <x v="254"/>
    <d v="2023-04-03T03:41:00"/>
    <d v="2023-04-03T05:47:00"/>
    <d v="1899-12-30T02:21:00"/>
    <x v="145"/>
    <x v="2"/>
    <x v="0"/>
  </r>
  <r>
    <n v="8"/>
    <x v="281"/>
    <n v="1"/>
    <d v="2023-04-03T01:23:00"/>
    <x v="245"/>
    <x v="3"/>
    <x v="1"/>
    <x v="1"/>
    <n v="44.3"/>
    <x v="1"/>
    <n v="323"/>
    <x v="9"/>
    <s v="Plato_5, Plato_9, Plato_7, Plato_4"/>
    <n v="87"/>
    <x v="255"/>
    <d v="2023-04-03T01:23:00"/>
    <d v="2023-04-03T04:19:00"/>
    <d v="1899-12-30T02:56:00"/>
    <x v="131"/>
    <x v="155"/>
    <x v="0"/>
  </r>
  <r>
    <n v="9"/>
    <x v="282"/>
    <n v="6"/>
    <d v="2023-04-03T00:43:00"/>
    <x v="238"/>
    <x v="1"/>
    <x v="2"/>
    <x v="2"/>
    <n v="21.6"/>
    <x v="1"/>
    <n v="324"/>
    <x v="4"/>
    <s v="Plato_2, Plato_6, Plato_10"/>
    <n v="56"/>
    <x v="256"/>
    <d v="2023-04-03T00:43:00"/>
    <d v="2023-04-03T01:51:00"/>
    <d v="1899-12-30T01:08:00"/>
    <x v="146"/>
    <x v="8"/>
    <x v="1"/>
  </r>
  <r>
    <n v="18"/>
    <x v="283"/>
    <n v="1"/>
    <d v="2023-04-03T01:00:00"/>
    <x v="266"/>
    <x v="2"/>
    <x v="0"/>
    <x v="2"/>
    <n v="32.5"/>
    <x v="0"/>
    <n v="325"/>
    <x v="4"/>
    <s v="Plato_13, Plato_17, Plato_8, Plato_15"/>
    <n v="61"/>
    <x v="257"/>
    <d v="2023-04-03T01:00:00"/>
    <d v="2023-04-03T02:18:00"/>
    <d v="1899-12-30T01:18:00"/>
    <x v="26"/>
    <x v="12"/>
    <x v="0"/>
  </r>
  <r>
    <n v="14"/>
    <x v="284"/>
    <n v="4"/>
    <d v="2023-04-04T01:39:00"/>
    <x v="267"/>
    <x v="1"/>
    <x v="1"/>
    <x v="0"/>
    <n v="13.85"/>
    <x v="2"/>
    <n v="326"/>
    <x v="4"/>
    <s v="Plato_8, Plato_4, Plato_16"/>
    <n v="34"/>
    <x v="258"/>
    <d v="2023-04-04T01:39:00"/>
    <d v="2023-04-04T05:34:00"/>
    <d v="1899-12-30T04:10:00"/>
    <x v="125"/>
    <x v="78"/>
    <x v="0"/>
  </r>
  <r>
    <n v="12"/>
    <x v="183"/>
    <n v="5"/>
    <d v="2023-04-04T02:59:00"/>
    <x v="268"/>
    <x v="3"/>
    <x v="2"/>
    <x v="2"/>
    <n v="15.08"/>
    <x v="0"/>
    <n v="327"/>
    <x v="1"/>
    <s v="Plato_18, Plato_4, Plato_6"/>
    <n v="61"/>
    <x v="259"/>
    <d v="2023-04-04T02:59:00"/>
    <d v="2023-04-04T04:36:00"/>
    <d v="1899-12-30T01:37:00"/>
    <x v="107"/>
    <x v="52"/>
    <x v="0"/>
  </r>
  <r>
    <s v="4"/>
    <x v="285"/>
    <n v="3"/>
    <d v="2023-04-04T01:44:00"/>
    <x v="269"/>
    <x v="2"/>
    <x v="2"/>
    <x v="2"/>
    <n v="13.85"/>
    <x v="0"/>
    <n v="328"/>
    <x v="9"/>
    <s v="Plato_8"/>
    <n v="14"/>
    <x v="260"/>
    <d v="2023-04-04T01:44:00"/>
    <d v="2023-04-04T04:07:00"/>
    <d v="1899-12-30T02:23:00"/>
    <x v="40"/>
    <x v="122"/>
    <x v="0"/>
  </r>
  <r>
    <n v="13"/>
    <x v="286"/>
    <n v="1"/>
    <d v="2023-04-04T00:26:00"/>
    <x v="270"/>
    <x v="2"/>
    <x v="0"/>
    <x v="2"/>
    <n v="38.89"/>
    <x v="2"/>
    <n v="329"/>
    <x v="6"/>
    <s v="Plato_13, Plato_20, Plato_17, Plato_14"/>
    <n v="79"/>
    <x v="261"/>
    <d v="2023-04-04T00:26:00"/>
    <d v="2023-04-04T02:41:00"/>
    <d v="1899-12-30T02:30:00"/>
    <x v="91"/>
    <x v="43"/>
    <x v="0"/>
  </r>
  <r>
    <n v="10"/>
    <x v="287"/>
    <n v="6"/>
    <d v="2023-04-04T01:50:00"/>
    <x v="271"/>
    <x v="0"/>
    <x v="1"/>
    <x v="2"/>
    <n v="32.17"/>
    <x v="2"/>
    <n v="330"/>
    <x v="6"/>
    <s v="Plato_1, Plato_16, Plato_14, Plato_13"/>
    <n v="87"/>
    <x v="262"/>
    <d v="2023-04-04T01:50:00"/>
    <d v="2023-04-04T03:57:00"/>
    <d v="1899-12-30T02:22:00"/>
    <x v="77"/>
    <x v="156"/>
    <x v="0"/>
  </r>
  <r>
    <n v="20"/>
    <x v="288"/>
    <n v="3"/>
    <d v="2023-04-04T03:06:00"/>
    <x v="272"/>
    <x v="4"/>
    <x v="2"/>
    <x v="0"/>
    <n v="36.61"/>
    <x v="0"/>
    <n v="331"/>
    <x v="3"/>
    <s v="Plato_12, Plato_8, Plato_7, Plato_1"/>
    <n v="70"/>
    <x v="263"/>
    <d v="2023-04-04T03:06:00"/>
    <d v="2023-04-04T06:17:00"/>
    <d v="1899-12-30T03:11:00"/>
    <x v="83"/>
    <x v="157"/>
    <x v="0"/>
  </r>
  <r>
    <s v="6"/>
    <x v="289"/>
    <n v="1"/>
    <d v="2023-04-04T00:14:00"/>
    <x v="273"/>
    <x v="2"/>
    <x v="0"/>
    <x v="0"/>
    <n v="25.21"/>
    <x v="0"/>
    <n v="332"/>
    <x v="10"/>
    <s v="Plato_20"/>
    <n v="45"/>
    <x v="264"/>
    <d v="2023-04-04T00:14:00"/>
    <d v="2023-04-04T01:29:00"/>
    <d v="1899-12-30T01:15:00"/>
    <x v="4"/>
    <x v="158"/>
    <x v="0"/>
  </r>
  <r>
    <n v="6"/>
    <x v="290"/>
    <n v="1"/>
    <d v="2023-04-04T03:10:00"/>
    <x v="274"/>
    <x v="4"/>
    <x v="2"/>
    <x v="2"/>
    <n v="13.19"/>
    <x v="1"/>
    <n v="333"/>
    <x v="3"/>
    <s v="Plato_19, Plato_4"/>
    <n v="30"/>
    <x v="265"/>
    <d v="2023-04-04T03:10:00"/>
    <d v="2023-04-04T04:29:00"/>
    <d v="1899-12-30T01:19:00"/>
    <x v="135"/>
    <x v="159"/>
    <x v="0"/>
  </r>
  <r>
    <n v="12"/>
    <x v="291"/>
    <n v="4"/>
    <d v="2023-04-04T02:51:00"/>
    <x v="275"/>
    <x v="1"/>
    <x v="1"/>
    <x v="2"/>
    <n v="17.5"/>
    <x v="1"/>
    <n v="334"/>
    <x v="10"/>
    <s v="Plato_13, Plato_14, Plato_7, Plato_2"/>
    <n v="69"/>
    <x v="266"/>
    <d v="2023-04-04T02:51:00"/>
    <d v="2023-04-04T06:31:00"/>
    <d v="1899-12-30T03:40:00"/>
    <x v="119"/>
    <x v="80"/>
    <x v="0"/>
  </r>
  <r>
    <n v="14"/>
    <x v="292"/>
    <n v="3"/>
    <d v="2023-04-04T01:56:00"/>
    <x v="276"/>
    <x v="4"/>
    <x v="0"/>
    <x v="0"/>
    <n v="41.56"/>
    <x v="1"/>
    <n v="335"/>
    <x v="2"/>
    <s v="Plato_2, Plato_16"/>
    <n v="48"/>
    <x v="267"/>
    <d v="2023-04-04T01:56:00"/>
    <d v="2023-04-04T03:09:00"/>
    <d v="1899-12-30T01:13:00"/>
    <x v="27"/>
    <x v="137"/>
    <x v="0"/>
  </r>
  <r>
    <n v="4"/>
    <x v="293"/>
    <n v="5"/>
    <d v="2023-04-04T01:35:00"/>
    <x v="277"/>
    <x v="2"/>
    <x v="2"/>
    <x v="2"/>
    <n v="17.93"/>
    <x v="1"/>
    <n v="336"/>
    <x v="10"/>
    <s v="Plato_13, Plato_12, Plato_10"/>
    <n v="65"/>
    <x v="268"/>
    <d v="2023-04-04T01:35:00"/>
    <d v="2023-04-04T04:51:00"/>
    <d v="1899-12-30T03:16:00"/>
    <x v="31"/>
    <x v="71"/>
    <x v="0"/>
  </r>
  <r>
    <n v="11"/>
    <x v="294"/>
    <n v="2"/>
    <d v="2023-04-04T01:38:00"/>
    <x v="278"/>
    <x v="3"/>
    <x v="2"/>
    <x v="2"/>
    <n v="19.28"/>
    <x v="0"/>
    <n v="337"/>
    <x v="2"/>
    <s v="Plato_7, Plato_16"/>
    <n v="42"/>
    <x v="269"/>
    <d v="2023-04-04T01:38:00"/>
    <d v="2023-04-04T04:31:00"/>
    <d v="1899-12-30T02:53:00"/>
    <x v="118"/>
    <x v="75"/>
    <x v="0"/>
  </r>
  <r>
    <n v="18"/>
    <x v="295"/>
    <n v="2"/>
    <d v="2023-04-04T00:32:00"/>
    <x v="279"/>
    <x v="3"/>
    <x v="0"/>
    <x v="0"/>
    <n v="30.62"/>
    <x v="0"/>
    <n v="338"/>
    <x v="8"/>
    <s v="Plato_18, Plato_13, Plato_15, Plato_3"/>
    <n v="113"/>
    <x v="270"/>
    <d v="2023-04-04T00:32:00"/>
    <d v="2023-04-04T03:30:00"/>
    <d v="1899-12-30T02:58:00"/>
    <x v="147"/>
    <x v="61"/>
    <x v="0"/>
  </r>
  <r>
    <n v="13"/>
    <x v="296"/>
    <n v="2"/>
    <d v="2023-04-04T00:00:00"/>
    <x v="280"/>
    <x v="0"/>
    <x v="1"/>
    <x v="0"/>
    <n v="19.600000000000001"/>
    <x v="0"/>
    <n v="339"/>
    <x v="4"/>
    <s v="Plato_9, Plato_14"/>
    <n v="42"/>
    <x v="271"/>
    <d v="2023-04-04T00:00:00"/>
    <d v="2023-04-04T02:01:00"/>
    <d v="1899-12-30T02:01:00"/>
    <x v="78"/>
    <x v="13"/>
    <x v="0"/>
  </r>
  <r>
    <n v="15"/>
    <x v="297"/>
    <n v="1"/>
    <d v="2023-04-04T01:12:00"/>
    <x v="281"/>
    <x v="0"/>
    <x v="0"/>
    <x v="2"/>
    <n v="38.520000000000003"/>
    <x v="1"/>
    <n v="340"/>
    <x v="0"/>
    <s v="Plato_20, Plato_16"/>
    <n v="66"/>
    <x v="272"/>
    <d v="2023-04-04T01:12:00"/>
    <d v="2023-04-04T04:38:00"/>
    <d v="1899-12-30T03:26:00"/>
    <x v="125"/>
    <x v="75"/>
    <x v="0"/>
  </r>
  <r>
    <n v="14"/>
    <x v="298"/>
    <n v="5"/>
    <d v="2023-04-04T02:05:00"/>
    <x v="282"/>
    <x v="0"/>
    <x v="1"/>
    <x v="2"/>
    <n v="47.05"/>
    <x v="1"/>
    <n v="341"/>
    <x v="4"/>
    <s v="Plato_16, Plato_5, Plato_8"/>
    <n v="72"/>
    <x v="273"/>
    <d v="2023-04-04T02:05:00"/>
    <d v="2023-04-04T04:19:00"/>
    <d v="1899-12-30T02:14:00"/>
    <x v="98"/>
    <x v="160"/>
    <x v="0"/>
  </r>
  <r>
    <n v="19"/>
    <x v="299"/>
    <n v="5"/>
    <d v="2023-04-04T02:30:00"/>
    <x v="283"/>
    <x v="0"/>
    <x v="1"/>
    <x v="2"/>
    <n v="20.059999999999999"/>
    <x v="1"/>
    <n v="342"/>
    <x v="6"/>
    <s v="Plato_14, Plato_16"/>
    <n v="42"/>
    <x v="274"/>
    <d v="2023-04-04T02:30:00"/>
    <d v="2023-04-04T06:11:00"/>
    <d v="1899-12-30T03:41:00"/>
    <x v="59"/>
    <x v="38"/>
    <x v="0"/>
  </r>
  <r>
    <n v="12"/>
    <x v="300"/>
    <n v="1"/>
    <d v="2023-04-04T03:56:00"/>
    <x v="284"/>
    <x v="3"/>
    <x v="0"/>
    <x v="2"/>
    <n v="23.01"/>
    <x v="2"/>
    <n v="343"/>
    <x v="4"/>
    <s v="Plato_18, Plato_14"/>
    <n v="55"/>
    <x v="275"/>
    <d v="2023-04-04T03:56:00"/>
    <d v="2023-04-04T05:45:00"/>
    <d v="1899-12-30T02:04:00"/>
    <x v="127"/>
    <x v="52"/>
    <x v="0"/>
  </r>
  <r>
    <n v="15"/>
    <x v="301"/>
    <n v="3"/>
    <d v="2023-04-04T00:46:00"/>
    <x v="285"/>
    <x v="2"/>
    <x v="0"/>
    <x v="2"/>
    <n v="33.01"/>
    <x v="2"/>
    <n v="344"/>
    <x v="9"/>
    <s v="Plato_8, Plato_17, Plato_15, Plato_5"/>
    <n v="73"/>
    <x v="276"/>
    <d v="2023-04-04T00:46:00"/>
    <d v="2023-04-04T02:04:00"/>
    <d v="1899-12-30T01:33:00"/>
    <x v="36"/>
    <x v="12"/>
    <x v="0"/>
  </r>
  <r>
    <s v="16"/>
    <x v="302"/>
    <n v="3"/>
    <d v="2023-04-04T01:18:00"/>
    <x v="282"/>
    <x v="4"/>
    <x v="0"/>
    <x v="2"/>
    <n v="13.98"/>
    <x v="2"/>
    <n v="345"/>
    <x v="9"/>
    <s v="Plato_12"/>
    <n v="16"/>
    <x v="277"/>
    <d v="2023-04-04T01:18:00"/>
    <d v="2023-04-04T04:19:00"/>
    <d v="1899-12-30T03:16:00"/>
    <x v="73"/>
    <x v="161"/>
    <x v="0"/>
  </r>
  <r>
    <s v="1"/>
    <x v="303"/>
    <n v="5"/>
    <d v="2023-04-04T00:40:00"/>
    <x v="286"/>
    <x v="3"/>
    <x v="0"/>
    <x v="0"/>
    <n v="35.93"/>
    <x v="0"/>
    <n v="346"/>
    <x v="10"/>
    <s v="Plato_19"/>
    <n v="28"/>
    <x v="278"/>
    <d v="2023-04-04T00:40:00"/>
    <d v="2023-04-04T03:56:00"/>
    <d v="1899-12-30T03:16:00"/>
    <x v="108"/>
    <x v="46"/>
    <x v="0"/>
  </r>
  <r>
    <s v="7"/>
    <x v="304"/>
    <n v="4"/>
    <d v="2023-04-04T01:49:00"/>
    <x v="287"/>
    <x v="4"/>
    <x v="0"/>
    <x v="2"/>
    <n v="48.52"/>
    <x v="0"/>
    <n v="347"/>
    <x v="9"/>
    <s v="Plato_8"/>
    <n v="28"/>
    <x v="279"/>
    <d v="2023-04-04T01:49:00"/>
    <d v="2023-04-04T04:34:00"/>
    <d v="1899-12-30T02:45:00"/>
    <x v="18"/>
    <x v="119"/>
    <x v="0"/>
  </r>
  <r>
    <n v="16"/>
    <x v="305"/>
    <n v="2"/>
    <d v="2023-04-04T01:17:00"/>
    <x v="288"/>
    <x v="2"/>
    <x v="0"/>
    <x v="2"/>
    <n v="30.78"/>
    <x v="2"/>
    <n v="348"/>
    <x v="3"/>
    <s v="Plato_10, Plato_3"/>
    <n v="35"/>
    <x v="280"/>
    <d v="2023-04-04T01:17:00"/>
    <d v="2023-04-04T04:59:00"/>
    <d v="1899-12-30T03:57:00"/>
    <x v="98"/>
    <x v="162"/>
    <x v="0"/>
  </r>
  <r>
    <n v="13"/>
    <x v="306"/>
    <n v="1"/>
    <d v="2023-04-04T03:48:00"/>
    <x v="289"/>
    <x v="3"/>
    <x v="1"/>
    <x v="2"/>
    <n v="40.630000000000003"/>
    <x v="2"/>
    <n v="349"/>
    <x v="2"/>
    <s v="Plato_2, Plato_12, Plato_8"/>
    <n v="62"/>
    <x v="281"/>
    <d v="2023-04-04T03:48:00"/>
    <d v="2023-04-04T07:31:00"/>
    <d v="1899-12-30T03:58:00"/>
    <x v="1"/>
    <x v="82"/>
    <x v="0"/>
  </r>
  <r>
    <n v="2"/>
    <x v="307"/>
    <n v="6"/>
    <d v="2023-04-04T00:35:00"/>
    <x v="290"/>
    <x v="3"/>
    <x v="1"/>
    <x v="0"/>
    <n v="36.21"/>
    <x v="0"/>
    <n v="350"/>
    <x v="1"/>
    <s v="Plato_17, Plato_6"/>
    <n v="57"/>
    <x v="282"/>
    <d v="2023-04-04T00:35:00"/>
    <d v="2023-04-04T02:59:00"/>
    <d v="1899-12-30T02:24:00"/>
    <x v="25"/>
    <x v="61"/>
    <x v="0"/>
  </r>
  <r>
    <n v="1"/>
    <x v="308"/>
    <n v="6"/>
    <d v="2023-04-04T03:52:00"/>
    <x v="291"/>
    <x v="1"/>
    <x v="1"/>
    <x v="2"/>
    <n v="48.93"/>
    <x v="1"/>
    <n v="351"/>
    <x v="2"/>
    <s v="Plato_15, Plato_8"/>
    <n v="81"/>
    <x v="283"/>
    <d v="2023-04-04T03:52:00"/>
    <d v="2023-04-04T06:09:00"/>
    <d v="1899-12-30T02:17:00"/>
    <x v="94"/>
    <x v="60"/>
    <x v="0"/>
  </r>
  <r>
    <s v="1"/>
    <x v="13"/>
    <n v="3"/>
    <d v="2023-04-04T00:17:00"/>
    <x v="292"/>
    <x v="0"/>
    <x v="1"/>
    <x v="1"/>
    <n v="17.55"/>
    <x v="0"/>
    <n v="352"/>
    <x v="3"/>
    <s v="Plato_11"/>
    <n v="39"/>
    <x v="284"/>
    <d v="2023-04-04T00:17:00"/>
    <d v="2023-04-04T02:53:00"/>
    <d v="1899-12-30T02:36:00"/>
    <x v="109"/>
    <x v="162"/>
    <x v="0"/>
  </r>
  <r>
    <n v="7"/>
    <x v="309"/>
    <n v="5"/>
    <d v="2023-04-04T03:46:00"/>
    <x v="293"/>
    <x v="3"/>
    <x v="2"/>
    <x v="2"/>
    <n v="27.37"/>
    <x v="0"/>
    <n v="353"/>
    <x v="2"/>
    <s v="Plato_5, Plato_2, Plato_8, Plato_18"/>
    <n v="86"/>
    <x v="285"/>
    <d v="2023-04-04T03:46:00"/>
    <d v="2023-04-04T07:36:00"/>
    <d v="1899-12-30T03:50:00"/>
    <x v="29"/>
    <x v="151"/>
    <x v="0"/>
  </r>
  <r>
    <n v="12"/>
    <x v="310"/>
    <n v="6"/>
    <d v="2023-04-04T00:26:00"/>
    <x v="294"/>
    <x v="3"/>
    <x v="1"/>
    <x v="2"/>
    <n v="29.58"/>
    <x v="2"/>
    <n v="354"/>
    <x v="3"/>
    <s v="Plato_12, Plato_15, Plato_4, Plato_7"/>
    <n v="76"/>
    <x v="261"/>
    <d v="2023-04-04T00:26:00"/>
    <d v="2023-04-04T03:24:00"/>
    <d v="1899-12-30T03:13:00"/>
    <x v="84"/>
    <x v="1"/>
    <x v="0"/>
  </r>
  <r>
    <s v="4"/>
    <x v="111"/>
    <n v="4"/>
    <d v="2023-04-04T01:41:00"/>
    <x v="295"/>
    <x v="3"/>
    <x v="1"/>
    <x v="2"/>
    <n v="30.53"/>
    <x v="0"/>
    <n v="355"/>
    <x v="0"/>
    <s v="Plato_10"/>
    <n v="11"/>
    <x v="286"/>
    <d v="2023-04-04T01:41:00"/>
    <d v="2023-04-04T05:07:00"/>
    <d v="1899-12-30T03:26:00"/>
    <x v="109"/>
    <x v="94"/>
    <x v="0"/>
  </r>
  <r>
    <s v="1"/>
    <x v="311"/>
    <n v="1"/>
    <d v="2023-04-04T00:12:00"/>
    <x v="296"/>
    <x v="0"/>
    <x v="1"/>
    <x v="2"/>
    <n v="28.92"/>
    <x v="2"/>
    <n v="356"/>
    <x v="2"/>
    <s v="Plato_4"/>
    <n v="16"/>
    <x v="287"/>
    <d v="2023-04-04T00:12:00"/>
    <d v="2023-04-04T02:18:00"/>
    <d v="1899-12-30T02:21:00"/>
    <x v="109"/>
    <x v="163"/>
    <x v="0"/>
  </r>
  <r>
    <n v="17"/>
    <x v="312"/>
    <n v="2"/>
    <d v="2023-04-04T01:19:00"/>
    <x v="297"/>
    <x v="0"/>
    <x v="1"/>
    <x v="0"/>
    <n v="26.87"/>
    <x v="2"/>
    <n v="357"/>
    <x v="9"/>
    <s v="Plato_1, Plato_3, Plato_6, Plato_5"/>
    <n v="68"/>
    <x v="288"/>
    <d v="2023-04-04T01:19:00"/>
    <d v="2023-04-04T04:26:00"/>
    <d v="1899-12-30T03:22:00"/>
    <x v="45"/>
    <x v="0"/>
    <x v="0"/>
  </r>
  <r>
    <n v="13"/>
    <x v="250"/>
    <n v="5"/>
    <d v="2023-04-04T02:37:00"/>
    <x v="298"/>
    <x v="3"/>
    <x v="2"/>
    <x v="2"/>
    <n v="42.1"/>
    <x v="0"/>
    <n v="358"/>
    <x v="7"/>
    <s v="Plato_10, Plato_4, Plato_3"/>
    <n v="70"/>
    <x v="289"/>
    <d v="2023-04-04T02:37:00"/>
    <d v="2023-04-04T05:57:00"/>
    <d v="1899-12-30T03:20:00"/>
    <x v="20"/>
    <x v="3"/>
    <x v="0"/>
  </r>
  <r>
    <n v="11"/>
    <x v="104"/>
    <n v="2"/>
    <d v="2023-04-04T00:41:00"/>
    <x v="299"/>
    <x v="2"/>
    <x v="0"/>
    <x v="2"/>
    <n v="12.2"/>
    <x v="0"/>
    <n v="359"/>
    <x v="4"/>
    <s v="Plato_5, Plato_16, Plato_9, Plato_10"/>
    <n v="80"/>
    <x v="290"/>
    <d v="2023-04-04T00:41:00"/>
    <d v="2023-04-04T04:10:00"/>
    <d v="1899-12-30T03:29:00"/>
    <x v="56"/>
    <x v="80"/>
    <x v="0"/>
  </r>
  <r>
    <n v="16"/>
    <x v="313"/>
    <n v="3"/>
    <d v="2023-04-04T01:10:00"/>
    <x v="300"/>
    <x v="0"/>
    <x v="0"/>
    <x v="2"/>
    <n v="39.26"/>
    <x v="2"/>
    <n v="360"/>
    <x v="4"/>
    <s v="Plato_13, Plato_2, Plato_10, Plato_15"/>
    <n v="94"/>
    <x v="291"/>
    <d v="2023-04-04T01:10:00"/>
    <d v="2023-04-04T04:58:00"/>
    <d v="1899-12-30T04:03:00"/>
    <x v="50"/>
    <x v="85"/>
    <x v="0"/>
  </r>
  <r>
    <n v="16"/>
    <x v="314"/>
    <n v="1"/>
    <d v="2023-04-04T01:53:00"/>
    <x v="301"/>
    <x v="2"/>
    <x v="2"/>
    <x v="1"/>
    <n v="41.73"/>
    <x v="1"/>
    <n v="361"/>
    <x v="1"/>
    <s v="Plato_9, Plato_7"/>
    <n v="42"/>
    <x v="292"/>
    <d v="2023-04-04T01:53:00"/>
    <d v="2023-04-04T05:28:00"/>
    <d v="1899-12-30T03:35:00"/>
    <x v="43"/>
    <x v="7"/>
    <x v="0"/>
  </r>
  <r>
    <n v="15"/>
    <x v="167"/>
    <n v="2"/>
    <d v="2023-04-04T02:03:00"/>
    <x v="302"/>
    <x v="1"/>
    <x v="0"/>
    <x v="2"/>
    <n v="47.21"/>
    <x v="1"/>
    <n v="362"/>
    <x v="7"/>
    <s v="Plato_3, Plato_7, Plato_4"/>
    <n v="26"/>
    <x v="293"/>
    <d v="2023-04-04T02:03:00"/>
    <d v="2023-04-04T05:59:00"/>
    <d v="1899-12-30T03:56:00"/>
    <x v="21"/>
    <x v="87"/>
    <x v="0"/>
  </r>
  <r>
    <n v="5"/>
    <x v="315"/>
    <n v="2"/>
    <d v="2023-04-04T01:46:00"/>
    <x v="303"/>
    <x v="0"/>
    <x v="0"/>
    <x v="2"/>
    <n v="49.02"/>
    <x v="2"/>
    <n v="363"/>
    <x v="2"/>
    <s v="Plato_2, Plato_7, Plato_19, Plato_11"/>
    <n v="96"/>
    <x v="294"/>
    <d v="2023-04-04T01:46:00"/>
    <d v="2023-04-04T03:29:00"/>
    <d v="1899-12-30T01:58:00"/>
    <x v="132"/>
    <x v="8"/>
    <x v="1"/>
  </r>
  <r>
    <n v="15"/>
    <x v="316"/>
    <n v="2"/>
    <d v="2023-04-04T03:50:00"/>
    <x v="304"/>
    <x v="3"/>
    <x v="0"/>
    <x v="0"/>
    <n v="48.28"/>
    <x v="0"/>
    <n v="364"/>
    <x v="2"/>
    <s v="Plato_16, Plato_5, Plato_1, Plato_9"/>
    <n v="65"/>
    <x v="295"/>
    <d v="2023-04-04T03:50:00"/>
    <d v="2023-04-04T07:10:00"/>
    <d v="1899-12-30T03:20:00"/>
    <x v="43"/>
    <x v="109"/>
    <x v="0"/>
  </r>
  <r>
    <s v="4"/>
    <x v="317"/>
    <n v="1"/>
    <d v="2023-04-04T01:03:00"/>
    <x v="305"/>
    <x v="0"/>
    <x v="0"/>
    <x v="1"/>
    <n v="34.97"/>
    <x v="2"/>
    <n v="365"/>
    <x v="9"/>
    <s v="Plato_19"/>
    <n v="42"/>
    <x v="296"/>
    <d v="2023-04-04T01:03:00"/>
    <d v="2023-04-04T04:33:00"/>
    <d v="1899-12-30T03:45:00"/>
    <x v="94"/>
    <x v="164"/>
    <x v="0"/>
  </r>
  <r>
    <n v="17"/>
    <x v="318"/>
    <n v="5"/>
    <d v="2023-04-04T01:33:00"/>
    <x v="306"/>
    <x v="0"/>
    <x v="0"/>
    <x v="1"/>
    <n v="10.57"/>
    <x v="0"/>
    <n v="366"/>
    <x v="9"/>
    <s v="Plato_6, Plato_8, Plato_20"/>
    <n v="94"/>
    <x v="297"/>
    <d v="2023-04-04T01:33:00"/>
    <d v="2023-04-04T04:46:00"/>
    <d v="1899-12-30T03:13:00"/>
    <x v="146"/>
    <x v="7"/>
    <x v="0"/>
  </r>
  <r>
    <n v="12"/>
    <x v="319"/>
    <n v="2"/>
    <d v="2023-04-04T00:53:00"/>
    <x v="307"/>
    <x v="0"/>
    <x v="2"/>
    <x v="2"/>
    <n v="12.62"/>
    <x v="1"/>
    <n v="367"/>
    <x v="9"/>
    <s v="Plato_10, Plato_9, Plato_3"/>
    <n v="42"/>
    <x v="298"/>
    <d v="2023-04-04T00:53:00"/>
    <d v="2023-04-04T03:45:00"/>
    <d v="1899-12-30T02:52:00"/>
    <x v="47"/>
    <x v="11"/>
    <x v="0"/>
  </r>
  <r>
    <n v="13"/>
    <x v="320"/>
    <n v="1"/>
    <d v="2023-04-04T03:24:00"/>
    <x v="308"/>
    <x v="1"/>
    <x v="1"/>
    <x v="0"/>
    <n v="37.65"/>
    <x v="2"/>
    <n v="368"/>
    <x v="1"/>
    <s v="Plato_11, Plato_7"/>
    <n v="49"/>
    <x v="299"/>
    <d v="2023-04-04T03:24:00"/>
    <d v="2023-04-04T05:33:00"/>
    <d v="1899-12-30T02:24:00"/>
    <x v="1"/>
    <x v="36"/>
    <x v="0"/>
  </r>
  <r>
    <n v="20"/>
    <x v="321"/>
    <n v="2"/>
    <d v="2023-04-04T02:11:00"/>
    <x v="309"/>
    <x v="3"/>
    <x v="0"/>
    <x v="2"/>
    <n v="34.83"/>
    <x v="1"/>
    <n v="369"/>
    <x v="7"/>
    <s v="Plato_17, Plato_14, Plato_16, Plato_10"/>
    <n v="99"/>
    <x v="300"/>
    <d v="2023-04-04T02:11:00"/>
    <d v="2023-04-04T05:54:00"/>
    <d v="1899-12-30T03:43:00"/>
    <x v="72"/>
    <x v="165"/>
    <x v="0"/>
  </r>
  <r>
    <s v="13"/>
    <x v="322"/>
    <n v="6"/>
    <d v="2023-04-04T02:20:00"/>
    <x v="310"/>
    <x v="0"/>
    <x v="0"/>
    <x v="2"/>
    <n v="47.79"/>
    <x v="1"/>
    <n v="370"/>
    <x v="7"/>
    <s v="Plato_19"/>
    <n v="28"/>
    <x v="301"/>
    <d v="2023-04-04T02:20:00"/>
    <d v="2023-04-04T03:23:00"/>
    <d v="1899-12-30T01:03:00"/>
    <x v="88"/>
    <x v="166"/>
    <x v="0"/>
  </r>
  <r>
    <n v="4"/>
    <x v="323"/>
    <n v="3"/>
    <d v="2023-04-04T01:16:00"/>
    <x v="278"/>
    <x v="4"/>
    <x v="2"/>
    <x v="2"/>
    <n v="32.51"/>
    <x v="2"/>
    <n v="371"/>
    <x v="8"/>
    <s v="Plato_17, Plato_19, Plato_16, Plato_14"/>
    <n v="80"/>
    <x v="302"/>
    <d v="2023-04-04T01:16:00"/>
    <d v="2023-04-04T04:31:00"/>
    <d v="1899-12-30T03:30:00"/>
    <x v="58"/>
    <x v="106"/>
    <x v="0"/>
  </r>
  <r>
    <s v="14"/>
    <x v="324"/>
    <n v="5"/>
    <d v="2023-04-04T02:46:00"/>
    <x v="311"/>
    <x v="2"/>
    <x v="0"/>
    <x v="2"/>
    <n v="17.170000000000002"/>
    <x v="0"/>
    <n v="372"/>
    <x v="2"/>
    <s v="Plato_4"/>
    <n v="16"/>
    <x v="303"/>
    <d v="2023-04-04T02:46:00"/>
    <d v="2023-04-04T06:14:00"/>
    <d v="1899-12-30T03:28:00"/>
    <x v="108"/>
    <x v="167"/>
    <x v="0"/>
  </r>
  <r>
    <n v="19"/>
    <x v="325"/>
    <n v="2"/>
    <d v="2023-04-04T00:37:00"/>
    <x v="312"/>
    <x v="3"/>
    <x v="1"/>
    <x v="0"/>
    <n v="26.62"/>
    <x v="2"/>
    <n v="373"/>
    <x v="10"/>
    <s v="Plato_13, Plato_8, Plato_5, Plato_3"/>
    <n v="64"/>
    <x v="304"/>
    <d v="2023-04-04T00:37:00"/>
    <d v="2023-04-04T03:11:00"/>
    <d v="1899-12-30T02:49:00"/>
    <x v="130"/>
    <x v="26"/>
    <x v="0"/>
  </r>
  <r>
    <s v="18"/>
    <x v="326"/>
    <n v="3"/>
    <d v="2023-04-04T03:19:00"/>
    <x v="313"/>
    <x v="2"/>
    <x v="0"/>
    <x v="2"/>
    <n v="33.35"/>
    <x v="1"/>
    <n v="374"/>
    <x v="3"/>
    <s v="Plato_8"/>
    <n v="14"/>
    <x v="305"/>
    <d v="2023-04-04T03:19:00"/>
    <d v="2023-04-04T04:24:00"/>
    <d v="1899-12-30T01:05:00"/>
    <x v="136"/>
    <x v="1"/>
    <x v="0"/>
  </r>
  <r>
    <s v="18"/>
    <x v="327"/>
    <n v="1"/>
    <d v="2023-04-04T00:17:00"/>
    <x v="276"/>
    <x v="0"/>
    <x v="0"/>
    <x v="2"/>
    <n v="2.23"/>
    <x v="0"/>
    <n v="375"/>
    <x v="0"/>
    <s v="Plato_17"/>
    <n v="36"/>
    <x v="284"/>
    <d v="2023-04-04T00:17:00"/>
    <d v="2023-04-04T03:09:00"/>
    <d v="1899-12-30T02:52:00"/>
    <x v="111"/>
    <x v="168"/>
    <x v="0"/>
  </r>
  <r>
    <s v="16"/>
    <x v="314"/>
    <n v="4"/>
    <d v="2023-04-04T02:53:00"/>
    <x v="314"/>
    <x v="1"/>
    <x v="0"/>
    <x v="1"/>
    <n v="27.51"/>
    <x v="2"/>
    <n v="376"/>
    <x v="8"/>
    <s v="Plato_14"/>
    <n v="18"/>
    <x v="306"/>
    <d v="2023-04-04T02:53:00"/>
    <d v="2023-04-04T05:12:00"/>
    <d v="1899-12-30T02:34:00"/>
    <x v="144"/>
    <x v="162"/>
    <x v="0"/>
  </r>
  <r>
    <n v="5"/>
    <x v="328"/>
    <n v="1"/>
    <d v="2023-04-04T01:18:00"/>
    <x v="306"/>
    <x v="4"/>
    <x v="0"/>
    <x v="2"/>
    <n v="14.96"/>
    <x v="1"/>
    <n v="377"/>
    <x v="3"/>
    <s v="Plato_18, Plato_15"/>
    <n v="41"/>
    <x v="277"/>
    <d v="2023-04-04T01:18:00"/>
    <d v="2023-04-04T04:46:00"/>
    <d v="1899-12-30T03:28:00"/>
    <x v="78"/>
    <x v="169"/>
    <x v="0"/>
  </r>
  <r>
    <n v="3"/>
    <x v="329"/>
    <n v="1"/>
    <d v="2023-04-04T03:55:00"/>
    <x v="315"/>
    <x v="1"/>
    <x v="0"/>
    <x v="1"/>
    <n v="40.31"/>
    <x v="1"/>
    <n v="378"/>
    <x v="4"/>
    <s v="Plato_2, Plato_12"/>
    <n v="20"/>
    <x v="307"/>
    <d v="2023-04-04T03:55:00"/>
    <d v="2023-04-04T05:18:00"/>
    <d v="1899-12-30T01:23:00"/>
    <x v="40"/>
    <x v="81"/>
    <x v="0"/>
  </r>
  <r>
    <s v="4"/>
    <x v="174"/>
    <n v="2"/>
    <d v="2023-04-04T01:31:00"/>
    <x v="271"/>
    <x v="0"/>
    <x v="1"/>
    <x v="2"/>
    <n v="10.61"/>
    <x v="2"/>
    <n v="379"/>
    <x v="9"/>
    <s v="Plato_8"/>
    <n v="28"/>
    <x v="308"/>
    <d v="2023-04-04T01:31:00"/>
    <d v="2023-04-04T03:57:00"/>
    <d v="1899-12-30T02:41:00"/>
    <x v="105"/>
    <x v="170"/>
    <x v="0"/>
  </r>
  <r>
    <n v="5"/>
    <x v="144"/>
    <n v="1"/>
    <d v="2023-04-04T00:58:00"/>
    <x v="305"/>
    <x v="0"/>
    <x v="2"/>
    <x v="0"/>
    <n v="22.53"/>
    <x v="1"/>
    <n v="380"/>
    <x v="10"/>
    <s v="Plato_11, Plato_12"/>
    <n v="55"/>
    <x v="309"/>
    <d v="2023-04-04T00:58:00"/>
    <d v="2023-04-04T04:33:00"/>
    <d v="1899-12-30T03:35:00"/>
    <x v="114"/>
    <x v="122"/>
    <x v="0"/>
  </r>
  <r>
    <n v="4"/>
    <x v="330"/>
    <n v="1"/>
    <d v="2023-04-04T00:57:00"/>
    <x v="316"/>
    <x v="1"/>
    <x v="1"/>
    <x v="0"/>
    <n v="27.69"/>
    <x v="1"/>
    <n v="381"/>
    <x v="7"/>
    <s v="Plato_10, Plato_11"/>
    <n v="59"/>
    <x v="310"/>
    <d v="2023-04-04T00:57:00"/>
    <d v="2023-04-04T04:32:00"/>
    <d v="1899-12-30T03:35:00"/>
    <x v="32"/>
    <x v="135"/>
    <x v="0"/>
  </r>
  <r>
    <s v="20"/>
    <x v="69"/>
    <n v="6"/>
    <d v="2023-04-04T03:09:00"/>
    <x v="317"/>
    <x v="2"/>
    <x v="2"/>
    <x v="0"/>
    <n v="1.98"/>
    <x v="0"/>
    <n v="382"/>
    <x v="8"/>
    <s v="Plato_9"/>
    <n v="36"/>
    <x v="311"/>
    <d v="2023-04-04T03:09:00"/>
    <d v="2023-04-04T06:27:00"/>
    <d v="1899-12-30T03:18:00"/>
    <x v="59"/>
    <x v="40"/>
    <x v="0"/>
  </r>
  <r>
    <s v="6"/>
    <x v="331"/>
    <n v="6"/>
    <d v="2023-04-04T03:29:00"/>
    <x v="318"/>
    <x v="4"/>
    <x v="0"/>
    <x v="2"/>
    <n v="31.33"/>
    <x v="1"/>
    <n v="383"/>
    <x v="9"/>
    <s v="Plato_19"/>
    <n v="42"/>
    <x v="312"/>
    <d v="2023-04-04T03:29:00"/>
    <d v="2023-04-04T06:33:00"/>
    <d v="1899-12-30T03:04:00"/>
    <x v="136"/>
    <x v="45"/>
    <x v="0"/>
  </r>
  <r>
    <n v="1"/>
    <x v="332"/>
    <n v="5"/>
    <d v="2023-04-04T00:11:00"/>
    <x v="319"/>
    <x v="1"/>
    <x v="1"/>
    <x v="0"/>
    <n v="39.32"/>
    <x v="0"/>
    <n v="384"/>
    <x v="5"/>
    <s v="Plato_4, Plato_12, Plato_6"/>
    <n v="51"/>
    <x v="313"/>
    <d v="2023-04-04T00:11:00"/>
    <d v="2023-04-04T02:33:00"/>
    <d v="1899-12-30T02:22:00"/>
    <x v="110"/>
    <x v="171"/>
    <x v="0"/>
  </r>
  <r>
    <s v="6"/>
    <x v="333"/>
    <n v="6"/>
    <d v="2023-04-05T03:37:00"/>
    <x v="320"/>
    <x v="0"/>
    <x v="1"/>
    <x v="2"/>
    <n v="11.14"/>
    <x v="2"/>
    <n v="385"/>
    <x v="0"/>
    <s v="Plato_2"/>
    <n v="24"/>
    <x v="314"/>
    <d v="2023-04-05T03:37:00"/>
    <d v="2023-04-05T06:43:00"/>
    <d v="1899-12-30T03:21:00"/>
    <x v="108"/>
    <x v="118"/>
    <x v="0"/>
  </r>
  <r>
    <s v="5"/>
    <x v="287"/>
    <n v="2"/>
    <d v="2023-04-05T00:33:00"/>
    <x v="321"/>
    <x v="4"/>
    <x v="0"/>
    <x v="0"/>
    <n v="28.96"/>
    <x v="2"/>
    <n v="386"/>
    <x v="5"/>
    <s v="Plato_11"/>
    <n v="39"/>
    <x v="315"/>
    <d v="2023-04-05T00:33:00"/>
    <d v="2023-04-05T02:58:00"/>
    <d v="1899-12-30T02:40:00"/>
    <x v="3"/>
    <x v="172"/>
    <x v="0"/>
  </r>
  <r>
    <s v="6"/>
    <x v="334"/>
    <n v="5"/>
    <d v="2023-04-05T03:09:00"/>
    <x v="322"/>
    <x v="3"/>
    <x v="0"/>
    <x v="1"/>
    <n v="20.84"/>
    <x v="2"/>
    <n v="387"/>
    <x v="5"/>
    <s v="Plato_17"/>
    <n v="36"/>
    <x v="316"/>
    <d v="2023-04-05T03:09:00"/>
    <d v="2023-04-05T06:10:00"/>
    <d v="1899-12-30T03:16:00"/>
    <x v="73"/>
    <x v="161"/>
    <x v="0"/>
  </r>
  <r>
    <n v="18"/>
    <x v="156"/>
    <n v="2"/>
    <d v="2023-04-05T00:33:00"/>
    <x v="323"/>
    <x v="2"/>
    <x v="0"/>
    <x v="2"/>
    <n v="27.03"/>
    <x v="1"/>
    <n v="388"/>
    <x v="0"/>
    <s v="Plato_17, Plato_19, Plato_9, Plato_11"/>
    <n v="115"/>
    <x v="315"/>
    <d v="2023-04-05T00:33:00"/>
    <d v="2023-04-05T03:35:00"/>
    <d v="1899-12-30T03:02:00"/>
    <x v="115"/>
    <x v="43"/>
    <x v="0"/>
  </r>
  <r>
    <s v="19"/>
    <x v="335"/>
    <n v="5"/>
    <d v="2023-04-05T00:02:00"/>
    <x v="324"/>
    <x v="0"/>
    <x v="0"/>
    <x v="2"/>
    <n v="39.14"/>
    <x v="0"/>
    <n v="389"/>
    <x v="5"/>
    <s v="Plato_11"/>
    <n v="13"/>
    <x v="317"/>
    <d v="2023-04-05T00:02:00"/>
    <d v="2023-04-05T02:15:00"/>
    <d v="1899-12-30T02:13:00"/>
    <x v="148"/>
    <x v="76"/>
    <x v="0"/>
  </r>
  <r>
    <n v="9"/>
    <x v="35"/>
    <n v="2"/>
    <d v="2023-04-05T02:59:00"/>
    <x v="325"/>
    <x v="0"/>
    <x v="0"/>
    <x v="2"/>
    <n v="42.68"/>
    <x v="0"/>
    <n v="390"/>
    <x v="9"/>
    <s v="Plato_5, Plato_10, Plato_13"/>
    <n v="59"/>
    <x v="318"/>
    <d v="2023-04-05T02:59:00"/>
    <d v="2023-04-05T05:19:00"/>
    <d v="1899-12-30T02:20:00"/>
    <x v="114"/>
    <x v="32"/>
    <x v="0"/>
  </r>
  <r>
    <s v="15"/>
    <x v="336"/>
    <n v="1"/>
    <d v="2023-04-05T02:05:00"/>
    <x v="326"/>
    <x v="0"/>
    <x v="0"/>
    <x v="2"/>
    <n v="4.8600000000000003"/>
    <x v="0"/>
    <n v="391"/>
    <x v="8"/>
    <s v="Plato_5"/>
    <n v="9"/>
    <x v="319"/>
    <d v="2023-04-05T02:05:00"/>
    <d v="2023-04-05T04:09:00"/>
    <d v="1899-12-30T02:04:00"/>
    <x v="24"/>
    <x v="57"/>
    <x v="0"/>
  </r>
  <r>
    <n v="14"/>
    <x v="337"/>
    <n v="3"/>
    <d v="2023-04-05T00:33:00"/>
    <x v="327"/>
    <x v="2"/>
    <x v="0"/>
    <x v="2"/>
    <n v="32.729999999999997"/>
    <x v="2"/>
    <n v="392"/>
    <x v="6"/>
    <s v="Plato_15, Plato_7"/>
    <n v="49"/>
    <x v="315"/>
    <d v="2023-04-05T00:33:00"/>
    <d v="2023-04-05T04:08:00"/>
    <d v="1899-12-30T03:50:00"/>
    <x v="59"/>
    <x v="173"/>
    <x v="0"/>
  </r>
  <r>
    <n v="13"/>
    <x v="338"/>
    <n v="3"/>
    <d v="2023-04-05T02:33:00"/>
    <x v="328"/>
    <x v="4"/>
    <x v="0"/>
    <x v="2"/>
    <n v="12.54"/>
    <x v="2"/>
    <n v="393"/>
    <x v="1"/>
    <s v="Plato_12, Plato_8, Plato_13, Plato_5"/>
    <n v="84"/>
    <x v="320"/>
    <d v="2023-04-05T02:33:00"/>
    <d v="2023-04-05T05:17:00"/>
    <d v="1899-12-30T02:59:00"/>
    <x v="25"/>
    <x v="157"/>
    <x v="0"/>
  </r>
  <r>
    <n v="17"/>
    <x v="8"/>
    <n v="1"/>
    <d v="2023-04-05T03:26:00"/>
    <x v="329"/>
    <x v="0"/>
    <x v="0"/>
    <x v="2"/>
    <n v="18.05"/>
    <x v="2"/>
    <n v="394"/>
    <x v="2"/>
    <s v="Plato_7, Plato_9"/>
    <n v="32"/>
    <x v="321"/>
    <d v="2023-04-05T03:26:00"/>
    <d v="2023-04-05T07:02:00"/>
    <d v="1899-12-30T03:51:00"/>
    <x v="32"/>
    <x v="136"/>
    <x v="0"/>
  </r>
  <r>
    <s v="2"/>
    <x v="339"/>
    <n v="1"/>
    <d v="2023-04-05T01:37:00"/>
    <x v="330"/>
    <x v="2"/>
    <x v="0"/>
    <x v="0"/>
    <n v="4.09"/>
    <x v="1"/>
    <n v="395"/>
    <x v="8"/>
    <s v="Plato_12"/>
    <n v="16"/>
    <x v="322"/>
    <d v="2023-04-05T01:37:00"/>
    <d v="2023-04-05T05:34:00"/>
    <d v="1899-12-30T03:57:00"/>
    <x v="69"/>
    <x v="174"/>
    <x v="0"/>
  </r>
  <r>
    <n v="11"/>
    <x v="340"/>
    <n v="1"/>
    <d v="2023-04-05T00:32:00"/>
    <x v="331"/>
    <x v="2"/>
    <x v="2"/>
    <x v="1"/>
    <n v="34.5"/>
    <x v="1"/>
    <n v="396"/>
    <x v="4"/>
    <s v="Plato_3, Plato_13"/>
    <n v="32"/>
    <x v="323"/>
    <d v="2023-04-05T00:32:00"/>
    <d v="2023-04-05T03:36:00"/>
    <d v="1899-12-30T03:04:00"/>
    <x v="0"/>
    <x v="64"/>
    <x v="0"/>
  </r>
  <r>
    <n v="4"/>
    <x v="303"/>
    <n v="2"/>
    <d v="2023-04-05T00:20:00"/>
    <x v="332"/>
    <x v="4"/>
    <x v="1"/>
    <x v="0"/>
    <n v="37.79"/>
    <x v="1"/>
    <n v="397"/>
    <x v="9"/>
    <s v="Plato_6, Plato_17"/>
    <n v="58"/>
    <x v="324"/>
    <d v="2023-04-05T00:20:00"/>
    <d v="2023-04-05T01:34:00"/>
    <d v="1899-12-30T01:14:00"/>
    <x v="27"/>
    <x v="102"/>
    <x v="0"/>
  </r>
  <r>
    <n v="9"/>
    <x v="341"/>
    <n v="5"/>
    <d v="2023-04-05T03:10:00"/>
    <x v="333"/>
    <x v="1"/>
    <x v="1"/>
    <x v="2"/>
    <n v="48.96"/>
    <x v="1"/>
    <n v="398"/>
    <x v="4"/>
    <s v="Plato_16, Plato_11"/>
    <n v="50"/>
    <x v="325"/>
    <d v="2023-04-05T03:10:00"/>
    <d v="2023-04-05T07:05:00"/>
    <d v="1899-12-30T03:55:00"/>
    <x v="26"/>
    <x v="175"/>
    <x v="0"/>
  </r>
  <r>
    <n v="7"/>
    <x v="342"/>
    <n v="6"/>
    <d v="2023-04-05T02:48:00"/>
    <x v="334"/>
    <x v="3"/>
    <x v="0"/>
    <x v="2"/>
    <n v="27.32"/>
    <x v="1"/>
    <n v="399"/>
    <x v="0"/>
    <s v="Plato_11, Plato_19"/>
    <n v="81"/>
    <x v="326"/>
    <d v="2023-04-05T02:48:00"/>
    <d v="2023-04-05T05:40:00"/>
    <d v="1899-12-30T02:52:00"/>
    <x v="125"/>
    <x v="2"/>
    <x v="0"/>
  </r>
  <r>
    <n v="9"/>
    <x v="343"/>
    <n v="4"/>
    <d v="2023-04-05T02:11:00"/>
    <x v="335"/>
    <x v="4"/>
    <x v="0"/>
    <x v="2"/>
    <n v="42.96"/>
    <x v="0"/>
    <n v="400"/>
    <x v="2"/>
    <s v="Plato_20, Plato_16, Plato_17"/>
    <n v="78"/>
    <x v="327"/>
    <d v="2023-04-05T02:11:00"/>
    <d v="2023-04-05T04:14:00"/>
    <d v="1899-12-30T02:03:00"/>
    <x v="76"/>
    <x v="176"/>
    <x v="0"/>
  </r>
  <r>
    <s v="16"/>
    <x v="277"/>
    <n v="2"/>
    <d v="2023-04-05T03:51:00"/>
    <x v="336"/>
    <x v="2"/>
    <x v="0"/>
    <x v="2"/>
    <n v="15.87"/>
    <x v="2"/>
    <n v="401"/>
    <x v="3"/>
    <s v="Plato_13"/>
    <n v="16"/>
    <x v="328"/>
    <d v="2023-04-05T03:51:00"/>
    <d v="2023-04-05T06:57:00"/>
    <d v="1899-12-30T03:21:00"/>
    <x v="60"/>
    <x v="165"/>
    <x v="0"/>
  </r>
  <r>
    <n v="18"/>
    <x v="344"/>
    <n v="1"/>
    <d v="2023-04-05T02:41:00"/>
    <x v="337"/>
    <x v="0"/>
    <x v="0"/>
    <x v="2"/>
    <n v="31.02"/>
    <x v="0"/>
    <n v="402"/>
    <x v="1"/>
    <s v="Plato_1, Plato_12, Plato_5"/>
    <n v="62"/>
    <x v="329"/>
    <d v="2023-04-05T02:41:00"/>
    <d v="2023-04-05T05:08:00"/>
    <d v="1899-12-30T02:27:00"/>
    <x v="149"/>
    <x v="2"/>
    <x v="0"/>
  </r>
  <r>
    <n v="14"/>
    <x v="345"/>
    <n v="5"/>
    <d v="2023-04-05T02:15:00"/>
    <x v="338"/>
    <x v="1"/>
    <x v="0"/>
    <x v="2"/>
    <n v="14.76"/>
    <x v="1"/>
    <n v="403"/>
    <x v="9"/>
    <s v="Plato_5, Plato_4, Plato_15, Plato_7"/>
    <n v="79"/>
    <x v="330"/>
    <d v="2023-04-05T02:15:00"/>
    <d v="2023-04-05T05:15:00"/>
    <d v="1899-12-30T03:00:00"/>
    <x v="1"/>
    <x v="138"/>
    <x v="0"/>
  </r>
  <r>
    <n v="17"/>
    <x v="299"/>
    <n v="2"/>
    <d v="2023-04-05T00:38:00"/>
    <x v="339"/>
    <x v="3"/>
    <x v="0"/>
    <x v="2"/>
    <n v="32.56"/>
    <x v="1"/>
    <n v="404"/>
    <x v="0"/>
    <s v="Plato_13, Plato_3, Plato_20"/>
    <n v="69"/>
    <x v="331"/>
    <d v="2023-04-05T00:38:00"/>
    <d v="2023-04-05T04:29:00"/>
    <d v="1899-12-30T03:51:00"/>
    <x v="96"/>
    <x v="22"/>
    <x v="0"/>
  </r>
  <r>
    <n v="5"/>
    <x v="346"/>
    <n v="6"/>
    <d v="2023-04-05T02:39:00"/>
    <x v="340"/>
    <x v="2"/>
    <x v="2"/>
    <x v="2"/>
    <n v="14.56"/>
    <x v="0"/>
    <n v="405"/>
    <x v="10"/>
    <s v="Plato_10, Plato_20, Plato_3"/>
    <n v="42"/>
    <x v="332"/>
    <d v="2023-04-05T02:39:00"/>
    <d v="2023-04-05T04:59:00"/>
    <d v="1899-12-30T02:20:00"/>
    <x v="33"/>
    <x v="93"/>
    <x v="0"/>
  </r>
  <r>
    <n v="14"/>
    <x v="224"/>
    <n v="5"/>
    <d v="2023-04-05T00:29:00"/>
    <x v="341"/>
    <x v="2"/>
    <x v="2"/>
    <x v="1"/>
    <n v="34.03"/>
    <x v="2"/>
    <n v="406"/>
    <x v="0"/>
    <s v="Plato_3, Plato_8, Plato_1"/>
    <n v="62"/>
    <x v="333"/>
    <d v="2023-04-05T00:29:00"/>
    <d v="2023-04-05T02:37:00"/>
    <d v="1899-12-30T02:23:00"/>
    <x v="70"/>
    <x v="37"/>
    <x v="0"/>
  </r>
  <r>
    <n v="4"/>
    <x v="347"/>
    <n v="1"/>
    <d v="2023-04-05T02:13:00"/>
    <x v="342"/>
    <x v="4"/>
    <x v="1"/>
    <x v="0"/>
    <n v="22.98"/>
    <x v="0"/>
    <n v="407"/>
    <x v="8"/>
    <s v="Plato_3, Plato_8"/>
    <n v="38"/>
    <x v="334"/>
    <d v="2023-04-05T02:13:00"/>
    <d v="2023-04-05T04:51:00"/>
    <d v="1899-12-30T02:38:00"/>
    <x v="150"/>
    <x v="4"/>
    <x v="0"/>
  </r>
  <r>
    <n v="17"/>
    <x v="261"/>
    <n v="3"/>
    <d v="2023-04-05T00:56:00"/>
    <x v="343"/>
    <x v="2"/>
    <x v="0"/>
    <x v="2"/>
    <n v="10.14"/>
    <x v="2"/>
    <n v="408"/>
    <x v="9"/>
    <s v="Plato_1, Plato_7, Plato_18"/>
    <n v="54"/>
    <x v="335"/>
    <d v="2023-04-05T00:56:00"/>
    <d v="2023-04-05T04:05:00"/>
    <d v="1899-12-30T03:24:00"/>
    <x v="103"/>
    <x v="21"/>
    <x v="0"/>
  </r>
  <r>
    <n v="15"/>
    <x v="348"/>
    <n v="5"/>
    <d v="2023-04-05T01:55:00"/>
    <x v="344"/>
    <x v="1"/>
    <x v="0"/>
    <x v="2"/>
    <n v="48.7"/>
    <x v="0"/>
    <n v="409"/>
    <x v="9"/>
    <s v="Plato_13, Plato_20, Plato_16, Plato_7"/>
    <n v="81"/>
    <x v="336"/>
    <d v="2023-04-05T01:55:00"/>
    <d v="2023-04-05T03:01:00"/>
    <d v="1899-12-30T01:06:00"/>
    <x v="151"/>
    <x v="8"/>
    <x v="1"/>
  </r>
  <r>
    <n v="1"/>
    <x v="349"/>
    <n v="3"/>
    <d v="2023-04-05T02:47:00"/>
    <x v="345"/>
    <x v="4"/>
    <x v="2"/>
    <x v="2"/>
    <n v="43.65"/>
    <x v="0"/>
    <n v="410"/>
    <x v="4"/>
    <s v="Plato_3, Plato_19"/>
    <n v="22"/>
    <x v="337"/>
    <d v="2023-04-05T02:47:00"/>
    <d v="2023-04-05T05:23:00"/>
    <d v="1899-12-30T02:36:00"/>
    <x v="125"/>
    <x v="95"/>
    <x v="0"/>
  </r>
  <r>
    <n v="3"/>
    <x v="197"/>
    <n v="3"/>
    <d v="2023-04-05T02:11:00"/>
    <x v="346"/>
    <x v="1"/>
    <x v="0"/>
    <x v="0"/>
    <n v="21.88"/>
    <x v="2"/>
    <n v="411"/>
    <x v="1"/>
    <s v="Plato_20, Plato_4, Plato_6"/>
    <n v="86"/>
    <x v="327"/>
    <d v="2023-04-05T02:11:00"/>
    <d v="2023-04-05T05:04:00"/>
    <d v="1899-12-30T03:08:00"/>
    <x v="34"/>
    <x v="86"/>
    <x v="0"/>
  </r>
  <r>
    <s v="11"/>
    <x v="350"/>
    <n v="4"/>
    <d v="2023-04-05T00:22:00"/>
    <x v="347"/>
    <x v="3"/>
    <x v="2"/>
    <x v="2"/>
    <n v="12.94"/>
    <x v="2"/>
    <n v="412"/>
    <x v="4"/>
    <s v="Plato_17"/>
    <n v="36"/>
    <x v="338"/>
    <d v="2023-04-05T00:22:00"/>
    <d v="2023-04-05T02:03:00"/>
    <d v="1899-12-30T01:56:00"/>
    <x v="0"/>
    <x v="36"/>
    <x v="0"/>
  </r>
  <r>
    <s v="13"/>
    <x v="351"/>
    <n v="3"/>
    <d v="2023-04-05T02:36:00"/>
    <x v="348"/>
    <x v="4"/>
    <x v="2"/>
    <x v="2"/>
    <n v="23.01"/>
    <x v="2"/>
    <n v="413"/>
    <x v="10"/>
    <s v="Plato_8"/>
    <n v="14"/>
    <x v="339"/>
    <d v="2023-04-05T02:36:00"/>
    <d v="2023-04-05T04:58:00"/>
    <d v="1899-12-30T02:37:00"/>
    <x v="104"/>
    <x v="168"/>
    <x v="0"/>
  </r>
  <r>
    <s v="14"/>
    <x v="352"/>
    <n v="6"/>
    <d v="2023-04-05T03:43:00"/>
    <x v="349"/>
    <x v="3"/>
    <x v="1"/>
    <x v="2"/>
    <n v="13.17"/>
    <x v="0"/>
    <n v="414"/>
    <x v="0"/>
    <s v="Plato_11"/>
    <n v="13"/>
    <x v="340"/>
    <d v="2023-04-05T03:43:00"/>
    <d v="2023-04-05T07:12:00"/>
    <d v="1899-12-30T03:29:00"/>
    <x v="15"/>
    <x v="177"/>
    <x v="0"/>
  </r>
  <r>
    <n v="14"/>
    <x v="353"/>
    <n v="4"/>
    <d v="2023-04-05T00:39:00"/>
    <x v="350"/>
    <x v="4"/>
    <x v="2"/>
    <x v="2"/>
    <n v="20.51"/>
    <x v="2"/>
    <n v="415"/>
    <x v="2"/>
    <s v="Plato_6, Plato_18, Plato_19"/>
    <n v="64"/>
    <x v="341"/>
    <d v="2023-04-05T00:39:00"/>
    <d v="2023-04-05T04:35:00"/>
    <d v="1899-12-30T04:11:00"/>
    <x v="37"/>
    <x v="175"/>
    <x v="0"/>
  </r>
  <r>
    <s v="20"/>
    <x v="354"/>
    <n v="2"/>
    <d v="2023-04-05T03:03:00"/>
    <x v="351"/>
    <x v="1"/>
    <x v="2"/>
    <x v="2"/>
    <n v="1.29"/>
    <x v="0"/>
    <n v="416"/>
    <x v="7"/>
    <s v="Plato_1"/>
    <n v="10"/>
    <x v="342"/>
    <d v="2023-04-05T03:03:00"/>
    <d v="2023-04-05T06:37:00"/>
    <d v="1899-12-30T03:34:00"/>
    <x v="136"/>
    <x v="54"/>
    <x v="0"/>
  </r>
  <r>
    <n v="7"/>
    <x v="355"/>
    <n v="2"/>
    <d v="2023-04-05T03:25:00"/>
    <x v="352"/>
    <x v="2"/>
    <x v="2"/>
    <x v="2"/>
    <n v="35.08"/>
    <x v="1"/>
    <n v="417"/>
    <x v="5"/>
    <s v="Plato_9, Plato_20, Plato_12, Plato_6"/>
    <n v="57"/>
    <x v="343"/>
    <d v="2023-04-05T03:25:00"/>
    <d v="2023-04-05T04:33:00"/>
    <d v="1899-12-30T01:08:00"/>
    <x v="146"/>
    <x v="8"/>
    <x v="1"/>
  </r>
  <r>
    <n v="17"/>
    <x v="356"/>
    <n v="4"/>
    <d v="2023-04-05T00:52:00"/>
    <x v="353"/>
    <x v="0"/>
    <x v="2"/>
    <x v="2"/>
    <n v="35.51"/>
    <x v="0"/>
    <n v="418"/>
    <x v="0"/>
    <s v="Plato_1, Plato_17"/>
    <n v="46"/>
    <x v="344"/>
    <d v="2023-04-05T00:52:00"/>
    <d v="2023-04-05T03:31:00"/>
    <d v="1899-12-30T02:39:00"/>
    <x v="61"/>
    <x v="36"/>
    <x v="0"/>
  </r>
  <r>
    <n v="11"/>
    <x v="357"/>
    <n v="4"/>
    <d v="2023-04-05T03:14:00"/>
    <x v="354"/>
    <x v="3"/>
    <x v="0"/>
    <x v="2"/>
    <n v="14.09"/>
    <x v="2"/>
    <n v="419"/>
    <x v="10"/>
    <s v="Plato_18, Plato_11"/>
    <n v="27"/>
    <x v="345"/>
    <d v="2023-04-05T03:14:00"/>
    <d v="2023-04-05T05:43:00"/>
    <d v="1899-12-30T02:44:00"/>
    <x v="152"/>
    <x v="178"/>
    <x v="0"/>
  </r>
  <r>
    <n v="18"/>
    <x v="9"/>
    <n v="6"/>
    <d v="2023-04-05T02:18:00"/>
    <x v="355"/>
    <x v="2"/>
    <x v="0"/>
    <x v="2"/>
    <n v="31.49"/>
    <x v="2"/>
    <n v="420"/>
    <x v="6"/>
    <s v="Plato_18, Plato_3, Plato_1, Plato_15"/>
    <n v="98"/>
    <x v="346"/>
    <d v="2023-04-05T02:18:00"/>
    <d v="2023-04-05T05:29:00"/>
    <d v="1899-12-30T03:26:00"/>
    <x v="28"/>
    <x v="25"/>
    <x v="0"/>
  </r>
  <r>
    <n v="10"/>
    <x v="358"/>
    <n v="1"/>
    <d v="2023-04-05T01:37:00"/>
    <x v="356"/>
    <x v="1"/>
    <x v="0"/>
    <x v="2"/>
    <n v="17.57"/>
    <x v="2"/>
    <n v="421"/>
    <x v="9"/>
    <s v="Plato_17, Plato_4"/>
    <n v="36"/>
    <x v="322"/>
    <d v="2023-04-05T01:37:00"/>
    <d v="2023-04-05T04:07:00"/>
    <d v="1899-12-30T02:45:00"/>
    <x v="26"/>
    <x v="142"/>
    <x v="0"/>
  </r>
  <r>
    <n v="12"/>
    <x v="359"/>
    <n v="6"/>
    <d v="2023-04-05T00:36:00"/>
    <x v="357"/>
    <x v="2"/>
    <x v="0"/>
    <x v="2"/>
    <n v="39.72"/>
    <x v="0"/>
    <n v="422"/>
    <x v="0"/>
    <s v="Plato_10, Plato_19"/>
    <n v="36"/>
    <x v="347"/>
    <d v="2023-04-05T00:36:00"/>
    <d v="2023-04-05T03:09:00"/>
    <d v="1899-12-30T02:33:00"/>
    <x v="153"/>
    <x v="6"/>
    <x v="0"/>
  </r>
  <r>
    <n v="4"/>
    <x v="181"/>
    <n v="2"/>
    <d v="2023-04-05T02:34:00"/>
    <x v="358"/>
    <x v="1"/>
    <x v="0"/>
    <x v="1"/>
    <n v="34.130000000000003"/>
    <x v="1"/>
    <n v="423"/>
    <x v="8"/>
    <s v="Plato_16, Plato_15"/>
    <n v="63"/>
    <x v="348"/>
    <d v="2023-04-05T02:34:00"/>
    <d v="2023-04-05T04:57:00"/>
    <d v="1899-12-30T02:23:00"/>
    <x v="126"/>
    <x v="60"/>
    <x v="0"/>
  </r>
  <r>
    <n v="13"/>
    <x v="360"/>
    <n v="3"/>
    <d v="2023-04-05T01:08:00"/>
    <x v="359"/>
    <x v="2"/>
    <x v="2"/>
    <x v="1"/>
    <n v="11.02"/>
    <x v="0"/>
    <n v="424"/>
    <x v="1"/>
    <s v="Plato_5, Plato_6"/>
    <n v="60"/>
    <x v="349"/>
    <d v="2023-04-05T01:08:00"/>
    <d v="2023-04-05T03:17:00"/>
    <d v="1899-12-30T02:09:00"/>
    <x v="98"/>
    <x v="89"/>
    <x v="0"/>
  </r>
  <r>
    <s v="18"/>
    <x v="361"/>
    <n v="3"/>
    <d v="2023-04-05T01:24:00"/>
    <x v="360"/>
    <x v="2"/>
    <x v="0"/>
    <x v="2"/>
    <n v="49.43"/>
    <x v="0"/>
    <n v="425"/>
    <x v="4"/>
    <s v="Plato_12"/>
    <n v="8"/>
    <x v="350"/>
    <d v="2023-04-05T01:24:00"/>
    <d v="2023-04-05T03:45:00"/>
    <d v="1899-12-30T02:21:00"/>
    <x v="101"/>
    <x v="87"/>
    <x v="0"/>
  </r>
  <r>
    <n v="5"/>
    <x v="362"/>
    <n v="2"/>
    <d v="2023-04-05T03:11:00"/>
    <x v="361"/>
    <x v="4"/>
    <x v="0"/>
    <x v="2"/>
    <n v="47.8"/>
    <x v="0"/>
    <n v="426"/>
    <x v="2"/>
    <s v="Plato_11, Plato_16, Plato_1, Plato_19"/>
    <n v="99"/>
    <x v="351"/>
    <d v="2023-04-05T03:11:00"/>
    <d v="2023-04-05T05:02:00"/>
    <d v="1899-12-30T01:51:00"/>
    <x v="130"/>
    <x v="8"/>
    <x v="1"/>
  </r>
  <r>
    <n v="2"/>
    <x v="142"/>
    <n v="4"/>
    <d v="2023-04-05T02:34:00"/>
    <x v="362"/>
    <x v="2"/>
    <x v="0"/>
    <x v="1"/>
    <n v="43.74"/>
    <x v="1"/>
    <n v="427"/>
    <x v="6"/>
    <s v="Plato_1, Plato_8, Plato_14, Plato_12"/>
    <n v="83"/>
    <x v="348"/>
    <d v="2023-04-05T02:34:00"/>
    <d v="2023-04-05T03:43:00"/>
    <d v="1899-12-30T01:09:00"/>
    <x v="113"/>
    <x v="8"/>
    <x v="1"/>
  </r>
  <r>
    <n v="7"/>
    <x v="363"/>
    <n v="5"/>
    <d v="2023-04-05T03:18:00"/>
    <x v="363"/>
    <x v="4"/>
    <x v="1"/>
    <x v="2"/>
    <n v="15.6"/>
    <x v="0"/>
    <n v="428"/>
    <x v="8"/>
    <s v="Plato_20, Plato_14, Plato_1, Plato_17"/>
    <n v="68"/>
    <x v="352"/>
    <d v="2023-04-05T03:18:00"/>
    <d v="2023-04-05T06:03:00"/>
    <d v="1899-12-30T02:45:00"/>
    <x v="154"/>
    <x v="8"/>
    <x v="1"/>
  </r>
  <r>
    <s v="8"/>
    <x v="364"/>
    <n v="1"/>
    <d v="2023-04-05T00:10:00"/>
    <x v="364"/>
    <x v="4"/>
    <x v="0"/>
    <x v="2"/>
    <n v="10.95"/>
    <x v="0"/>
    <n v="429"/>
    <x v="2"/>
    <s v="Plato_10"/>
    <n v="33"/>
    <x v="353"/>
    <d v="2023-04-05T00:10:00"/>
    <d v="2023-04-05T03:46:00"/>
    <d v="1899-12-30T03:36:00"/>
    <x v="111"/>
    <x v="179"/>
    <x v="0"/>
  </r>
  <r>
    <s v="7"/>
    <x v="365"/>
    <n v="3"/>
    <d v="2023-04-05T02:21:00"/>
    <x v="365"/>
    <x v="4"/>
    <x v="0"/>
    <x v="0"/>
    <n v="42.09"/>
    <x v="0"/>
    <n v="430"/>
    <x v="5"/>
    <s v="Plato_1"/>
    <n v="10"/>
    <x v="354"/>
    <d v="2023-04-05T02:21:00"/>
    <d v="2023-04-05T03:59:00"/>
    <d v="1899-12-30T01:38:00"/>
    <x v="58"/>
    <x v="180"/>
    <x v="0"/>
  </r>
  <r>
    <s v="15"/>
    <x v="247"/>
    <n v="5"/>
    <d v="2023-04-05T03:33:00"/>
    <x v="366"/>
    <x v="3"/>
    <x v="0"/>
    <x v="2"/>
    <n v="39.82"/>
    <x v="1"/>
    <n v="431"/>
    <x v="10"/>
    <s v="Plato_2"/>
    <n v="24"/>
    <x v="355"/>
    <d v="2023-04-05T03:33:00"/>
    <d v="2023-04-05T07:25:00"/>
    <d v="1899-12-30T03:52:00"/>
    <x v="60"/>
    <x v="181"/>
    <x v="0"/>
  </r>
  <r>
    <n v="10"/>
    <x v="366"/>
    <n v="2"/>
    <d v="2023-04-05T03:31:00"/>
    <x v="367"/>
    <x v="4"/>
    <x v="2"/>
    <x v="2"/>
    <n v="18.71"/>
    <x v="1"/>
    <n v="432"/>
    <x v="1"/>
    <s v="Plato_3, Plato_13, Plato_16"/>
    <n v="44"/>
    <x v="356"/>
    <d v="2023-04-05T03:31:00"/>
    <d v="2023-04-05T05:54:00"/>
    <d v="1899-12-30T02:23:00"/>
    <x v="107"/>
    <x v="182"/>
    <x v="0"/>
  </r>
  <r>
    <n v="10"/>
    <x v="6"/>
    <n v="4"/>
    <d v="2023-04-05T01:14:00"/>
    <x v="357"/>
    <x v="4"/>
    <x v="0"/>
    <x v="2"/>
    <n v="45.77"/>
    <x v="0"/>
    <n v="433"/>
    <x v="6"/>
    <s v="Plato_2, Plato_7"/>
    <n v="42"/>
    <x v="357"/>
    <d v="2023-04-05T01:14:00"/>
    <d v="2023-04-05T03:09:00"/>
    <d v="1899-12-30T01:55:00"/>
    <x v="107"/>
    <x v="89"/>
    <x v="0"/>
  </r>
  <r>
    <n v="15"/>
    <x v="367"/>
    <n v="4"/>
    <d v="2023-04-05T00:15:00"/>
    <x v="368"/>
    <x v="4"/>
    <x v="0"/>
    <x v="2"/>
    <n v="37.15"/>
    <x v="0"/>
    <n v="434"/>
    <x v="6"/>
    <s v="Plato_10, Plato_5"/>
    <n v="40"/>
    <x v="358"/>
    <d v="2023-04-05T00:15:00"/>
    <d v="2023-04-05T03:55:00"/>
    <d v="1899-12-30T03:40:00"/>
    <x v="118"/>
    <x v="169"/>
    <x v="0"/>
  </r>
  <r>
    <n v="17"/>
    <x v="368"/>
    <n v="6"/>
    <d v="2023-04-05T03:53:00"/>
    <x v="369"/>
    <x v="3"/>
    <x v="0"/>
    <x v="2"/>
    <n v="30.48"/>
    <x v="2"/>
    <n v="435"/>
    <x v="0"/>
    <s v="Plato_10, Plato_13, Plato_2"/>
    <n v="62"/>
    <x v="359"/>
    <d v="2023-04-05T03:53:00"/>
    <d v="2023-04-05T06:01:00"/>
    <d v="1899-12-30T02:23:00"/>
    <x v="120"/>
    <x v="171"/>
    <x v="0"/>
  </r>
  <r>
    <s v="10"/>
    <x v="369"/>
    <n v="3"/>
    <d v="2023-04-05T00:12:00"/>
    <x v="370"/>
    <x v="3"/>
    <x v="0"/>
    <x v="2"/>
    <n v="10.14"/>
    <x v="2"/>
    <n v="436"/>
    <x v="2"/>
    <s v="Plato_16"/>
    <n v="24"/>
    <x v="360"/>
    <d v="2023-04-05T00:12:00"/>
    <d v="2023-04-05T04:04:00"/>
    <d v="1899-12-30T04:07:00"/>
    <x v="129"/>
    <x v="139"/>
    <x v="0"/>
  </r>
  <r>
    <s v="16"/>
    <x v="274"/>
    <n v="6"/>
    <d v="2023-04-05T03:02:00"/>
    <x v="371"/>
    <x v="0"/>
    <x v="0"/>
    <x v="2"/>
    <n v="12.56"/>
    <x v="0"/>
    <n v="437"/>
    <x v="3"/>
    <s v="Plato_8"/>
    <n v="28"/>
    <x v="361"/>
    <d v="2023-04-05T03:02:00"/>
    <d v="2023-04-05T05:25:00"/>
    <d v="1899-12-30T02:23:00"/>
    <x v="62"/>
    <x v="114"/>
    <x v="0"/>
  </r>
  <r>
    <s v="2"/>
    <x v="370"/>
    <n v="1"/>
    <d v="2023-04-05T03:58:00"/>
    <x v="372"/>
    <x v="1"/>
    <x v="0"/>
    <x v="2"/>
    <n v="1.93"/>
    <x v="1"/>
    <n v="438"/>
    <x v="10"/>
    <s v="Plato_11"/>
    <n v="13"/>
    <x v="362"/>
    <d v="2023-04-05T03:58:00"/>
    <d v="2023-04-05T07:33:00"/>
    <d v="1899-12-30T03:35:00"/>
    <x v="62"/>
    <x v="175"/>
    <x v="0"/>
  </r>
  <r>
    <n v="15"/>
    <x v="371"/>
    <n v="1"/>
    <d v="2023-04-05T00:00:00"/>
    <x v="373"/>
    <x v="0"/>
    <x v="2"/>
    <x v="2"/>
    <n v="25.56"/>
    <x v="1"/>
    <n v="439"/>
    <x v="6"/>
    <s v="Plato_11, Plato_10"/>
    <n v="72"/>
    <x v="363"/>
    <d v="2023-04-05T00:00:00"/>
    <d v="2023-04-05T01:23:00"/>
    <d v="1899-12-30T01:23:00"/>
    <x v="152"/>
    <x v="97"/>
    <x v="0"/>
  </r>
  <r>
    <n v="13"/>
    <x v="372"/>
    <n v="1"/>
    <d v="2023-04-05T01:59:00"/>
    <x v="374"/>
    <x v="2"/>
    <x v="0"/>
    <x v="2"/>
    <n v="38.85"/>
    <x v="2"/>
    <n v="440"/>
    <x v="10"/>
    <s v="Plato_14, Plato_12"/>
    <n v="34"/>
    <x v="364"/>
    <d v="2023-04-05T01:59:00"/>
    <d v="2023-04-05T05:48:00"/>
    <d v="1899-12-30T04:04:00"/>
    <x v="129"/>
    <x v="94"/>
    <x v="0"/>
  </r>
  <r>
    <n v="13"/>
    <x v="373"/>
    <n v="6"/>
    <d v="2023-04-05T01:04:00"/>
    <x v="375"/>
    <x v="2"/>
    <x v="0"/>
    <x v="1"/>
    <n v="23.31"/>
    <x v="2"/>
    <n v="441"/>
    <x v="0"/>
    <s v="Plato_8, Plato_10"/>
    <n v="75"/>
    <x v="365"/>
    <d v="2023-04-05T01:04:00"/>
    <d v="2023-04-05T03:23:00"/>
    <d v="1899-12-30T02:34:00"/>
    <x v="146"/>
    <x v="80"/>
    <x v="0"/>
  </r>
  <r>
    <n v="15"/>
    <x v="374"/>
    <n v="3"/>
    <d v="2023-04-05T02:04:00"/>
    <x v="376"/>
    <x v="4"/>
    <x v="2"/>
    <x v="2"/>
    <n v="21.07"/>
    <x v="2"/>
    <n v="442"/>
    <x v="7"/>
    <s v="Plato_18, Plato_1, Plato_19"/>
    <n v="94"/>
    <x v="366"/>
    <d v="2023-04-05T02:04:00"/>
    <d v="2023-04-05T03:18:00"/>
    <d v="1899-12-30T01:29:00"/>
    <x v="55"/>
    <x v="8"/>
    <x v="1"/>
  </r>
  <r>
    <n v="4"/>
    <x v="361"/>
    <n v="2"/>
    <d v="2023-04-05T01:15:00"/>
    <x v="377"/>
    <x v="2"/>
    <x v="0"/>
    <x v="0"/>
    <n v="14.48"/>
    <x v="1"/>
    <n v="443"/>
    <x v="5"/>
    <s v="Plato_14, Plato_15, Plato_10, Plato_16"/>
    <n v="91"/>
    <x v="367"/>
    <d v="2023-04-05T01:15:00"/>
    <d v="2023-04-05T03:14:00"/>
    <d v="1899-12-30T01:59:00"/>
    <x v="51"/>
    <x v="8"/>
    <x v="1"/>
  </r>
  <r>
    <n v="8"/>
    <x v="50"/>
    <n v="5"/>
    <d v="2023-04-05T03:23:00"/>
    <x v="378"/>
    <x v="1"/>
    <x v="0"/>
    <x v="2"/>
    <n v="25.26"/>
    <x v="1"/>
    <n v="444"/>
    <x v="10"/>
    <s v="Plato_14, Plato_7"/>
    <n v="39"/>
    <x v="368"/>
    <d v="2023-04-05T03:23:00"/>
    <d v="2023-04-05T06:08:00"/>
    <d v="1899-12-30T02:45:00"/>
    <x v="39"/>
    <x v="85"/>
    <x v="0"/>
  </r>
  <r>
    <s v="6"/>
    <x v="375"/>
    <n v="5"/>
    <d v="2023-04-05T01:01:00"/>
    <x v="357"/>
    <x v="1"/>
    <x v="1"/>
    <x v="2"/>
    <n v="14.28"/>
    <x v="1"/>
    <n v="445"/>
    <x v="3"/>
    <s v="Plato_6"/>
    <n v="33"/>
    <x v="369"/>
    <d v="2023-04-05T01:01:00"/>
    <d v="2023-04-05T03:09:00"/>
    <d v="1899-12-30T02:08:00"/>
    <x v="100"/>
    <x v="151"/>
    <x v="0"/>
  </r>
  <r>
    <s v="12"/>
    <x v="38"/>
    <n v="2"/>
    <d v="2023-04-05T02:48:00"/>
    <x v="379"/>
    <x v="1"/>
    <x v="0"/>
    <x v="2"/>
    <n v="35.24"/>
    <x v="1"/>
    <n v="446"/>
    <x v="8"/>
    <s v="Plato_13"/>
    <n v="8"/>
    <x v="326"/>
    <d v="2023-04-05T02:48:00"/>
    <d v="2023-04-05T06:13:00"/>
    <d v="1899-12-30T03:25:00"/>
    <x v="69"/>
    <x v="152"/>
    <x v="0"/>
  </r>
  <r>
    <n v="8"/>
    <x v="376"/>
    <n v="2"/>
    <d v="2023-04-05T03:53:00"/>
    <x v="380"/>
    <x v="4"/>
    <x v="2"/>
    <x v="2"/>
    <n v="28.68"/>
    <x v="1"/>
    <n v="447"/>
    <x v="0"/>
    <s v="Plato_3, Plato_12, Plato_16"/>
    <n v="76"/>
    <x v="359"/>
    <d v="2023-04-05T03:53:00"/>
    <d v="2023-04-05T07:24:00"/>
    <d v="1899-12-30T03:31:00"/>
    <x v="36"/>
    <x v="147"/>
    <x v="0"/>
  </r>
  <r>
    <n v="4"/>
    <x v="291"/>
    <n v="5"/>
    <d v="2023-04-05T00:07:00"/>
    <x v="323"/>
    <x v="4"/>
    <x v="2"/>
    <x v="2"/>
    <n v="35.68"/>
    <x v="2"/>
    <n v="448"/>
    <x v="5"/>
    <s v="Plato_12, Plato_11"/>
    <n v="55"/>
    <x v="370"/>
    <d v="2023-04-05T00:07:00"/>
    <d v="2023-04-05T03:35:00"/>
    <d v="1899-12-30T03:43:00"/>
    <x v="149"/>
    <x v="17"/>
    <x v="0"/>
  </r>
  <r>
    <s v="3"/>
    <x v="377"/>
    <n v="3"/>
    <d v="2023-04-05T03:25:00"/>
    <x v="361"/>
    <x v="0"/>
    <x v="0"/>
    <x v="1"/>
    <n v="42.25"/>
    <x v="2"/>
    <n v="449"/>
    <x v="2"/>
    <s v="Plato_15"/>
    <n v="26"/>
    <x v="343"/>
    <d v="2023-04-05T03:25:00"/>
    <d v="2023-04-05T05:02:00"/>
    <d v="1899-12-30T01:52:00"/>
    <x v="88"/>
    <x v="108"/>
    <x v="0"/>
  </r>
  <r>
    <n v="9"/>
    <x v="378"/>
    <n v="6"/>
    <d v="2023-04-05T03:51:00"/>
    <x v="381"/>
    <x v="0"/>
    <x v="0"/>
    <x v="2"/>
    <n v="48.9"/>
    <x v="2"/>
    <n v="450"/>
    <x v="6"/>
    <s v="Plato_4, Plato_19"/>
    <n v="30"/>
    <x v="328"/>
    <d v="2023-04-05T03:51:00"/>
    <d v="2023-04-05T05:01:00"/>
    <d v="1899-12-30T01:25:00"/>
    <x v="153"/>
    <x v="113"/>
    <x v="0"/>
  </r>
  <r>
    <n v="3"/>
    <x v="201"/>
    <n v="1"/>
    <d v="2023-04-05T01:17:00"/>
    <x v="382"/>
    <x v="3"/>
    <x v="1"/>
    <x v="2"/>
    <n v="46.37"/>
    <x v="1"/>
    <n v="451"/>
    <x v="6"/>
    <s v="Plato_8, Plato_14, Plato_18"/>
    <n v="37"/>
    <x v="371"/>
    <d v="2023-04-05T01:17:00"/>
    <d v="2023-04-05T02:26:00"/>
    <d v="1899-12-30T01:09:00"/>
    <x v="14"/>
    <x v="8"/>
    <x v="1"/>
  </r>
  <r>
    <n v="9"/>
    <x v="379"/>
    <n v="1"/>
    <d v="2023-04-05T02:53:00"/>
    <x v="325"/>
    <x v="4"/>
    <x v="0"/>
    <x v="2"/>
    <n v="43.48"/>
    <x v="0"/>
    <n v="452"/>
    <x v="7"/>
    <s v="Plato_17, Plato_5, Plato_13"/>
    <n v="62"/>
    <x v="372"/>
    <d v="2023-04-05T02:53:00"/>
    <d v="2023-04-05T05:19:00"/>
    <d v="1899-12-30T02:26:00"/>
    <x v="21"/>
    <x v="52"/>
    <x v="0"/>
  </r>
  <r>
    <n v="6"/>
    <x v="380"/>
    <n v="1"/>
    <d v="2023-04-05T03:42:00"/>
    <x v="383"/>
    <x v="2"/>
    <x v="1"/>
    <x v="2"/>
    <n v="36.83"/>
    <x v="1"/>
    <n v="453"/>
    <x v="9"/>
    <s v="Plato_18, Plato_15"/>
    <n v="53"/>
    <x v="373"/>
    <d v="2023-04-05T03:42:00"/>
    <d v="2023-04-05T05:07:00"/>
    <d v="1899-12-30T01:25:00"/>
    <x v="61"/>
    <x v="8"/>
    <x v="1"/>
  </r>
  <r>
    <n v="1"/>
    <x v="360"/>
    <n v="3"/>
    <d v="2023-04-05T03:26:00"/>
    <x v="384"/>
    <x v="1"/>
    <x v="0"/>
    <x v="2"/>
    <n v="39.619999999999997"/>
    <x v="1"/>
    <n v="454"/>
    <x v="1"/>
    <s v="Plato_6, Plato_12, Plato_19, Plato_1"/>
    <n v="94"/>
    <x v="321"/>
    <d v="2023-04-05T03:26:00"/>
    <d v="2023-04-05T04:53:00"/>
    <d v="1899-12-30T01:27:00"/>
    <x v="155"/>
    <x v="8"/>
    <x v="1"/>
  </r>
  <r>
    <s v="12"/>
    <x v="229"/>
    <n v="6"/>
    <d v="2023-04-05T03:58:00"/>
    <x v="367"/>
    <x v="3"/>
    <x v="1"/>
    <x v="0"/>
    <n v="1.97"/>
    <x v="0"/>
    <n v="455"/>
    <x v="1"/>
    <s v="Plato_7"/>
    <n v="20"/>
    <x v="362"/>
    <d v="2023-04-05T03:58:00"/>
    <d v="2023-04-05T05:54:00"/>
    <d v="1899-12-30T01:56:00"/>
    <x v="5"/>
    <x v="146"/>
    <x v="0"/>
  </r>
  <r>
    <n v="13"/>
    <x v="381"/>
    <n v="6"/>
    <d v="2023-04-05T02:12:00"/>
    <x v="338"/>
    <x v="4"/>
    <x v="0"/>
    <x v="2"/>
    <n v="21.94"/>
    <x v="1"/>
    <n v="456"/>
    <x v="10"/>
    <s v="Plato_20, Plato_18"/>
    <n v="58"/>
    <x v="374"/>
    <d v="2023-04-05T02:12:00"/>
    <d v="2023-04-05T05:15:00"/>
    <d v="1899-12-30T03:03:00"/>
    <x v="26"/>
    <x v="60"/>
    <x v="0"/>
  </r>
  <r>
    <n v="18"/>
    <x v="382"/>
    <n v="6"/>
    <d v="2023-04-05T03:48:00"/>
    <x v="385"/>
    <x v="2"/>
    <x v="0"/>
    <x v="1"/>
    <n v="17.260000000000002"/>
    <x v="0"/>
    <n v="457"/>
    <x v="6"/>
    <s v="Plato_11, Plato_12"/>
    <n v="55"/>
    <x v="375"/>
    <d v="2023-04-05T03:48:00"/>
    <d v="2023-04-05T07:32:00"/>
    <d v="1899-12-30T03:44:00"/>
    <x v="118"/>
    <x v="27"/>
    <x v="0"/>
  </r>
  <r>
    <n v="4"/>
    <x v="383"/>
    <n v="3"/>
    <d v="2023-04-05T02:41:00"/>
    <x v="386"/>
    <x v="4"/>
    <x v="0"/>
    <x v="2"/>
    <n v="15.21"/>
    <x v="2"/>
    <n v="458"/>
    <x v="6"/>
    <s v="Plato_16, Plato_18, Plato_11, Plato_5"/>
    <n v="110"/>
    <x v="329"/>
    <d v="2023-04-05T02:41:00"/>
    <d v="2023-04-05T04:21:00"/>
    <d v="1899-12-30T01:55:00"/>
    <x v="35"/>
    <x v="37"/>
    <x v="0"/>
  </r>
  <r>
    <s v="20"/>
    <x v="384"/>
    <n v="1"/>
    <d v="2023-04-05T00:24:00"/>
    <x v="387"/>
    <x v="1"/>
    <x v="0"/>
    <x v="2"/>
    <n v="32.770000000000003"/>
    <x v="2"/>
    <n v="459"/>
    <x v="10"/>
    <s v="Plato_16"/>
    <n v="36"/>
    <x v="376"/>
    <d v="2023-04-05T00:24:00"/>
    <d v="2023-04-05T02:12:00"/>
    <d v="1899-12-30T02:03:00"/>
    <x v="52"/>
    <x v="183"/>
    <x v="0"/>
  </r>
  <r>
    <n v="19"/>
    <x v="144"/>
    <n v="6"/>
    <d v="2023-04-05T03:27:00"/>
    <x v="388"/>
    <x v="4"/>
    <x v="2"/>
    <x v="2"/>
    <n v="49.6"/>
    <x v="1"/>
    <n v="460"/>
    <x v="8"/>
    <s v="Plato_16, Plato_10, Plato_1, Plato_7"/>
    <n v="73"/>
    <x v="377"/>
    <d v="2023-04-05T03:27:00"/>
    <d v="2023-04-05T06:56:00"/>
    <d v="1899-12-30T03:29:00"/>
    <x v="38"/>
    <x v="184"/>
    <x v="0"/>
  </r>
  <r>
    <n v="4"/>
    <x v="385"/>
    <n v="3"/>
    <d v="2023-04-05T02:43:00"/>
    <x v="389"/>
    <x v="3"/>
    <x v="2"/>
    <x v="1"/>
    <n v="21.51"/>
    <x v="1"/>
    <n v="461"/>
    <x v="4"/>
    <s v="Plato_8, Plato_9"/>
    <n v="40"/>
    <x v="378"/>
    <d v="2023-04-05T02:43:00"/>
    <d v="2023-04-05T05:55:00"/>
    <d v="1899-12-30T03:12:00"/>
    <x v="149"/>
    <x v="30"/>
    <x v="0"/>
  </r>
  <r>
    <s v="9"/>
    <x v="31"/>
    <n v="2"/>
    <d v="2023-04-05T02:12:00"/>
    <x v="390"/>
    <x v="2"/>
    <x v="0"/>
    <x v="2"/>
    <n v="21.17"/>
    <x v="0"/>
    <n v="462"/>
    <x v="0"/>
    <s v="Plato_11"/>
    <n v="39"/>
    <x v="374"/>
    <d v="2023-04-05T02:12:00"/>
    <d v="2023-04-05T04:27:00"/>
    <d v="1899-12-30T02:15:00"/>
    <x v="5"/>
    <x v="185"/>
    <x v="0"/>
  </r>
  <r>
    <s v="7"/>
    <x v="386"/>
    <n v="2"/>
    <d v="2023-04-05T00:53:00"/>
    <x v="391"/>
    <x v="2"/>
    <x v="0"/>
    <x v="0"/>
    <n v="17.07"/>
    <x v="2"/>
    <n v="463"/>
    <x v="3"/>
    <s v="Plato_17"/>
    <n v="36"/>
    <x v="379"/>
    <d v="2023-04-05T00:53:00"/>
    <d v="2023-04-05T03:13:00"/>
    <d v="1899-12-30T02:35:00"/>
    <x v="156"/>
    <x v="134"/>
    <x v="0"/>
  </r>
  <r>
    <n v="16"/>
    <x v="67"/>
    <n v="1"/>
    <d v="2023-04-05T01:21:00"/>
    <x v="392"/>
    <x v="4"/>
    <x v="0"/>
    <x v="2"/>
    <n v="48.5"/>
    <x v="0"/>
    <n v="464"/>
    <x v="9"/>
    <s v="Plato_10, Plato_6, Plato_5"/>
    <n v="64"/>
    <x v="380"/>
    <d v="2023-04-05T01:21:00"/>
    <d v="2023-04-05T04:39:00"/>
    <d v="1899-12-30T03:18:00"/>
    <x v="90"/>
    <x v="128"/>
    <x v="0"/>
  </r>
  <r>
    <n v="4"/>
    <x v="387"/>
    <n v="2"/>
    <d v="2023-04-05T01:11:00"/>
    <x v="393"/>
    <x v="1"/>
    <x v="0"/>
    <x v="2"/>
    <n v="44.9"/>
    <x v="2"/>
    <n v="465"/>
    <x v="7"/>
    <s v="Plato_1, Plato_14"/>
    <n v="48"/>
    <x v="381"/>
    <d v="2023-04-05T01:11:00"/>
    <d v="2023-04-05T03:38:00"/>
    <d v="1899-12-30T02:42:00"/>
    <x v="145"/>
    <x v="151"/>
    <x v="0"/>
  </r>
  <r>
    <n v="4"/>
    <x v="388"/>
    <n v="1"/>
    <d v="2023-04-05T01:54:00"/>
    <x v="394"/>
    <x v="1"/>
    <x v="0"/>
    <x v="2"/>
    <n v="26.63"/>
    <x v="1"/>
    <n v="466"/>
    <x v="6"/>
    <s v="Plato_5, Plato_2, Plato_16"/>
    <n v="57"/>
    <x v="382"/>
    <d v="2023-04-05T01:54:00"/>
    <d v="2023-04-05T04:20:00"/>
    <d v="1899-12-30T02:26:00"/>
    <x v="56"/>
    <x v="35"/>
    <x v="0"/>
  </r>
  <r>
    <n v="15"/>
    <x v="389"/>
    <n v="3"/>
    <d v="2023-04-05T02:42:00"/>
    <x v="335"/>
    <x v="1"/>
    <x v="0"/>
    <x v="0"/>
    <n v="42.31"/>
    <x v="0"/>
    <n v="467"/>
    <x v="4"/>
    <s v="Plato_11, Plato_5"/>
    <n v="57"/>
    <x v="383"/>
    <d v="2023-04-05T02:42:00"/>
    <d v="2023-04-05T04:14:00"/>
    <d v="1899-12-30T01:32:00"/>
    <x v="117"/>
    <x v="111"/>
    <x v="0"/>
  </r>
  <r>
    <n v="14"/>
    <x v="390"/>
    <n v="6"/>
    <d v="2023-04-05T02:59:00"/>
    <x v="395"/>
    <x v="2"/>
    <x v="1"/>
    <x v="2"/>
    <n v="14.28"/>
    <x v="0"/>
    <n v="468"/>
    <x v="10"/>
    <s v="Plato_12, Plato_3, Plato_16"/>
    <n v="44"/>
    <x v="318"/>
    <d v="2023-04-05T02:59:00"/>
    <d v="2023-04-05T05:45:00"/>
    <d v="1899-12-30T02:46:00"/>
    <x v="22"/>
    <x v="7"/>
    <x v="0"/>
  </r>
  <r>
    <n v="1"/>
    <x v="391"/>
    <n v="2"/>
    <d v="2023-04-05T02:57:00"/>
    <x v="396"/>
    <x v="1"/>
    <x v="2"/>
    <x v="2"/>
    <n v="25.26"/>
    <x v="0"/>
    <n v="469"/>
    <x v="1"/>
    <s v="Plato_8, Plato_15"/>
    <n v="55"/>
    <x v="384"/>
    <d v="2023-04-05T02:57:00"/>
    <d v="2023-04-05T05:22:00"/>
    <d v="1899-12-30T02:25:00"/>
    <x v="149"/>
    <x v="108"/>
    <x v="0"/>
  </r>
  <r>
    <n v="17"/>
    <x v="392"/>
    <n v="3"/>
    <d v="2023-04-05T01:41:00"/>
    <x v="397"/>
    <x v="4"/>
    <x v="0"/>
    <x v="2"/>
    <n v="47.46"/>
    <x v="2"/>
    <n v="470"/>
    <x v="7"/>
    <s v="Plato_7, Plato_4"/>
    <n v="34"/>
    <x v="385"/>
    <d v="2023-04-05T01:41:00"/>
    <d v="2023-04-05T04:17:00"/>
    <d v="1899-12-30T02:51:00"/>
    <x v="117"/>
    <x v="11"/>
    <x v="0"/>
  </r>
  <r>
    <s v="7"/>
    <x v="393"/>
    <n v="6"/>
    <d v="2023-04-05T03:36:00"/>
    <x v="398"/>
    <x v="4"/>
    <x v="1"/>
    <x v="0"/>
    <n v="28.49"/>
    <x v="0"/>
    <n v="471"/>
    <x v="4"/>
    <s v="Plato_8"/>
    <n v="42"/>
    <x v="386"/>
    <d v="2023-04-05T03:36:00"/>
    <d v="2023-04-05T05:38:00"/>
    <d v="1899-12-30T02:02:00"/>
    <x v="0"/>
    <x v="95"/>
    <x v="0"/>
  </r>
  <r>
    <n v="20"/>
    <x v="394"/>
    <n v="2"/>
    <d v="2023-04-05T03:57:00"/>
    <x v="399"/>
    <x v="2"/>
    <x v="0"/>
    <x v="1"/>
    <n v="36.79"/>
    <x v="2"/>
    <n v="472"/>
    <x v="7"/>
    <s v="Plato_8, Plato_5"/>
    <n v="46"/>
    <x v="387"/>
    <d v="2023-04-05T03:57:00"/>
    <d v="2023-04-05T06:52:00"/>
    <d v="1899-12-30T03:10:00"/>
    <x v="47"/>
    <x v="5"/>
    <x v="0"/>
  </r>
  <r>
    <n v="13"/>
    <x v="395"/>
    <n v="4"/>
    <d v="2023-04-06T03:36:00"/>
    <x v="400"/>
    <x v="2"/>
    <x v="0"/>
    <x v="0"/>
    <n v="15.63"/>
    <x v="2"/>
    <n v="473"/>
    <x v="3"/>
    <s v="Plato_5, Plato_8"/>
    <n v="32"/>
    <x v="388"/>
    <d v="2023-04-06T03:36:00"/>
    <d v="2023-04-06T07:04:00"/>
    <d v="1899-12-30T03:43:00"/>
    <x v="135"/>
    <x v="169"/>
    <x v="0"/>
  </r>
  <r>
    <n v="2"/>
    <x v="396"/>
    <n v="6"/>
    <d v="2023-04-06T01:52:00"/>
    <x v="401"/>
    <x v="4"/>
    <x v="0"/>
    <x v="2"/>
    <n v="21.66"/>
    <x v="1"/>
    <n v="474"/>
    <x v="4"/>
    <s v="Plato_18, Plato_9, Plato_17, Plato_16"/>
    <n v="74"/>
    <x v="389"/>
    <d v="2023-04-06T01:52:00"/>
    <d v="2023-04-06T03:32:00"/>
    <d v="1899-12-30T01:40:00"/>
    <x v="112"/>
    <x v="8"/>
    <x v="1"/>
  </r>
  <r>
    <n v="18"/>
    <x v="303"/>
    <n v="4"/>
    <d v="2023-04-06T03:17:00"/>
    <x v="402"/>
    <x v="3"/>
    <x v="2"/>
    <x v="0"/>
    <n v="19.55"/>
    <x v="2"/>
    <n v="475"/>
    <x v="3"/>
    <s v="Plato_7, Plato_18"/>
    <n v="72"/>
    <x v="390"/>
    <d v="2023-04-06T03:17:00"/>
    <d v="2023-04-06T05:50:00"/>
    <d v="1899-12-30T02:48:00"/>
    <x v="24"/>
    <x v="186"/>
    <x v="0"/>
  </r>
  <r>
    <n v="13"/>
    <x v="397"/>
    <n v="2"/>
    <d v="2023-04-06T00:03:00"/>
    <x v="403"/>
    <x v="0"/>
    <x v="1"/>
    <x v="0"/>
    <n v="43.53"/>
    <x v="2"/>
    <n v="476"/>
    <x v="3"/>
    <s v="Plato_7, Plato_18, Plato_15, Plato_20"/>
    <n v="88"/>
    <x v="391"/>
    <d v="2023-04-06T00:03:00"/>
    <d v="2023-04-06T01:47:00"/>
    <d v="1899-12-30T01:59:00"/>
    <x v="81"/>
    <x v="137"/>
    <x v="0"/>
  </r>
  <r>
    <n v="8"/>
    <x v="398"/>
    <n v="6"/>
    <d v="2023-04-06T01:39:00"/>
    <x v="404"/>
    <x v="4"/>
    <x v="1"/>
    <x v="2"/>
    <n v="33.85"/>
    <x v="0"/>
    <n v="477"/>
    <x v="1"/>
    <s v="Plato_18, Plato_14, Plato_7, Plato_13"/>
    <n v="82"/>
    <x v="392"/>
    <d v="2023-04-06T01:39:00"/>
    <d v="2023-04-06T02:58:00"/>
    <d v="1899-12-30T01:19:00"/>
    <x v="81"/>
    <x v="8"/>
    <x v="1"/>
  </r>
  <r>
    <n v="7"/>
    <x v="93"/>
    <n v="5"/>
    <d v="2023-04-06T00:01:00"/>
    <x v="405"/>
    <x v="1"/>
    <x v="0"/>
    <x v="1"/>
    <n v="32.78"/>
    <x v="2"/>
    <n v="478"/>
    <x v="6"/>
    <s v="Plato_2, Plato_9"/>
    <n v="48"/>
    <x v="393"/>
    <d v="2023-04-06T00:01:00"/>
    <d v="2023-04-06T03:28:00"/>
    <d v="1899-12-30T03:42:00"/>
    <x v="146"/>
    <x v="24"/>
    <x v="0"/>
  </r>
  <r>
    <n v="1"/>
    <x v="48"/>
    <n v="3"/>
    <d v="2023-04-06T00:42:00"/>
    <x v="406"/>
    <x v="0"/>
    <x v="0"/>
    <x v="0"/>
    <n v="39.58"/>
    <x v="0"/>
    <n v="479"/>
    <x v="10"/>
    <s v="Plato_4, Plato_18"/>
    <n v="22"/>
    <x v="394"/>
    <d v="2023-04-06T00:42:00"/>
    <d v="2023-04-06T04:30:00"/>
    <d v="1899-12-30T03:48:00"/>
    <x v="133"/>
    <x v="168"/>
    <x v="0"/>
  </r>
  <r>
    <n v="1"/>
    <x v="399"/>
    <n v="5"/>
    <d v="2023-04-06T03:26:00"/>
    <x v="407"/>
    <x v="3"/>
    <x v="1"/>
    <x v="1"/>
    <n v="18.63"/>
    <x v="0"/>
    <n v="480"/>
    <x v="7"/>
    <s v="Plato_8, Plato_6"/>
    <n v="64"/>
    <x v="395"/>
    <d v="2023-04-06T03:26:00"/>
    <d v="2023-04-06T07:19:00"/>
    <d v="1899-12-30T03:53:00"/>
    <x v="31"/>
    <x v="135"/>
    <x v="0"/>
  </r>
  <r>
    <s v="9"/>
    <x v="400"/>
    <n v="4"/>
    <d v="2023-04-06T01:57:00"/>
    <x v="408"/>
    <x v="1"/>
    <x v="0"/>
    <x v="2"/>
    <n v="42.02"/>
    <x v="0"/>
    <n v="481"/>
    <x v="4"/>
    <s v="Plato_10"/>
    <n v="22"/>
    <x v="396"/>
    <d v="2023-04-06T01:57:00"/>
    <d v="2023-04-06T04:43:00"/>
    <d v="1899-12-30T02:46:00"/>
    <x v="118"/>
    <x v="4"/>
    <x v="0"/>
  </r>
  <r>
    <s v="9"/>
    <x v="148"/>
    <n v="4"/>
    <d v="2023-04-06T00:41:00"/>
    <x v="409"/>
    <x v="0"/>
    <x v="1"/>
    <x v="2"/>
    <n v="18.84"/>
    <x v="1"/>
    <n v="482"/>
    <x v="1"/>
    <s v="Plato_13"/>
    <n v="24"/>
    <x v="397"/>
    <d v="2023-04-06T00:41:00"/>
    <d v="2023-04-06T02:59:00"/>
    <d v="1899-12-30T02:18:00"/>
    <x v="40"/>
    <x v="5"/>
    <x v="0"/>
  </r>
  <r>
    <s v="2"/>
    <x v="401"/>
    <n v="4"/>
    <d v="2023-04-06T03:50:00"/>
    <x v="410"/>
    <x v="1"/>
    <x v="0"/>
    <x v="2"/>
    <n v="12.74"/>
    <x v="0"/>
    <n v="483"/>
    <x v="8"/>
    <s v="Plato_6"/>
    <n v="33"/>
    <x v="398"/>
    <d v="2023-04-06T03:50:00"/>
    <d v="2023-04-06T07:01:00"/>
    <d v="1899-12-30T03:11:00"/>
    <x v="123"/>
    <x v="187"/>
    <x v="0"/>
  </r>
  <r>
    <s v="18"/>
    <x v="402"/>
    <n v="2"/>
    <d v="2023-04-06T01:33:00"/>
    <x v="411"/>
    <x v="4"/>
    <x v="0"/>
    <x v="2"/>
    <n v="22.76"/>
    <x v="1"/>
    <n v="484"/>
    <x v="9"/>
    <s v="Plato_1"/>
    <n v="30"/>
    <x v="399"/>
    <d v="2023-04-06T01:33:00"/>
    <d v="2023-04-06T04:31:00"/>
    <d v="1899-12-30T02:58:00"/>
    <x v="153"/>
    <x v="40"/>
    <x v="0"/>
  </r>
  <r>
    <n v="6"/>
    <x v="293"/>
    <n v="5"/>
    <d v="2023-04-06T01:00:00"/>
    <x v="412"/>
    <x v="3"/>
    <x v="2"/>
    <x v="2"/>
    <n v="39.07"/>
    <x v="0"/>
    <n v="485"/>
    <x v="6"/>
    <s v="Plato_7, Plato_19"/>
    <n v="58"/>
    <x v="400"/>
    <d v="2023-04-06T01:00:00"/>
    <d v="2023-04-06T02:52:00"/>
    <d v="1899-12-30T01:52:00"/>
    <x v="76"/>
    <x v="188"/>
    <x v="0"/>
  </r>
  <r>
    <n v="15"/>
    <x v="403"/>
    <n v="3"/>
    <d v="2023-04-06T02:47:00"/>
    <x v="413"/>
    <x v="1"/>
    <x v="1"/>
    <x v="0"/>
    <n v="12.66"/>
    <x v="2"/>
    <n v="486"/>
    <x v="1"/>
    <s v="Plato_19, Plato_3, Plato_18, Plato_7"/>
    <n v="60"/>
    <x v="401"/>
    <d v="2023-04-06T02:47:00"/>
    <d v="2023-04-06T06:12:00"/>
    <d v="1899-12-30T03:40:00"/>
    <x v="12"/>
    <x v="106"/>
    <x v="0"/>
  </r>
  <r>
    <n v="17"/>
    <x v="61"/>
    <n v="1"/>
    <d v="2023-04-06T01:34:00"/>
    <x v="414"/>
    <x v="1"/>
    <x v="0"/>
    <x v="2"/>
    <n v="45.76"/>
    <x v="2"/>
    <n v="487"/>
    <x v="3"/>
    <s v="Plato_18, Plato_17, Plato_5"/>
    <n v="61"/>
    <x v="402"/>
    <d v="2023-04-06T01:34:00"/>
    <d v="2023-04-06T03:50:00"/>
    <d v="1899-12-30T02:31:00"/>
    <x v="57"/>
    <x v="36"/>
    <x v="0"/>
  </r>
  <r>
    <n v="10"/>
    <x v="404"/>
    <n v="4"/>
    <d v="2023-04-06T00:00:00"/>
    <x v="415"/>
    <x v="0"/>
    <x v="0"/>
    <x v="0"/>
    <n v="37.380000000000003"/>
    <x v="1"/>
    <n v="488"/>
    <x v="10"/>
    <s v="Plato_4, Plato_14, Plato_17"/>
    <n v="75"/>
    <x v="403"/>
    <d v="2023-04-06T00:00:00"/>
    <d v="2023-04-06T01:58:00"/>
    <d v="1899-12-30T01:58:00"/>
    <x v="38"/>
    <x v="8"/>
    <x v="1"/>
  </r>
  <r>
    <n v="3"/>
    <x v="405"/>
    <n v="1"/>
    <d v="2023-04-06T02:57:00"/>
    <x v="416"/>
    <x v="0"/>
    <x v="1"/>
    <x v="2"/>
    <n v="22.27"/>
    <x v="2"/>
    <n v="489"/>
    <x v="10"/>
    <s v="Plato_20, Plato_14"/>
    <n v="57"/>
    <x v="404"/>
    <d v="2023-04-06T02:57:00"/>
    <d v="2023-04-06T05:27:00"/>
    <d v="1899-12-30T02:45:00"/>
    <x v="153"/>
    <x v="71"/>
    <x v="0"/>
  </r>
  <r>
    <n v="1"/>
    <x v="386"/>
    <n v="2"/>
    <d v="2023-04-06T03:20:00"/>
    <x v="417"/>
    <x v="3"/>
    <x v="0"/>
    <x v="2"/>
    <n v="26.79"/>
    <x v="1"/>
    <n v="490"/>
    <x v="1"/>
    <s v="Plato_10, Plato_15, Plato_18"/>
    <n v="88"/>
    <x v="405"/>
    <d v="2023-04-06T03:20:00"/>
    <d v="2023-04-06T04:57:00"/>
    <d v="1899-12-30T01:37:00"/>
    <x v="55"/>
    <x v="8"/>
    <x v="1"/>
  </r>
  <r>
    <n v="7"/>
    <x v="358"/>
    <n v="4"/>
    <d v="2023-04-06T00:07:00"/>
    <x v="418"/>
    <x v="4"/>
    <x v="1"/>
    <x v="2"/>
    <n v="34.68"/>
    <x v="2"/>
    <n v="491"/>
    <x v="0"/>
    <s v="Plato_9, Plato_2"/>
    <n v="48"/>
    <x v="406"/>
    <d v="2023-04-06T00:07:00"/>
    <d v="2023-04-06T02:37:00"/>
    <d v="1899-12-30T02:45:00"/>
    <x v="6"/>
    <x v="185"/>
    <x v="0"/>
  </r>
  <r>
    <n v="4"/>
    <x v="406"/>
    <n v="4"/>
    <d v="2023-04-06T01:03:00"/>
    <x v="419"/>
    <x v="1"/>
    <x v="0"/>
    <x v="2"/>
    <n v="16.62"/>
    <x v="0"/>
    <n v="492"/>
    <x v="1"/>
    <s v="Plato_11, Plato_13, Plato_7"/>
    <n v="83"/>
    <x v="407"/>
    <d v="2023-04-06T01:03:00"/>
    <d v="2023-04-06T04:36:00"/>
    <d v="1899-12-30T03:33:00"/>
    <x v="58"/>
    <x v="175"/>
    <x v="0"/>
  </r>
  <r>
    <s v="2"/>
    <x v="110"/>
    <n v="2"/>
    <d v="2023-04-06T00:31:00"/>
    <x v="420"/>
    <x v="3"/>
    <x v="0"/>
    <x v="2"/>
    <n v="32.67"/>
    <x v="2"/>
    <n v="493"/>
    <x v="4"/>
    <s v="Plato_4"/>
    <n v="24"/>
    <x v="408"/>
    <d v="2023-04-06T00:31:00"/>
    <d v="2023-04-06T01:46:00"/>
    <d v="1899-12-30T01:30:00"/>
    <x v="69"/>
    <x v="120"/>
    <x v="0"/>
  </r>
  <r>
    <n v="20"/>
    <x v="292"/>
    <n v="5"/>
    <d v="2023-04-06T01:28:00"/>
    <x v="421"/>
    <x v="1"/>
    <x v="1"/>
    <x v="2"/>
    <n v="11.85"/>
    <x v="0"/>
    <n v="494"/>
    <x v="3"/>
    <s v="Plato_15, Plato_19"/>
    <n v="68"/>
    <x v="409"/>
    <d v="2023-04-06T01:28:00"/>
    <d v="2023-04-06T04:49:00"/>
    <d v="1899-12-30T03:21:00"/>
    <x v="126"/>
    <x v="140"/>
    <x v="0"/>
  </r>
  <r>
    <n v="11"/>
    <x v="407"/>
    <n v="6"/>
    <d v="2023-04-06T03:01:00"/>
    <x v="422"/>
    <x v="2"/>
    <x v="1"/>
    <x v="2"/>
    <n v="33.96"/>
    <x v="1"/>
    <n v="495"/>
    <x v="5"/>
    <s v="Plato_20, Plato_6, Plato_16, Plato_11"/>
    <n v="104"/>
    <x v="410"/>
    <d v="2023-04-06T03:01:00"/>
    <d v="2023-04-06T06:50:00"/>
    <d v="1899-12-30T03:49:00"/>
    <x v="96"/>
    <x v="64"/>
    <x v="0"/>
  </r>
  <r>
    <n v="1"/>
    <x v="139"/>
    <n v="3"/>
    <d v="2023-04-06T02:34:00"/>
    <x v="423"/>
    <x v="1"/>
    <x v="0"/>
    <x v="2"/>
    <n v="39.42"/>
    <x v="0"/>
    <n v="496"/>
    <x v="10"/>
    <s v="Plato_11, Plato_18, Plato_12, Plato_17"/>
    <n v="91"/>
    <x v="411"/>
    <d v="2023-04-06T02:34:00"/>
    <d v="2023-04-06T06:22:00"/>
    <d v="1899-12-30T03:48:00"/>
    <x v="157"/>
    <x v="138"/>
    <x v="0"/>
  </r>
  <r>
    <n v="13"/>
    <x v="64"/>
    <n v="6"/>
    <d v="2023-04-06T03:30:00"/>
    <x v="424"/>
    <x v="0"/>
    <x v="0"/>
    <x v="0"/>
    <n v="29.93"/>
    <x v="0"/>
    <n v="497"/>
    <x v="10"/>
    <s v="Plato_2, Plato_20"/>
    <n v="57"/>
    <x v="412"/>
    <d v="2023-04-06T03:30:00"/>
    <d v="2023-04-06T06:58:00"/>
    <d v="1899-12-30T03:28:00"/>
    <x v="15"/>
    <x v="140"/>
    <x v="0"/>
  </r>
  <r>
    <s v="20"/>
    <x v="365"/>
    <n v="3"/>
    <d v="2023-04-06T00:17:00"/>
    <x v="425"/>
    <x v="0"/>
    <x v="0"/>
    <x v="2"/>
    <n v="21.99"/>
    <x v="1"/>
    <n v="498"/>
    <x v="0"/>
    <s v="Plato_12"/>
    <n v="8"/>
    <x v="413"/>
    <d v="2023-04-06T00:17:00"/>
    <d v="2023-04-06T03:46:00"/>
    <d v="1899-12-30T03:29:00"/>
    <x v="87"/>
    <x v="41"/>
    <x v="0"/>
  </r>
  <r>
    <n v="5"/>
    <x v="353"/>
    <n v="5"/>
    <d v="2023-04-06T01:21:00"/>
    <x v="426"/>
    <x v="2"/>
    <x v="2"/>
    <x v="0"/>
    <n v="22.69"/>
    <x v="0"/>
    <n v="499"/>
    <x v="2"/>
    <s v="Plato_10, Plato_2, Plato_1"/>
    <n v="65"/>
    <x v="414"/>
    <d v="2023-04-06T01:21:00"/>
    <d v="2023-04-06T04:28:00"/>
    <d v="1899-12-30T03:07:00"/>
    <x v="30"/>
    <x v="153"/>
    <x v="0"/>
  </r>
  <r>
    <n v="4"/>
    <x v="405"/>
    <n v="5"/>
    <d v="2023-04-06T01:17:00"/>
    <x v="427"/>
    <x v="4"/>
    <x v="1"/>
    <x v="0"/>
    <n v="37.619999999999997"/>
    <x v="2"/>
    <n v="500"/>
    <x v="10"/>
    <s v="Plato_6, Plato_5"/>
    <n v="38"/>
    <x v="415"/>
    <d v="2023-04-06T01:17:00"/>
    <d v="2023-04-06T05:15:00"/>
    <d v="1899-12-30T04:13:00"/>
    <x v="72"/>
    <x v="103"/>
    <x v="0"/>
  </r>
  <r>
    <n v="7"/>
    <x v="408"/>
    <n v="1"/>
    <d v="2023-04-06T03:44:00"/>
    <x v="428"/>
    <x v="1"/>
    <x v="2"/>
    <x v="2"/>
    <n v="28.38"/>
    <x v="2"/>
    <n v="501"/>
    <x v="5"/>
    <s v="Plato_20, Plato_13, Plato_16"/>
    <n v="55"/>
    <x v="416"/>
    <d v="2023-04-06T03:44:00"/>
    <d v="2023-04-06T06:31:00"/>
    <d v="1899-12-30T03:02:00"/>
    <x v="142"/>
    <x v="150"/>
    <x v="0"/>
  </r>
  <r>
    <n v="5"/>
    <x v="202"/>
    <n v="2"/>
    <d v="2023-04-06T00:45:00"/>
    <x v="429"/>
    <x v="3"/>
    <x v="0"/>
    <x v="2"/>
    <n v="32.9"/>
    <x v="0"/>
    <n v="502"/>
    <x v="6"/>
    <s v="Plato_5, Plato_4, Plato_11"/>
    <n v="56"/>
    <x v="417"/>
    <d v="2023-04-06T00:45:00"/>
    <d v="2023-04-06T01:57:00"/>
    <d v="1899-12-30T01:12:00"/>
    <x v="47"/>
    <x v="8"/>
    <x v="1"/>
  </r>
  <r>
    <n v="3"/>
    <x v="409"/>
    <n v="1"/>
    <d v="2023-04-06T02:20:00"/>
    <x v="430"/>
    <x v="0"/>
    <x v="0"/>
    <x v="2"/>
    <n v="35.840000000000003"/>
    <x v="0"/>
    <n v="503"/>
    <x v="0"/>
    <s v="Plato_20, Plato_12"/>
    <n v="54"/>
    <x v="418"/>
    <d v="2023-04-06T02:20:00"/>
    <d v="2023-04-06T04:02:00"/>
    <d v="1899-12-30T01:42:00"/>
    <x v="1"/>
    <x v="189"/>
    <x v="0"/>
  </r>
  <r>
    <s v="2"/>
    <x v="410"/>
    <n v="5"/>
    <d v="2023-04-06T02:10:00"/>
    <x v="431"/>
    <x v="3"/>
    <x v="2"/>
    <x v="1"/>
    <n v="31.31"/>
    <x v="0"/>
    <n v="504"/>
    <x v="2"/>
    <s v="Plato_6"/>
    <n v="22"/>
    <x v="419"/>
    <d v="2023-04-06T02:10:00"/>
    <d v="2023-04-06T04:48:00"/>
    <d v="1899-12-30T02:38:00"/>
    <x v="65"/>
    <x v="44"/>
    <x v="0"/>
  </r>
  <r>
    <n v="5"/>
    <x v="411"/>
    <n v="1"/>
    <d v="2023-04-06T02:38:00"/>
    <x v="432"/>
    <x v="2"/>
    <x v="2"/>
    <x v="2"/>
    <n v="25.76"/>
    <x v="0"/>
    <n v="505"/>
    <x v="1"/>
    <s v="Plato_20, Plato_1"/>
    <n v="60"/>
    <x v="420"/>
    <d v="2023-04-06T02:38:00"/>
    <d v="2023-04-06T06:07:00"/>
    <d v="1899-12-30T03:29:00"/>
    <x v="81"/>
    <x v="142"/>
    <x v="0"/>
  </r>
  <r>
    <s v="18"/>
    <x v="412"/>
    <n v="2"/>
    <d v="2023-04-06T02:01:00"/>
    <x v="430"/>
    <x v="0"/>
    <x v="2"/>
    <x v="2"/>
    <n v="11.65"/>
    <x v="2"/>
    <n v="506"/>
    <x v="3"/>
    <s v="Plato_8"/>
    <n v="28"/>
    <x v="421"/>
    <d v="2023-04-06T02:01:00"/>
    <d v="2023-04-06T04:02:00"/>
    <d v="1899-12-30T02:16:00"/>
    <x v="144"/>
    <x v="71"/>
    <x v="0"/>
  </r>
  <r>
    <n v="18"/>
    <x v="384"/>
    <n v="4"/>
    <d v="2023-04-06T03:26:00"/>
    <x v="406"/>
    <x v="2"/>
    <x v="1"/>
    <x v="2"/>
    <n v="43.42"/>
    <x v="1"/>
    <n v="507"/>
    <x v="6"/>
    <s v="Plato_18, Plato_19"/>
    <n v="84"/>
    <x v="395"/>
    <d v="2023-04-06T03:26:00"/>
    <d v="2023-04-06T04:30:00"/>
    <d v="1899-12-30T01:04:00"/>
    <x v="27"/>
    <x v="8"/>
    <x v="1"/>
  </r>
  <r>
    <s v="6"/>
    <x v="413"/>
    <n v="1"/>
    <d v="2023-04-06T02:50:00"/>
    <x v="433"/>
    <x v="3"/>
    <x v="0"/>
    <x v="2"/>
    <n v="4.28"/>
    <x v="0"/>
    <n v="508"/>
    <x v="2"/>
    <s v="Plato_15"/>
    <n v="13"/>
    <x v="422"/>
    <d v="2023-04-06T02:50:00"/>
    <d v="2023-04-06T06:35:00"/>
    <d v="1899-12-30T03:45:00"/>
    <x v="153"/>
    <x v="190"/>
    <x v="0"/>
  </r>
  <r>
    <s v="5"/>
    <x v="57"/>
    <n v="3"/>
    <d v="2023-04-06T03:12:00"/>
    <x v="434"/>
    <x v="1"/>
    <x v="1"/>
    <x v="2"/>
    <n v="16.260000000000002"/>
    <x v="2"/>
    <n v="509"/>
    <x v="2"/>
    <s v="Plato_20"/>
    <n v="30"/>
    <x v="423"/>
    <d v="2023-04-06T03:12:00"/>
    <d v="2023-04-06T06:02:00"/>
    <d v="1899-12-30T03:05:00"/>
    <x v="32"/>
    <x v="187"/>
    <x v="0"/>
  </r>
  <r>
    <s v="6"/>
    <x v="414"/>
    <n v="4"/>
    <d v="2023-04-06T03:32:00"/>
    <x v="435"/>
    <x v="4"/>
    <x v="0"/>
    <x v="2"/>
    <n v="14.97"/>
    <x v="1"/>
    <n v="510"/>
    <x v="3"/>
    <s v="Plato_19"/>
    <n v="14"/>
    <x v="424"/>
    <d v="2023-04-06T03:32:00"/>
    <d v="2023-04-06T04:33:00"/>
    <d v="1899-12-30T01:01:00"/>
    <x v="48"/>
    <x v="72"/>
    <x v="0"/>
  </r>
  <r>
    <n v="2"/>
    <x v="415"/>
    <n v="1"/>
    <d v="2023-04-06T01:38:00"/>
    <x v="436"/>
    <x v="1"/>
    <x v="0"/>
    <x v="2"/>
    <n v="35.950000000000003"/>
    <x v="1"/>
    <n v="511"/>
    <x v="10"/>
    <s v="Plato_14, Plato_18"/>
    <n v="55"/>
    <x v="425"/>
    <d v="2023-04-06T01:38:00"/>
    <d v="2023-04-06T03:23:00"/>
    <d v="1899-12-30T01:45:00"/>
    <x v="15"/>
    <x v="69"/>
    <x v="0"/>
  </r>
  <r>
    <n v="2"/>
    <x v="343"/>
    <n v="1"/>
    <d v="2023-04-06T01:19:00"/>
    <x v="437"/>
    <x v="3"/>
    <x v="0"/>
    <x v="2"/>
    <n v="37.369999999999997"/>
    <x v="2"/>
    <n v="512"/>
    <x v="0"/>
    <s v="Plato_3, Plato_19"/>
    <n v="50"/>
    <x v="426"/>
    <d v="2023-04-06T01:19:00"/>
    <d v="2023-04-06T02:26:00"/>
    <d v="1899-12-30T01:22:00"/>
    <x v="12"/>
    <x v="52"/>
    <x v="0"/>
  </r>
  <r>
    <s v="8"/>
    <x v="12"/>
    <n v="6"/>
    <d v="2023-04-06T01:28:00"/>
    <x v="438"/>
    <x v="0"/>
    <x v="1"/>
    <x v="2"/>
    <n v="22.74"/>
    <x v="2"/>
    <n v="513"/>
    <x v="6"/>
    <s v="Plato_4"/>
    <n v="24"/>
    <x v="409"/>
    <d v="2023-04-06T01:28:00"/>
    <d v="2023-04-06T04:51:00"/>
    <d v="1899-12-30T03:38:00"/>
    <x v="10"/>
    <x v="169"/>
    <x v="0"/>
  </r>
  <r>
    <n v="18"/>
    <x v="416"/>
    <n v="5"/>
    <d v="2023-04-06T01:19:00"/>
    <x v="419"/>
    <x v="4"/>
    <x v="0"/>
    <x v="2"/>
    <n v="38.840000000000003"/>
    <x v="1"/>
    <n v="514"/>
    <x v="9"/>
    <s v="Plato_10, Plato_12, Plato_3, Plato_15"/>
    <n v="72"/>
    <x v="426"/>
    <d v="2023-04-06T01:19:00"/>
    <d v="2023-04-06T04:36:00"/>
    <d v="1899-12-30T03:17:00"/>
    <x v="43"/>
    <x v="184"/>
    <x v="0"/>
  </r>
  <r>
    <s v="19"/>
    <x v="290"/>
    <n v="2"/>
    <d v="2023-04-06T00:58:00"/>
    <x v="439"/>
    <x v="2"/>
    <x v="0"/>
    <x v="2"/>
    <n v="43.79"/>
    <x v="2"/>
    <n v="515"/>
    <x v="9"/>
    <s v="Plato_4"/>
    <n v="8"/>
    <x v="427"/>
    <d v="2023-04-06T00:58:00"/>
    <d v="2023-04-06T02:03:00"/>
    <d v="1899-12-30T01:20:00"/>
    <x v="99"/>
    <x v="69"/>
    <x v="0"/>
  </r>
  <r>
    <n v="7"/>
    <x v="417"/>
    <n v="2"/>
    <d v="2023-04-06T03:55:00"/>
    <x v="440"/>
    <x v="4"/>
    <x v="0"/>
    <x v="2"/>
    <n v="20.85"/>
    <x v="0"/>
    <n v="516"/>
    <x v="3"/>
    <s v="Plato_12, Plato_14, Plato_3"/>
    <n v="59"/>
    <x v="428"/>
    <d v="2023-04-06T03:55:00"/>
    <d v="2023-04-06T04:59:00"/>
    <d v="1899-12-30T01:04:00"/>
    <x v="63"/>
    <x v="8"/>
    <x v="1"/>
  </r>
  <r>
    <n v="4"/>
    <x v="333"/>
    <n v="5"/>
    <d v="2023-04-06T01:35:00"/>
    <x v="441"/>
    <x v="4"/>
    <x v="0"/>
    <x v="1"/>
    <n v="23.92"/>
    <x v="0"/>
    <n v="517"/>
    <x v="8"/>
    <s v="Plato_7, Plato_12, Plato_5"/>
    <n v="43"/>
    <x v="429"/>
    <d v="2023-04-06T01:35:00"/>
    <d v="2023-04-06T05:30:00"/>
    <d v="1899-12-30T03:55:00"/>
    <x v="31"/>
    <x v="140"/>
    <x v="0"/>
  </r>
  <r>
    <n v="5"/>
    <x v="120"/>
    <n v="6"/>
    <d v="2023-04-06T02:08:00"/>
    <x v="434"/>
    <x v="4"/>
    <x v="1"/>
    <x v="2"/>
    <n v="18.48"/>
    <x v="2"/>
    <n v="518"/>
    <x v="1"/>
    <s v="Plato_11, Plato_5"/>
    <n v="31"/>
    <x v="430"/>
    <d v="2023-04-06T02:08:00"/>
    <d v="2023-04-06T06:02:00"/>
    <d v="1899-12-30T04:09:00"/>
    <x v="123"/>
    <x v="31"/>
    <x v="0"/>
  </r>
  <r>
    <n v="6"/>
    <x v="418"/>
    <n v="2"/>
    <d v="2023-04-06T00:48:00"/>
    <x v="442"/>
    <x v="3"/>
    <x v="0"/>
    <x v="2"/>
    <n v="34.590000000000003"/>
    <x v="1"/>
    <n v="519"/>
    <x v="3"/>
    <s v="Plato_6, Plato_20, Plato_5"/>
    <n v="96"/>
    <x v="431"/>
    <d v="2023-04-06T00:48:00"/>
    <d v="2023-04-06T03:49:00"/>
    <d v="1899-12-30T03:01:00"/>
    <x v="119"/>
    <x v="63"/>
    <x v="0"/>
  </r>
  <r>
    <n v="4"/>
    <x v="419"/>
    <n v="4"/>
    <d v="2023-04-06T03:35:00"/>
    <x v="443"/>
    <x v="4"/>
    <x v="2"/>
    <x v="2"/>
    <n v="43.99"/>
    <x v="1"/>
    <n v="520"/>
    <x v="1"/>
    <s v="Plato_9, Plato_18, Plato_17, Plato_2"/>
    <n v="112"/>
    <x v="432"/>
    <d v="2023-04-06T03:35:00"/>
    <d v="2023-04-06T06:23:00"/>
    <d v="1899-12-30T02:48:00"/>
    <x v="83"/>
    <x v="32"/>
    <x v="0"/>
  </r>
  <r>
    <n v="18"/>
    <x v="420"/>
    <n v="2"/>
    <d v="2023-04-06T00:43:00"/>
    <x v="444"/>
    <x v="4"/>
    <x v="0"/>
    <x v="2"/>
    <n v="15.18"/>
    <x v="1"/>
    <n v="521"/>
    <x v="6"/>
    <s v="Plato_1, Plato_9, Plato_18"/>
    <n v="86"/>
    <x v="433"/>
    <d v="2023-04-06T00:43:00"/>
    <d v="2023-04-06T02:54:00"/>
    <d v="1899-12-30T02:11:00"/>
    <x v="125"/>
    <x v="14"/>
    <x v="0"/>
  </r>
  <r>
    <s v="2"/>
    <x v="8"/>
    <n v="5"/>
    <d v="2023-04-06T01:38:00"/>
    <x v="445"/>
    <x v="4"/>
    <x v="0"/>
    <x v="1"/>
    <n v="35.35"/>
    <x v="1"/>
    <n v="522"/>
    <x v="7"/>
    <s v="Plato_16"/>
    <n v="36"/>
    <x v="425"/>
    <d v="2023-04-06T01:38:00"/>
    <d v="2023-04-06T04:26:00"/>
    <d v="1899-12-30T02:48:00"/>
    <x v="32"/>
    <x v="119"/>
    <x v="0"/>
  </r>
  <r>
    <s v="4"/>
    <x v="421"/>
    <n v="3"/>
    <d v="2023-04-06T01:39:00"/>
    <x v="446"/>
    <x v="3"/>
    <x v="0"/>
    <x v="2"/>
    <n v="45.41"/>
    <x v="2"/>
    <n v="523"/>
    <x v="10"/>
    <s v="Plato_6"/>
    <n v="33"/>
    <x v="392"/>
    <d v="2023-04-06T01:39:00"/>
    <d v="2023-04-06T04:42:00"/>
    <d v="1899-12-30T03:18:00"/>
    <x v="62"/>
    <x v="141"/>
    <x v="0"/>
  </r>
  <r>
    <n v="16"/>
    <x v="422"/>
    <n v="4"/>
    <d v="2023-04-06T00:03:00"/>
    <x v="447"/>
    <x v="0"/>
    <x v="0"/>
    <x v="2"/>
    <n v="26.91"/>
    <x v="2"/>
    <n v="524"/>
    <x v="4"/>
    <s v="Plato_5, Plato_6"/>
    <n v="31"/>
    <x v="391"/>
    <d v="2023-04-06T00:03:00"/>
    <d v="2023-04-06T02:32:00"/>
    <d v="1899-12-30T02:44:00"/>
    <x v="135"/>
    <x v="7"/>
    <x v="0"/>
  </r>
  <r>
    <n v="16"/>
    <x v="182"/>
    <n v="3"/>
    <d v="2023-04-06T03:27:00"/>
    <x v="448"/>
    <x v="0"/>
    <x v="0"/>
    <x v="2"/>
    <n v="32.869999999999997"/>
    <x v="2"/>
    <n v="525"/>
    <x v="5"/>
    <s v="Plato_14, Plato_8, Plato_17"/>
    <n v="77"/>
    <x v="434"/>
    <d v="2023-04-06T03:27:00"/>
    <d v="2023-04-06T07:14:00"/>
    <d v="1899-12-30T04:02:00"/>
    <x v="158"/>
    <x v="74"/>
    <x v="0"/>
  </r>
  <r>
    <s v="4"/>
    <x v="423"/>
    <n v="6"/>
    <d v="2023-04-06T03:44:00"/>
    <x v="449"/>
    <x v="4"/>
    <x v="2"/>
    <x v="0"/>
    <n v="43.02"/>
    <x v="1"/>
    <n v="526"/>
    <x v="6"/>
    <s v="Plato_11"/>
    <n v="13"/>
    <x v="416"/>
    <d v="2023-04-06T03:44:00"/>
    <d v="2023-04-06T05:41:00"/>
    <d v="1899-12-30T01:57:00"/>
    <x v="108"/>
    <x v="138"/>
    <x v="0"/>
  </r>
  <r>
    <s v="19"/>
    <x v="424"/>
    <n v="4"/>
    <d v="2023-04-06T03:41:00"/>
    <x v="450"/>
    <x v="1"/>
    <x v="1"/>
    <x v="1"/>
    <n v="22.95"/>
    <x v="2"/>
    <n v="527"/>
    <x v="0"/>
    <s v="Plato_6"/>
    <n v="22"/>
    <x v="435"/>
    <d v="2023-04-06T03:41:00"/>
    <d v="2023-04-06T05:55:00"/>
    <d v="1899-12-30T02:29:00"/>
    <x v="126"/>
    <x v="62"/>
    <x v="0"/>
  </r>
  <r>
    <n v="14"/>
    <x v="425"/>
    <n v="2"/>
    <d v="2023-04-06T01:47:00"/>
    <x v="451"/>
    <x v="2"/>
    <x v="0"/>
    <x v="0"/>
    <n v="15.62"/>
    <x v="0"/>
    <n v="528"/>
    <x v="6"/>
    <s v="Plato_3, Plato_20, Plato_4"/>
    <n v="31"/>
    <x v="436"/>
    <d v="2023-04-06T01:47:00"/>
    <d v="2023-04-06T03:48:00"/>
    <d v="1899-12-30T02:01:00"/>
    <x v="83"/>
    <x v="8"/>
    <x v="1"/>
  </r>
  <r>
    <n v="1"/>
    <x v="426"/>
    <n v="2"/>
    <d v="2023-04-06T01:58:00"/>
    <x v="446"/>
    <x v="0"/>
    <x v="0"/>
    <x v="2"/>
    <n v="25.91"/>
    <x v="2"/>
    <n v="529"/>
    <x v="0"/>
    <s v="Plato_18, Plato_19, Plato_14, Plato_16"/>
    <n v="84"/>
    <x v="437"/>
    <d v="2023-04-06T01:58:00"/>
    <d v="2023-04-06T04:42:00"/>
    <d v="1899-12-30T02:59:00"/>
    <x v="159"/>
    <x v="19"/>
    <x v="0"/>
  </r>
  <r>
    <n v="7"/>
    <x v="427"/>
    <n v="5"/>
    <d v="2023-04-06T02:13:00"/>
    <x v="432"/>
    <x v="3"/>
    <x v="0"/>
    <x v="2"/>
    <n v="30.19"/>
    <x v="2"/>
    <n v="530"/>
    <x v="3"/>
    <s v="Plato_4, Plato_16, Plato_1"/>
    <n v="68"/>
    <x v="438"/>
    <d v="2023-04-06T02:13:00"/>
    <d v="2023-04-06T06:07:00"/>
    <d v="1899-12-30T04:09:00"/>
    <x v="103"/>
    <x v="150"/>
    <x v="0"/>
  </r>
  <r>
    <n v="9"/>
    <x v="325"/>
    <n v="6"/>
    <d v="2023-04-06T03:03:00"/>
    <x v="452"/>
    <x v="2"/>
    <x v="2"/>
    <x v="1"/>
    <n v="34.39"/>
    <x v="1"/>
    <n v="531"/>
    <x v="3"/>
    <s v="Plato_13, Plato_20, Plato_4, Plato_9"/>
    <n v="99"/>
    <x v="439"/>
    <d v="2023-04-06T03:03:00"/>
    <d v="2023-04-06T05:04:00"/>
    <d v="1899-12-30T02:01:00"/>
    <x v="160"/>
    <x v="8"/>
    <x v="1"/>
  </r>
  <r>
    <n v="13"/>
    <x v="51"/>
    <n v="3"/>
    <d v="2023-04-06T01:48:00"/>
    <x v="453"/>
    <x v="0"/>
    <x v="1"/>
    <x v="0"/>
    <n v="17.95"/>
    <x v="0"/>
    <n v="532"/>
    <x v="10"/>
    <s v="Plato_13, Plato_10, Plato_15"/>
    <n v="56"/>
    <x v="440"/>
    <d v="2023-04-06T01:48:00"/>
    <d v="2023-04-06T05:26:00"/>
    <d v="1899-12-30T03:38:00"/>
    <x v="12"/>
    <x v="78"/>
    <x v="0"/>
  </r>
  <r>
    <n v="1"/>
    <x v="183"/>
    <n v="3"/>
    <d v="2023-04-06T03:14:00"/>
    <x v="454"/>
    <x v="3"/>
    <x v="2"/>
    <x v="0"/>
    <n v="20.09"/>
    <x v="1"/>
    <n v="533"/>
    <x v="8"/>
    <s v="Plato_3, Plato_13"/>
    <n v="16"/>
    <x v="441"/>
    <d v="2023-04-06T03:14:00"/>
    <d v="2023-04-06T05:20:00"/>
    <d v="1899-12-30T02:06:00"/>
    <x v="48"/>
    <x v="191"/>
    <x v="0"/>
  </r>
  <r>
    <n v="1"/>
    <x v="428"/>
    <n v="6"/>
    <d v="2023-04-06T01:02:00"/>
    <x v="455"/>
    <x v="4"/>
    <x v="2"/>
    <x v="2"/>
    <n v="23.59"/>
    <x v="0"/>
    <n v="534"/>
    <x v="2"/>
    <s v="Plato_7, Plato_9, Plato_8"/>
    <n v="60"/>
    <x v="442"/>
    <d v="2023-04-06T01:02:00"/>
    <d v="2023-04-06T04:29:00"/>
    <d v="1899-12-30T03:27:00"/>
    <x v="75"/>
    <x v="71"/>
    <x v="0"/>
  </r>
  <r>
    <n v="15"/>
    <x v="99"/>
    <n v="3"/>
    <d v="2023-04-06T00:57:00"/>
    <x v="401"/>
    <x v="1"/>
    <x v="1"/>
    <x v="2"/>
    <n v="39.450000000000003"/>
    <x v="1"/>
    <n v="535"/>
    <x v="9"/>
    <s v="Plato_20, Plato_9, Plato_7, Plato_13"/>
    <n v="109"/>
    <x v="443"/>
    <d v="2023-04-06T00:57:00"/>
    <d v="2023-04-06T03:32:00"/>
    <d v="1899-12-30T02:35:00"/>
    <x v="139"/>
    <x v="93"/>
    <x v="0"/>
  </r>
  <r>
    <n v="9"/>
    <x v="429"/>
    <n v="2"/>
    <d v="2023-04-06T02:31:00"/>
    <x v="456"/>
    <x v="4"/>
    <x v="0"/>
    <x v="2"/>
    <n v="46"/>
    <x v="0"/>
    <n v="536"/>
    <x v="9"/>
    <s v="Plato_4, Plato_9, Plato_14, Plato_2"/>
    <n v="86"/>
    <x v="444"/>
    <d v="2023-04-06T02:31:00"/>
    <d v="2023-04-06T04:39:00"/>
    <d v="1899-12-30T02:08:00"/>
    <x v="20"/>
    <x v="8"/>
    <x v="1"/>
  </r>
  <r>
    <s v="18"/>
    <x v="122"/>
    <n v="6"/>
    <d v="2023-04-06T00:24:00"/>
    <x v="457"/>
    <x v="0"/>
    <x v="1"/>
    <x v="0"/>
    <n v="28.68"/>
    <x v="2"/>
    <n v="537"/>
    <x v="4"/>
    <s v="Plato_13"/>
    <n v="24"/>
    <x v="445"/>
    <d v="2023-04-06T00:24:00"/>
    <d v="2023-04-06T02:09:00"/>
    <d v="1899-12-30T02:00:00"/>
    <x v="40"/>
    <x v="11"/>
    <x v="0"/>
  </r>
  <r>
    <n v="14"/>
    <x v="240"/>
    <n v="4"/>
    <d v="2023-04-06T03:19:00"/>
    <x v="458"/>
    <x v="4"/>
    <x v="2"/>
    <x v="0"/>
    <n v="41.35"/>
    <x v="1"/>
    <n v="538"/>
    <x v="1"/>
    <s v="Plato_2, Plato_14, Plato_11, Plato_16"/>
    <n v="58"/>
    <x v="446"/>
    <d v="2023-04-06T03:19:00"/>
    <d v="2023-04-06T05:33:00"/>
    <d v="1899-12-30T02:14:00"/>
    <x v="161"/>
    <x v="8"/>
    <x v="1"/>
  </r>
  <r>
    <n v="18"/>
    <x v="430"/>
    <n v="3"/>
    <d v="2023-04-06T03:51:00"/>
    <x v="459"/>
    <x v="2"/>
    <x v="1"/>
    <x v="1"/>
    <n v="20.9"/>
    <x v="1"/>
    <n v="539"/>
    <x v="1"/>
    <s v="Plato_2, Plato_6, Plato_9, Plato_4"/>
    <n v="99"/>
    <x v="447"/>
    <d v="2023-04-06T03:51:00"/>
    <d v="2023-04-06T07:00:00"/>
    <d v="1899-12-30T03:09:00"/>
    <x v="74"/>
    <x v="49"/>
    <x v="0"/>
  </r>
  <r>
    <n v="6"/>
    <x v="431"/>
    <n v="4"/>
    <d v="2023-04-06T03:46:00"/>
    <x v="460"/>
    <x v="1"/>
    <x v="0"/>
    <x v="2"/>
    <n v="47.85"/>
    <x v="0"/>
    <n v="540"/>
    <x v="7"/>
    <s v="Plato_4, Plato_8"/>
    <n v="52"/>
    <x v="448"/>
    <d v="2023-04-06T03:46:00"/>
    <d v="2023-04-06T06:56:00"/>
    <d v="1899-12-30T03:10:00"/>
    <x v="53"/>
    <x v="4"/>
    <x v="0"/>
  </r>
  <r>
    <n v="19"/>
    <x v="22"/>
    <n v="2"/>
    <d v="2023-04-06T00:33:00"/>
    <x v="461"/>
    <x v="1"/>
    <x v="1"/>
    <x v="0"/>
    <n v="33.700000000000003"/>
    <x v="0"/>
    <n v="541"/>
    <x v="1"/>
    <s v="Plato_12, Plato_11, Plato_9, Plato_14"/>
    <n v="81"/>
    <x v="449"/>
    <d v="2023-04-06T00:33:00"/>
    <d v="2023-04-06T04:32:00"/>
    <d v="1899-12-30T03:59:00"/>
    <x v="38"/>
    <x v="75"/>
    <x v="0"/>
  </r>
  <r>
    <n v="9"/>
    <x v="116"/>
    <n v="5"/>
    <d v="2023-04-06T02:47:00"/>
    <x v="408"/>
    <x v="0"/>
    <x v="1"/>
    <x v="2"/>
    <n v="49.05"/>
    <x v="0"/>
    <n v="542"/>
    <x v="9"/>
    <s v="Plato_18, Plato_10, Plato_6"/>
    <n v="61"/>
    <x v="401"/>
    <d v="2023-04-06T02:47:00"/>
    <d v="2023-04-06T04:43:00"/>
    <d v="1899-12-30T01:56:00"/>
    <x v="81"/>
    <x v="35"/>
    <x v="0"/>
  </r>
  <r>
    <n v="19"/>
    <x v="432"/>
    <n v="5"/>
    <d v="2023-04-06T00:47:00"/>
    <x v="462"/>
    <x v="4"/>
    <x v="2"/>
    <x v="2"/>
    <n v="49.37"/>
    <x v="0"/>
    <n v="543"/>
    <x v="3"/>
    <s v="Plato_16, Plato_6, Plato_15"/>
    <n v="85"/>
    <x v="450"/>
    <d v="2023-04-06T00:47:00"/>
    <d v="2023-04-06T03:37:00"/>
    <d v="1899-12-30T02:50:00"/>
    <x v="107"/>
    <x v="110"/>
    <x v="0"/>
  </r>
  <r>
    <s v="7"/>
    <x v="433"/>
    <n v="4"/>
    <d v="2023-04-06T03:17:00"/>
    <x v="463"/>
    <x v="3"/>
    <x v="0"/>
    <x v="2"/>
    <n v="44.91"/>
    <x v="2"/>
    <n v="544"/>
    <x v="8"/>
    <s v="Plato_8"/>
    <n v="28"/>
    <x v="390"/>
    <d v="2023-04-06T03:17:00"/>
    <d v="2023-04-06T04:45:00"/>
    <d v="1899-12-30T01:43:00"/>
    <x v="48"/>
    <x v="192"/>
    <x v="0"/>
  </r>
  <r>
    <n v="20"/>
    <x v="434"/>
    <n v="5"/>
    <d v="2023-04-06T02:39:00"/>
    <x v="445"/>
    <x v="2"/>
    <x v="0"/>
    <x v="1"/>
    <n v="12.18"/>
    <x v="2"/>
    <n v="545"/>
    <x v="9"/>
    <s v="Plato_11, Plato_17"/>
    <n v="51"/>
    <x v="451"/>
    <d v="2023-04-06T02:39:00"/>
    <d v="2023-04-06T04:26:00"/>
    <d v="1899-12-30T02:02:00"/>
    <x v="79"/>
    <x v="52"/>
    <x v="0"/>
  </r>
  <r>
    <n v="5"/>
    <x v="435"/>
    <n v="2"/>
    <d v="2023-04-06T03:14:00"/>
    <x v="464"/>
    <x v="4"/>
    <x v="0"/>
    <x v="0"/>
    <n v="47.81"/>
    <x v="0"/>
    <n v="546"/>
    <x v="6"/>
    <s v="Plato_15, Plato_16"/>
    <n v="38"/>
    <x v="441"/>
    <d v="2023-04-06T03:14:00"/>
    <d v="2023-04-06T05:29:00"/>
    <d v="1899-12-30T02:15:00"/>
    <x v="125"/>
    <x v="176"/>
    <x v="0"/>
  </r>
  <r>
    <n v="9"/>
    <x v="436"/>
    <n v="3"/>
    <d v="2023-04-06T02:43:00"/>
    <x v="419"/>
    <x v="3"/>
    <x v="2"/>
    <x v="2"/>
    <n v="20.04"/>
    <x v="2"/>
    <n v="547"/>
    <x v="1"/>
    <s v="Plato_17, Plato_11, Plato_8"/>
    <n v="89"/>
    <x v="452"/>
    <d v="2023-04-06T02:43:00"/>
    <d v="2023-04-06T04:36:00"/>
    <d v="1899-12-30T02:08:00"/>
    <x v="63"/>
    <x v="53"/>
    <x v="0"/>
  </r>
  <r>
    <n v="4"/>
    <x v="437"/>
    <n v="2"/>
    <d v="2023-04-06T00:55:00"/>
    <x v="465"/>
    <x v="2"/>
    <x v="0"/>
    <x v="2"/>
    <n v="28.88"/>
    <x v="1"/>
    <n v="548"/>
    <x v="9"/>
    <s v="Plato_18, Plato_17"/>
    <n v="38"/>
    <x v="453"/>
    <d v="2023-04-06T00:55:00"/>
    <d v="2023-04-06T04:03:00"/>
    <d v="1899-12-30T03:08:00"/>
    <x v="103"/>
    <x v="120"/>
    <x v="0"/>
  </r>
  <r>
    <n v="12"/>
    <x v="261"/>
    <n v="2"/>
    <d v="2023-04-06T01:33:00"/>
    <x v="453"/>
    <x v="1"/>
    <x v="0"/>
    <x v="2"/>
    <n v="35.340000000000003"/>
    <x v="1"/>
    <n v="549"/>
    <x v="1"/>
    <s v="Plato_1, Plato_8, Plato_18"/>
    <n v="66"/>
    <x v="399"/>
    <d v="2023-04-06T01:33:00"/>
    <d v="2023-04-06T05:26:00"/>
    <d v="1899-12-30T03:53:00"/>
    <x v="33"/>
    <x v="55"/>
    <x v="0"/>
  </r>
  <r>
    <n v="1"/>
    <x v="372"/>
    <n v="6"/>
    <d v="2023-04-06T01:08:00"/>
    <x v="466"/>
    <x v="0"/>
    <x v="0"/>
    <x v="2"/>
    <n v="28.33"/>
    <x v="2"/>
    <n v="550"/>
    <x v="2"/>
    <s v="Plato_2, Plato_7, Plato_3"/>
    <n v="50"/>
    <x v="454"/>
    <d v="2023-04-06T01:08:00"/>
    <d v="2023-04-06T02:39:00"/>
    <d v="1899-12-30T01:46:00"/>
    <x v="0"/>
    <x v="180"/>
    <x v="0"/>
  </r>
  <r>
    <n v="4"/>
    <x v="438"/>
    <n v="2"/>
    <d v="2023-04-06T02:58:00"/>
    <x v="467"/>
    <x v="0"/>
    <x v="1"/>
    <x v="2"/>
    <n v="17.54"/>
    <x v="0"/>
    <n v="551"/>
    <x v="3"/>
    <s v="Plato_2, Plato_3, Plato_4, Plato_13"/>
    <n v="68"/>
    <x v="455"/>
    <d v="2023-04-06T02:58:00"/>
    <d v="2023-04-06T04:10:00"/>
    <d v="1899-12-30T01:12:00"/>
    <x v="21"/>
    <x v="8"/>
    <x v="1"/>
  </r>
  <r>
    <n v="11"/>
    <x v="439"/>
    <n v="6"/>
    <d v="2023-04-06T00:26:00"/>
    <x v="468"/>
    <x v="0"/>
    <x v="2"/>
    <x v="0"/>
    <n v="10.28"/>
    <x v="1"/>
    <n v="552"/>
    <x v="0"/>
    <s v="Plato_20, Plato_13, Plato_3"/>
    <n v="93"/>
    <x v="456"/>
    <d v="2023-04-06T00:26:00"/>
    <d v="2023-04-06T03:54:00"/>
    <d v="1899-12-30T03:28:00"/>
    <x v="81"/>
    <x v="183"/>
    <x v="0"/>
  </r>
  <r>
    <n v="14"/>
    <x v="440"/>
    <n v="2"/>
    <d v="2023-04-06T02:45:00"/>
    <x v="469"/>
    <x v="0"/>
    <x v="0"/>
    <x v="2"/>
    <n v="44.38"/>
    <x v="1"/>
    <n v="553"/>
    <x v="2"/>
    <s v="Plato_2, Plato_1, Plato_5, Plato_12"/>
    <n v="82"/>
    <x v="457"/>
    <d v="2023-04-06T02:45:00"/>
    <d v="2023-04-06T05:24:00"/>
    <d v="1899-12-30T02:39:00"/>
    <x v="162"/>
    <x v="8"/>
    <x v="1"/>
  </r>
  <r>
    <n v="10"/>
    <x v="441"/>
    <n v="6"/>
    <d v="2023-04-06T01:30:00"/>
    <x v="470"/>
    <x v="0"/>
    <x v="0"/>
    <x v="0"/>
    <n v="19.600000000000001"/>
    <x v="2"/>
    <n v="554"/>
    <x v="0"/>
    <s v="Plato_14, Plato_20"/>
    <n v="63"/>
    <x v="458"/>
    <d v="2023-04-06T01:30:00"/>
    <d v="2023-04-06T02:55:00"/>
    <d v="1899-12-30T01:40:00"/>
    <x v="26"/>
    <x v="115"/>
    <x v="0"/>
  </r>
  <r>
    <s v="20"/>
    <x v="442"/>
    <n v="1"/>
    <d v="2023-04-06T01:59:00"/>
    <x v="471"/>
    <x v="2"/>
    <x v="1"/>
    <x v="1"/>
    <n v="41.08"/>
    <x v="1"/>
    <n v="555"/>
    <x v="2"/>
    <s v="Plato_2"/>
    <n v="12"/>
    <x v="459"/>
    <d v="2023-04-06T01:59:00"/>
    <d v="2023-04-06T05:02:00"/>
    <d v="1899-12-30T03:03:00"/>
    <x v="78"/>
    <x v="193"/>
    <x v="0"/>
  </r>
  <r>
    <n v="9"/>
    <x v="42"/>
    <n v="6"/>
    <d v="2023-04-06T03:57:00"/>
    <x v="472"/>
    <x v="2"/>
    <x v="0"/>
    <x v="0"/>
    <n v="14.09"/>
    <x v="1"/>
    <n v="556"/>
    <x v="3"/>
    <s v="Plato_5, Plato_4"/>
    <n v="33"/>
    <x v="460"/>
    <d v="2023-04-06T03:57:00"/>
    <d v="2023-04-06T07:41:00"/>
    <d v="1899-12-30T03:44:00"/>
    <x v="149"/>
    <x v="148"/>
    <x v="0"/>
  </r>
  <r>
    <n v="7"/>
    <x v="115"/>
    <n v="5"/>
    <d v="2023-04-06T03:52:00"/>
    <x v="473"/>
    <x v="2"/>
    <x v="0"/>
    <x v="1"/>
    <n v="35.880000000000003"/>
    <x v="2"/>
    <n v="557"/>
    <x v="8"/>
    <s v="Plato_15, Plato_13, Plato_1"/>
    <n v="70"/>
    <x v="461"/>
    <d v="2023-04-06T03:52:00"/>
    <d v="2023-04-06T07:39:00"/>
    <d v="1899-12-30T04:02:00"/>
    <x v="97"/>
    <x v="55"/>
    <x v="0"/>
  </r>
  <r>
    <n v="6"/>
    <x v="380"/>
    <n v="4"/>
    <d v="2023-04-06T00:18:00"/>
    <x v="474"/>
    <x v="1"/>
    <x v="0"/>
    <x v="2"/>
    <n v="45.26"/>
    <x v="0"/>
    <n v="558"/>
    <x v="3"/>
    <s v="Plato_15, Plato_1, Plato_11"/>
    <n v="72"/>
    <x v="462"/>
    <d v="2023-04-06T00:18:00"/>
    <d v="2023-04-06T03:06:00"/>
    <d v="1899-12-30T02:48:00"/>
    <x v="163"/>
    <x v="35"/>
    <x v="0"/>
  </r>
  <r>
    <s v="11"/>
    <x v="14"/>
    <n v="1"/>
    <d v="2023-04-06T00:14:00"/>
    <x v="475"/>
    <x v="2"/>
    <x v="0"/>
    <x v="2"/>
    <n v="24.36"/>
    <x v="0"/>
    <n v="559"/>
    <x v="7"/>
    <s v="Plato_11"/>
    <n v="39"/>
    <x v="463"/>
    <d v="2023-04-06T00:14:00"/>
    <d v="2023-04-06T03:59:00"/>
    <d v="1899-12-30T03:45:00"/>
    <x v="6"/>
    <x v="136"/>
    <x v="0"/>
  </r>
  <r>
    <n v="6"/>
    <x v="166"/>
    <n v="6"/>
    <d v="2023-04-06T00:15:00"/>
    <x v="476"/>
    <x v="3"/>
    <x v="2"/>
    <x v="0"/>
    <n v="31.53"/>
    <x v="0"/>
    <n v="560"/>
    <x v="10"/>
    <s v="Plato_4, Plato_1"/>
    <n v="46"/>
    <x v="464"/>
    <d v="2023-04-06T00:15:00"/>
    <d v="2023-04-06T03:17:00"/>
    <d v="1899-12-30T03:02:00"/>
    <x v="48"/>
    <x v="163"/>
    <x v="0"/>
  </r>
  <r>
    <n v="4"/>
    <x v="17"/>
    <n v="2"/>
    <d v="2023-04-06T01:13:00"/>
    <x v="477"/>
    <x v="1"/>
    <x v="0"/>
    <x v="2"/>
    <n v="44.24"/>
    <x v="0"/>
    <n v="561"/>
    <x v="9"/>
    <s v="Plato_4, Plato_14"/>
    <n v="26"/>
    <x v="465"/>
    <d v="2023-04-06T01:13:00"/>
    <d v="2023-04-06T03:39:00"/>
    <d v="1899-12-30T02:26:00"/>
    <x v="152"/>
    <x v="120"/>
    <x v="0"/>
  </r>
  <r>
    <n v="20"/>
    <x v="443"/>
    <n v="3"/>
    <d v="2023-04-06T02:36:00"/>
    <x v="478"/>
    <x v="1"/>
    <x v="2"/>
    <x v="2"/>
    <n v="21.49"/>
    <x v="1"/>
    <n v="562"/>
    <x v="5"/>
    <s v="Plato_20, Plato_9, Plato_7, Plato_17"/>
    <n v="113"/>
    <x v="466"/>
    <d v="2023-04-06T02:36:00"/>
    <d v="2023-04-06T06:20:00"/>
    <d v="1899-12-30T03:44:00"/>
    <x v="43"/>
    <x v="60"/>
    <x v="0"/>
  </r>
  <r>
    <s v="12"/>
    <x v="70"/>
    <n v="3"/>
    <d v="2023-04-06T03:04:00"/>
    <x v="408"/>
    <x v="3"/>
    <x v="1"/>
    <x v="1"/>
    <n v="20.07"/>
    <x v="2"/>
    <n v="563"/>
    <x v="10"/>
    <s v="Plato_6"/>
    <n v="22"/>
    <x v="467"/>
    <d v="2023-04-06T03:04:00"/>
    <d v="2023-04-06T04:43:00"/>
    <d v="1899-12-30T01:54:00"/>
    <x v="128"/>
    <x v="48"/>
    <x v="0"/>
  </r>
  <r>
    <n v="9"/>
    <x v="444"/>
    <n v="3"/>
    <d v="2023-04-06T00:31:00"/>
    <x v="479"/>
    <x v="3"/>
    <x v="2"/>
    <x v="1"/>
    <n v="33.08"/>
    <x v="0"/>
    <n v="564"/>
    <x v="5"/>
    <s v="Plato_19, Plato_20, Plato_3"/>
    <n v="60"/>
    <x v="408"/>
    <d v="2023-04-06T00:31:00"/>
    <d v="2023-04-06T02:23:00"/>
    <d v="1899-12-30T01:52:00"/>
    <x v="59"/>
    <x v="158"/>
    <x v="0"/>
  </r>
  <r>
    <n v="3"/>
    <x v="445"/>
    <n v="6"/>
    <d v="2023-04-06T02:39:00"/>
    <x v="464"/>
    <x v="1"/>
    <x v="0"/>
    <x v="2"/>
    <n v="15.11"/>
    <x v="1"/>
    <n v="565"/>
    <x v="5"/>
    <s v="Plato_15, Plato_4, Plato_11, Plato_8"/>
    <n v="103"/>
    <x v="451"/>
    <d v="2023-04-06T02:39:00"/>
    <d v="2023-04-06T05:29:00"/>
    <d v="1899-12-30T02:50:00"/>
    <x v="33"/>
    <x v="107"/>
    <x v="0"/>
  </r>
  <r>
    <s v="4"/>
    <x v="21"/>
    <n v="3"/>
    <d v="2023-04-06T01:45:00"/>
    <x v="417"/>
    <x v="0"/>
    <x v="0"/>
    <x v="2"/>
    <n v="42.62"/>
    <x v="1"/>
    <n v="566"/>
    <x v="7"/>
    <s v="Plato_10"/>
    <n v="33"/>
    <x v="468"/>
    <d v="2023-04-06T01:45:00"/>
    <d v="2023-04-06T04:57:00"/>
    <d v="1899-12-30T03:12:00"/>
    <x v="10"/>
    <x v="194"/>
    <x v="0"/>
  </r>
  <r>
    <n v="15"/>
    <x v="329"/>
    <n v="4"/>
    <d v="2023-04-06T01:59:00"/>
    <x v="480"/>
    <x v="4"/>
    <x v="0"/>
    <x v="0"/>
    <n v="42.83"/>
    <x v="2"/>
    <n v="567"/>
    <x v="9"/>
    <s v="Plato_16, Plato_11, Plato_18, Plato_13"/>
    <n v="102"/>
    <x v="459"/>
    <d v="2023-04-06T01:59:00"/>
    <d v="2023-04-06T05:16:00"/>
    <d v="1899-12-30T03:32:00"/>
    <x v="96"/>
    <x v="86"/>
    <x v="0"/>
  </r>
  <r>
    <n v="5"/>
    <x v="51"/>
    <n v="1"/>
    <d v="2023-04-06T01:39:00"/>
    <x v="405"/>
    <x v="4"/>
    <x v="0"/>
    <x v="0"/>
    <n v="21.13"/>
    <x v="2"/>
    <n v="568"/>
    <x v="1"/>
    <s v="Plato_18, Plato_20"/>
    <n v="72"/>
    <x v="392"/>
    <d v="2023-04-06T01:39:00"/>
    <d v="2023-04-06T03:28:00"/>
    <d v="1899-12-30T02:04:00"/>
    <x v="90"/>
    <x v="14"/>
    <x v="0"/>
  </r>
  <r>
    <n v="12"/>
    <x v="446"/>
    <n v="5"/>
    <d v="2023-04-06T01:28:00"/>
    <x v="481"/>
    <x v="1"/>
    <x v="0"/>
    <x v="2"/>
    <n v="28.52"/>
    <x v="0"/>
    <n v="569"/>
    <x v="6"/>
    <s v="Plato_18, Plato_13"/>
    <n v="52"/>
    <x v="409"/>
    <d v="2023-04-06T01:28:00"/>
    <d v="2023-04-06T03:05:00"/>
    <d v="1899-12-30T01:37:00"/>
    <x v="118"/>
    <x v="154"/>
    <x v="0"/>
  </r>
  <r>
    <n v="1"/>
    <x v="447"/>
    <n v="6"/>
    <d v="2023-04-06T02:40:00"/>
    <x v="482"/>
    <x v="3"/>
    <x v="0"/>
    <x v="2"/>
    <n v="38.4"/>
    <x v="1"/>
    <n v="570"/>
    <x v="1"/>
    <s v="Plato_11, Plato_10"/>
    <n v="35"/>
    <x v="469"/>
    <d v="2023-04-06T02:40:00"/>
    <d v="2023-04-06T04:27:00"/>
    <d v="1899-12-30T01:47:00"/>
    <x v="78"/>
    <x v="143"/>
    <x v="0"/>
  </r>
  <r>
    <s v="15"/>
    <x v="39"/>
    <n v="2"/>
    <d v="2023-04-06T01:21:00"/>
    <x v="444"/>
    <x v="3"/>
    <x v="0"/>
    <x v="2"/>
    <n v="49.54"/>
    <x v="1"/>
    <n v="571"/>
    <x v="4"/>
    <s v="Plato_6"/>
    <n v="22"/>
    <x v="414"/>
    <d v="2023-04-06T01:21:00"/>
    <d v="2023-04-06T02:54:00"/>
    <d v="1899-12-30T01:33:00"/>
    <x v="100"/>
    <x v="69"/>
    <x v="0"/>
  </r>
  <r>
    <n v="19"/>
    <x v="448"/>
    <n v="3"/>
    <d v="2023-04-06T02:53:00"/>
    <x v="483"/>
    <x v="4"/>
    <x v="0"/>
    <x v="1"/>
    <n v="46.21"/>
    <x v="2"/>
    <n v="572"/>
    <x v="2"/>
    <s v="Plato_2, Plato_5"/>
    <n v="30"/>
    <x v="470"/>
    <d v="2023-04-06T02:53:00"/>
    <d v="2023-04-06T06:27:00"/>
    <d v="1899-12-30T03:49:00"/>
    <x v="18"/>
    <x v="112"/>
    <x v="0"/>
  </r>
  <r>
    <n v="7"/>
    <x v="449"/>
    <n v="3"/>
    <d v="2023-04-06T03:12:00"/>
    <x v="484"/>
    <x v="0"/>
    <x v="0"/>
    <x v="2"/>
    <n v="47.08"/>
    <x v="2"/>
    <n v="573"/>
    <x v="9"/>
    <s v="Plato_13, Plato_18"/>
    <n v="66"/>
    <x v="423"/>
    <d v="2023-04-06T03:12:00"/>
    <d v="2023-04-06T07:09:00"/>
    <d v="1899-12-30T04:12:00"/>
    <x v="27"/>
    <x v="195"/>
    <x v="0"/>
  </r>
  <r>
    <n v="20"/>
    <x v="450"/>
    <n v="3"/>
    <d v="2023-04-06T00:31:00"/>
    <x v="485"/>
    <x v="3"/>
    <x v="0"/>
    <x v="2"/>
    <n v="42.57"/>
    <x v="1"/>
    <n v="574"/>
    <x v="2"/>
    <s v="Plato_10, Plato_19, Plato_4, Plato_13"/>
    <n v="85"/>
    <x v="408"/>
    <d v="2023-04-06T00:31:00"/>
    <d v="2023-04-06T03:08:00"/>
    <d v="1899-12-30T02:37:00"/>
    <x v="164"/>
    <x v="8"/>
    <x v="1"/>
  </r>
  <r>
    <s v="15"/>
    <x v="272"/>
    <n v="4"/>
    <d v="2023-04-06T01:36:00"/>
    <x v="486"/>
    <x v="4"/>
    <x v="0"/>
    <x v="2"/>
    <n v="33.520000000000003"/>
    <x v="1"/>
    <n v="575"/>
    <x v="3"/>
    <s v="Plato_4"/>
    <n v="8"/>
    <x v="471"/>
    <d v="2023-04-06T01:36:00"/>
    <d v="2023-04-06T04:44:00"/>
    <d v="1899-12-30T03:08:00"/>
    <x v="18"/>
    <x v="40"/>
    <x v="0"/>
  </r>
  <r>
    <n v="9"/>
    <x v="451"/>
    <n v="1"/>
    <d v="2023-04-06T03:57:00"/>
    <x v="487"/>
    <x v="4"/>
    <x v="2"/>
    <x v="1"/>
    <n v="21.71"/>
    <x v="0"/>
    <n v="576"/>
    <x v="7"/>
    <s v="Plato_11, Plato_17, Plato_19"/>
    <n v="91"/>
    <x v="460"/>
    <d v="2023-04-06T03:57:00"/>
    <d v="2023-04-06T07:06:00"/>
    <d v="1899-12-30T03:09:00"/>
    <x v="81"/>
    <x v="196"/>
    <x v="0"/>
  </r>
  <r>
    <n v="5"/>
    <x v="452"/>
    <n v="4"/>
    <d v="2023-04-06T03:13:00"/>
    <x v="488"/>
    <x v="4"/>
    <x v="0"/>
    <x v="2"/>
    <n v="34.119999999999997"/>
    <x v="1"/>
    <n v="577"/>
    <x v="4"/>
    <s v="Plato_4, Plato_5"/>
    <n v="17"/>
    <x v="472"/>
    <d v="2023-04-06T03:13:00"/>
    <d v="2023-04-06T06:40:00"/>
    <d v="1899-12-30T03:27:00"/>
    <x v="94"/>
    <x v="197"/>
    <x v="0"/>
  </r>
  <r>
    <s v="11"/>
    <x v="191"/>
    <n v="6"/>
    <d v="2023-04-06T02:11:00"/>
    <x v="489"/>
    <x v="0"/>
    <x v="0"/>
    <x v="2"/>
    <n v="3.28"/>
    <x v="2"/>
    <n v="578"/>
    <x v="0"/>
    <s v="Plato_2"/>
    <n v="36"/>
    <x v="473"/>
    <d v="2023-04-06T02:11:00"/>
    <d v="2023-04-06T04:24:00"/>
    <d v="1899-12-30T02:28:00"/>
    <x v="18"/>
    <x v="121"/>
    <x v="0"/>
  </r>
  <r>
    <s v="9"/>
    <x v="453"/>
    <n v="2"/>
    <d v="2023-04-06T00:10:00"/>
    <x v="490"/>
    <x v="0"/>
    <x v="0"/>
    <x v="2"/>
    <n v="35.96"/>
    <x v="1"/>
    <n v="579"/>
    <x v="3"/>
    <s v="Plato_1"/>
    <n v="20"/>
    <x v="474"/>
    <d v="2023-04-06T00:10:00"/>
    <d v="2023-04-06T02:17:00"/>
    <d v="1899-12-30T02:07:00"/>
    <x v="48"/>
    <x v="108"/>
    <x v="0"/>
  </r>
  <r>
    <s v="10"/>
    <x v="38"/>
    <n v="5"/>
    <d v="2023-04-06T00:06:00"/>
    <x v="491"/>
    <x v="4"/>
    <x v="0"/>
    <x v="0"/>
    <n v="44.54"/>
    <x v="1"/>
    <n v="580"/>
    <x v="7"/>
    <s v="Plato_11"/>
    <n v="13"/>
    <x v="475"/>
    <d v="2023-04-06T00:06:00"/>
    <d v="2023-04-06T01:18:00"/>
    <d v="1899-12-30T01:12:00"/>
    <x v="52"/>
    <x v="93"/>
    <x v="0"/>
  </r>
  <r>
    <n v="18"/>
    <x v="97"/>
    <n v="5"/>
    <d v="2023-04-06T03:33:00"/>
    <x v="492"/>
    <x v="4"/>
    <x v="0"/>
    <x v="2"/>
    <n v="13.27"/>
    <x v="2"/>
    <n v="581"/>
    <x v="4"/>
    <s v="Plato_11, Plato_2"/>
    <n v="49"/>
    <x v="476"/>
    <d v="2023-04-06T03:33:00"/>
    <d v="2023-04-06T05:08:00"/>
    <d v="1899-12-30T01:50:00"/>
    <x v="7"/>
    <x v="192"/>
    <x v="0"/>
  </r>
  <r>
    <s v="3"/>
    <x v="454"/>
    <n v="1"/>
    <d v="2023-04-06T03:48:00"/>
    <x v="493"/>
    <x v="2"/>
    <x v="0"/>
    <x v="2"/>
    <n v="20.23"/>
    <x v="0"/>
    <n v="582"/>
    <x v="7"/>
    <s v="Plato_6"/>
    <n v="22"/>
    <x v="477"/>
    <d v="2023-04-06T03:48:00"/>
    <d v="2023-04-06T05:09:00"/>
    <d v="1899-12-30T01:21:00"/>
    <x v="72"/>
    <x v="154"/>
    <x v="0"/>
  </r>
  <r>
    <n v="9"/>
    <x v="232"/>
    <n v="2"/>
    <d v="2023-04-06T01:41:00"/>
    <x v="494"/>
    <x v="2"/>
    <x v="2"/>
    <x v="0"/>
    <n v="35.99"/>
    <x v="1"/>
    <n v="583"/>
    <x v="2"/>
    <s v="Plato_12, Plato_4, Plato_7, Plato_20"/>
    <n v="97"/>
    <x v="478"/>
    <d v="2023-04-06T01:41:00"/>
    <d v="2023-04-06T03:34:00"/>
    <d v="1899-12-30T01:53:00"/>
    <x v="28"/>
    <x v="42"/>
    <x v="0"/>
  </r>
  <r>
    <n v="9"/>
    <x v="455"/>
    <n v="4"/>
    <d v="2023-04-06T03:35:00"/>
    <x v="495"/>
    <x v="0"/>
    <x v="0"/>
    <x v="0"/>
    <n v="36.979999999999997"/>
    <x v="0"/>
    <n v="584"/>
    <x v="9"/>
    <s v="Plato_13, Plato_17, Plato_16"/>
    <n v="56"/>
    <x v="432"/>
    <d v="2023-04-06T03:35:00"/>
    <d v="2023-04-06T06:59:00"/>
    <d v="1899-12-30T03:24:00"/>
    <x v="54"/>
    <x v="39"/>
    <x v="0"/>
  </r>
  <r>
    <n v="3"/>
    <x v="387"/>
    <n v="5"/>
    <d v="2023-04-06T01:23:00"/>
    <x v="418"/>
    <x v="0"/>
    <x v="1"/>
    <x v="2"/>
    <n v="10.07"/>
    <x v="1"/>
    <n v="585"/>
    <x v="8"/>
    <s v="Plato_15, Plato_8, Plato_4, Plato_1"/>
    <n v="53"/>
    <x v="479"/>
    <d v="2023-04-06T01:23:00"/>
    <d v="2023-04-06T02:37:00"/>
    <d v="1899-12-30T01:14:00"/>
    <x v="11"/>
    <x v="8"/>
    <x v="1"/>
  </r>
  <r>
    <n v="17"/>
    <x v="456"/>
    <n v="5"/>
    <d v="2023-04-06T00:44:00"/>
    <x v="496"/>
    <x v="0"/>
    <x v="2"/>
    <x v="1"/>
    <n v="32.79"/>
    <x v="2"/>
    <n v="586"/>
    <x v="5"/>
    <s v="Plato_11, Plato_7"/>
    <n v="69"/>
    <x v="480"/>
    <d v="2023-04-06T00:44:00"/>
    <d v="2023-04-06T03:55:00"/>
    <d v="1899-12-30T03:26:00"/>
    <x v="57"/>
    <x v="128"/>
    <x v="0"/>
  </r>
  <r>
    <s v="7"/>
    <x v="457"/>
    <n v="4"/>
    <d v="2023-04-06T03:38:00"/>
    <x v="446"/>
    <x v="0"/>
    <x v="1"/>
    <x v="2"/>
    <n v="35.03"/>
    <x v="2"/>
    <n v="587"/>
    <x v="7"/>
    <s v="Plato_7"/>
    <n v="20"/>
    <x v="481"/>
    <d v="2023-04-06T03:38:00"/>
    <d v="2023-04-06T04:42:00"/>
    <d v="1899-12-30T01:19:00"/>
    <x v="49"/>
    <x v="66"/>
    <x v="0"/>
  </r>
  <r>
    <n v="15"/>
    <x v="441"/>
    <n v="2"/>
    <d v="2023-04-06T02:20:00"/>
    <x v="497"/>
    <x v="0"/>
    <x v="2"/>
    <x v="1"/>
    <n v="33.93"/>
    <x v="1"/>
    <n v="588"/>
    <x v="3"/>
    <s v="Plato_10, Plato_1"/>
    <n v="41"/>
    <x v="418"/>
    <d v="2023-04-06T02:20:00"/>
    <d v="2023-04-06T05:58:00"/>
    <d v="1899-12-30T03:38:00"/>
    <x v="128"/>
    <x v="165"/>
    <x v="0"/>
  </r>
  <r>
    <n v="10"/>
    <x v="458"/>
    <n v="4"/>
    <d v="2023-04-06T03:14:00"/>
    <x v="498"/>
    <x v="4"/>
    <x v="0"/>
    <x v="0"/>
    <n v="28.96"/>
    <x v="1"/>
    <n v="589"/>
    <x v="7"/>
    <s v="Plato_14, Plato_18, Plato_13, Plato_15"/>
    <n v="114"/>
    <x v="441"/>
    <d v="2023-04-06T03:14:00"/>
    <d v="2023-04-06T05:57:00"/>
    <d v="1899-12-30T02:43:00"/>
    <x v="95"/>
    <x v="198"/>
    <x v="0"/>
  </r>
  <r>
    <n v="3"/>
    <x v="201"/>
    <n v="6"/>
    <d v="2023-04-06T02:45:00"/>
    <x v="482"/>
    <x v="2"/>
    <x v="1"/>
    <x v="2"/>
    <n v="40.94"/>
    <x v="2"/>
    <n v="590"/>
    <x v="5"/>
    <s v="Plato_18, Plato_3"/>
    <n v="50"/>
    <x v="457"/>
    <d v="2023-04-06T02:45:00"/>
    <d v="2023-04-06T04:27:00"/>
    <d v="1899-12-30T01:57:00"/>
    <x v="152"/>
    <x v="26"/>
    <x v="0"/>
  </r>
  <r>
    <s v="11"/>
    <x v="459"/>
    <n v="6"/>
    <d v="2023-04-06T03:44:00"/>
    <x v="499"/>
    <x v="0"/>
    <x v="1"/>
    <x v="2"/>
    <n v="44.33"/>
    <x v="1"/>
    <n v="591"/>
    <x v="6"/>
    <s v="Plato_20"/>
    <n v="45"/>
    <x v="416"/>
    <d v="2023-04-06T03:44:00"/>
    <d v="2023-04-06T06:19:00"/>
    <d v="1899-12-30T02:35:00"/>
    <x v="62"/>
    <x v="121"/>
    <x v="0"/>
  </r>
  <r>
    <n v="5"/>
    <x v="460"/>
    <n v="1"/>
    <d v="2023-04-06T00:48:00"/>
    <x v="500"/>
    <x v="2"/>
    <x v="0"/>
    <x v="2"/>
    <n v="35.67"/>
    <x v="0"/>
    <n v="592"/>
    <x v="8"/>
    <s v="Plato_5, Plato_1"/>
    <n v="38"/>
    <x v="431"/>
    <d v="2023-04-06T00:48:00"/>
    <d v="2023-04-06T02:40:00"/>
    <d v="1899-12-30T01:52:00"/>
    <x v="127"/>
    <x v="43"/>
    <x v="0"/>
  </r>
  <r>
    <n v="17"/>
    <x v="461"/>
    <n v="5"/>
    <d v="2023-04-06T00:25:00"/>
    <x v="490"/>
    <x v="4"/>
    <x v="0"/>
    <x v="0"/>
    <n v="48.8"/>
    <x v="0"/>
    <n v="593"/>
    <x v="0"/>
    <s v="Plato_20, Plato_17, Plato_11, Plato_19"/>
    <n v="81"/>
    <x v="482"/>
    <d v="2023-04-06T00:25:00"/>
    <d v="2023-04-06T02:17:00"/>
    <d v="1899-12-30T01:52:00"/>
    <x v="48"/>
    <x v="80"/>
    <x v="0"/>
  </r>
  <r>
    <n v="17"/>
    <x v="462"/>
    <n v="1"/>
    <d v="2023-04-06T03:20:00"/>
    <x v="421"/>
    <x v="0"/>
    <x v="0"/>
    <x v="0"/>
    <n v="46.01"/>
    <x v="1"/>
    <n v="594"/>
    <x v="6"/>
    <s v="Plato_11, Plato_5, Plato_3"/>
    <n v="56"/>
    <x v="405"/>
    <d v="2023-04-06T03:20:00"/>
    <d v="2023-04-06T04:49:00"/>
    <d v="1899-12-30T01:29:00"/>
    <x v="33"/>
    <x v="8"/>
    <x v="1"/>
  </r>
  <r>
    <n v="9"/>
    <x v="18"/>
    <n v="5"/>
    <d v="2023-04-06T03:03:00"/>
    <x v="416"/>
    <x v="2"/>
    <x v="0"/>
    <x v="2"/>
    <n v="40.33"/>
    <x v="2"/>
    <n v="595"/>
    <x v="3"/>
    <s v="Plato_13, Plato_2"/>
    <n v="28"/>
    <x v="439"/>
    <d v="2023-04-06T03:03:00"/>
    <d v="2023-04-06T05:27:00"/>
    <d v="1899-12-30T02:39:00"/>
    <x v="58"/>
    <x v="86"/>
    <x v="0"/>
  </r>
  <r>
    <n v="18"/>
    <x v="463"/>
    <n v="2"/>
    <d v="2023-04-06T01:21:00"/>
    <x v="477"/>
    <x v="2"/>
    <x v="0"/>
    <x v="0"/>
    <n v="23.7"/>
    <x v="2"/>
    <n v="596"/>
    <x v="8"/>
    <s v="Plato_14, Plato_7, Plato_15, Plato_1"/>
    <n v="97"/>
    <x v="414"/>
    <d v="2023-04-06T01:21:00"/>
    <d v="2023-04-06T03:39:00"/>
    <d v="1899-12-30T02:33:00"/>
    <x v="16"/>
    <x v="8"/>
    <x v="1"/>
  </r>
  <r>
    <n v="16"/>
    <x v="405"/>
    <n v="1"/>
    <d v="2023-04-06T00:51:00"/>
    <x v="501"/>
    <x v="1"/>
    <x v="0"/>
    <x v="2"/>
    <n v="45.46"/>
    <x v="2"/>
    <n v="597"/>
    <x v="6"/>
    <s v="Plato_16, Plato_4, Plato_20, Plato_7"/>
    <n v="60"/>
    <x v="483"/>
    <d v="2023-04-06T00:51:00"/>
    <d v="2023-04-06T03:51:00"/>
    <d v="1899-12-30T03:15:00"/>
    <x v="80"/>
    <x v="155"/>
    <x v="0"/>
  </r>
  <r>
    <n v="9"/>
    <x v="464"/>
    <n v="6"/>
    <d v="2023-04-06T03:16:00"/>
    <x v="495"/>
    <x v="3"/>
    <x v="0"/>
    <x v="2"/>
    <n v="11.31"/>
    <x v="0"/>
    <n v="598"/>
    <x v="0"/>
    <s v="Plato_10, Plato_15, Plato_17"/>
    <n v="84"/>
    <x v="484"/>
    <d v="2023-04-06T03:16:00"/>
    <d v="2023-04-06T06:59:00"/>
    <d v="1899-12-30T03:43:00"/>
    <x v="39"/>
    <x v="70"/>
    <x v="0"/>
  </r>
  <r>
    <n v="11"/>
    <x v="465"/>
    <n v="3"/>
    <d v="2023-04-06T00:34:00"/>
    <x v="502"/>
    <x v="2"/>
    <x v="0"/>
    <x v="2"/>
    <n v="30.97"/>
    <x v="1"/>
    <n v="599"/>
    <x v="3"/>
    <s v="Plato_18, Plato_17, Plato_8"/>
    <n v="68"/>
    <x v="485"/>
    <d v="2023-04-06T00:34:00"/>
    <d v="2023-04-06T04:21:00"/>
    <d v="1899-12-30T03:47:00"/>
    <x v="122"/>
    <x v="6"/>
    <x v="0"/>
  </r>
  <r>
    <n v="14"/>
    <x v="466"/>
    <n v="4"/>
    <d v="2023-04-06T03:58:00"/>
    <x v="503"/>
    <x v="0"/>
    <x v="0"/>
    <x v="0"/>
    <n v="41.35"/>
    <x v="2"/>
    <n v="600"/>
    <x v="9"/>
    <s v="Plato_16, Plato_2"/>
    <n v="60"/>
    <x v="486"/>
    <d v="2023-04-06T03:58:00"/>
    <d v="2023-04-06T05:01:00"/>
    <d v="1899-12-30T01:18:00"/>
    <x v="31"/>
    <x v="72"/>
    <x v="0"/>
  </r>
  <r>
    <n v="13"/>
    <x v="21"/>
    <n v="1"/>
    <d v="2023-04-06T02:43:00"/>
    <x v="504"/>
    <x v="4"/>
    <x v="2"/>
    <x v="2"/>
    <n v="16.809999999999999"/>
    <x v="1"/>
    <n v="601"/>
    <x v="4"/>
    <s v="Plato_20, Plato_16, Plato_14, Plato_8"/>
    <n v="117"/>
    <x v="452"/>
    <d v="2023-04-06T02:43:00"/>
    <d v="2023-04-06T06:15:00"/>
    <d v="1899-12-30T03:32:00"/>
    <x v="81"/>
    <x v="9"/>
    <x v="0"/>
  </r>
  <r>
    <n v="12"/>
    <x v="467"/>
    <n v="3"/>
    <d v="2023-04-06T03:52:00"/>
    <x v="459"/>
    <x v="2"/>
    <x v="0"/>
    <x v="1"/>
    <n v="16.5"/>
    <x v="0"/>
    <n v="602"/>
    <x v="0"/>
    <s v="Plato_8, Plato_5, Plato_2, Plato_20"/>
    <n v="106"/>
    <x v="461"/>
    <d v="2023-04-06T03:52:00"/>
    <d v="2023-04-06T07:00:00"/>
    <d v="1899-12-30T03:08:00"/>
    <x v="165"/>
    <x v="37"/>
    <x v="0"/>
  </r>
  <r>
    <s v="19"/>
    <x v="126"/>
    <n v="6"/>
    <d v="2023-04-06T00:51:00"/>
    <x v="502"/>
    <x v="1"/>
    <x v="0"/>
    <x v="2"/>
    <n v="2.42"/>
    <x v="1"/>
    <n v="603"/>
    <x v="7"/>
    <s v="Plato_17"/>
    <n v="24"/>
    <x v="483"/>
    <d v="2023-04-06T00:51:00"/>
    <d v="2023-04-06T04:21:00"/>
    <d v="1899-12-30T03:30:00"/>
    <x v="4"/>
    <x v="91"/>
    <x v="0"/>
  </r>
  <r>
    <s v="14"/>
    <x v="203"/>
    <n v="5"/>
    <d v="2023-04-06T01:18:00"/>
    <x v="480"/>
    <x v="2"/>
    <x v="0"/>
    <x v="2"/>
    <n v="4.26"/>
    <x v="2"/>
    <n v="604"/>
    <x v="8"/>
    <s v="Plato_8"/>
    <n v="42"/>
    <x v="487"/>
    <d v="2023-04-06T01:18:00"/>
    <d v="2023-04-06T05:16:00"/>
    <d v="1899-12-30T04:13:00"/>
    <x v="72"/>
    <x v="103"/>
    <x v="0"/>
  </r>
  <r>
    <n v="19"/>
    <x v="468"/>
    <n v="2"/>
    <d v="2023-04-06T02:49:00"/>
    <x v="505"/>
    <x v="0"/>
    <x v="0"/>
    <x v="1"/>
    <n v="24.38"/>
    <x v="2"/>
    <n v="605"/>
    <x v="7"/>
    <s v="Plato_3, Plato_20, Plato_8, Plato_2"/>
    <n v="87"/>
    <x v="488"/>
    <d v="2023-04-06T02:49:00"/>
    <d v="2023-04-06T06:24:00"/>
    <d v="1899-12-30T03:50:00"/>
    <x v="116"/>
    <x v="155"/>
    <x v="0"/>
  </r>
  <r>
    <n v="1"/>
    <x v="397"/>
    <n v="2"/>
    <d v="2023-04-06T03:14:00"/>
    <x v="506"/>
    <x v="3"/>
    <x v="0"/>
    <x v="2"/>
    <n v="31.58"/>
    <x v="2"/>
    <n v="606"/>
    <x v="5"/>
    <s v="Plato_1, Plato_6, Plato_10"/>
    <n v="75"/>
    <x v="441"/>
    <d v="2023-04-06T03:14:00"/>
    <d v="2023-04-06T06:06:00"/>
    <d v="1899-12-30T03:07:00"/>
    <x v="56"/>
    <x v="93"/>
    <x v="0"/>
  </r>
  <r>
    <n v="10"/>
    <x v="28"/>
    <n v="1"/>
    <d v="2023-04-06T01:24:00"/>
    <x v="507"/>
    <x v="3"/>
    <x v="0"/>
    <x v="2"/>
    <n v="28.9"/>
    <x v="2"/>
    <n v="607"/>
    <x v="3"/>
    <s v="Plato_20, Plato_16"/>
    <n v="27"/>
    <x v="489"/>
    <d v="2023-04-06T01:24:00"/>
    <d v="2023-04-06T03:29:00"/>
    <d v="1899-12-30T02:20:00"/>
    <x v="27"/>
    <x v="99"/>
    <x v="0"/>
  </r>
  <r>
    <s v="7"/>
    <x v="469"/>
    <n v="6"/>
    <d v="2023-04-06T03:58:00"/>
    <x v="508"/>
    <x v="0"/>
    <x v="0"/>
    <x v="2"/>
    <n v="36.549999999999997"/>
    <x v="0"/>
    <n v="608"/>
    <x v="0"/>
    <s v="Plato_9"/>
    <n v="12"/>
    <x v="486"/>
    <d v="2023-04-06T03:58:00"/>
    <d v="2023-04-06T07:20:00"/>
    <d v="1899-12-30T03:22:00"/>
    <x v="129"/>
    <x v="17"/>
    <x v="0"/>
  </r>
  <r>
    <s v="1"/>
    <x v="190"/>
    <n v="4"/>
    <d v="2023-04-06T03:23:00"/>
    <x v="509"/>
    <x v="1"/>
    <x v="0"/>
    <x v="2"/>
    <n v="23.29"/>
    <x v="0"/>
    <n v="609"/>
    <x v="8"/>
    <s v="Plato_15"/>
    <n v="13"/>
    <x v="490"/>
    <d v="2023-04-06T03:23:00"/>
    <d v="2023-04-06T07:02:00"/>
    <d v="1899-12-30T03:39:00"/>
    <x v="111"/>
    <x v="199"/>
    <x v="0"/>
  </r>
  <r>
    <n v="19"/>
    <x v="14"/>
    <n v="4"/>
    <d v="2023-04-06T02:12:00"/>
    <x v="510"/>
    <x v="3"/>
    <x v="2"/>
    <x v="2"/>
    <n v="37.9"/>
    <x v="2"/>
    <n v="610"/>
    <x v="3"/>
    <s v="Plato_10, Plato_4"/>
    <n v="19"/>
    <x v="491"/>
    <d v="2023-04-06T02:12:00"/>
    <d v="2023-04-06T04:11:00"/>
    <d v="1899-12-30T02:14:00"/>
    <x v="32"/>
    <x v="200"/>
    <x v="0"/>
  </r>
  <r>
    <n v="13"/>
    <x v="470"/>
    <n v="1"/>
    <d v="2023-04-06T03:55:00"/>
    <x v="511"/>
    <x v="1"/>
    <x v="0"/>
    <x v="2"/>
    <n v="44.28"/>
    <x v="2"/>
    <n v="611"/>
    <x v="2"/>
    <s v="Plato_13, Plato_19"/>
    <n v="30"/>
    <x v="428"/>
    <d v="2023-04-06T03:55:00"/>
    <d v="2023-04-06T07:43:00"/>
    <d v="1899-12-30T04:03:00"/>
    <x v="133"/>
    <x v="201"/>
    <x v="0"/>
  </r>
  <r>
    <n v="11"/>
    <x v="471"/>
    <n v="4"/>
    <d v="2023-04-06T01:12:00"/>
    <x v="512"/>
    <x v="3"/>
    <x v="0"/>
    <x v="2"/>
    <n v="23.54"/>
    <x v="0"/>
    <n v="612"/>
    <x v="3"/>
    <s v="Plato_6, Plato_19, Plato_16, Plato_3"/>
    <n v="93"/>
    <x v="492"/>
    <d v="2023-04-06T01:12:00"/>
    <d v="2023-04-06T05:00:00"/>
    <d v="1899-12-30T03:48:00"/>
    <x v="74"/>
    <x v="11"/>
    <x v="0"/>
  </r>
  <r>
    <n v="1"/>
    <x v="41"/>
    <n v="5"/>
    <d v="2023-04-06T01:57:00"/>
    <x v="513"/>
    <x v="2"/>
    <x v="1"/>
    <x v="1"/>
    <n v="23.56"/>
    <x v="0"/>
    <n v="613"/>
    <x v="0"/>
    <s v="Plato_12, Plato_14, Plato_4, Plato_8"/>
    <n v="117"/>
    <x v="396"/>
    <d v="2023-04-06T01:57:00"/>
    <d v="2023-04-06T03:35:00"/>
    <d v="1899-12-30T01:38:00"/>
    <x v="20"/>
    <x v="8"/>
    <x v="1"/>
  </r>
  <r>
    <s v="19"/>
    <x v="289"/>
    <n v="6"/>
    <d v="2023-04-06T02:32:00"/>
    <x v="514"/>
    <x v="1"/>
    <x v="1"/>
    <x v="0"/>
    <n v="26.48"/>
    <x v="0"/>
    <n v="614"/>
    <x v="5"/>
    <s v="Plato_7"/>
    <n v="30"/>
    <x v="493"/>
    <d v="2023-04-06T02:32:00"/>
    <d v="2023-04-06T04:37:00"/>
    <d v="1899-12-30T02:05:00"/>
    <x v="150"/>
    <x v="13"/>
    <x v="0"/>
  </r>
  <r>
    <n v="7"/>
    <x v="472"/>
    <n v="1"/>
    <d v="2023-04-06T00:46:00"/>
    <x v="515"/>
    <x v="3"/>
    <x v="2"/>
    <x v="2"/>
    <n v="18.420000000000002"/>
    <x v="2"/>
    <n v="615"/>
    <x v="8"/>
    <s v="Plato_17, Plato_14, Plato_1, Plato_15"/>
    <n v="132"/>
    <x v="494"/>
    <d v="2023-04-06T00:46:00"/>
    <d v="2023-04-06T01:53:00"/>
    <d v="1899-12-30T01:22:00"/>
    <x v="119"/>
    <x v="8"/>
    <x v="1"/>
  </r>
  <r>
    <n v="4"/>
    <x v="468"/>
    <n v="4"/>
    <d v="2023-04-06T00:14:00"/>
    <x v="516"/>
    <x v="3"/>
    <x v="2"/>
    <x v="2"/>
    <n v="23.89"/>
    <x v="2"/>
    <n v="616"/>
    <x v="5"/>
    <s v="Plato_7, Plato_2"/>
    <n v="54"/>
    <x v="463"/>
    <d v="2023-04-06T00:14:00"/>
    <d v="2023-04-06T03:36:00"/>
    <d v="1899-12-30T03:37:00"/>
    <x v="32"/>
    <x v="140"/>
    <x v="0"/>
  </r>
  <r>
    <n v="13"/>
    <x v="31"/>
    <n v="5"/>
    <d v="2023-04-06T01:20:00"/>
    <x v="517"/>
    <x v="2"/>
    <x v="0"/>
    <x v="2"/>
    <n v="38.18"/>
    <x v="1"/>
    <n v="617"/>
    <x v="7"/>
    <s v="Plato_10, Plato_2"/>
    <n v="58"/>
    <x v="495"/>
    <d v="2023-04-06T01:20:00"/>
    <d v="2023-04-06T05:17:00"/>
    <d v="1899-12-30T03:57:00"/>
    <x v="62"/>
    <x v="167"/>
    <x v="0"/>
  </r>
  <r>
    <n v="3"/>
    <x v="473"/>
    <n v="5"/>
    <d v="2023-04-06T00:56:00"/>
    <x v="518"/>
    <x v="4"/>
    <x v="1"/>
    <x v="2"/>
    <n v="25.93"/>
    <x v="1"/>
    <n v="618"/>
    <x v="9"/>
    <s v="Plato_15, Plato_17, Plato_4, Plato_19"/>
    <n v="128"/>
    <x v="496"/>
    <d v="2023-04-06T00:56:00"/>
    <d v="2023-04-06T03:12:00"/>
    <d v="1899-12-30T02:16:00"/>
    <x v="82"/>
    <x v="159"/>
    <x v="0"/>
  </r>
  <r>
    <n v="6"/>
    <x v="308"/>
    <n v="4"/>
    <d v="2023-04-06T00:16:00"/>
    <x v="519"/>
    <x v="3"/>
    <x v="2"/>
    <x v="2"/>
    <n v="16.440000000000001"/>
    <x v="0"/>
    <n v="619"/>
    <x v="8"/>
    <s v="Plato_6, Plato_10"/>
    <n v="55"/>
    <x v="497"/>
    <d v="2023-04-06T00:16:00"/>
    <d v="2023-04-06T02:41:00"/>
    <d v="1899-12-30T02:25:00"/>
    <x v="45"/>
    <x v="180"/>
    <x v="0"/>
  </r>
  <r>
    <s v="16"/>
    <x v="474"/>
    <n v="3"/>
    <d v="2023-04-06T02:49:00"/>
    <x v="432"/>
    <x v="4"/>
    <x v="0"/>
    <x v="2"/>
    <n v="26.64"/>
    <x v="0"/>
    <n v="620"/>
    <x v="3"/>
    <s v="Plato_12"/>
    <n v="24"/>
    <x v="488"/>
    <d v="2023-04-06T02:49:00"/>
    <d v="2023-04-06T06:07:00"/>
    <d v="1899-12-30T03:18:00"/>
    <x v="3"/>
    <x v="148"/>
    <x v="0"/>
  </r>
  <r>
    <s v="5"/>
    <x v="475"/>
    <n v="2"/>
    <d v="2023-04-06T01:08:00"/>
    <x v="520"/>
    <x v="2"/>
    <x v="0"/>
    <x v="2"/>
    <n v="42.27"/>
    <x v="2"/>
    <n v="621"/>
    <x v="8"/>
    <s v="Plato_8"/>
    <n v="42"/>
    <x v="454"/>
    <d v="2023-04-06T01:08:00"/>
    <d v="2023-04-06T02:27:00"/>
    <d v="1899-12-30T01:34:00"/>
    <x v="69"/>
    <x v="90"/>
    <x v="0"/>
  </r>
  <r>
    <n v="7"/>
    <x v="452"/>
    <n v="5"/>
    <d v="2023-04-06T02:07:00"/>
    <x v="521"/>
    <x v="0"/>
    <x v="2"/>
    <x v="2"/>
    <n v="11.47"/>
    <x v="0"/>
    <n v="622"/>
    <x v="10"/>
    <s v="Plato_17, Plato_16"/>
    <n v="48"/>
    <x v="498"/>
    <d v="2023-04-06T02:07:00"/>
    <d v="2023-04-06T05:31:00"/>
    <d v="1899-12-30T03:24:00"/>
    <x v="34"/>
    <x v="30"/>
    <x v="0"/>
  </r>
  <r>
    <n v="13"/>
    <x v="355"/>
    <n v="1"/>
    <d v="2023-04-06T00:45:00"/>
    <x v="522"/>
    <x v="0"/>
    <x v="0"/>
    <x v="1"/>
    <n v="22.05"/>
    <x v="1"/>
    <n v="623"/>
    <x v="7"/>
    <s v="Plato_5, Plato_8, Plato_1, Plato_15"/>
    <n v="95"/>
    <x v="417"/>
    <d v="2023-04-06T00:45:00"/>
    <d v="2023-04-06T03:10:00"/>
    <d v="1899-12-30T02:25:00"/>
    <x v="56"/>
    <x v="8"/>
    <x v="0"/>
  </r>
  <r>
    <n v="1"/>
    <x v="309"/>
    <n v="4"/>
    <d v="2023-04-06T01:56:00"/>
    <x v="523"/>
    <x v="1"/>
    <x v="2"/>
    <x v="2"/>
    <n v="38"/>
    <x v="0"/>
    <n v="624"/>
    <x v="10"/>
    <s v="Plato_19, Plato_7, Plato_13"/>
    <n v="40"/>
    <x v="499"/>
    <d v="2023-04-06T01:56:00"/>
    <d v="2023-04-06T03:26:00"/>
    <d v="1899-12-30T01:30:00"/>
    <x v="76"/>
    <x v="43"/>
    <x v="0"/>
  </r>
  <r>
    <n v="5"/>
    <x v="476"/>
    <n v="4"/>
    <d v="2023-04-06T00:09:00"/>
    <x v="524"/>
    <x v="4"/>
    <x v="2"/>
    <x v="2"/>
    <n v="41.73"/>
    <x v="2"/>
    <n v="625"/>
    <x v="9"/>
    <s v="Plato_4, Plato_20, Plato_13"/>
    <n v="55"/>
    <x v="500"/>
    <d v="2023-04-06T00:09:00"/>
    <d v="2023-04-06T03:22:00"/>
    <d v="1899-12-30T03:28:00"/>
    <x v="63"/>
    <x v="10"/>
    <x v="0"/>
  </r>
  <r>
    <n v="14"/>
    <x v="477"/>
    <n v="4"/>
    <d v="2023-04-06T02:45:00"/>
    <x v="467"/>
    <x v="4"/>
    <x v="1"/>
    <x v="2"/>
    <n v="19.239999999999998"/>
    <x v="1"/>
    <n v="626"/>
    <x v="10"/>
    <s v="Plato_2, Plato_7, Plato_9"/>
    <n v="56"/>
    <x v="457"/>
    <d v="2023-04-06T02:45:00"/>
    <d v="2023-04-06T04:10:00"/>
    <d v="1899-12-30T01:25:00"/>
    <x v="118"/>
    <x v="98"/>
    <x v="0"/>
  </r>
  <r>
    <s v="4"/>
    <x v="183"/>
    <n v="3"/>
    <d v="2023-04-06T02:23:00"/>
    <x v="525"/>
    <x v="0"/>
    <x v="0"/>
    <x v="2"/>
    <n v="44.24"/>
    <x v="2"/>
    <n v="627"/>
    <x v="8"/>
    <s v="Plato_13"/>
    <n v="8"/>
    <x v="501"/>
    <d v="2023-04-06T02:23:00"/>
    <d v="2023-04-06T04:13:00"/>
    <d v="1899-12-30T02:05:00"/>
    <x v="128"/>
    <x v="109"/>
    <x v="0"/>
  </r>
  <r>
    <n v="2"/>
    <x v="164"/>
    <n v="1"/>
    <d v="2023-04-06T00:09:00"/>
    <x v="526"/>
    <x v="0"/>
    <x v="1"/>
    <x v="2"/>
    <n v="15.03"/>
    <x v="0"/>
    <n v="628"/>
    <x v="9"/>
    <s v="Plato_7, Plato_20"/>
    <n v="65"/>
    <x v="500"/>
    <d v="2023-04-06T00:09:00"/>
    <d v="2023-04-06T01:37:00"/>
    <d v="1899-12-30T01:28:00"/>
    <x v="49"/>
    <x v="83"/>
    <x v="0"/>
  </r>
  <r>
    <n v="17"/>
    <x v="34"/>
    <n v="2"/>
    <d v="2023-04-06T02:07:00"/>
    <x v="450"/>
    <x v="4"/>
    <x v="2"/>
    <x v="0"/>
    <n v="26.07"/>
    <x v="2"/>
    <n v="629"/>
    <x v="10"/>
    <s v="Plato_18, Plato_3, Plato_4"/>
    <n v="54"/>
    <x v="498"/>
    <d v="2023-04-06T02:07:00"/>
    <d v="2023-04-06T05:55:00"/>
    <d v="1899-12-30T04:03:00"/>
    <x v="90"/>
    <x v="78"/>
    <x v="0"/>
  </r>
  <r>
    <n v="2"/>
    <x v="263"/>
    <n v="2"/>
    <d v="2023-04-06T00:02:00"/>
    <x v="527"/>
    <x v="3"/>
    <x v="0"/>
    <x v="0"/>
    <n v="36.619999999999997"/>
    <x v="1"/>
    <n v="630"/>
    <x v="6"/>
    <s v="Plato_17, Plato_20"/>
    <n v="69"/>
    <x v="502"/>
    <d v="2023-04-06T00:02:00"/>
    <d v="2023-04-06T02:49:00"/>
    <d v="1899-12-30T02:47:00"/>
    <x v="134"/>
    <x v="114"/>
    <x v="0"/>
  </r>
  <r>
    <s v="6"/>
    <x v="328"/>
    <n v="1"/>
    <d v="2023-04-06T00:21:00"/>
    <x v="528"/>
    <x v="3"/>
    <x v="2"/>
    <x v="2"/>
    <n v="39.71"/>
    <x v="0"/>
    <n v="631"/>
    <x v="1"/>
    <s v="Plato_5"/>
    <n v="27"/>
    <x v="503"/>
    <d v="2023-04-06T00:21:00"/>
    <d v="2023-04-06T02:51:00"/>
    <d v="1899-12-30T02:30:00"/>
    <x v="78"/>
    <x v="121"/>
    <x v="0"/>
  </r>
  <r>
    <n v="16"/>
    <x v="478"/>
    <n v="2"/>
    <d v="2023-04-06T00:15:00"/>
    <x v="470"/>
    <x v="0"/>
    <x v="1"/>
    <x v="2"/>
    <n v="22.41"/>
    <x v="1"/>
    <n v="632"/>
    <x v="8"/>
    <s v="Plato_15, Plato_11"/>
    <n v="52"/>
    <x v="464"/>
    <d v="2023-04-06T00:15:00"/>
    <d v="2023-04-06T02:55:00"/>
    <d v="1899-12-30T02:40:00"/>
    <x v="98"/>
    <x v="107"/>
    <x v="0"/>
  </r>
  <r>
    <n v="16"/>
    <x v="479"/>
    <n v="5"/>
    <d v="2023-04-06T03:43:00"/>
    <x v="529"/>
    <x v="0"/>
    <x v="0"/>
    <x v="2"/>
    <n v="11.19"/>
    <x v="0"/>
    <n v="633"/>
    <x v="6"/>
    <s v="Plato_2, Plato_7, Plato_5, Plato_4"/>
    <n v="98"/>
    <x v="504"/>
    <d v="2023-04-06T03:43:00"/>
    <d v="2023-04-06T05:28:00"/>
    <d v="1899-12-30T01:45:00"/>
    <x v="132"/>
    <x v="8"/>
    <x v="1"/>
  </r>
  <r>
    <n v="2"/>
    <x v="343"/>
    <n v="1"/>
    <d v="2023-04-06T00:03:00"/>
    <x v="516"/>
    <x v="1"/>
    <x v="1"/>
    <x v="2"/>
    <n v="29.25"/>
    <x v="0"/>
    <n v="634"/>
    <x v="5"/>
    <s v="Plato_5, Plato_20, Plato_1, Plato_8"/>
    <n v="135"/>
    <x v="391"/>
    <d v="2023-04-06T00:03:00"/>
    <d v="2023-04-06T03:36:00"/>
    <d v="1899-12-30T03:33:00"/>
    <x v="159"/>
    <x v="1"/>
    <x v="0"/>
  </r>
  <r>
    <s v="5"/>
    <x v="480"/>
    <n v="2"/>
    <d v="2023-04-06T00:17:00"/>
    <x v="530"/>
    <x v="2"/>
    <x v="0"/>
    <x v="2"/>
    <n v="22.15"/>
    <x v="1"/>
    <n v="635"/>
    <x v="4"/>
    <s v="Plato_9"/>
    <n v="24"/>
    <x v="413"/>
    <d v="2023-04-06T00:17:00"/>
    <d v="2023-04-06T03:04:00"/>
    <d v="1899-12-30T02:47:00"/>
    <x v="94"/>
    <x v="70"/>
    <x v="0"/>
  </r>
  <r>
    <n v="14"/>
    <x v="481"/>
    <n v="3"/>
    <d v="2023-04-06T03:35:00"/>
    <x v="531"/>
    <x v="3"/>
    <x v="2"/>
    <x v="0"/>
    <n v="32.86"/>
    <x v="1"/>
    <n v="636"/>
    <x v="8"/>
    <s v="Plato_7, Plato_12, Plato_13"/>
    <n v="52"/>
    <x v="432"/>
    <d v="2023-04-06T03:35:00"/>
    <d v="2023-04-06T05:48:00"/>
    <d v="1899-12-30T02:13:00"/>
    <x v="166"/>
    <x v="8"/>
    <x v="1"/>
  </r>
  <r>
    <n v="6"/>
    <x v="482"/>
    <n v="3"/>
    <d v="2023-04-06T01:55:00"/>
    <x v="461"/>
    <x v="4"/>
    <x v="0"/>
    <x v="2"/>
    <n v="36.58"/>
    <x v="0"/>
    <n v="637"/>
    <x v="8"/>
    <s v="Plato_11, Plato_18, Plato_1"/>
    <n v="47"/>
    <x v="505"/>
    <d v="2023-04-06T01:55:00"/>
    <d v="2023-04-06T04:32:00"/>
    <d v="1899-12-30T02:37:00"/>
    <x v="135"/>
    <x v="110"/>
    <x v="0"/>
  </r>
  <r>
    <s v="16"/>
    <x v="152"/>
    <n v="6"/>
    <d v="2023-04-06T00:54:00"/>
    <x v="532"/>
    <x v="0"/>
    <x v="2"/>
    <x v="2"/>
    <n v="30.71"/>
    <x v="2"/>
    <n v="638"/>
    <x v="10"/>
    <s v="Plato_2"/>
    <n v="36"/>
    <x v="506"/>
    <d v="2023-04-06T00:54:00"/>
    <d v="2023-04-06T02:16:00"/>
    <d v="1899-12-30T01:37:00"/>
    <x v="18"/>
    <x v="26"/>
    <x v="0"/>
  </r>
  <r>
    <n v="8"/>
    <x v="483"/>
    <n v="4"/>
    <d v="2023-04-06T02:17:00"/>
    <x v="533"/>
    <x v="2"/>
    <x v="2"/>
    <x v="2"/>
    <n v="18.97"/>
    <x v="0"/>
    <n v="639"/>
    <x v="0"/>
    <s v="Plato_10, Plato_17, Plato_12"/>
    <n v="62"/>
    <x v="507"/>
    <d v="2023-04-06T02:17:00"/>
    <d v="2023-04-06T05:19:00"/>
    <d v="1899-12-30T03:02:00"/>
    <x v="86"/>
    <x v="160"/>
    <x v="0"/>
  </r>
  <r>
    <n v="14"/>
    <x v="484"/>
    <n v="3"/>
    <d v="2023-04-06T00:41:00"/>
    <x v="534"/>
    <x v="0"/>
    <x v="0"/>
    <x v="0"/>
    <n v="49.29"/>
    <x v="1"/>
    <n v="640"/>
    <x v="5"/>
    <s v="Plato_10, Plato_13, Plato_11"/>
    <n v="88"/>
    <x v="397"/>
    <d v="2023-04-06T00:41:00"/>
    <d v="2023-04-06T01:50:00"/>
    <d v="1899-12-30T01:09:00"/>
    <x v="134"/>
    <x v="8"/>
    <x v="1"/>
  </r>
  <r>
    <n v="2"/>
    <x v="485"/>
    <n v="4"/>
    <d v="2023-04-06T01:08:00"/>
    <x v="535"/>
    <x v="1"/>
    <x v="0"/>
    <x v="0"/>
    <n v="39.68"/>
    <x v="0"/>
    <n v="641"/>
    <x v="8"/>
    <s v="Plato_9, Plato_1, Plato_14"/>
    <n v="84"/>
    <x v="454"/>
    <d v="2023-04-06T01:08:00"/>
    <d v="2023-04-06T03:52:00"/>
    <d v="1899-12-30T02:44:00"/>
    <x v="107"/>
    <x v="39"/>
    <x v="0"/>
  </r>
  <r>
    <n v="15"/>
    <x v="486"/>
    <n v="1"/>
    <d v="2023-04-06T02:36:00"/>
    <x v="469"/>
    <x v="2"/>
    <x v="0"/>
    <x v="2"/>
    <n v="11.11"/>
    <x v="2"/>
    <n v="642"/>
    <x v="10"/>
    <s v="Plato_13, Plato_10, Plato_9"/>
    <n v="71"/>
    <x v="466"/>
    <d v="2023-04-06T02:36:00"/>
    <d v="2023-04-06T05:24:00"/>
    <d v="1899-12-30T03:03:00"/>
    <x v="39"/>
    <x v="151"/>
    <x v="0"/>
  </r>
  <r>
    <s v="17"/>
    <x v="487"/>
    <n v="2"/>
    <d v="2023-04-06T00:17:00"/>
    <x v="536"/>
    <x v="2"/>
    <x v="1"/>
    <x v="0"/>
    <n v="28.81"/>
    <x v="2"/>
    <n v="643"/>
    <x v="7"/>
    <s v="Plato_11"/>
    <n v="13"/>
    <x v="413"/>
    <d v="2023-04-06T00:17:00"/>
    <d v="2023-04-06T01:56:00"/>
    <d v="1899-12-30T01:54:00"/>
    <x v="73"/>
    <x v="110"/>
    <x v="0"/>
  </r>
  <r>
    <s v="9"/>
    <x v="488"/>
    <n v="6"/>
    <d v="2023-04-06T03:44:00"/>
    <x v="537"/>
    <x v="1"/>
    <x v="0"/>
    <x v="0"/>
    <n v="13.86"/>
    <x v="0"/>
    <n v="644"/>
    <x v="8"/>
    <s v="Plato_17"/>
    <n v="36"/>
    <x v="416"/>
    <d v="2023-04-06T03:44:00"/>
    <d v="2023-04-06T07:10:00"/>
    <d v="1899-12-30T03:26:00"/>
    <x v="62"/>
    <x v="170"/>
    <x v="0"/>
  </r>
  <r>
    <n v="6"/>
    <x v="338"/>
    <n v="6"/>
    <d v="2023-04-06T02:50:00"/>
    <x v="538"/>
    <x v="0"/>
    <x v="2"/>
    <x v="1"/>
    <n v="40.03"/>
    <x v="1"/>
    <n v="645"/>
    <x v="6"/>
    <s v="Plato_11, Plato_6"/>
    <n v="72"/>
    <x v="422"/>
    <d v="2023-04-06T02:50:00"/>
    <d v="2023-04-06T06:25:00"/>
    <d v="1899-12-30T03:35:00"/>
    <x v="63"/>
    <x v="62"/>
    <x v="0"/>
  </r>
  <r>
    <s v="12"/>
    <x v="44"/>
    <n v="2"/>
    <d v="2023-04-06T03:59:00"/>
    <x v="539"/>
    <x v="2"/>
    <x v="0"/>
    <x v="0"/>
    <n v="12.59"/>
    <x v="1"/>
    <n v="646"/>
    <x v="6"/>
    <s v="Plato_8"/>
    <n v="28"/>
    <x v="508"/>
    <d v="2023-04-06T03:59:00"/>
    <d v="2023-04-06T06:38:00"/>
    <d v="1899-12-30T02:39:00"/>
    <x v="167"/>
    <x v="131"/>
    <x v="0"/>
  </r>
  <r>
    <n v="12"/>
    <x v="489"/>
    <n v="2"/>
    <d v="2023-04-06T02:55:00"/>
    <x v="538"/>
    <x v="2"/>
    <x v="0"/>
    <x v="2"/>
    <n v="42.79"/>
    <x v="0"/>
    <n v="647"/>
    <x v="6"/>
    <s v="Plato_4, Plato_17"/>
    <n v="40"/>
    <x v="509"/>
    <d v="2023-04-06T02:55:00"/>
    <d v="2023-04-06T06:25:00"/>
    <d v="1899-12-30T03:30:00"/>
    <x v="142"/>
    <x v="177"/>
    <x v="0"/>
  </r>
  <r>
    <s v="9"/>
    <x v="61"/>
    <n v="1"/>
    <d v="2023-04-06T02:59:00"/>
    <x v="540"/>
    <x v="2"/>
    <x v="2"/>
    <x v="2"/>
    <n v="17.43"/>
    <x v="1"/>
    <n v="648"/>
    <x v="2"/>
    <s v="Plato_16"/>
    <n v="24"/>
    <x v="510"/>
    <d v="2023-04-06T02:59:00"/>
    <d v="2023-04-06T04:55:00"/>
    <d v="1899-12-30T01:56:00"/>
    <x v="32"/>
    <x v="182"/>
    <x v="0"/>
  </r>
  <r>
    <n v="9"/>
    <x v="490"/>
    <n v="1"/>
    <d v="2023-04-06T00:55:00"/>
    <x v="541"/>
    <x v="3"/>
    <x v="0"/>
    <x v="1"/>
    <n v="15.98"/>
    <x v="2"/>
    <n v="649"/>
    <x v="3"/>
    <s v="Plato_9, Plato_16, Plato_1, Plato_3"/>
    <n v="106"/>
    <x v="453"/>
    <d v="2023-04-06T00:55:00"/>
    <d v="2023-04-06T03:45:00"/>
    <d v="1899-12-30T03:05:00"/>
    <x v="25"/>
    <x v="88"/>
    <x v="0"/>
  </r>
  <r>
    <n v="11"/>
    <x v="427"/>
    <n v="3"/>
    <d v="2023-04-07T03:33:00"/>
    <x v="542"/>
    <x v="0"/>
    <x v="0"/>
    <x v="0"/>
    <n v="38.21"/>
    <x v="1"/>
    <n v="650"/>
    <x v="10"/>
    <s v="Plato_13, Plato_9, Plato_15, Plato_8"/>
    <n v="95"/>
    <x v="511"/>
    <d v="2023-04-07T03:33:00"/>
    <d v="2023-04-07T05:02:00"/>
    <d v="1899-12-30T01:29:00"/>
    <x v="75"/>
    <x v="72"/>
    <x v="0"/>
  </r>
  <r>
    <n v="16"/>
    <x v="491"/>
    <n v="4"/>
    <d v="2023-04-07T02:04:00"/>
    <x v="543"/>
    <x v="4"/>
    <x v="2"/>
    <x v="2"/>
    <n v="20.27"/>
    <x v="1"/>
    <n v="651"/>
    <x v="10"/>
    <s v="Plato_20, Plato_13, Plato_11"/>
    <n v="80"/>
    <x v="512"/>
    <d v="2023-04-07T02:04:00"/>
    <d v="2023-04-07T05:44:00"/>
    <d v="1899-12-30T03:40:00"/>
    <x v="98"/>
    <x v="24"/>
    <x v="0"/>
  </r>
  <r>
    <n v="14"/>
    <x v="435"/>
    <n v="5"/>
    <d v="2023-04-07T00:06:00"/>
    <x v="544"/>
    <x v="2"/>
    <x v="0"/>
    <x v="0"/>
    <n v="23.26"/>
    <x v="2"/>
    <n v="652"/>
    <x v="7"/>
    <s v="Plato_17, Plato_19"/>
    <n v="66"/>
    <x v="513"/>
    <d v="2023-04-07T00:06:00"/>
    <d v="2023-04-07T02:26:00"/>
    <d v="1899-12-30T02:35:00"/>
    <x v="150"/>
    <x v="146"/>
    <x v="0"/>
  </r>
  <r>
    <n v="13"/>
    <x v="492"/>
    <n v="5"/>
    <d v="2023-04-07T02:31:00"/>
    <x v="545"/>
    <x v="1"/>
    <x v="0"/>
    <x v="2"/>
    <n v="34.33"/>
    <x v="1"/>
    <n v="653"/>
    <x v="5"/>
    <s v="Plato_16, Plato_2, Plato_8"/>
    <n v="100"/>
    <x v="514"/>
    <d v="2023-04-07T02:31:00"/>
    <d v="2023-04-07T04:20:00"/>
    <d v="1899-12-30T01:49:00"/>
    <x v="102"/>
    <x v="8"/>
    <x v="1"/>
  </r>
  <r>
    <n v="12"/>
    <x v="493"/>
    <n v="5"/>
    <d v="2023-04-07T00:02:00"/>
    <x v="546"/>
    <x v="3"/>
    <x v="2"/>
    <x v="2"/>
    <n v="23.98"/>
    <x v="2"/>
    <n v="654"/>
    <x v="7"/>
    <s v="Plato_5, Plato_3"/>
    <n v="17"/>
    <x v="515"/>
    <d v="2023-04-07T00:02:00"/>
    <d v="2023-04-07T01:44:00"/>
    <d v="1899-12-30T01:57:00"/>
    <x v="18"/>
    <x v="67"/>
    <x v="0"/>
  </r>
  <r>
    <s v="5"/>
    <x v="494"/>
    <n v="4"/>
    <d v="2023-04-07T01:15:00"/>
    <x v="547"/>
    <x v="3"/>
    <x v="0"/>
    <x v="1"/>
    <n v="2.17"/>
    <x v="0"/>
    <n v="655"/>
    <x v="2"/>
    <s v="Plato_17"/>
    <n v="36"/>
    <x v="516"/>
    <d v="2023-04-07T01:15:00"/>
    <d v="2023-04-07T04:49:00"/>
    <d v="1899-12-30T03:34:00"/>
    <x v="167"/>
    <x v="161"/>
    <x v="0"/>
  </r>
  <r>
    <n v="19"/>
    <x v="495"/>
    <n v="6"/>
    <d v="2023-04-07T03:36:00"/>
    <x v="548"/>
    <x v="1"/>
    <x v="2"/>
    <x v="2"/>
    <n v="31.23"/>
    <x v="0"/>
    <n v="656"/>
    <x v="10"/>
    <s v="Plato_14, Plato_3, Plato_12, Plato_19"/>
    <n v="63"/>
    <x v="517"/>
    <d v="2023-04-07T03:36:00"/>
    <d v="2023-04-07T06:40:00"/>
    <d v="1899-12-30T03:04:00"/>
    <x v="110"/>
    <x v="196"/>
    <x v="0"/>
  </r>
  <r>
    <n v="1"/>
    <x v="496"/>
    <n v="2"/>
    <d v="2023-04-07T00:51:00"/>
    <x v="549"/>
    <x v="1"/>
    <x v="0"/>
    <x v="1"/>
    <n v="44.2"/>
    <x v="0"/>
    <n v="657"/>
    <x v="9"/>
    <s v="Plato_20, Plato_14, Plato_8"/>
    <n v="76"/>
    <x v="518"/>
    <d v="2023-04-07T00:51:00"/>
    <d v="2023-04-07T04:07:00"/>
    <d v="1899-12-30T03:16:00"/>
    <x v="17"/>
    <x v="81"/>
    <x v="0"/>
  </r>
  <r>
    <n v="19"/>
    <x v="497"/>
    <n v="5"/>
    <d v="2023-04-07T01:43:00"/>
    <x v="542"/>
    <x v="3"/>
    <x v="1"/>
    <x v="1"/>
    <n v="31.27"/>
    <x v="0"/>
    <n v="658"/>
    <x v="2"/>
    <s v="Plato_15, Plato_6"/>
    <n v="35"/>
    <x v="519"/>
    <d v="2023-04-07T01:43:00"/>
    <d v="2023-04-07T05:02:00"/>
    <d v="1899-12-30T03:19:00"/>
    <x v="48"/>
    <x v="202"/>
    <x v="0"/>
  </r>
  <r>
    <s v="9"/>
    <x v="225"/>
    <n v="4"/>
    <d v="2023-04-07T02:50:00"/>
    <x v="550"/>
    <x v="4"/>
    <x v="0"/>
    <x v="2"/>
    <n v="35.24"/>
    <x v="2"/>
    <n v="659"/>
    <x v="4"/>
    <s v="Plato_9"/>
    <n v="36"/>
    <x v="520"/>
    <d v="2023-04-07T02:50:00"/>
    <d v="2023-04-07T04:03:00"/>
    <d v="1899-12-30T01:28:00"/>
    <x v="126"/>
    <x v="153"/>
    <x v="0"/>
  </r>
  <r>
    <n v="19"/>
    <x v="498"/>
    <n v="4"/>
    <d v="2023-04-07T01:56:00"/>
    <x v="551"/>
    <x v="2"/>
    <x v="1"/>
    <x v="2"/>
    <n v="15.91"/>
    <x v="0"/>
    <n v="660"/>
    <x v="2"/>
    <s v="Plato_12, Plato_2, Plato_20"/>
    <n v="82"/>
    <x v="521"/>
    <d v="2023-04-07T01:56:00"/>
    <d v="2023-04-07T05:51:00"/>
    <d v="1899-12-30T03:55:00"/>
    <x v="129"/>
    <x v="56"/>
    <x v="0"/>
  </r>
  <r>
    <n v="16"/>
    <x v="108"/>
    <n v="4"/>
    <d v="2023-04-07T03:22:00"/>
    <x v="552"/>
    <x v="4"/>
    <x v="2"/>
    <x v="2"/>
    <n v="32.54"/>
    <x v="2"/>
    <n v="661"/>
    <x v="10"/>
    <s v="Plato_14, Plato_17, Plato_1, Plato_16"/>
    <n v="83"/>
    <x v="522"/>
    <d v="2023-04-07T03:22:00"/>
    <d v="2023-04-07T06:52:00"/>
    <d v="1899-12-30T03:45:00"/>
    <x v="106"/>
    <x v="39"/>
    <x v="0"/>
  </r>
  <r>
    <n v="15"/>
    <x v="499"/>
    <n v="4"/>
    <d v="2023-04-07T02:01:00"/>
    <x v="542"/>
    <x v="1"/>
    <x v="0"/>
    <x v="2"/>
    <n v="11.64"/>
    <x v="1"/>
    <n v="662"/>
    <x v="6"/>
    <s v="Plato_7, Plato_1, Plato_19"/>
    <n v="54"/>
    <x v="523"/>
    <d v="2023-04-07T02:01:00"/>
    <d v="2023-04-07T05:02:00"/>
    <d v="1899-12-30T03:01:00"/>
    <x v="1"/>
    <x v="110"/>
    <x v="0"/>
  </r>
  <r>
    <n v="3"/>
    <x v="500"/>
    <n v="1"/>
    <d v="2023-04-07T01:09:00"/>
    <x v="553"/>
    <x v="1"/>
    <x v="0"/>
    <x v="1"/>
    <n v="41.8"/>
    <x v="2"/>
    <n v="663"/>
    <x v="0"/>
    <s v="Plato_4, Plato_9, Plato_3"/>
    <n v="48"/>
    <x v="524"/>
    <d v="2023-04-07T01:09:00"/>
    <d v="2023-04-07T03:47:00"/>
    <d v="1899-12-30T02:53:00"/>
    <x v="37"/>
    <x v="90"/>
    <x v="0"/>
  </r>
  <r>
    <n v="20"/>
    <x v="501"/>
    <n v="6"/>
    <d v="2023-04-07T01:35:00"/>
    <x v="554"/>
    <x v="4"/>
    <x v="1"/>
    <x v="0"/>
    <n v="31.27"/>
    <x v="0"/>
    <n v="664"/>
    <x v="1"/>
    <s v="Plato_4, Plato_12, Plato_5"/>
    <n v="51"/>
    <x v="525"/>
    <d v="2023-04-07T01:35:00"/>
    <d v="2023-04-07T03:53:00"/>
    <d v="1899-12-30T02:18:00"/>
    <x v="79"/>
    <x v="154"/>
    <x v="0"/>
  </r>
  <r>
    <n v="6"/>
    <x v="227"/>
    <n v="1"/>
    <d v="2023-04-07T02:05:00"/>
    <x v="555"/>
    <x v="3"/>
    <x v="0"/>
    <x v="2"/>
    <n v="25.32"/>
    <x v="2"/>
    <n v="665"/>
    <x v="6"/>
    <s v="Plato_1, Plato_6"/>
    <n v="52"/>
    <x v="526"/>
    <d v="2023-04-07T02:05:00"/>
    <d v="2023-04-07T05:56:00"/>
    <d v="1899-12-30T04:06:00"/>
    <x v="3"/>
    <x v="65"/>
    <x v="0"/>
  </r>
  <r>
    <s v="8"/>
    <x v="502"/>
    <n v="4"/>
    <d v="2023-04-07T01:04:00"/>
    <x v="556"/>
    <x v="2"/>
    <x v="0"/>
    <x v="2"/>
    <n v="11.86"/>
    <x v="1"/>
    <n v="666"/>
    <x v="3"/>
    <s v="Plato_3"/>
    <n v="16"/>
    <x v="527"/>
    <d v="2023-04-07T01:04:00"/>
    <d v="2023-04-07T04:57:00"/>
    <d v="1899-12-30T03:53:00"/>
    <x v="111"/>
    <x v="65"/>
    <x v="0"/>
  </r>
  <r>
    <s v="6"/>
    <x v="503"/>
    <n v="5"/>
    <d v="2023-04-07T03:39:00"/>
    <x v="557"/>
    <x v="0"/>
    <x v="0"/>
    <x v="2"/>
    <n v="20.49"/>
    <x v="0"/>
    <n v="667"/>
    <x v="4"/>
    <s v="Plato_19"/>
    <n v="14"/>
    <x v="528"/>
    <d v="2023-04-07T03:39:00"/>
    <d v="2023-04-07T07:07:00"/>
    <d v="1899-12-30T03:28:00"/>
    <x v="104"/>
    <x v="31"/>
    <x v="0"/>
  </r>
  <r>
    <n v="12"/>
    <x v="239"/>
    <n v="4"/>
    <d v="2023-04-07T01:43:00"/>
    <x v="558"/>
    <x v="1"/>
    <x v="1"/>
    <x v="2"/>
    <n v="18.61"/>
    <x v="0"/>
    <n v="668"/>
    <x v="6"/>
    <s v="Plato_10, Plato_7, Plato_1"/>
    <n v="83"/>
    <x v="519"/>
    <d v="2023-04-07T01:43:00"/>
    <d v="2023-04-07T04:41:00"/>
    <d v="1899-12-30T02:58:00"/>
    <x v="81"/>
    <x v="51"/>
    <x v="0"/>
  </r>
  <r>
    <n v="10"/>
    <x v="504"/>
    <n v="4"/>
    <d v="2023-04-07T01:01:00"/>
    <x v="559"/>
    <x v="0"/>
    <x v="0"/>
    <x v="2"/>
    <n v="10.68"/>
    <x v="1"/>
    <n v="669"/>
    <x v="5"/>
    <s v="Plato_17, Plato_6, Plato_15"/>
    <n v="73"/>
    <x v="529"/>
    <d v="2023-04-07T01:01:00"/>
    <d v="2023-04-07T04:34:00"/>
    <d v="1899-12-30T03:33:00"/>
    <x v="27"/>
    <x v="40"/>
    <x v="0"/>
  </r>
  <r>
    <n v="16"/>
    <x v="505"/>
    <n v="6"/>
    <d v="2023-04-07T01:52:00"/>
    <x v="560"/>
    <x v="2"/>
    <x v="0"/>
    <x v="1"/>
    <n v="37.93"/>
    <x v="2"/>
    <n v="670"/>
    <x v="6"/>
    <s v="Plato_14, Plato_8, Plato_19"/>
    <n v="37"/>
    <x v="530"/>
    <d v="2023-04-07T01:52:00"/>
    <d v="2023-04-07T03:12:00"/>
    <d v="1899-12-30T01:35:00"/>
    <x v="134"/>
    <x v="111"/>
    <x v="0"/>
  </r>
  <r>
    <n v="17"/>
    <x v="202"/>
    <n v="3"/>
    <d v="2023-04-07T02:18:00"/>
    <x v="561"/>
    <x v="0"/>
    <x v="0"/>
    <x v="1"/>
    <n v="32.200000000000003"/>
    <x v="0"/>
    <n v="671"/>
    <x v="6"/>
    <s v="Plato_8, Plato_1, Plato_15"/>
    <n v="74"/>
    <x v="531"/>
    <d v="2023-04-07T02:18:00"/>
    <d v="2023-04-07T03:30:00"/>
    <d v="1899-12-30T01:12:00"/>
    <x v="11"/>
    <x v="8"/>
    <x v="1"/>
  </r>
  <r>
    <n v="12"/>
    <x v="98"/>
    <n v="6"/>
    <d v="2023-04-07T01:24:00"/>
    <x v="562"/>
    <x v="4"/>
    <x v="2"/>
    <x v="2"/>
    <n v="29.19"/>
    <x v="0"/>
    <n v="672"/>
    <x v="9"/>
    <s v="Plato_15, Plato_13, Plato_12"/>
    <n v="63"/>
    <x v="532"/>
    <d v="2023-04-07T01:24:00"/>
    <d v="2023-04-07T03:51:00"/>
    <d v="1899-12-30T02:27:00"/>
    <x v="34"/>
    <x v="182"/>
    <x v="0"/>
  </r>
  <r>
    <n v="20"/>
    <x v="159"/>
    <n v="6"/>
    <d v="2023-04-07T00:37:00"/>
    <x v="563"/>
    <x v="3"/>
    <x v="0"/>
    <x v="2"/>
    <n v="36.5"/>
    <x v="0"/>
    <n v="673"/>
    <x v="5"/>
    <s v="Plato_20, Plato_8, Plato_2, Plato_1"/>
    <n v="104"/>
    <x v="533"/>
    <d v="2023-04-07T00:37:00"/>
    <d v="2023-04-07T02:52:00"/>
    <d v="1899-12-30T02:15:00"/>
    <x v="114"/>
    <x v="93"/>
    <x v="0"/>
  </r>
  <r>
    <n v="1"/>
    <x v="506"/>
    <n v="3"/>
    <d v="2023-04-07T00:03:00"/>
    <x v="564"/>
    <x v="3"/>
    <x v="2"/>
    <x v="2"/>
    <n v="41.29"/>
    <x v="1"/>
    <n v="674"/>
    <x v="3"/>
    <s v="Plato_12, Plato_4, Plato_17, Plato_13"/>
    <n v="84"/>
    <x v="534"/>
    <d v="2023-04-07T00:03:00"/>
    <d v="2023-04-07T01:30:00"/>
    <d v="1899-12-30T01:27:00"/>
    <x v="31"/>
    <x v="19"/>
    <x v="0"/>
  </r>
  <r>
    <n v="5"/>
    <x v="507"/>
    <n v="2"/>
    <d v="2023-04-07T00:54:00"/>
    <x v="565"/>
    <x v="2"/>
    <x v="2"/>
    <x v="1"/>
    <n v="30.74"/>
    <x v="0"/>
    <n v="675"/>
    <x v="8"/>
    <s v="Plato_1, Plato_3, Plato_19"/>
    <n v="76"/>
    <x v="535"/>
    <d v="2023-04-07T00:54:00"/>
    <d v="2023-04-07T04:33:00"/>
    <d v="1899-12-30T03:39:00"/>
    <x v="83"/>
    <x v="21"/>
    <x v="0"/>
  </r>
  <r>
    <n v="7"/>
    <x v="213"/>
    <n v="6"/>
    <d v="2023-04-07T00:28:00"/>
    <x v="566"/>
    <x v="0"/>
    <x v="0"/>
    <x v="2"/>
    <n v="41.6"/>
    <x v="2"/>
    <n v="676"/>
    <x v="8"/>
    <s v="Plato_17, Plato_14, Plato_16, Plato_13"/>
    <n v="49"/>
    <x v="536"/>
    <d v="2023-04-07T00:28:00"/>
    <d v="2023-04-07T03:45:00"/>
    <d v="1899-12-30T03:32:00"/>
    <x v="83"/>
    <x v="23"/>
    <x v="0"/>
  </r>
  <r>
    <n v="14"/>
    <x v="190"/>
    <n v="6"/>
    <d v="2023-04-07T00:34:00"/>
    <x v="567"/>
    <x v="2"/>
    <x v="0"/>
    <x v="2"/>
    <n v="12.57"/>
    <x v="2"/>
    <n v="677"/>
    <x v="6"/>
    <s v="Plato_3, Plato_8, Plato_18"/>
    <n v="58"/>
    <x v="537"/>
    <d v="2023-04-07T00:34:00"/>
    <d v="2023-04-07T02:37:00"/>
    <d v="1899-12-30T02:18:00"/>
    <x v="168"/>
    <x v="8"/>
    <x v="1"/>
  </r>
  <r>
    <n v="19"/>
    <x v="498"/>
    <n v="1"/>
    <d v="2023-04-07T03:01:00"/>
    <x v="568"/>
    <x v="0"/>
    <x v="0"/>
    <x v="2"/>
    <n v="26.76"/>
    <x v="2"/>
    <n v="678"/>
    <x v="9"/>
    <s v="Plato_9, Plato_12, Plato_8, Plato_7"/>
    <n v="84"/>
    <x v="538"/>
    <d v="2023-04-07T03:01:00"/>
    <d v="2023-04-07T05:22:00"/>
    <d v="1899-12-30T02:36:00"/>
    <x v="83"/>
    <x v="61"/>
    <x v="0"/>
  </r>
  <r>
    <n v="9"/>
    <x v="124"/>
    <n v="4"/>
    <d v="2023-04-07T00:02:00"/>
    <x v="569"/>
    <x v="2"/>
    <x v="0"/>
    <x v="2"/>
    <n v="36.43"/>
    <x v="2"/>
    <n v="679"/>
    <x v="9"/>
    <s v="Plato_13, Plato_10, Plato_16, Plato_1"/>
    <n v="81"/>
    <x v="515"/>
    <d v="2023-04-07T00:02:00"/>
    <d v="2023-04-07T03:03:00"/>
    <d v="1899-12-30T03:16:00"/>
    <x v="103"/>
    <x v="39"/>
    <x v="0"/>
  </r>
  <r>
    <n v="5"/>
    <x v="508"/>
    <n v="4"/>
    <d v="2023-04-07T01:23:00"/>
    <x v="570"/>
    <x v="0"/>
    <x v="0"/>
    <x v="1"/>
    <n v="12.06"/>
    <x v="0"/>
    <n v="680"/>
    <x v="3"/>
    <s v="Plato_4, Plato_3, Plato_11"/>
    <n v="66"/>
    <x v="539"/>
    <d v="2023-04-07T01:23:00"/>
    <d v="2023-04-07T05:20:00"/>
    <d v="1899-12-30T03:57:00"/>
    <x v="120"/>
    <x v="30"/>
    <x v="0"/>
  </r>
  <r>
    <n v="2"/>
    <x v="91"/>
    <n v="4"/>
    <d v="2023-04-07T02:56:00"/>
    <x v="571"/>
    <x v="4"/>
    <x v="0"/>
    <x v="0"/>
    <n v="37.07"/>
    <x v="1"/>
    <n v="681"/>
    <x v="3"/>
    <s v="Plato_11, Plato_13"/>
    <n v="29"/>
    <x v="540"/>
    <d v="2023-04-07T02:56:00"/>
    <d v="2023-04-07T06:50:00"/>
    <d v="1899-12-30T03:54:00"/>
    <x v="31"/>
    <x v="203"/>
    <x v="0"/>
  </r>
  <r>
    <s v="1"/>
    <x v="84"/>
    <n v="5"/>
    <d v="2023-04-07T01:26:00"/>
    <x v="572"/>
    <x v="3"/>
    <x v="1"/>
    <x v="2"/>
    <n v="21.04"/>
    <x v="2"/>
    <n v="682"/>
    <x v="5"/>
    <s v="Plato_14"/>
    <n v="9"/>
    <x v="541"/>
    <d v="2023-04-07T01:26:00"/>
    <d v="2023-04-07T04:05:00"/>
    <d v="1899-12-30T02:54:00"/>
    <x v="49"/>
    <x v="71"/>
    <x v="0"/>
  </r>
  <r>
    <n v="2"/>
    <x v="509"/>
    <n v="6"/>
    <d v="2023-04-07T03:56:00"/>
    <x v="573"/>
    <x v="3"/>
    <x v="0"/>
    <x v="2"/>
    <n v="40.42"/>
    <x v="2"/>
    <n v="683"/>
    <x v="1"/>
    <s v="Plato_5, Plato_3, Plato_20, Plato_17"/>
    <n v="64"/>
    <x v="542"/>
    <d v="2023-04-07T03:56:00"/>
    <d v="2023-04-07T06:22:00"/>
    <d v="1899-12-30T02:41:00"/>
    <x v="53"/>
    <x v="108"/>
    <x v="0"/>
  </r>
  <r>
    <n v="10"/>
    <x v="510"/>
    <n v="6"/>
    <d v="2023-04-07T03:29:00"/>
    <x v="574"/>
    <x v="4"/>
    <x v="2"/>
    <x v="2"/>
    <n v="48.15"/>
    <x v="2"/>
    <n v="684"/>
    <x v="9"/>
    <s v="Plato_19, Plato_17, Plato_10, Plato_9"/>
    <n v="73"/>
    <x v="543"/>
    <d v="2023-04-07T03:29:00"/>
    <d v="2023-04-07T04:40:00"/>
    <d v="1899-12-30T01:26:00"/>
    <x v="110"/>
    <x v="8"/>
    <x v="1"/>
  </r>
  <r>
    <s v="5"/>
    <x v="159"/>
    <n v="5"/>
    <d v="2023-04-07T00:28:00"/>
    <x v="575"/>
    <x v="2"/>
    <x v="0"/>
    <x v="0"/>
    <n v="19.89"/>
    <x v="1"/>
    <n v="685"/>
    <x v="0"/>
    <s v="Plato_6"/>
    <n v="22"/>
    <x v="536"/>
    <d v="2023-04-07T00:28:00"/>
    <d v="2023-04-07T01:43:00"/>
    <d v="1899-12-30T01:15:00"/>
    <x v="4"/>
    <x v="158"/>
    <x v="0"/>
  </r>
  <r>
    <n v="10"/>
    <x v="461"/>
    <n v="6"/>
    <d v="2023-04-07T01:12:00"/>
    <x v="576"/>
    <x v="1"/>
    <x v="0"/>
    <x v="1"/>
    <n v="15.83"/>
    <x v="0"/>
    <n v="686"/>
    <x v="3"/>
    <s v="Plato_17, Plato_3"/>
    <n v="40"/>
    <x v="544"/>
    <d v="2023-04-07T01:12:00"/>
    <d v="2023-04-07T03:39:00"/>
    <d v="1899-12-30T02:27:00"/>
    <x v="118"/>
    <x v="57"/>
    <x v="0"/>
  </r>
  <r>
    <s v="2"/>
    <x v="407"/>
    <n v="6"/>
    <d v="2023-04-07T01:54:00"/>
    <x v="577"/>
    <x v="4"/>
    <x v="0"/>
    <x v="1"/>
    <n v="10.53"/>
    <x v="1"/>
    <n v="687"/>
    <x v="0"/>
    <s v="Plato_19"/>
    <n v="28"/>
    <x v="545"/>
    <d v="2023-04-07T01:54:00"/>
    <d v="2023-04-07T05:39:00"/>
    <d v="1899-12-30T03:45:00"/>
    <x v="9"/>
    <x v="31"/>
    <x v="0"/>
  </r>
  <r>
    <s v="3"/>
    <x v="511"/>
    <n v="1"/>
    <d v="2023-04-07T03:26:00"/>
    <x v="578"/>
    <x v="1"/>
    <x v="0"/>
    <x v="2"/>
    <n v="4.87"/>
    <x v="2"/>
    <n v="688"/>
    <x v="10"/>
    <s v="Plato_9"/>
    <n v="12"/>
    <x v="546"/>
    <d v="2023-04-07T03:26:00"/>
    <d v="2023-04-07T05:03:00"/>
    <d v="1899-12-30T01:52:00"/>
    <x v="156"/>
    <x v="21"/>
    <x v="0"/>
  </r>
  <r>
    <n v="14"/>
    <x v="512"/>
    <n v="1"/>
    <d v="2023-04-07T00:36:00"/>
    <x v="579"/>
    <x v="1"/>
    <x v="0"/>
    <x v="2"/>
    <n v="10.25"/>
    <x v="2"/>
    <n v="689"/>
    <x v="3"/>
    <s v="Plato_14, Plato_1, Plato_13"/>
    <n v="65"/>
    <x v="547"/>
    <d v="2023-04-07T00:36:00"/>
    <d v="2023-04-07T02:22:00"/>
    <d v="1899-12-30T02:01:00"/>
    <x v="9"/>
    <x v="114"/>
    <x v="0"/>
  </r>
  <r>
    <n v="15"/>
    <x v="425"/>
    <n v="4"/>
    <d v="2023-04-07T02:43:00"/>
    <x v="580"/>
    <x v="3"/>
    <x v="2"/>
    <x v="0"/>
    <n v="37.22"/>
    <x v="0"/>
    <n v="690"/>
    <x v="0"/>
    <s v="Plato_20, Plato_17, Plato_16, Plato_11"/>
    <n v="76"/>
    <x v="548"/>
    <d v="2023-04-07T02:43:00"/>
    <d v="2023-04-07T05:43:00"/>
    <d v="1899-12-30T03:00:00"/>
    <x v="147"/>
    <x v="58"/>
    <x v="0"/>
  </r>
  <r>
    <s v="19"/>
    <x v="32"/>
    <n v="4"/>
    <d v="2023-04-07T01:43:00"/>
    <x v="581"/>
    <x v="0"/>
    <x v="2"/>
    <x v="0"/>
    <n v="1.39"/>
    <x v="2"/>
    <n v="691"/>
    <x v="1"/>
    <s v="Plato_5"/>
    <n v="27"/>
    <x v="519"/>
    <d v="2023-04-07T01:43:00"/>
    <d v="2023-04-07T05:17:00"/>
    <d v="1899-12-30T03:49:00"/>
    <x v="153"/>
    <x v="204"/>
    <x v="0"/>
  </r>
  <r>
    <n v="9"/>
    <x v="178"/>
    <n v="2"/>
    <d v="2023-04-07T00:53:00"/>
    <x v="582"/>
    <x v="1"/>
    <x v="2"/>
    <x v="2"/>
    <n v="25.92"/>
    <x v="0"/>
    <n v="692"/>
    <x v="10"/>
    <s v="Plato_8, Plato_2, Plato_4, Plato_3"/>
    <n v="70"/>
    <x v="549"/>
    <d v="2023-04-07T00:53:00"/>
    <d v="2023-04-07T04:26:00"/>
    <d v="1899-12-30T03:33:00"/>
    <x v="61"/>
    <x v="87"/>
    <x v="0"/>
  </r>
  <r>
    <n v="15"/>
    <x v="341"/>
    <n v="4"/>
    <d v="2023-04-07T03:44:00"/>
    <x v="583"/>
    <x v="0"/>
    <x v="0"/>
    <x v="2"/>
    <n v="28.31"/>
    <x v="1"/>
    <n v="693"/>
    <x v="8"/>
    <s v="Plato_19, Plato_13"/>
    <n v="30"/>
    <x v="550"/>
    <d v="2023-04-07T03:44:00"/>
    <d v="2023-04-07T07:31:00"/>
    <d v="1899-12-30T03:47:00"/>
    <x v="18"/>
    <x v="195"/>
    <x v="0"/>
  </r>
  <r>
    <n v="5"/>
    <x v="21"/>
    <n v="4"/>
    <d v="2023-04-07T01:51:00"/>
    <x v="584"/>
    <x v="2"/>
    <x v="0"/>
    <x v="2"/>
    <n v="23.66"/>
    <x v="1"/>
    <n v="694"/>
    <x v="5"/>
    <s v="Plato_3, Plato_4, Plato_20, Plato_13"/>
    <n v="63"/>
    <x v="551"/>
    <d v="2023-04-07T01:51:00"/>
    <d v="2023-04-07T05:13:00"/>
    <d v="1899-12-30T03:22:00"/>
    <x v="29"/>
    <x v="196"/>
    <x v="0"/>
  </r>
  <r>
    <n v="9"/>
    <x v="262"/>
    <n v="1"/>
    <d v="2023-04-07T02:02:00"/>
    <x v="585"/>
    <x v="0"/>
    <x v="0"/>
    <x v="2"/>
    <n v="18.23"/>
    <x v="2"/>
    <n v="695"/>
    <x v="5"/>
    <s v="Plato_16, Plato_2"/>
    <n v="48"/>
    <x v="552"/>
    <d v="2023-04-07T02:02:00"/>
    <d v="2023-04-07T05:32:00"/>
    <d v="1899-12-30T03:45:00"/>
    <x v="128"/>
    <x v="133"/>
    <x v="0"/>
  </r>
  <r>
    <s v="2"/>
    <x v="161"/>
    <n v="6"/>
    <d v="2023-04-07T02:16:00"/>
    <x v="586"/>
    <x v="1"/>
    <x v="2"/>
    <x v="2"/>
    <n v="18.760000000000002"/>
    <x v="2"/>
    <n v="696"/>
    <x v="4"/>
    <s v="Plato_14"/>
    <n v="18"/>
    <x v="553"/>
    <d v="2023-04-07T02:16:00"/>
    <d v="2023-04-07T06:11:00"/>
    <d v="1899-12-30T04:10:00"/>
    <x v="121"/>
    <x v="205"/>
    <x v="0"/>
  </r>
  <r>
    <n v="4"/>
    <x v="513"/>
    <n v="1"/>
    <d v="2023-04-07T03:48:00"/>
    <x v="587"/>
    <x v="2"/>
    <x v="0"/>
    <x v="2"/>
    <n v="34.35"/>
    <x v="0"/>
    <n v="697"/>
    <x v="7"/>
    <s v="Plato_14, Plato_11, Plato_2, Plato_6"/>
    <n v="79"/>
    <x v="554"/>
    <d v="2023-04-07T03:48:00"/>
    <d v="2023-04-07T06:42:00"/>
    <d v="1899-12-30T02:54:00"/>
    <x v="97"/>
    <x v="69"/>
    <x v="0"/>
  </r>
  <r>
    <n v="19"/>
    <x v="148"/>
    <n v="4"/>
    <d v="2023-04-07T02:30:00"/>
    <x v="588"/>
    <x v="1"/>
    <x v="2"/>
    <x v="2"/>
    <n v="39.89"/>
    <x v="1"/>
    <n v="698"/>
    <x v="6"/>
    <s v="Plato_6, Plato_10, Plato_14, Plato_13"/>
    <n v="73"/>
    <x v="555"/>
    <d v="2023-04-07T02:30:00"/>
    <d v="2023-04-07T06:25:00"/>
    <d v="1899-12-30T03:55:00"/>
    <x v="127"/>
    <x v="163"/>
    <x v="0"/>
  </r>
  <r>
    <s v="8"/>
    <x v="373"/>
    <n v="6"/>
    <d v="2023-04-07T01:35:00"/>
    <x v="589"/>
    <x v="2"/>
    <x v="0"/>
    <x v="2"/>
    <n v="38.44"/>
    <x v="0"/>
    <n v="699"/>
    <x v="0"/>
    <s v="Plato_9"/>
    <n v="24"/>
    <x v="525"/>
    <d v="2023-04-07T01:35:00"/>
    <d v="2023-04-07T02:56:00"/>
    <d v="1899-12-30T01:21:00"/>
    <x v="5"/>
    <x v="157"/>
    <x v="0"/>
  </r>
  <r>
    <n v="8"/>
    <x v="514"/>
    <n v="2"/>
    <d v="2023-04-07T00:23:00"/>
    <x v="590"/>
    <x v="2"/>
    <x v="0"/>
    <x v="2"/>
    <n v="21.66"/>
    <x v="0"/>
    <n v="700"/>
    <x v="10"/>
    <s v="Plato_18, Plato_10, Plato_6"/>
    <n v="97"/>
    <x v="556"/>
    <d v="2023-04-07T00:23:00"/>
    <d v="2023-04-07T02:50:00"/>
    <d v="1899-12-30T02:27:00"/>
    <x v="36"/>
    <x v="143"/>
    <x v="0"/>
  </r>
  <r>
    <n v="19"/>
    <x v="515"/>
    <n v="5"/>
    <d v="2023-04-07T03:20:00"/>
    <x v="591"/>
    <x v="4"/>
    <x v="0"/>
    <x v="2"/>
    <n v="39.83"/>
    <x v="1"/>
    <n v="701"/>
    <x v="6"/>
    <s v="Plato_11, Plato_4"/>
    <n v="42"/>
    <x v="557"/>
    <d v="2023-04-07T03:20:00"/>
    <d v="2023-04-07T05:45:00"/>
    <d v="1899-12-30T02:25:00"/>
    <x v="63"/>
    <x v="3"/>
    <x v="0"/>
  </r>
  <r>
    <n v="13"/>
    <x v="516"/>
    <n v="2"/>
    <d v="2023-04-07T02:30:00"/>
    <x v="592"/>
    <x v="0"/>
    <x v="2"/>
    <x v="2"/>
    <n v="47.07"/>
    <x v="1"/>
    <n v="702"/>
    <x v="2"/>
    <s v="Plato_4, Plato_13, Plato_6, Plato_16"/>
    <n v="82"/>
    <x v="555"/>
    <d v="2023-04-07T02:30:00"/>
    <d v="2023-04-07T05:15:00"/>
    <d v="1899-12-30T02:45:00"/>
    <x v="51"/>
    <x v="79"/>
    <x v="0"/>
  </r>
  <r>
    <s v="9"/>
    <x v="517"/>
    <n v="5"/>
    <d v="2023-04-07T00:17:00"/>
    <x v="593"/>
    <x v="1"/>
    <x v="0"/>
    <x v="2"/>
    <n v="22.24"/>
    <x v="2"/>
    <n v="703"/>
    <x v="5"/>
    <s v="Plato_13"/>
    <n v="24"/>
    <x v="558"/>
    <d v="2023-04-07T00:17:00"/>
    <d v="2023-04-07T02:19:00"/>
    <d v="1899-12-30T02:17:00"/>
    <x v="9"/>
    <x v="4"/>
    <x v="0"/>
  </r>
  <r>
    <s v="13"/>
    <x v="518"/>
    <n v="6"/>
    <d v="2023-04-07T01:40:00"/>
    <x v="594"/>
    <x v="2"/>
    <x v="2"/>
    <x v="2"/>
    <n v="33.29"/>
    <x v="0"/>
    <n v="704"/>
    <x v="6"/>
    <s v="Plato_4"/>
    <n v="8"/>
    <x v="559"/>
    <d v="2023-04-07T01:40:00"/>
    <d v="2023-04-07T04:29:00"/>
    <d v="1899-12-30T02:49:00"/>
    <x v="15"/>
    <x v="71"/>
    <x v="0"/>
  </r>
  <r>
    <n v="12"/>
    <x v="454"/>
    <n v="3"/>
    <d v="2023-04-07T01:48:00"/>
    <x v="595"/>
    <x v="2"/>
    <x v="0"/>
    <x v="2"/>
    <n v="43.07"/>
    <x v="1"/>
    <n v="705"/>
    <x v="5"/>
    <s v="Plato_3, Plato_10"/>
    <n v="46"/>
    <x v="560"/>
    <d v="2023-04-07T01:48:00"/>
    <d v="2023-04-07T02:53:00"/>
    <d v="1899-12-30T01:05:00"/>
    <x v="88"/>
    <x v="171"/>
    <x v="0"/>
  </r>
  <r>
    <s v="20"/>
    <x v="519"/>
    <n v="6"/>
    <d v="2023-04-07T01:14:00"/>
    <x v="596"/>
    <x v="1"/>
    <x v="0"/>
    <x v="2"/>
    <n v="44.45"/>
    <x v="2"/>
    <n v="706"/>
    <x v="10"/>
    <s v="Plato_4"/>
    <n v="24"/>
    <x v="561"/>
    <d v="2023-04-07T01:14:00"/>
    <d v="2023-04-07T04:54:00"/>
    <d v="1899-12-30T03:55:00"/>
    <x v="88"/>
    <x v="139"/>
    <x v="0"/>
  </r>
  <r>
    <n v="15"/>
    <x v="520"/>
    <n v="1"/>
    <d v="2023-04-07T03:05:00"/>
    <x v="597"/>
    <x v="2"/>
    <x v="1"/>
    <x v="2"/>
    <n v="40.39"/>
    <x v="0"/>
    <n v="707"/>
    <x v="7"/>
    <s v="Plato_15, Plato_13, Plato_2, Plato_19"/>
    <n v="73"/>
    <x v="562"/>
    <d v="2023-04-07T03:05:00"/>
    <d v="2023-04-07T05:23:00"/>
    <d v="1899-12-30T02:18:00"/>
    <x v="84"/>
    <x v="35"/>
    <x v="0"/>
  </r>
  <r>
    <s v="5"/>
    <x v="521"/>
    <n v="2"/>
    <d v="2023-04-07T03:36:00"/>
    <x v="598"/>
    <x v="0"/>
    <x v="2"/>
    <x v="2"/>
    <n v="4.18"/>
    <x v="2"/>
    <n v="708"/>
    <x v="0"/>
    <s v="Plato_6"/>
    <n v="22"/>
    <x v="517"/>
    <d v="2023-04-07T03:36:00"/>
    <d v="2023-04-07T07:24:00"/>
    <d v="1899-12-30T04:03:00"/>
    <x v="148"/>
    <x v="206"/>
    <x v="0"/>
  </r>
  <r>
    <n v="8"/>
    <x v="457"/>
    <n v="4"/>
    <d v="2023-04-07T01:55:00"/>
    <x v="599"/>
    <x v="2"/>
    <x v="0"/>
    <x v="1"/>
    <n v="26.15"/>
    <x v="2"/>
    <n v="709"/>
    <x v="8"/>
    <s v="Plato_13, Plato_8, Plato_11, Plato_1"/>
    <n v="76"/>
    <x v="563"/>
    <d v="2023-04-07T01:55:00"/>
    <d v="2023-04-07T03:40:00"/>
    <d v="1899-12-30T02:00:00"/>
    <x v="33"/>
    <x v="19"/>
    <x v="0"/>
  </r>
  <r>
    <n v="18"/>
    <x v="522"/>
    <n v="1"/>
    <d v="2023-04-07T02:28:00"/>
    <x v="600"/>
    <x v="3"/>
    <x v="0"/>
    <x v="2"/>
    <n v="28.43"/>
    <x v="2"/>
    <n v="710"/>
    <x v="0"/>
    <s v="Plato_3, Plato_12, Plato_4, Plato_14"/>
    <n v="57"/>
    <x v="564"/>
    <d v="2023-04-07T02:28:00"/>
    <d v="2023-04-07T03:38:00"/>
    <d v="1899-12-30T01:25:00"/>
    <x v="77"/>
    <x v="8"/>
    <x v="1"/>
  </r>
  <r>
    <n v="20"/>
    <x v="31"/>
    <n v="6"/>
    <d v="2023-04-07T01:51:00"/>
    <x v="601"/>
    <x v="1"/>
    <x v="0"/>
    <x v="0"/>
    <n v="49.74"/>
    <x v="2"/>
    <n v="711"/>
    <x v="7"/>
    <s v="Plato_18, Plato_15"/>
    <n v="68"/>
    <x v="551"/>
    <d v="2023-04-07T01:51:00"/>
    <d v="2023-04-07T05:18:00"/>
    <d v="1899-12-30T03:42:00"/>
    <x v="12"/>
    <x v="124"/>
    <x v="0"/>
  </r>
  <r>
    <s v="10"/>
    <x v="523"/>
    <n v="5"/>
    <d v="2023-04-07T00:06:00"/>
    <x v="602"/>
    <x v="2"/>
    <x v="1"/>
    <x v="1"/>
    <n v="42.21"/>
    <x v="0"/>
    <n v="712"/>
    <x v="4"/>
    <s v="Plato_7"/>
    <n v="20"/>
    <x v="513"/>
    <d v="2023-04-07T00:06:00"/>
    <d v="2023-04-07T02:27:00"/>
    <d v="1899-12-30T02:21:00"/>
    <x v="58"/>
    <x v="114"/>
    <x v="0"/>
  </r>
  <r>
    <n v="6"/>
    <x v="524"/>
    <n v="4"/>
    <d v="2023-04-07T00:15:00"/>
    <x v="563"/>
    <x v="1"/>
    <x v="2"/>
    <x v="2"/>
    <n v="35.11"/>
    <x v="1"/>
    <n v="713"/>
    <x v="7"/>
    <s v="Plato_11, Plato_9, Plato_15, Plato_10"/>
    <n v="147"/>
    <x v="565"/>
    <d v="2023-04-07T00:15:00"/>
    <d v="2023-04-07T02:52:00"/>
    <d v="1899-12-30T02:37:00"/>
    <x v="169"/>
    <x v="171"/>
    <x v="0"/>
  </r>
  <r>
    <n v="19"/>
    <x v="237"/>
    <n v="2"/>
    <d v="2023-04-07T02:21:00"/>
    <x v="572"/>
    <x v="3"/>
    <x v="0"/>
    <x v="2"/>
    <n v="10.69"/>
    <x v="1"/>
    <n v="714"/>
    <x v="1"/>
    <s v="Plato_18, Plato_2, Plato_11"/>
    <n v="91"/>
    <x v="566"/>
    <d v="2023-04-07T02:21:00"/>
    <d v="2023-04-07T04:05:00"/>
    <d v="1899-12-30T01:44:00"/>
    <x v="22"/>
    <x v="89"/>
    <x v="0"/>
  </r>
  <r>
    <n v="12"/>
    <x v="525"/>
    <n v="6"/>
    <d v="2023-04-07T01:45:00"/>
    <x v="603"/>
    <x v="0"/>
    <x v="0"/>
    <x v="0"/>
    <n v="39.909999999999997"/>
    <x v="2"/>
    <n v="715"/>
    <x v="4"/>
    <s v="Plato_2, Plato_6, Plato_1, Plato_4"/>
    <n v="101"/>
    <x v="567"/>
    <d v="2023-04-07T01:45:00"/>
    <d v="2023-04-07T04:15:00"/>
    <d v="1899-12-30T02:45:00"/>
    <x v="86"/>
    <x v="115"/>
    <x v="0"/>
  </r>
  <r>
    <n v="12"/>
    <x v="306"/>
    <n v="4"/>
    <d v="2023-04-07T01:47:00"/>
    <x v="604"/>
    <x v="2"/>
    <x v="2"/>
    <x v="2"/>
    <n v="44.73"/>
    <x v="2"/>
    <n v="716"/>
    <x v="2"/>
    <s v="Plato_13, Plato_1, Plato_17"/>
    <n v="90"/>
    <x v="568"/>
    <d v="2023-04-07T01:47:00"/>
    <d v="2023-04-07T04:44:00"/>
    <d v="1899-12-30T03:12:00"/>
    <x v="146"/>
    <x v="151"/>
    <x v="0"/>
  </r>
  <r>
    <n v="8"/>
    <x v="433"/>
    <n v="5"/>
    <d v="2023-04-07T03:56:00"/>
    <x v="605"/>
    <x v="1"/>
    <x v="0"/>
    <x v="2"/>
    <n v="23.67"/>
    <x v="1"/>
    <n v="717"/>
    <x v="6"/>
    <s v="Plato_5, Plato_2, Plato_6"/>
    <n v="63"/>
    <x v="542"/>
    <d v="2023-04-07T03:56:00"/>
    <d v="2023-04-07T06:03:00"/>
    <d v="1899-12-30T02:07:00"/>
    <x v="117"/>
    <x v="192"/>
    <x v="0"/>
  </r>
  <r>
    <s v="7"/>
    <x v="284"/>
    <n v="6"/>
    <d v="2023-04-07T03:18:00"/>
    <x v="606"/>
    <x v="2"/>
    <x v="1"/>
    <x v="2"/>
    <n v="37.21"/>
    <x v="1"/>
    <n v="718"/>
    <x v="5"/>
    <s v="Plato_3"/>
    <n v="8"/>
    <x v="569"/>
    <d v="2023-04-07T03:18:00"/>
    <d v="2023-04-07T07:06:00"/>
    <d v="1899-12-30T03:48:00"/>
    <x v="118"/>
    <x v="140"/>
    <x v="0"/>
  </r>
  <r>
    <n v="16"/>
    <x v="526"/>
    <n v="3"/>
    <d v="2023-04-07T01:18:00"/>
    <x v="607"/>
    <x v="1"/>
    <x v="0"/>
    <x v="0"/>
    <n v="17.23"/>
    <x v="1"/>
    <n v="719"/>
    <x v="1"/>
    <s v="Plato_20, Plato_12, Plato_9"/>
    <n v="43"/>
    <x v="570"/>
    <d v="2023-04-07T01:18:00"/>
    <d v="2023-04-07T02:49:00"/>
    <d v="1899-12-30T01:31:00"/>
    <x v="19"/>
    <x v="77"/>
    <x v="0"/>
  </r>
  <r>
    <n v="4"/>
    <x v="527"/>
    <n v="5"/>
    <d v="2023-04-07T02:13:00"/>
    <x v="608"/>
    <x v="0"/>
    <x v="0"/>
    <x v="2"/>
    <n v="40.28"/>
    <x v="0"/>
    <n v="720"/>
    <x v="3"/>
    <s v="Plato_11, Plato_9, Plato_7"/>
    <n v="69"/>
    <x v="571"/>
    <d v="2023-04-07T02:13:00"/>
    <d v="2023-04-07T05:46:00"/>
    <d v="1899-12-30T03:33:00"/>
    <x v="157"/>
    <x v="84"/>
    <x v="0"/>
  </r>
  <r>
    <n v="6"/>
    <x v="83"/>
    <n v="2"/>
    <d v="2023-04-07T03:53:00"/>
    <x v="609"/>
    <x v="2"/>
    <x v="1"/>
    <x v="2"/>
    <n v="47.13"/>
    <x v="1"/>
    <n v="721"/>
    <x v="3"/>
    <s v="Plato_9, Plato_19, Plato_7, Plato_6"/>
    <n v="89"/>
    <x v="572"/>
    <d v="2023-04-07T03:53:00"/>
    <d v="2023-04-07T07:01:00"/>
    <d v="1899-12-30T03:08:00"/>
    <x v="157"/>
    <x v="192"/>
    <x v="0"/>
  </r>
  <r>
    <n v="13"/>
    <x v="528"/>
    <n v="5"/>
    <d v="2023-04-07T02:51:00"/>
    <x v="610"/>
    <x v="2"/>
    <x v="0"/>
    <x v="2"/>
    <n v="20.62"/>
    <x v="1"/>
    <n v="722"/>
    <x v="8"/>
    <s v="Plato_13, Plato_5"/>
    <n v="33"/>
    <x v="573"/>
    <d v="2023-04-07T02:51:00"/>
    <d v="2023-04-07T04:08:00"/>
    <d v="1899-12-30T01:17:00"/>
    <x v="12"/>
    <x v="159"/>
    <x v="0"/>
  </r>
  <r>
    <n v="12"/>
    <x v="102"/>
    <n v="2"/>
    <d v="2023-04-07T01:35:00"/>
    <x v="547"/>
    <x v="4"/>
    <x v="1"/>
    <x v="1"/>
    <n v="27.79"/>
    <x v="1"/>
    <n v="723"/>
    <x v="9"/>
    <s v="Plato_16, Plato_8"/>
    <n v="52"/>
    <x v="525"/>
    <d v="2023-04-07T01:35:00"/>
    <d v="2023-04-07T04:49:00"/>
    <d v="1899-12-30T03:14:00"/>
    <x v="126"/>
    <x v="124"/>
    <x v="0"/>
  </r>
  <r>
    <s v="8"/>
    <x v="47"/>
    <n v="6"/>
    <d v="2023-04-07T02:56:00"/>
    <x v="603"/>
    <x v="3"/>
    <x v="2"/>
    <x v="1"/>
    <n v="14.12"/>
    <x v="1"/>
    <n v="724"/>
    <x v="5"/>
    <s v="Plato_5"/>
    <n v="27"/>
    <x v="540"/>
    <d v="2023-04-07T02:56:00"/>
    <d v="2023-04-07T04:15:00"/>
    <d v="1899-12-30T01:19:00"/>
    <x v="10"/>
    <x v="52"/>
    <x v="0"/>
  </r>
  <r>
    <n v="10"/>
    <x v="529"/>
    <n v="4"/>
    <d v="2023-04-07T01:48:00"/>
    <x v="611"/>
    <x v="4"/>
    <x v="0"/>
    <x v="1"/>
    <n v="18.66"/>
    <x v="2"/>
    <n v="725"/>
    <x v="9"/>
    <s v="Plato_18, Plato_5"/>
    <n v="69"/>
    <x v="560"/>
    <d v="2023-04-07T01:48:00"/>
    <d v="2023-04-07T03:20:00"/>
    <d v="1899-12-30T01:47:00"/>
    <x v="1"/>
    <x v="19"/>
    <x v="0"/>
  </r>
  <r>
    <n v="11"/>
    <x v="172"/>
    <n v="2"/>
    <d v="2023-04-07T02:28:00"/>
    <x v="580"/>
    <x v="3"/>
    <x v="1"/>
    <x v="2"/>
    <n v="41.38"/>
    <x v="0"/>
    <n v="726"/>
    <x v="0"/>
    <s v="Plato_5, Plato_19, Plato_14"/>
    <n v="50"/>
    <x v="564"/>
    <d v="2023-04-07T02:28:00"/>
    <d v="2023-04-07T05:43:00"/>
    <d v="1899-12-30T03:15:00"/>
    <x v="107"/>
    <x v="119"/>
    <x v="0"/>
  </r>
  <r>
    <s v="17"/>
    <x v="452"/>
    <n v="6"/>
    <d v="2023-04-07T00:31:00"/>
    <x v="612"/>
    <x v="2"/>
    <x v="2"/>
    <x v="0"/>
    <n v="13.24"/>
    <x v="0"/>
    <n v="727"/>
    <x v="1"/>
    <s v="Plato_3"/>
    <n v="16"/>
    <x v="574"/>
    <d v="2023-04-07T00:31:00"/>
    <d v="2023-04-07T03:02:00"/>
    <d v="1899-12-30T02:31:00"/>
    <x v="40"/>
    <x v="16"/>
    <x v="0"/>
  </r>
  <r>
    <n v="9"/>
    <x v="275"/>
    <n v="6"/>
    <d v="2023-04-07T02:06:00"/>
    <x v="594"/>
    <x v="1"/>
    <x v="1"/>
    <x v="0"/>
    <n v="34.28"/>
    <x v="2"/>
    <n v="728"/>
    <x v="10"/>
    <s v="Plato_4, Plato_6, Plato_15"/>
    <n v="80"/>
    <x v="575"/>
    <d v="2023-04-07T02:06:00"/>
    <d v="2023-04-07T04:29:00"/>
    <d v="1899-12-30T02:38:00"/>
    <x v="117"/>
    <x v="90"/>
    <x v="0"/>
  </r>
  <r>
    <n v="20"/>
    <x v="214"/>
    <n v="2"/>
    <d v="2023-04-07T02:49:00"/>
    <x v="613"/>
    <x v="3"/>
    <x v="1"/>
    <x v="2"/>
    <n v="18.97"/>
    <x v="2"/>
    <n v="729"/>
    <x v="7"/>
    <s v="Plato_18, Plato_3"/>
    <n v="52"/>
    <x v="576"/>
    <d v="2023-04-07T02:49:00"/>
    <d v="2023-04-07T06:05:00"/>
    <d v="1899-12-30T03:31:00"/>
    <x v="31"/>
    <x v="116"/>
    <x v="0"/>
  </r>
  <r>
    <n v="8"/>
    <x v="458"/>
    <n v="3"/>
    <d v="2023-04-07T00:29:00"/>
    <x v="614"/>
    <x v="0"/>
    <x v="0"/>
    <x v="2"/>
    <n v="15.02"/>
    <x v="2"/>
    <n v="730"/>
    <x v="0"/>
    <s v="Plato_2, Plato_7"/>
    <n v="46"/>
    <x v="577"/>
    <d v="2023-04-07T00:29:00"/>
    <d v="2023-04-07T02:33:00"/>
    <d v="1899-12-30T02:19:00"/>
    <x v="76"/>
    <x v="49"/>
    <x v="0"/>
  </r>
  <r>
    <s v="17"/>
    <x v="346"/>
    <n v="3"/>
    <d v="2023-04-07T03:16:00"/>
    <x v="588"/>
    <x v="2"/>
    <x v="0"/>
    <x v="2"/>
    <n v="14.35"/>
    <x v="0"/>
    <n v="731"/>
    <x v="9"/>
    <s v="Plato_15"/>
    <n v="26"/>
    <x v="578"/>
    <d v="2023-04-07T03:16:00"/>
    <d v="2023-04-07T06:25:00"/>
    <d v="1899-12-30T03:09:00"/>
    <x v="32"/>
    <x v="70"/>
    <x v="0"/>
  </r>
  <r>
    <n v="12"/>
    <x v="530"/>
    <n v="3"/>
    <d v="2023-04-07T03:17:00"/>
    <x v="615"/>
    <x v="4"/>
    <x v="0"/>
    <x v="2"/>
    <n v="43.35"/>
    <x v="0"/>
    <n v="732"/>
    <x v="2"/>
    <s v="Plato_20, Plato_10, Plato_19"/>
    <n v="120"/>
    <x v="579"/>
    <d v="2023-04-07T03:17:00"/>
    <d v="2023-04-07T07:13:00"/>
    <d v="1899-12-30T03:56:00"/>
    <x v="83"/>
    <x v="75"/>
    <x v="0"/>
  </r>
  <r>
    <n v="14"/>
    <x v="157"/>
    <n v="6"/>
    <d v="2023-04-07T03:40:00"/>
    <x v="616"/>
    <x v="4"/>
    <x v="2"/>
    <x v="2"/>
    <n v="35.090000000000003"/>
    <x v="1"/>
    <n v="733"/>
    <x v="10"/>
    <s v="Plato_19, Plato_7, Plato_6"/>
    <n v="74"/>
    <x v="580"/>
    <d v="2023-04-07T03:40:00"/>
    <d v="2023-04-07T05:28:00"/>
    <d v="1899-12-30T01:48:00"/>
    <x v="107"/>
    <x v="20"/>
    <x v="0"/>
  </r>
  <r>
    <n v="14"/>
    <x v="531"/>
    <n v="2"/>
    <d v="2023-04-07T02:27:00"/>
    <x v="556"/>
    <x v="2"/>
    <x v="0"/>
    <x v="1"/>
    <n v="46.82"/>
    <x v="1"/>
    <n v="734"/>
    <x v="5"/>
    <s v="Plato_15, Plato_7, Plato_12"/>
    <n v="57"/>
    <x v="581"/>
    <d v="2023-04-07T02:27:00"/>
    <d v="2023-04-07T04:57:00"/>
    <d v="1899-12-30T02:30:00"/>
    <x v="170"/>
    <x v="21"/>
    <x v="0"/>
  </r>
  <r>
    <n v="20"/>
    <x v="283"/>
    <n v="4"/>
    <d v="2023-04-07T01:52:00"/>
    <x v="553"/>
    <x v="0"/>
    <x v="1"/>
    <x v="2"/>
    <n v="38.43"/>
    <x v="1"/>
    <n v="735"/>
    <x v="0"/>
    <s v="Plato_14, Plato_15"/>
    <n v="57"/>
    <x v="530"/>
    <d v="2023-04-07T01:52:00"/>
    <d v="2023-04-07T03:47:00"/>
    <d v="1899-12-30T01:55:00"/>
    <x v="37"/>
    <x v="18"/>
    <x v="0"/>
  </r>
  <r>
    <n v="17"/>
    <x v="163"/>
    <n v="2"/>
    <d v="2023-04-07T01:08:00"/>
    <x v="617"/>
    <x v="4"/>
    <x v="1"/>
    <x v="2"/>
    <n v="25.91"/>
    <x v="2"/>
    <n v="736"/>
    <x v="0"/>
    <s v="Plato_5, Plato_16, Plato_17"/>
    <n v="87"/>
    <x v="582"/>
    <d v="2023-04-07T01:08:00"/>
    <d v="2023-04-07T03:24:00"/>
    <d v="1899-12-30T02:31:00"/>
    <x v="57"/>
    <x v="36"/>
    <x v="0"/>
  </r>
  <r>
    <n v="6"/>
    <x v="532"/>
    <n v="1"/>
    <d v="2023-04-07T00:39:00"/>
    <x v="618"/>
    <x v="2"/>
    <x v="1"/>
    <x v="0"/>
    <n v="24.09"/>
    <x v="0"/>
    <n v="737"/>
    <x v="3"/>
    <s v="Plato_9, Plato_2"/>
    <n v="48"/>
    <x v="583"/>
    <d v="2023-04-07T00:39:00"/>
    <d v="2023-04-07T03:06:00"/>
    <d v="1899-12-30T02:27:00"/>
    <x v="108"/>
    <x v="147"/>
    <x v="0"/>
  </r>
  <r>
    <n v="15"/>
    <x v="411"/>
    <n v="1"/>
    <d v="2023-04-07T00:51:00"/>
    <x v="619"/>
    <x v="0"/>
    <x v="0"/>
    <x v="2"/>
    <n v="17.37"/>
    <x v="2"/>
    <n v="738"/>
    <x v="0"/>
    <s v="Plato_10, Plato_16, Plato_4"/>
    <n v="58"/>
    <x v="518"/>
    <d v="2023-04-07T00:51:00"/>
    <d v="2023-04-07T02:04:00"/>
    <d v="1899-12-30T01:28:00"/>
    <x v="66"/>
    <x v="8"/>
    <x v="1"/>
  </r>
  <r>
    <s v="10"/>
    <x v="533"/>
    <n v="5"/>
    <d v="2023-04-07T03:53:00"/>
    <x v="620"/>
    <x v="2"/>
    <x v="0"/>
    <x v="0"/>
    <n v="33.69"/>
    <x v="0"/>
    <n v="739"/>
    <x v="1"/>
    <s v="Plato_14"/>
    <n v="18"/>
    <x v="572"/>
    <d v="2023-04-07T03:53:00"/>
    <d v="2023-04-07T06:10:00"/>
    <d v="1899-12-30T02:17:00"/>
    <x v="59"/>
    <x v="132"/>
    <x v="0"/>
  </r>
  <r>
    <n v="16"/>
    <x v="534"/>
    <n v="6"/>
    <d v="2023-04-07T03:49:00"/>
    <x v="621"/>
    <x v="1"/>
    <x v="0"/>
    <x v="0"/>
    <n v="16.05"/>
    <x v="0"/>
    <n v="740"/>
    <x v="8"/>
    <s v="Plato_16, Plato_15, Plato_19, Plato_14"/>
    <n v="118"/>
    <x v="584"/>
    <d v="2023-04-07T03:49:00"/>
    <d v="2023-04-07T06:24:00"/>
    <d v="1899-12-30T02:35:00"/>
    <x v="139"/>
    <x v="93"/>
    <x v="0"/>
  </r>
  <r>
    <n v="14"/>
    <x v="338"/>
    <n v="4"/>
    <d v="2023-04-07T00:29:00"/>
    <x v="622"/>
    <x v="2"/>
    <x v="0"/>
    <x v="0"/>
    <n v="40.31"/>
    <x v="2"/>
    <n v="741"/>
    <x v="7"/>
    <s v="Plato_7, Plato_9, Plato_11, Plato_16"/>
    <n v="117"/>
    <x v="577"/>
    <d v="2023-04-07T00:29:00"/>
    <d v="2023-04-07T04:23:00"/>
    <d v="1899-12-30T04:09:00"/>
    <x v="171"/>
    <x v="85"/>
    <x v="0"/>
  </r>
  <r>
    <n v="20"/>
    <x v="431"/>
    <n v="4"/>
    <d v="2023-04-07T00:36:00"/>
    <x v="579"/>
    <x v="2"/>
    <x v="1"/>
    <x v="2"/>
    <n v="10.51"/>
    <x v="0"/>
    <n v="742"/>
    <x v="1"/>
    <s v="Plato_17, Plato_2, Plato_10, Plato_12"/>
    <n v="67"/>
    <x v="547"/>
    <d v="2023-04-07T00:36:00"/>
    <d v="2023-04-07T02:22:00"/>
    <d v="1899-12-30T01:46:00"/>
    <x v="56"/>
    <x v="8"/>
    <x v="1"/>
  </r>
  <r>
    <n v="19"/>
    <x v="288"/>
    <n v="2"/>
    <d v="2023-04-07T03:47:00"/>
    <x v="623"/>
    <x v="0"/>
    <x v="0"/>
    <x v="0"/>
    <n v="25.7"/>
    <x v="2"/>
    <n v="743"/>
    <x v="2"/>
    <s v="Plato_10, Plato_4, Plato_14"/>
    <n v="56"/>
    <x v="585"/>
    <d v="2023-04-07T03:47:00"/>
    <d v="2023-04-07T07:44:00"/>
    <d v="1899-12-30T04:12:00"/>
    <x v="147"/>
    <x v="76"/>
    <x v="0"/>
  </r>
  <r>
    <n v="11"/>
    <x v="7"/>
    <n v="1"/>
    <d v="2023-04-07T01:59:00"/>
    <x v="624"/>
    <x v="1"/>
    <x v="0"/>
    <x v="2"/>
    <n v="26.5"/>
    <x v="1"/>
    <n v="744"/>
    <x v="0"/>
    <s v="Plato_4, Plato_9"/>
    <n v="32"/>
    <x v="586"/>
    <d v="2023-04-07T01:59:00"/>
    <d v="2023-04-07T05:49:00"/>
    <d v="1899-12-30T03:50:00"/>
    <x v="64"/>
    <x v="124"/>
    <x v="0"/>
  </r>
  <r>
    <n v="3"/>
    <x v="513"/>
    <n v="1"/>
    <d v="2023-04-07T02:34:00"/>
    <x v="625"/>
    <x v="3"/>
    <x v="0"/>
    <x v="1"/>
    <n v="18.75"/>
    <x v="1"/>
    <n v="745"/>
    <x v="6"/>
    <s v="Plato_8, Plato_7, Plato_1, Plato_6"/>
    <n v="115"/>
    <x v="587"/>
    <d v="2023-04-07T02:34:00"/>
    <d v="2023-04-07T04:52:00"/>
    <d v="1899-12-30T02:18:00"/>
    <x v="47"/>
    <x v="95"/>
    <x v="0"/>
  </r>
  <r>
    <n v="13"/>
    <x v="518"/>
    <n v="2"/>
    <d v="2023-04-07T03:10:00"/>
    <x v="626"/>
    <x v="1"/>
    <x v="0"/>
    <x v="2"/>
    <n v="44.9"/>
    <x v="2"/>
    <n v="746"/>
    <x v="9"/>
    <s v="Plato_8, Plato_15"/>
    <n v="81"/>
    <x v="588"/>
    <d v="2023-04-07T03:10:00"/>
    <d v="2023-04-07T06:27:00"/>
    <d v="1899-12-30T03:32:00"/>
    <x v="158"/>
    <x v="55"/>
    <x v="0"/>
  </r>
  <r>
    <s v="16"/>
    <x v="535"/>
    <n v="3"/>
    <d v="2023-04-07T02:53:00"/>
    <x v="547"/>
    <x v="1"/>
    <x v="1"/>
    <x v="0"/>
    <n v="37.229999999999997"/>
    <x v="0"/>
    <n v="747"/>
    <x v="7"/>
    <s v="Plato_1"/>
    <n v="10"/>
    <x v="589"/>
    <d v="2023-04-07T02:53:00"/>
    <d v="2023-04-07T04:49:00"/>
    <d v="1899-12-30T01:56:00"/>
    <x v="101"/>
    <x v="109"/>
    <x v="0"/>
  </r>
  <r>
    <n v="2"/>
    <x v="536"/>
    <n v="4"/>
    <d v="2023-04-07T02:32:00"/>
    <x v="627"/>
    <x v="2"/>
    <x v="0"/>
    <x v="2"/>
    <n v="12.55"/>
    <x v="0"/>
    <n v="748"/>
    <x v="5"/>
    <s v="Plato_15, Plato_10"/>
    <n v="46"/>
    <x v="590"/>
    <d v="2023-04-07T02:32:00"/>
    <d v="2023-04-07T05:58:00"/>
    <d v="1899-12-30T03:26:00"/>
    <x v="128"/>
    <x v="203"/>
    <x v="0"/>
  </r>
  <r>
    <s v="1"/>
    <x v="535"/>
    <n v="2"/>
    <d v="2023-04-07T01:21:00"/>
    <x v="563"/>
    <x v="4"/>
    <x v="0"/>
    <x v="0"/>
    <n v="24.12"/>
    <x v="2"/>
    <n v="749"/>
    <x v="4"/>
    <s v="Plato_8"/>
    <n v="28"/>
    <x v="591"/>
    <d v="2023-04-07T01:21:00"/>
    <d v="2023-04-07T02:52:00"/>
    <d v="1899-12-30T01:46:00"/>
    <x v="69"/>
    <x v="21"/>
    <x v="0"/>
  </r>
  <r>
    <n v="6"/>
    <x v="537"/>
    <n v="4"/>
    <d v="2023-04-07T01:46:00"/>
    <x v="628"/>
    <x v="1"/>
    <x v="0"/>
    <x v="2"/>
    <n v="21.82"/>
    <x v="1"/>
    <n v="750"/>
    <x v="6"/>
    <s v="Plato_17, Plato_10"/>
    <n v="47"/>
    <x v="592"/>
    <d v="2023-04-07T01:46:00"/>
    <d v="2023-04-07T03:00:00"/>
    <d v="1899-12-30T01:14:00"/>
    <x v="36"/>
    <x v="8"/>
    <x v="1"/>
  </r>
  <r>
    <n v="17"/>
    <x v="349"/>
    <n v="6"/>
    <d v="2023-04-07T01:32:00"/>
    <x v="629"/>
    <x v="2"/>
    <x v="1"/>
    <x v="2"/>
    <n v="49.35"/>
    <x v="1"/>
    <n v="751"/>
    <x v="2"/>
    <s v="Plato_9, Plato_1, Plato_5"/>
    <n v="69"/>
    <x v="593"/>
    <d v="2023-04-07T01:32:00"/>
    <d v="2023-04-07T03:10:00"/>
    <d v="1899-12-30T01:38:00"/>
    <x v="37"/>
    <x v="43"/>
    <x v="0"/>
  </r>
  <r>
    <s v="3"/>
    <x v="351"/>
    <n v="5"/>
    <d v="2023-04-07T02:05:00"/>
    <x v="622"/>
    <x v="0"/>
    <x v="0"/>
    <x v="2"/>
    <n v="46.27"/>
    <x v="1"/>
    <n v="752"/>
    <x v="4"/>
    <s v="Plato_2"/>
    <n v="24"/>
    <x v="526"/>
    <d v="2023-04-07T02:05:00"/>
    <d v="2023-04-07T04:23:00"/>
    <d v="1899-12-30T02:18:00"/>
    <x v="52"/>
    <x v="4"/>
    <x v="0"/>
  </r>
  <r>
    <n v="11"/>
    <x v="250"/>
    <n v="4"/>
    <d v="2023-04-07T02:27:00"/>
    <x v="630"/>
    <x v="4"/>
    <x v="0"/>
    <x v="0"/>
    <n v="26.24"/>
    <x v="1"/>
    <n v="753"/>
    <x v="9"/>
    <s v="Plato_15, Plato_14, Plato_7, Plato_19"/>
    <n v="66"/>
    <x v="581"/>
    <d v="2023-04-07T02:27:00"/>
    <d v="2023-04-07T04:38:00"/>
    <d v="1899-12-30T02:11:00"/>
    <x v="29"/>
    <x v="207"/>
    <x v="0"/>
  </r>
  <r>
    <n v="8"/>
    <x v="327"/>
    <n v="3"/>
    <d v="2023-04-07T03:21:00"/>
    <x v="631"/>
    <x v="0"/>
    <x v="0"/>
    <x v="2"/>
    <n v="42.74"/>
    <x v="0"/>
    <n v="754"/>
    <x v="0"/>
    <s v="Plato_7, Plato_6, Plato_16"/>
    <n v="99"/>
    <x v="594"/>
    <d v="2023-04-07T03:21:00"/>
    <d v="2023-04-07T04:36:00"/>
    <d v="1899-12-30T01:15:00"/>
    <x v="35"/>
    <x v="8"/>
    <x v="1"/>
  </r>
  <r>
    <n v="12"/>
    <x v="538"/>
    <n v="3"/>
    <d v="2023-04-07T02:01:00"/>
    <x v="632"/>
    <x v="2"/>
    <x v="0"/>
    <x v="2"/>
    <n v="26.65"/>
    <x v="2"/>
    <n v="755"/>
    <x v="2"/>
    <s v="Plato_13, Plato_1, Plato_12, Plato_9"/>
    <n v="86"/>
    <x v="523"/>
    <d v="2023-04-07T02:01:00"/>
    <d v="2023-04-07T04:27:00"/>
    <d v="1899-12-30T02:41:00"/>
    <x v="25"/>
    <x v="33"/>
    <x v="0"/>
  </r>
  <r>
    <n v="11"/>
    <x v="539"/>
    <n v="1"/>
    <d v="2023-04-07T03:53:00"/>
    <x v="633"/>
    <x v="1"/>
    <x v="2"/>
    <x v="2"/>
    <n v="31.75"/>
    <x v="1"/>
    <n v="756"/>
    <x v="4"/>
    <s v="Plato_17, Plato_12"/>
    <n v="20"/>
    <x v="572"/>
    <d v="2023-04-07T03:53:00"/>
    <d v="2023-04-07T07:51:00"/>
    <d v="1899-12-30T03:58:00"/>
    <x v="153"/>
    <x v="208"/>
    <x v="0"/>
  </r>
  <r>
    <s v="3"/>
    <x v="540"/>
    <n v="6"/>
    <d v="2023-04-07T01:47:00"/>
    <x v="634"/>
    <x v="2"/>
    <x v="0"/>
    <x v="0"/>
    <n v="10.029999999999999"/>
    <x v="0"/>
    <n v="757"/>
    <x v="2"/>
    <s v="Plato_2"/>
    <n v="24"/>
    <x v="568"/>
    <d v="2023-04-07T01:47:00"/>
    <d v="2023-04-07T04:42:00"/>
    <d v="1899-12-30T02:55:00"/>
    <x v="3"/>
    <x v="55"/>
    <x v="0"/>
  </r>
  <r>
    <n v="18"/>
    <x v="541"/>
    <n v="4"/>
    <d v="2023-04-07T00:17:00"/>
    <x v="635"/>
    <x v="0"/>
    <x v="1"/>
    <x v="1"/>
    <n v="27.04"/>
    <x v="0"/>
    <n v="758"/>
    <x v="4"/>
    <s v="Plato_2, Plato_5"/>
    <n v="21"/>
    <x v="558"/>
    <d v="2023-04-07T00:17:00"/>
    <d v="2023-04-07T02:10:00"/>
    <d v="1899-12-30T01:53:00"/>
    <x v="6"/>
    <x v="107"/>
    <x v="0"/>
  </r>
  <r>
    <n v="20"/>
    <x v="542"/>
    <n v="5"/>
    <d v="2023-04-07T00:40:00"/>
    <x v="566"/>
    <x v="1"/>
    <x v="0"/>
    <x v="2"/>
    <n v="13.7"/>
    <x v="0"/>
    <n v="759"/>
    <x v="10"/>
    <s v="Plato_11, Plato_6, Plato_1, Plato_9"/>
    <n v="138"/>
    <x v="595"/>
    <d v="2023-04-07T00:40:00"/>
    <d v="2023-04-07T03:45:00"/>
    <d v="1899-12-30T03:05:00"/>
    <x v="172"/>
    <x v="8"/>
    <x v="1"/>
  </r>
  <r>
    <s v="5"/>
    <x v="543"/>
    <n v="6"/>
    <d v="2023-04-07T00:25:00"/>
    <x v="636"/>
    <x v="4"/>
    <x v="0"/>
    <x v="2"/>
    <n v="39.42"/>
    <x v="1"/>
    <n v="760"/>
    <x v="10"/>
    <s v="Plato_8"/>
    <n v="42"/>
    <x v="596"/>
    <d v="2023-04-07T00:25:00"/>
    <d v="2023-04-07T01:40:00"/>
    <d v="1899-12-30T01:15:00"/>
    <x v="60"/>
    <x v="192"/>
    <x v="0"/>
  </r>
  <r>
    <n v="4"/>
    <x v="466"/>
    <n v="4"/>
    <d v="2023-04-07T02:39:00"/>
    <x v="637"/>
    <x v="0"/>
    <x v="1"/>
    <x v="2"/>
    <n v="16.850000000000001"/>
    <x v="1"/>
    <n v="761"/>
    <x v="0"/>
    <s v="Plato_7, Plato_16, Plato_14"/>
    <n v="72"/>
    <x v="597"/>
    <d v="2023-04-07T02:39:00"/>
    <d v="2023-04-07T03:42:00"/>
    <d v="1899-12-30T01:03:00"/>
    <x v="96"/>
    <x v="8"/>
    <x v="1"/>
  </r>
  <r>
    <n v="4"/>
    <x v="259"/>
    <n v="3"/>
    <d v="2023-04-07T01:18:00"/>
    <x v="638"/>
    <x v="3"/>
    <x v="1"/>
    <x v="2"/>
    <n v="49.45"/>
    <x v="0"/>
    <n v="762"/>
    <x v="7"/>
    <s v="Plato_13, Plato_10"/>
    <n v="41"/>
    <x v="570"/>
    <d v="2023-04-07T01:18:00"/>
    <d v="2023-04-07T03:25:00"/>
    <d v="1899-12-30T02:07:00"/>
    <x v="9"/>
    <x v="21"/>
    <x v="0"/>
  </r>
  <r>
    <n v="18"/>
    <x v="463"/>
    <n v="3"/>
    <d v="2023-04-07T03:49:00"/>
    <x v="639"/>
    <x v="4"/>
    <x v="0"/>
    <x v="2"/>
    <n v="22.88"/>
    <x v="0"/>
    <n v="763"/>
    <x v="10"/>
    <s v="Plato_11, Plato_12"/>
    <n v="42"/>
    <x v="584"/>
    <d v="2023-04-07T03:49:00"/>
    <d v="2023-04-07T05:12:00"/>
    <d v="1899-12-30T01:23:00"/>
    <x v="87"/>
    <x v="113"/>
    <x v="0"/>
  </r>
  <r>
    <n v="20"/>
    <x v="544"/>
    <n v="1"/>
    <d v="2023-04-07T03:30:00"/>
    <x v="608"/>
    <x v="4"/>
    <x v="2"/>
    <x v="2"/>
    <n v="20.41"/>
    <x v="2"/>
    <n v="764"/>
    <x v="1"/>
    <s v="Plato_6, Plato_18, Plato_7"/>
    <n v="35"/>
    <x v="598"/>
    <d v="2023-04-07T03:30:00"/>
    <d v="2023-04-07T05:46:00"/>
    <d v="1899-12-30T02:31:00"/>
    <x v="43"/>
    <x v="154"/>
    <x v="0"/>
  </r>
  <r>
    <n v="20"/>
    <x v="444"/>
    <n v="4"/>
    <d v="2023-04-07T00:24:00"/>
    <x v="640"/>
    <x v="0"/>
    <x v="2"/>
    <x v="2"/>
    <n v="30.77"/>
    <x v="1"/>
    <n v="765"/>
    <x v="9"/>
    <s v="Plato_10, Plato_16, Plato_13, Plato_19"/>
    <n v="95"/>
    <x v="599"/>
    <d v="2023-04-07T00:24:00"/>
    <d v="2023-04-07T01:37:00"/>
    <d v="1899-12-30T01:13:00"/>
    <x v="41"/>
    <x v="8"/>
    <x v="1"/>
  </r>
  <r>
    <n v="17"/>
    <x v="15"/>
    <n v="6"/>
    <d v="2023-04-07T01:34:00"/>
    <x v="641"/>
    <x v="2"/>
    <x v="2"/>
    <x v="2"/>
    <n v="12.57"/>
    <x v="0"/>
    <n v="766"/>
    <x v="10"/>
    <s v="Plato_2, Plato_12, Plato_3, Plato_14"/>
    <n v="74"/>
    <x v="600"/>
    <d v="2023-04-07T01:34:00"/>
    <d v="2023-04-07T04:50:00"/>
    <d v="1899-12-30T03:16:00"/>
    <x v="17"/>
    <x v="81"/>
    <x v="0"/>
  </r>
  <r>
    <n v="10"/>
    <x v="545"/>
    <n v="3"/>
    <d v="2023-04-07T01:08:00"/>
    <x v="642"/>
    <x v="2"/>
    <x v="1"/>
    <x v="2"/>
    <n v="15.98"/>
    <x v="0"/>
    <n v="767"/>
    <x v="8"/>
    <s v="Plato_9, Plato_7, Plato_13"/>
    <n v="68"/>
    <x v="582"/>
    <d v="2023-04-07T01:08:00"/>
    <d v="2023-04-07T03:57:00"/>
    <d v="1899-12-30T02:49:00"/>
    <x v="1"/>
    <x v="8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3E7AB-0991-4D26-BEB0-6C5984081E4B}" name="TablaDinámica1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27:T48" firstHeaderRow="1" firstDataRow="1" firstDataCol="1"/>
  <pivotFields count="31">
    <pivotField showAll="0"/>
    <pivotField showAll="0">
      <items count="547">
        <item x="33"/>
        <item x="85"/>
        <item x="32"/>
        <item x="507"/>
        <item x="25"/>
        <item x="359"/>
        <item x="442"/>
        <item x="424"/>
        <item x="428"/>
        <item x="512"/>
        <item x="148"/>
        <item x="102"/>
        <item x="452"/>
        <item x="65"/>
        <item x="277"/>
        <item x="496"/>
        <item x="164"/>
        <item x="399"/>
        <item x="3"/>
        <item x="158"/>
        <item x="244"/>
        <item x="445"/>
        <item x="459"/>
        <item x="320"/>
        <item x="110"/>
        <item x="330"/>
        <item x="215"/>
        <item x="373"/>
        <item x="52"/>
        <item x="196"/>
        <item x="80"/>
        <item x="398"/>
        <item x="181"/>
        <item x="283"/>
        <item x="155"/>
        <item x="349"/>
        <item x="131"/>
        <item x="358"/>
        <item x="273"/>
        <item x="467"/>
        <item x="348"/>
        <item x="37"/>
        <item x="103"/>
        <item x="410"/>
        <item x="168"/>
        <item x="15"/>
        <item x="199"/>
        <item x="460"/>
        <item x="392"/>
        <item x="314"/>
        <item x="251"/>
        <item x="389"/>
        <item x="205"/>
        <item x="480"/>
        <item x="17"/>
        <item x="313"/>
        <item x="294"/>
        <item x="386"/>
        <item x="261"/>
        <item x="338"/>
        <item x="479"/>
        <item x="134"/>
        <item x="492"/>
        <item x="16"/>
        <item x="436"/>
        <item x="381"/>
        <item x="457"/>
        <item x="441"/>
        <item x="20"/>
        <item x="262"/>
        <item x="197"/>
        <item x="291"/>
        <item x="422"/>
        <item x="301"/>
        <item x="470"/>
        <item x="505"/>
        <item x="544"/>
        <item x="234"/>
        <item x="30"/>
        <item x="41"/>
        <item x="427"/>
        <item x="346"/>
        <item x="255"/>
        <item x="201"/>
        <item x="247"/>
        <item x="90"/>
        <item x="235"/>
        <item x="423"/>
        <item x="68"/>
        <item x="365"/>
        <item x="124"/>
        <item x="527"/>
        <item x="214"/>
        <item x="60"/>
        <item x="272"/>
        <item x="276"/>
        <item x="31"/>
        <item x="125"/>
        <item x="326"/>
        <item x="253"/>
        <item x="490"/>
        <item x="451"/>
        <item x="237"/>
        <item x="161"/>
        <item x="455"/>
        <item x="380"/>
        <item x="343"/>
        <item x="133"/>
        <item x="356"/>
        <item x="303"/>
        <item x="93"/>
        <item x="18"/>
        <item x="79"/>
        <item x="278"/>
        <item x="153"/>
        <item x="297"/>
        <item x="534"/>
        <item x="536"/>
        <item x="198"/>
        <item x="178"/>
        <item x="242"/>
        <item x="163"/>
        <item x="537"/>
        <item x="6"/>
        <item x="128"/>
        <item x="94"/>
        <item x="347"/>
        <item x="369"/>
        <item x="182"/>
        <item x="431"/>
        <item x="173"/>
        <item x="193"/>
        <item x="236"/>
        <item x="352"/>
        <item x="9"/>
        <item x="341"/>
        <item x="190"/>
        <item x="361"/>
        <item x="417"/>
        <item x="183"/>
        <item x="192"/>
        <item x="360"/>
        <item x="464"/>
        <item x="252"/>
        <item x="114"/>
        <item x="364"/>
        <item x="368"/>
        <item x="508"/>
        <item x="285"/>
        <item x="463"/>
        <item x="63"/>
        <item x="529"/>
        <item x="405"/>
        <item x="27"/>
        <item x="157"/>
        <item x="84"/>
        <item x="29"/>
        <item x="406"/>
        <item x="388"/>
        <item x="185"/>
        <item x="503"/>
        <item x="454"/>
        <item x="73"/>
        <item x="542"/>
        <item x="28"/>
        <item x="87"/>
        <item x="143"/>
        <item x="115"/>
        <item x="97"/>
        <item x="263"/>
        <item x="96"/>
        <item x="53"/>
        <item x="433"/>
        <item x="355"/>
        <item x="525"/>
        <item x="240"/>
        <item x="139"/>
        <item x="376"/>
        <item x="374"/>
        <item x="152"/>
        <item x="258"/>
        <item x="449"/>
        <item x="495"/>
        <item x="179"/>
        <item x="483"/>
        <item x="113"/>
        <item x="239"/>
        <item x="72"/>
        <item x="383"/>
        <item x="385"/>
        <item x="420"/>
        <item x="23"/>
        <item x="227"/>
        <item x="22"/>
        <item x="539"/>
        <item x="232"/>
        <item x="397"/>
        <item x="287"/>
        <item x="403"/>
        <item x="528"/>
        <item x="67"/>
        <item x="174"/>
        <item x="458"/>
        <item x="210"/>
        <item x="535"/>
        <item x="89"/>
        <item x="319"/>
        <item x="443"/>
        <item x="484"/>
        <item x="439"/>
        <item x="256"/>
        <item x="516"/>
        <item x="280"/>
        <item x="312"/>
        <item x="337"/>
        <item x="375"/>
        <item x="207"/>
        <item x="304"/>
        <item x="241"/>
        <item x="357"/>
        <item x="462"/>
        <item x="498"/>
        <item x="533"/>
        <item x="159"/>
        <item x="122"/>
        <item x="284"/>
        <item x="160"/>
        <item x="213"/>
        <item x="316"/>
        <item x="514"/>
        <item x="311"/>
        <item x="315"/>
        <item x="147"/>
        <item x="82"/>
        <item x="323"/>
        <item x="333"/>
        <item x="414"/>
        <item x="55"/>
        <item x="476"/>
        <item x="188"/>
        <item x="472"/>
        <item x="510"/>
        <item x="118"/>
        <item x="98"/>
        <item x="363"/>
        <item x="489"/>
        <item x="95"/>
        <item x="111"/>
        <item x="293"/>
        <item x="401"/>
        <item x="245"/>
        <item x="382"/>
        <item x="141"/>
        <item x="391"/>
        <item x="146"/>
        <item x="1"/>
        <item x="225"/>
        <item x="317"/>
        <item x="119"/>
        <item x="345"/>
        <item x="281"/>
        <item x="101"/>
        <item x="292"/>
        <item x="154"/>
        <item x="177"/>
        <item x="169"/>
        <item x="200"/>
        <item x="105"/>
        <item x="58"/>
        <item x="430"/>
        <item x="446"/>
        <item x="390"/>
        <item x="136"/>
        <item x="184"/>
        <item x="339"/>
        <item x="465"/>
        <item x="260"/>
        <item x="223"/>
        <item x="298"/>
        <item x="132"/>
        <item x="78"/>
        <item x="475"/>
        <item x="206"/>
        <item x="231"/>
        <item x="222"/>
        <item x="515"/>
        <item x="149"/>
        <item x="481"/>
        <item x="107"/>
        <item x="379"/>
        <item x="487"/>
        <item x="474"/>
        <item x="502"/>
        <item x="524"/>
        <item x="491"/>
        <item x="288"/>
        <item x="216"/>
        <item x="274"/>
        <item x="296"/>
        <item x="478"/>
        <item x="38"/>
        <item x="86"/>
        <item x="468"/>
        <item x="336"/>
        <item x="66"/>
        <item x="166"/>
        <item x="321"/>
        <item x="88"/>
        <item x="62"/>
        <item x="434"/>
        <item x="419"/>
        <item x="249"/>
        <item x="400"/>
        <item x="308"/>
        <item x="269"/>
        <item x="332"/>
        <item x="44"/>
        <item x="396"/>
        <item x="494"/>
        <item x="106"/>
        <item x="171"/>
        <item x="51"/>
        <item x="49"/>
        <item x="76"/>
        <item x="282"/>
        <item x="532"/>
        <item x="74"/>
        <item x="408"/>
        <item x="43"/>
        <item x="499"/>
        <item x="307"/>
        <item x="180"/>
        <item x="266"/>
        <item x="100"/>
        <item x="170"/>
        <item x="275"/>
        <item x="121"/>
        <item x="469"/>
        <item x="129"/>
        <item x="279"/>
        <item x="519"/>
        <item x="229"/>
        <item x="322"/>
        <item x="335"/>
        <item x="437"/>
        <item x="209"/>
        <item x="137"/>
        <item x="270"/>
        <item x="246"/>
        <item x="334"/>
        <item x="194"/>
        <item x="187"/>
        <item x="471"/>
        <item x="167"/>
        <item x="238"/>
        <item x="482"/>
        <item x="362"/>
        <item x="290"/>
        <item x="504"/>
        <item x="393"/>
        <item x="117"/>
        <item x="486"/>
        <item x="411"/>
        <item x="228"/>
        <item x="189"/>
        <item x="267"/>
        <item x="394"/>
        <item x="438"/>
        <item x="306"/>
        <item x="48"/>
        <item x="140"/>
        <item x="402"/>
        <item x="39"/>
        <item x="99"/>
        <item x="135"/>
        <item x="517"/>
        <item x="172"/>
        <item x="522"/>
        <item x="377"/>
        <item x="404"/>
        <item x="45"/>
        <item x="395"/>
        <item x="543"/>
        <item x="218"/>
        <item x="0"/>
        <item x="511"/>
        <item x="176"/>
        <item x="14"/>
        <item x="259"/>
        <item x="248"/>
        <item x="370"/>
        <item x="83"/>
        <item x="271"/>
        <item x="351"/>
        <item x="450"/>
        <item x="195"/>
        <item x="8"/>
        <item x="165"/>
        <item x="69"/>
        <item x="538"/>
        <item x="204"/>
        <item x="257"/>
        <item x="81"/>
        <item x="540"/>
        <item x="175"/>
        <item x="75"/>
        <item x="302"/>
        <item x="545"/>
        <item x="202"/>
        <item x="186"/>
        <item x="156"/>
        <item x="530"/>
        <item x="477"/>
        <item x="130"/>
        <item x="123"/>
        <item x="26"/>
        <item x="407"/>
        <item x="13"/>
        <item x="466"/>
        <item x="378"/>
        <item x="64"/>
        <item x="429"/>
        <item x="523"/>
        <item x="418"/>
        <item x="150"/>
        <item x="329"/>
        <item x="71"/>
        <item x="116"/>
        <item x="59"/>
        <item x="295"/>
        <item x="286"/>
        <item x="126"/>
        <item x="488"/>
        <item x="127"/>
        <item x="520"/>
        <item x="521"/>
        <item x="371"/>
        <item x="541"/>
        <item x="440"/>
        <item x="233"/>
        <item x="42"/>
        <item x="300"/>
        <item x="416"/>
        <item x="485"/>
        <item x="413"/>
        <item x="289"/>
        <item x="24"/>
        <item x="444"/>
        <item x="250"/>
        <item x="34"/>
        <item x="191"/>
        <item x="120"/>
        <item x="461"/>
        <item x="309"/>
        <item x="506"/>
        <item x="412"/>
        <item x="509"/>
        <item x="91"/>
        <item x="328"/>
        <item x="367"/>
        <item x="268"/>
        <item x="162"/>
        <item x="217"/>
        <item x="456"/>
        <item x="324"/>
        <item x="109"/>
        <item x="70"/>
        <item x="426"/>
        <item x="366"/>
        <item x="40"/>
        <item x="327"/>
        <item x="226"/>
        <item x="12"/>
        <item x="35"/>
        <item x="387"/>
        <item x="212"/>
        <item x="56"/>
        <item x="21"/>
        <item x="493"/>
        <item x="10"/>
        <item x="325"/>
        <item x="501"/>
        <item x="54"/>
        <item x="447"/>
        <item x="531"/>
        <item x="11"/>
        <item x="151"/>
        <item x="50"/>
        <item x="299"/>
        <item x="310"/>
        <item x="513"/>
        <item x="372"/>
        <item x="344"/>
        <item x="138"/>
        <item x="497"/>
        <item x="2"/>
        <item x="350"/>
        <item x="448"/>
        <item x="112"/>
        <item x="353"/>
        <item x="104"/>
        <item x="318"/>
        <item x="221"/>
        <item x="224"/>
        <item x="243"/>
        <item x="47"/>
        <item x="421"/>
        <item x="219"/>
        <item x="4"/>
        <item x="145"/>
        <item x="305"/>
        <item x="342"/>
        <item x="61"/>
        <item x="409"/>
        <item x="108"/>
        <item x="425"/>
        <item x="518"/>
        <item x="415"/>
        <item x="142"/>
        <item x="526"/>
        <item x="354"/>
        <item x="203"/>
        <item x="220"/>
        <item x="500"/>
        <item x="46"/>
        <item x="144"/>
        <item x="5"/>
        <item x="435"/>
        <item x="77"/>
        <item x="19"/>
        <item x="473"/>
        <item x="7"/>
        <item x="57"/>
        <item x="230"/>
        <item x="254"/>
        <item x="211"/>
        <item x="264"/>
        <item x="453"/>
        <item x="384"/>
        <item x="208"/>
        <item x="340"/>
        <item x="331"/>
        <item x="92"/>
        <item x="265"/>
        <item x="432"/>
        <item x="36"/>
        <item t="default"/>
      </items>
    </pivotField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axis="axisRow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2" showAll="0"/>
    <pivotField showAll="0"/>
    <pivotField showAll="0"/>
    <pivotField showAll="0">
      <items count="12">
        <item x="10"/>
        <item x="6"/>
        <item x="2"/>
        <item x="9"/>
        <item x="1"/>
        <item x="8"/>
        <item x="0"/>
        <item x="3"/>
        <item x="4"/>
        <item x="7"/>
        <item x="5"/>
        <item t="default"/>
      </items>
    </pivotField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 countASubtotal="1">
      <items count="3">
        <item x="1"/>
        <item x="0"/>
        <item t="countA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5"/>
    <field x="6"/>
  </rowFields>
  <rowItems count="21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a de Propina" fld="8" baseField="0" baseItem="0"/>
  </dataFields>
  <formats count="5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6" type="button" dataOnly="0" labelOnly="1" outline="0" axis="axisRow" fieldPosition="1"/>
    </format>
    <format dxfId="90">
      <pivotArea dataOnly="0" labelOnly="1" grandRow="1" outline="0" fieldPosition="0"/>
    </format>
    <format dxfId="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17511-7B75-4C00-BC4E-4E60B422E9BD}" name="TablaDiná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K40" firstHeaderRow="1" firstDataRow="1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2" showAll="0"/>
    <pivotField showAll="0"/>
    <pivotField showAll="0"/>
    <pivotField axis="axisRow" showAll="0">
      <items count="12">
        <item x="10"/>
        <item x="6"/>
        <item x="2"/>
        <item x="9"/>
        <item x="1"/>
        <item x="8"/>
        <item x="0"/>
        <item x="3"/>
        <item x="4"/>
        <item x="7"/>
        <item x="5"/>
        <item t="default"/>
      </items>
    </pivotField>
    <pivotField showAll="0"/>
    <pivotField dataField="1"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6"/>
    <field x="11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a de Monto total " fld="13" baseField="0" baseItem="0"/>
  </dataFields>
  <formats count="11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6" type="button" dataOnly="0" labelOnly="1" outline="0" axis="axisRow" fieldPosition="0"/>
    </format>
    <format dxfId="101">
      <pivotArea dataOnly="0" labelOnly="1" grandRow="1" outline="0" fieldPosition="0"/>
    </format>
    <format dxfId="100">
      <pivotArea dataOnly="0" labelOnly="1" outline="0" axis="axisValues" fieldPosition="0"/>
    </format>
    <format dxfId="99">
      <pivotArea collapsedLevelsAreSubtotals="1" fieldPosition="0">
        <references count="2">
          <reference field="6" count="1" selected="0">
            <x v="0"/>
          </reference>
          <reference field="11" count="1">
            <x v="3"/>
          </reference>
        </references>
      </pivotArea>
    </format>
    <format dxfId="98">
      <pivotArea dataOnly="0" labelOnly="1" fieldPosition="0">
        <references count="2">
          <reference field="6" count="1" selected="0">
            <x v="0"/>
          </reference>
          <reference field="11" count="1">
            <x v="3"/>
          </reference>
        </references>
      </pivotArea>
    </format>
    <format dxfId="97">
      <pivotArea collapsedLevelsAreSubtotals="1" fieldPosition="0">
        <references count="2">
          <reference field="6" count="1" selected="0">
            <x v="1"/>
          </reference>
          <reference field="11" count="1">
            <x v="0"/>
          </reference>
        </references>
      </pivotArea>
    </format>
    <format dxfId="96">
      <pivotArea dataOnly="0" labelOnly="1" fieldPosition="0">
        <references count="2">
          <reference field="6" count="1" selected="0">
            <x v="1"/>
          </reference>
          <reference field="11" count="1">
            <x v="0"/>
          </reference>
        </references>
      </pivotArea>
    </format>
    <format dxfId="95">
      <pivotArea collapsedLevelsAreSubtotals="1" fieldPosition="0">
        <references count="2">
          <reference field="6" count="1" selected="0">
            <x v="2"/>
          </reference>
          <reference field="11" count="1">
            <x v="4"/>
          </reference>
        </references>
      </pivotArea>
    </format>
    <format dxfId="94">
      <pivotArea dataOnly="0" labelOnly="1" fieldPosition="0">
        <references count="2">
          <reference field="6" count="1" selected="0">
            <x v="2"/>
          </reference>
          <reference field="1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76D5D-C2E1-4F38-8B2F-99694FA36813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2" showAll="0"/>
    <pivotField showAll="0"/>
    <pivotField showAll="0"/>
    <pivotField showAll="0"/>
    <pivotField showAll="0"/>
    <pivotField dataField="1"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Monto total " fld="13" baseField="0" baseItem="0" numFmtId="2"/>
  </dataFields>
  <formats count="11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6" type="button" dataOnly="0" labelOnly="1" outline="0" axis="axisRow" fieldPosition="0"/>
    </format>
    <format dxfId="112">
      <pivotArea dataOnly="0" labelOnly="1" fieldPosition="0">
        <references count="1">
          <reference field="6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collapsedLevelsAreSubtotals="1" fieldPosition="0">
        <references count="1">
          <reference field="6" count="1">
            <x v="0"/>
          </reference>
        </references>
      </pivotArea>
    </format>
    <format dxfId="108">
      <pivotArea collapsedLevelsAreSubtotals="1" fieldPosition="0">
        <references count="1">
          <reference field="6" count="2">
            <x v="1"/>
            <x v="2"/>
          </reference>
        </references>
      </pivotArea>
    </format>
    <format dxfId="107">
      <pivotArea collapsedLevelsAreSubtotals="1" fieldPosition="0">
        <references count="1">
          <reference field="6" count="1">
            <x v="0"/>
          </reference>
        </references>
      </pivotArea>
    </format>
    <format dxfId="106">
      <pivotArea dataOnly="0" labelOnly="1" fieldPosition="0">
        <references count="1">
          <reference field="6" count="1">
            <x v="0"/>
          </reference>
        </references>
      </pivotArea>
    </format>
    <format dxfId="105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43D2D-CC2C-4201-9CA6-B152F9E98FBB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3:T24" firstHeaderRow="1" firstDataRow="1" firstDataCol="1"/>
  <pivotFields count="31">
    <pivotField showAll="0"/>
    <pivotField showAll="0">
      <items count="547">
        <item x="33"/>
        <item x="85"/>
        <item x="32"/>
        <item x="507"/>
        <item x="25"/>
        <item x="359"/>
        <item x="442"/>
        <item x="424"/>
        <item x="428"/>
        <item x="512"/>
        <item x="148"/>
        <item x="102"/>
        <item x="452"/>
        <item x="65"/>
        <item x="277"/>
        <item x="496"/>
        <item x="164"/>
        <item x="399"/>
        <item x="3"/>
        <item x="158"/>
        <item x="244"/>
        <item x="445"/>
        <item x="459"/>
        <item x="320"/>
        <item x="110"/>
        <item x="330"/>
        <item x="215"/>
        <item x="373"/>
        <item x="52"/>
        <item x="196"/>
        <item x="80"/>
        <item x="398"/>
        <item x="181"/>
        <item x="283"/>
        <item x="155"/>
        <item x="349"/>
        <item x="131"/>
        <item x="358"/>
        <item x="273"/>
        <item x="467"/>
        <item x="348"/>
        <item x="37"/>
        <item x="103"/>
        <item x="410"/>
        <item x="168"/>
        <item x="15"/>
        <item x="199"/>
        <item x="460"/>
        <item x="392"/>
        <item x="314"/>
        <item x="251"/>
        <item x="389"/>
        <item x="205"/>
        <item x="480"/>
        <item x="17"/>
        <item x="313"/>
        <item x="294"/>
        <item x="386"/>
        <item x="261"/>
        <item x="338"/>
        <item x="479"/>
        <item x="134"/>
        <item x="492"/>
        <item x="16"/>
        <item x="436"/>
        <item x="381"/>
        <item x="457"/>
        <item x="441"/>
        <item x="20"/>
        <item x="262"/>
        <item x="197"/>
        <item x="291"/>
        <item x="422"/>
        <item x="301"/>
        <item x="470"/>
        <item x="505"/>
        <item x="544"/>
        <item x="234"/>
        <item x="30"/>
        <item x="41"/>
        <item x="427"/>
        <item x="346"/>
        <item x="255"/>
        <item x="201"/>
        <item x="247"/>
        <item x="90"/>
        <item x="235"/>
        <item x="423"/>
        <item x="68"/>
        <item x="365"/>
        <item x="124"/>
        <item x="527"/>
        <item x="214"/>
        <item x="60"/>
        <item x="272"/>
        <item x="276"/>
        <item x="31"/>
        <item x="125"/>
        <item x="326"/>
        <item x="253"/>
        <item x="490"/>
        <item x="451"/>
        <item x="237"/>
        <item x="161"/>
        <item x="455"/>
        <item x="380"/>
        <item x="343"/>
        <item x="133"/>
        <item x="356"/>
        <item x="303"/>
        <item x="93"/>
        <item x="18"/>
        <item x="79"/>
        <item x="278"/>
        <item x="153"/>
        <item x="297"/>
        <item x="534"/>
        <item x="536"/>
        <item x="198"/>
        <item x="178"/>
        <item x="242"/>
        <item x="163"/>
        <item x="537"/>
        <item x="6"/>
        <item x="128"/>
        <item x="94"/>
        <item x="347"/>
        <item x="369"/>
        <item x="182"/>
        <item x="431"/>
        <item x="173"/>
        <item x="193"/>
        <item x="236"/>
        <item x="352"/>
        <item x="9"/>
        <item x="341"/>
        <item x="190"/>
        <item x="361"/>
        <item x="417"/>
        <item x="183"/>
        <item x="192"/>
        <item x="360"/>
        <item x="464"/>
        <item x="252"/>
        <item x="114"/>
        <item x="364"/>
        <item x="368"/>
        <item x="508"/>
        <item x="285"/>
        <item x="463"/>
        <item x="63"/>
        <item x="529"/>
        <item x="405"/>
        <item x="27"/>
        <item x="157"/>
        <item x="84"/>
        <item x="29"/>
        <item x="406"/>
        <item x="388"/>
        <item x="185"/>
        <item x="503"/>
        <item x="454"/>
        <item x="73"/>
        <item x="542"/>
        <item x="28"/>
        <item x="87"/>
        <item x="143"/>
        <item x="115"/>
        <item x="97"/>
        <item x="263"/>
        <item x="96"/>
        <item x="53"/>
        <item x="433"/>
        <item x="355"/>
        <item x="525"/>
        <item x="240"/>
        <item x="139"/>
        <item x="376"/>
        <item x="374"/>
        <item x="152"/>
        <item x="258"/>
        <item x="449"/>
        <item x="495"/>
        <item x="179"/>
        <item x="483"/>
        <item x="113"/>
        <item x="239"/>
        <item x="72"/>
        <item x="383"/>
        <item x="385"/>
        <item x="420"/>
        <item x="23"/>
        <item x="227"/>
        <item x="22"/>
        <item x="539"/>
        <item x="232"/>
        <item x="397"/>
        <item x="287"/>
        <item x="403"/>
        <item x="528"/>
        <item x="67"/>
        <item x="174"/>
        <item x="458"/>
        <item x="210"/>
        <item x="535"/>
        <item x="89"/>
        <item x="319"/>
        <item x="443"/>
        <item x="484"/>
        <item x="439"/>
        <item x="256"/>
        <item x="516"/>
        <item x="280"/>
        <item x="312"/>
        <item x="337"/>
        <item x="375"/>
        <item x="207"/>
        <item x="304"/>
        <item x="241"/>
        <item x="357"/>
        <item x="462"/>
        <item x="498"/>
        <item x="533"/>
        <item x="159"/>
        <item x="122"/>
        <item x="284"/>
        <item x="160"/>
        <item x="213"/>
        <item x="316"/>
        <item x="514"/>
        <item x="311"/>
        <item x="315"/>
        <item x="147"/>
        <item x="82"/>
        <item x="323"/>
        <item x="333"/>
        <item x="414"/>
        <item x="55"/>
        <item x="476"/>
        <item x="188"/>
        <item x="472"/>
        <item x="510"/>
        <item x="118"/>
        <item x="98"/>
        <item x="363"/>
        <item x="489"/>
        <item x="95"/>
        <item x="111"/>
        <item x="293"/>
        <item x="401"/>
        <item x="245"/>
        <item x="382"/>
        <item x="141"/>
        <item x="391"/>
        <item x="146"/>
        <item x="1"/>
        <item x="225"/>
        <item x="317"/>
        <item x="119"/>
        <item x="345"/>
        <item x="281"/>
        <item x="101"/>
        <item x="292"/>
        <item x="154"/>
        <item x="177"/>
        <item x="169"/>
        <item x="200"/>
        <item x="105"/>
        <item x="58"/>
        <item x="430"/>
        <item x="446"/>
        <item x="390"/>
        <item x="136"/>
        <item x="184"/>
        <item x="339"/>
        <item x="465"/>
        <item x="260"/>
        <item x="223"/>
        <item x="298"/>
        <item x="132"/>
        <item x="78"/>
        <item x="475"/>
        <item x="206"/>
        <item x="231"/>
        <item x="222"/>
        <item x="515"/>
        <item x="149"/>
        <item x="481"/>
        <item x="107"/>
        <item x="379"/>
        <item x="487"/>
        <item x="474"/>
        <item x="502"/>
        <item x="524"/>
        <item x="491"/>
        <item x="288"/>
        <item x="216"/>
        <item x="274"/>
        <item x="296"/>
        <item x="478"/>
        <item x="38"/>
        <item x="86"/>
        <item x="468"/>
        <item x="336"/>
        <item x="66"/>
        <item x="166"/>
        <item x="321"/>
        <item x="88"/>
        <item x="62"/>
        <item x="434"/>
        <item x="419"/>
        <item x="249"/>
        <item x="400"/>
        <item x="308"/>
        <item x="269"/>
        <item x="332"/>
        <item x="44"/>
        <item x="396"/>
        <item x="494"/>
        <item x="106"/>
        <item x="171"/>
        <item x="51"/>
        <item x="49"/>
        <item x="76"/>
        <item x="282"/>
        <item x="532"/>
        <item x="74"/>
        <item x="408"/>
        <item x="43"/>
        <item x="499"/>
        <item x="307"/>
        <item x="180"/>
        <item x="266"/>
        <item x="100"/>
        <item x="170"/>
        <item x="275"/>
        <item x="121"/>
        <item x="469"/>
        <item x="129"/>
        <item x="279"/>
        <item x="519"/>
        <item x="229"/>
        <item x="322"/>
        <item x="335"/>
        <item x="437"/>
        <item x="209"/>
        <item x="137"/>
        <item x="270"/>
        <item x="246"/>
        <item x="334"/>
        <item x="194"/>
        <item x="187"/>
        <item x="471"/>
        <item x="167"/>
        <item x="238"/>
        <item x="482"/>
        <item x="362"/>
        <item x="290"/>
        <item x="504"/>
        <item x="393"/>
        <item x="117"/>
        <item x="486"/>
        <item x="411"/>
        <item x="228"/>
        <item x="189"/>
        <item x="267"/>
        <item x="394"/>
        <item x="438"/>
        <item x="306"/>
        <item x="48"/>
        <item x="140"/>
        <item x="402"/>
        <item x="39"/>
        <item x="99"/>
        <item x="135"/>
        <item x="517"/>
        <item x="172"/>
        <item x="522"/>
        <item x="377"/>
        <item x="404"/>
        <item x="45"/>
        <item x="395"/>
        <item x="543"/>
        <item x="218"/>
        <item x="0"/>
        <item x="511"/>
        <item x="176"/>
        <item x="14"/>
        <item x="259"/>
        <item x="248"/>
        <item x="370"/>
        <item x="83"/>
        <item x="271"/>
        <item x="351"/>
        <item x="450"/>
        <item x="195"/>
        <item x="8"/>
        <item x="165"/>
        <item x="69"/>
        <item x="538"/>
        <item x="204"/>
        <item x="257"/>
        <item x="81"/>
        <item x="540"/>
        <item x="175"/>
        <item x="75"/>
        <item x="302"/>
        <item x="545"/>
        <item x="202"/>
        <item x="186"/>
        <item x="156"/>
        <item x="530"/>
        <item x="477"/>
        <item x="130"/>
        <item x="123"/>
        <item x="26"/>
        <item x="407"/>
        <item x="13"/>
        <item x="466"/>
        <item x="378"/>
        <item x="64"/>
        <item x="429"/>
        <item x="523"/>
        <item x="418"/>
        <item x="150"/>
        <item x="329"/>
        <item x="71"/>
        <item x="116"/>
        <item x="59"/>
        <item x="295"/>
        <item x="286"/>
        <item x="126"/>
        <item x="488"/>
        <item x="127"/>
        <item x="520"/>
        <item x="521"/>
        <item x="371"/>
        <item x="541"/>
        <item x="440"/>
        <item x="233"/>
        <item x="42"/>
        <item x="300"/>
        <item x="416"/>
        <item x="485"/>
        <item x="413"/>
        <item x="289"/>
        <item x="24"/>
        <item x="444"/>
        <item x="250"/>
        <item x="34"/>
        <item x="191"/>
        <item x="120"/>
        <item x="461"/>
        <item x="309"/>
        <item x="506"/>
        <item x="412"/>
        <item x="509"/>
        <item x="91"/>
        <item x="328"/>
        <item x="367"/>
        <item x="268"/>
        <item x="162"/>
        <item x="217"/>
        <item x="456"/>
        <item x="324"/>
        <item x="109"/>
        <item x="70"/>
        <item x="426"/>
        <item x="366"/>
        <item x="40"/>
        <item x="327"/>
        <item x="226"/>
        <item x="12"/>
        <item x="35"/>
        <item x="387"/>
        <item x="212"/>
        <item x="56"/>
        <item x="21"/>
        <item x="493"/>
        <item x="10"/>
        <item x="325"/>
        <item x="501"/>
        <item x="54"/>
        <item x="447"/>
        <item x="531"/>
        <item x="11"/>
        <item x="151"/>
        <item x="50"/>
        <item x="299"/>
        <item x="310"/>
        <item x="513"/>
        <item x="372"/>
        <item x="344"/>
        <item x="138"/>
        <item x="497"/>
        <item x="2"/>
        <item x="350"/>
        <item x="448"/>
        <item x="112"/>
        <item x="353"/>
        <item x="104"/>
        <item x="318"/>
        <item x="221"/>
        <item x="224"/>
        <item x="243"/>
        <item x="47"/>
        <item x="421"/>
        <item x="219"/>
        <item x="4"/>
        <item x="145"/>
        <item x="305"/>
        <item x="342"/>
        <item x="61"/>
        <item x="409"/>
        <item x="108"/>
        <item x="425"/>
        <item x="518"/>
        <item x="415"/>
        <item x="142"/>
        <item x="526"/>
        <item x="354"/>
        <item x="203"/>
        <item x="220"/>
        <item x="500"/>
        <item x="46"/>
        <item x="144"/>
        <item x="5"/>
        <item x="435"/>
        <item x="77"/>
        <item x="19"/>
        <item x="473"/>
        <item x="7"/>
        <item x="57"/>
        <item x="230"/>
        <item x="254"/>
        <item x="211"/>
        <item x="264"/>
        <item x="453"/>
        <item x="384"/>
        <item x="208"/>
        <item x="340"/>
        <item x="331"/>
        <item x="92"/>
        <item x="265"/>
        <item x="432"/>
        <item x="36"/>
        <item t="default"/>
      </items>
    </pivotField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axis="axisRow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numFmtId="2" showAll="0"/>
    <pivotField showAll="0"/>
    <pivotField showAll="0"/>
    <pivotField showAll="0">
      <items count="12">
        <item x="10"/>
        <item x="6"/>
        <item x="2"/>
        <item x="9"/>
        <item x="1"/>
        <item x="8"/>
        <item x="0"/>
        <item x="3"/>
        <item x="4"/>
        <item x="7"/>
        <item x="5"/>
        <item t="default"/>
      </items>
    </pivotField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 countASubtotal="1">
      <items count="3">
        <item x="1"/>
        <item x="0"/>
        <item t="countA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5"/>
    <field x="7"/>
  </rowFields>
  <rowItems count="21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a de Propina" fld="8" baseField="0" baseItem="0"/>
  </dataFields>
  <formats count="5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6" type="button" dataOnly="0" labelOnly="1" outline="0"/>
    </format>
    <format dxfId="117">
      <pivotArea dataOnly="0" labelOnly="1" grandRow="1" outline="0" fieldPosition="0"/>
    </format>
    <format dxfId="1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3BB1A-6AEE-4F64-A34C-AA2975FE3556}" name="TablaDiná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Q16" firstHeaderRow="1" firstDataRow="1" firstDataCol="1"/>
  <pivotFields count="31">
    <pivotField showAll="0"/>
    <pivotField showAll="0">
      <items count="547">
        <item x="33"/>
        <item x="85"/>
        <item x="32"/>
        <item x="507"/>
        <item x="25"/>
        <item x="359"/>
        <item x="442"/>
        <item x="424"/>
        <item x="428"/>
        <item x="512"/>
        <item x="148"/>
        <item x="102"/>
        <item x="452"/>
        <item x="65"/>
        <item x="277"/>
        <item x="496"/>
        <item x="164"/>
        <item x="399"/>
        <item x="3"/>
        <item x="158"/>
        <item x="244"/>
        <item x="445"/>
        <item x="459"/>
        <item x="320"/>
        <item x="110"/>
        <item x="330"/>
        <item x="215"/>
        <item x="373"/>
        <item x="52"/>
        <item x="196"/>
        <item x="80"/>
        <item x="398"/>
        <item x="181"/>
        <item x="283"/>
        <item x="155"/>
        <item x="349"/>
        <item x="131"/>
        <item x="358"/>
        <item x="273"/>
        <item x="467"/>
        <item x="348"/>
        <item x="37"/>
        <item x="103"/>
        <item x="410"/>
        <item x="168"/>
        <item x="15"/>
        <item x="199"/>
        <item x="460"/>
        <item x="392"/>
        <item x="314"/>
        <item x="251"/>
        <item x="389"/>
        <item x="205"/>
        <item x="480"/>
        <item x="17"/>
        <item x="313"/>
        <item x="294"/>
        <item x="386"/>
        <item x="261"/>
        <item x="338"/>
        <item x="479"/>
        <item x="134"/>
        <item x="492"/>
        <item x="16"/>
        <item x="436"/>
        <item x="381"/>
        <item x="457"/>
        <item x="441"/>
        <item x="20"/>
        <item x="262"/>
        <item x="197"/>
        <item x="291"/>
        <item x="422"/>
        <item x="301"/>
        <item x="470"/>
        <item x="505"/>
        <item x="544"/>
        <item x="234"/>
        <item x="30"/>
        <item x="41"/>
        <item x="427"/>
        <item x="346"/>
        <item x="255"/>
        <item x="201"/>
        <item x="247"/>
        <item x="90"/>
        <item x="235"/>
        <item x="423"/>
        <item x="68"/>
        <item x="365"/>
        <item x="124"/>
        <item x="527"/>
        <item x="214"/>
        <item x="60"/>
        <item x="272"/>
        <item x="276"/>
        <item x="31"/>
        <item x="125"/>
        <item x="326"/>
        <item x="253"/>
        <item x="490"/>
        <item x="451"/>
        <item x="237"/>
        <item x="161"/>
        <item x="455"/>
        <item x="380"/>
        <item x="343"/>
        <item x="133"/>
        <item x="356"/>
        <item x="303"/>
        <item x="93"/>
        <item x="18"/>
        <item x="79"/>
        <item x="278"/>
        <item x="153"/>
        <item x="297"/>
        <item x="534"/>
        <item x="536"/>
        <item x="198"/>
        <item x="178"/>
        <item x="242"/>
        <item x="163"/>
        <item x="537"/>
        <item x="6"/>
        <item x="128"/>
        <item x="94"/>
        <item x="347"/>
        <item x="369"/>
        <item x="182"/>
        <item x="431"/>
        <item x="173"/>
        <item x="193"/>
        <item x="236"/>
        <item x="352"/>
        <item x="9"/>
        <item x="341"/>
        <item x="190"/>
        <item x="361"/>
        <item x="417"/>
        <item x="183"/>
        <item x="192"/>
        <item x="360"/>
        <item x="464"/>
        <item x="252"/>
        <item x="114"/>
        <item x="364"/>
        <item x="368"/>
        <item x="508"/>
        <item x="285"/>
        <item x="463"/>
        <item x="63"/>
        <item x="529"/>
        <item x="405"/>
        <item x="27"/>
        <item x="157"/>
        <item x="84"/>
        <item x="29"/>
        <item x="406"/>
        <item x="388"/>
        <item x="185"/>
        <item x="503"/>
        <item x="454"/>
        <item x="73"/>
        <item x="542"/>
        <item x="28"/>
        <item x="87"/>
        <item x="143"/>
        <item x="115"/>
        <item x="97"/>
        <item x="263"/>
        <item x="96"/>
        <item x="53"/>
        <item x="433"/>
        <item x="355"/>
        <item x="525"/>
        <item x="240"/>
        <item x="139"/>
        <item x="376"/>
        <item x="374"/>
        <item x="152"/>
        <item x="258"/>
        <item x="449"/>
        <item x="495"/>
        <item x="179"/>
        <item x="483"/>
        <item x="113"/>
        <item x="239"/>
        <item x="72"/>
        <item x="383"/>
        <item x="385"/>
        <item x="420"/>
        <item x="23"/>
        <item x="227"/>
        <item x="22"/>
        <item x="539"/>
        <item x="232"/>
        <item x="397"/>
        <item x="287"/>
        <item x="403"/>
        <item x="528"/>
        <item x="67"/>
        <item x="174"/>
        <item x="458"/>
        <item x="210"/>
        <item x="535"/>
        <item x="89"/>
        <item x="319"/>
        <item x="443"/>
        <item x="484"/>
        <item x="439"/>
        <item x="256"/>
        <item x="516"/>
        <item x="280"/>
        <item x="312"/>
        <item x="337"/>
        <item x="375"/>
        <item x="207"/>
        <item x="304"/>
        <item x="241"/>
        <item x="357"/>
        <item x="462"/>
        <item x="498"/>
        <item x="533"/>
        <item x="159"/>
        <item x="122"/>
        <item x="284"/>
        <item x="160"/>
        <item x="213"/>
        <item x="316"/>
        <item x="514"/>
        <item x="311"/>
        <item x="315"/>
        <item x="147"/>
        <item x="82"/>
        <item x="323"/>
        <item x="333"/>
        <item x="414"/>
        <item x="55"/>
        <item x="476"/>
        <item x="188"/>
        <item x="472"/>
        <item x="510"/>
        <item x="118"/>
        <item x="98"/>
        <item x="363"/>
        <item x="489"/>
        <item x="95"/>
        <item x="111"/>
        <item x="293"/>
        <item x="401"/>
        <item x="245"/>
        <item x="382"/>
        <item x="141"/>
        <item x="391"/>
        <item x="146"/>
        <item x="1"/>
        <item x="225"/>
        <item x="317"/>
        <item x="119"/>
        <item x="345"/>
        <item x="281"/>
        <item x="101"/>
        <item x="292"/>
        <item x="154"/>
        <item x="177"/>
        <item x="169"/>
        <item x="200"/>
        <item x="105"/>
        <item x="58"/>
        <item x="430"/>
        <item x="446"/>
        <item x="390"/>
        <item x="136"/>
        <item x="184"/>
        <item x="339"/>
        <item x="465"/>
        <item x="260"/>
        <item x="223"/>
        <item x="298"/>
        <item x="132"/>
        <item x="78"/>
        <item x="475"/>
        <item x="206"/>
        <item x="231"/>
        <item x="222"/>
        <item x="515"/>
        <item x="149"/>
        <item x="481"/>
        <item x="107"/>
        <item x="379"/>
        <item x="487"/>
        <item x="474"/>
        <item x="502"/>
        <item x="524"/>
        <item x="491"/>
        <item x="288"/>
        <item x="216"/>
        <item x="274"/>
        <item x="296"/>
        <item x="478"/>
        <item x="38"/>
        <item x="86"/>
        <item x="468"/>
        <item x="336"/>
        <item x="66"/>
        <item x="166"/>
        <item x="321"/>
        <item x="88"/>
        <item x="62"/>
        <item x="434"/>
        <item x="419"/>
        <item x="249"/>
        <item x="400"/>
        <item x="308"/>
        <item x="269"/>
        <item x="332"/>
        <item x="44"/>
        <item x="396"/>
        <item x="494"/>
        <item x="106"/>
        <item x="171"/>
        <item x="51"/>
        <item x="49"/>
        <item x="76"/>
        <item x="282"/>
        <item x="532"/>
        <item x="74"/>
        <item x="408"/>
        <item x="43"/>
        <item x="499"/>
        <item x="307"/>
        <item x="180"/>
        <item x="266"/>
        <item x="100"/>
        <item x="170"/>
        <item x="275"/>
        <item x="121"/>
        <item x="469"/>
        <item x="129"/>
        <item x="279"/>
        <item x="519"/>
        <item x="229"/>
        <item x="322"/>
        <item x="335"/>
        <item x="437"/>
        <item x="209"/>
        <item x="137"/>
        <item x="270"/>
        <item x="246"/>
        <item x="334"/>
        <item x="194"/>
        <item x="187"/>
        <item x="471"/>
        <item x="167"/>
        <item x="238"/>
        <item x="482"/>
        <item x="362"/>
        <item x="290"/>
        <item x="504"/>
        <item x="393"/>
        <item x="117"/>
        <item x="486"/>
        <item x="411"/>
        <item x="228"/>
        <item x="189"/>
        <item x="267"/>
        <item x="394"/>
        <item x="438"/>
        <item x="306"/>
        <item x="48"/>
        <item x="140"/>
        <item x="402"/>
        <item x="39"/>
        <item x="99"/>
        <item x="135"/>
        <item x="517"/>
        <item x="172"/>
        <item x="522"/>
        <item x="377"/>
        <item x="404"/>
        <item x="45"/>
        <item x="395"/>
        <item x="543"/>
        <item x="218"/>
        <item x="0"/>
        <item x="511"/>
        <item x="176"/>
        <item x="14"/>
        <item x="259"/>
        <item x="248"/>
        <item x="370"/>
        <item x="83"/>
        <item x="271"/>
        <item x="351"/>
        <item x="450"/>
        <item x="195"/>
        <item x="8"/>
        <item x="165"/>
        <item x="69"/>
        <item x="538"/>
        <item x="204"/>
        <item x="257"/>
        <item x="81"/>
        <item x="540"/>
        <item x="175"/>
        <item x="75"/>
        <item x="302"/>
        <item x="545"/>
        <item x="202"/>
        <item x="186"/>
        <item x="156"/>
        <item x="530"/>
        <item x="477"/>
        <item x="130"/>
        <item x="123"/>
        <item x="26"/>
        <item x="407"/>
        <item x="13"/>
        <item x="466"/>
        <item x="378"/>
        <item x="64"/>
        <item x="429"/>
        <item x="523"/>
        <item x="418"/>
        <item x="150"/>
        <item x="329"/>
        <item x="71"/>
        <item x="116"/>
        <item x="59"/>
        <item x="295"/>
        <item x="286"/>
        <item x="126"/>
        <item x="488"/>
        <item x="127"/>
        <item x="520"/>
        <item x="521"/>
        <item x="371"/>
        <item x="541"/>
        <item x="440"/>
        <item x="233"/>
        <item x="42"/>
        <item x="300"/>
        <item x="416"/>
        <item x="485"/>
        <item x="413"/>
        <item x="289"/>
        <item x="24"/>
        <item x="444"/>
        <item x="250"/>
        <item x="34"/>
        <item x="191"/>
        <item x="120"/>
        <item x="461"/>
        <item x="309"/>
        <item x="506"/>
        <item x="412"/>
        <item x="509"/>
        <item x="91"/>
        <item x="328"/>
        <item x="367"/>
        <item x="268"/>
        <item x="162"/>
        <item x="217"/>
        <item x="456"/>
        <item x="324"/>
        <item x="109"/>
        <item x="70"/>
        <item x="426"/>
        <item x="366"/>
        <item x="40"/>
        <item x="327"/>
        <item x="226"/>
        <item x="12"/>
        <item x="35"/>
        <item x="387"/>
        <item x="212"/>
        <item x="56"/>
        <item x="21"/>
        <item x="493"/>
        <item x="10"/>
        <item x="325"/>
        <item x="501"/>
        <item x="54"/>
        <item x="447"/>
        <item x="531"/>
        <item x="11"/>
        <item x="151"/>
        <item x="50"/>
        <item x="299"/>
        <item x="310"/>
        <item x="513"/>
        <item x="372"/>
        <item x="344"/>
        <item x="138"/>
        <item x="497"/>
        <item x="2"/>
        <item x="350"/>
        <item x="448"/>
        <item x="112"/>
        <item x="353"/>
        <item x="104"/>
        <item x="318"/>
        <item x="221"/>
        <item x="224"/>
        <item x="243"/>
        <item x="47"/>
        <item x="421"/>
        <item x="219"/>
        <item x="4"/>
        <item x="145"/>
        <item x="305"/>
        <item x="342"/>
        <item x="61"/>
        <item x="409"/>
        <item x="108"/>
        <item x="425"/>
        <item x="518"/>
        <item x="415"/>
        <item x="142"/>
        <item x="526"/>
        <item x="354"/>
        <item x="203"/>
        <item x="220"/>
        <item x="500"/>
        <item x="46"/>
        <item x="144"/>
        <item x="5"/>
        <item x="435"/>
        <item x="77"/>
        <item x="19"/>
        <item x="473"/>
        <item x="7"/>
        <item x="57"/>
        <item x="230"/>
        <item x="254"/>
        <item x="211"/>
        <item x="264"/>
        <item x="453"/>
        <item x="384"/>
        <item x="208"/>
        <item x="340"/>
        <item x="331"/>
        <item x="92"/>
        <item x="265"/>
        <item x="432"/>
        <item x="36"/>
        <item t="default"/>
      </items>
    </pivotField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axis="axisRow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2" showAll="0"/>
    <pivotField showAll="0"/>
    <pivotField dataField="1" showAll="0"/>
    <pivotField showAll="0">
      <items count="12">
        <item x="10"/>
        <item x="6"/>
        <item x="2"/>
        <item x="9"/>
        <item x="1"/>
        <item x="8"/>
        <item x="0"/>
        <item x="3"/>
        <item x="4"/>
        <item x="7"/>
        <item x="5"/>
        <item t="default"/>
      </items>
    </pivotField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axis="axisRow" showAll="0" countASubtotal="1">
      <items count="3">
        <item x="1"/>
        <item x="0"/>
        <item t="countA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20"/>
    <field x="5"/>
  </rowFields>
  <rowItems count="13">
    <i>
      <x/>
    </i>
    <i r="1">
      <x v="1"/>
    </i>
    <i r="1">
      <x v="2"/>
    </i>
    <i r="1">
      <x v="4"/>
    </i>
    <i r="1">
      <x v="3"/>
    </i>
    <i r="1">
      <x/>
    </i>
    <i>
      <x v="1"/>
    </i>
    <i r="1">
      <x v="1"/>
    </i>
    <i r="1">
      <x v="3"/>
    </i>
    <i r="1">
      <x v="2"/>
    </i>
    <i r="1">
      <x/>
    </i>
    <i r="1">
      <x v="4"/>
    </i>
    <i t="grand">
      <x/>
    </i>
  </rowItems>
  <colItems count="1">
    <i/>
  </colItems>
  <dataFields count="1">
    <dataField name="Cuenta de Número de Orden" fld="10" subtotal="count" baseField="11" baseItem="0"/>
  </dataFields>
  <formats count="5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6" type="button" dataOnly="0" labelOnly="1" outline="0"/>
    </format>
    <format dxfId="122">
      <pivotArea dataOnly="0" labelOnly="1" grandRow="1" outline="0" fieldPosition="0"/>
    </format>
    <format dxfId="1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469EC-5297-48A7-867F-3CB467080529}" name="TablaDiná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3:N39" firstHeaderRow="1" firstDataRow="1" firstDataCol="1"/>
  <pivotFields count="31">
    <pivotField showAll="0"/>
    <pivotField showAll="0">
      <items count="547">
        <item x="33"/>
        <item x="85"/>
        <item x="32"/>
        <item x="507"/>
        <item x="25"/>
        <item x="359"/>
        <item x="442"/>
        <item x="424"/>
        <item x="428"/>
        <item x="512"/>
        <item x="148"/>
        <item x="102"/>
        <item x="452"/>
        <item x="65"/>
        <item x="277"/>
        <item x="496"/>
        <item x="164"/>
        <item x="399"/>
        <item x="3"/>
        <item x="158"/>
        <item x="244"/>
        <item x="445"/>
        <item x="459"/>
        <item x="320"/>
        <item x="110"/>
        <item x="330"/>
        <item x="215"/>
        <item x="373"/>
        <item x="52"/>
        <item x="196"/>
        <item x="80"/>
        <item x="398"/>
        <item x="181"/>
        <item x="283"/>
        <item x="155"/>
        <item x="349"/>
        <item x="131"/>
        <item x="358"/>
        <item x="273"/>
        <item x="467"/>
        <item x="348"/>
        <item x="37"/>
        <item x="103"/>
        <item x="410"/>
        <item x="168"/>
        <item x="15"/>
        <item x="199"/>
        <item x="460"/>
        <item x="392"/>
        <item x="314"/>
        <item x="251"/>
        <item x="389"/>
        <item x="205"/>
        <item x="480"/>
        <item x="17"/>
        <item x="313"/>
        <item x="294"/>
        <item x="386"/>
        <item x="261"/>
        <item x="338"/>
        <item x="479"/>
        <item x="134"/>
        <item x="492"/>
        <item x="16"/>
        <item x="436"/>
        <item x="381"/>
        <item x="457"/>
        <item x="441"/>
        <item x="20"/>
        <item x="262"/>
        <item x="197"/>
        <item x="291"/>
        <item x="422"/>
        <item x="301"/>
        <item x="470"/>
        <item x="505"/>
        <item x="544"/>
        <item x="234"/>
        <item x="30"/>
        <item x="41"/>
        <item x="427"/>
        <item x="346"/>
        <item x="255"/>
        <item x="201"/>
        <item x="247"/>
        <item x="90"/>
        <item x="235"/>
        <item x="423"/>
        <item x="68"/>
        <item x="365"/>
        <item x="124"/>
        <item x="527"/>
        <item x="214"/>
        <item x="60"/>
        <item x="272"/>
        <item x="276"/>
        <item x="31"/>
        <item x="125"/>
        <item x="326"/>
        <item x="253"/>
        <item x="490"/>
        <item x="451"/>
        <item x="237"/>
        <item x="161"/>
        <item x="455"/>
        <item x="380"/>
        <item x="343"/>
        <item x="133"/>
        <item x="356"/>
        <item x="303"/>
        <item x="93"/>
        <item x="18"/>
        <item x="79"/>
        <item x="278"/>
        <item x="153"/>
        <item x="297"/>
        <item x="534"/>
        <item x="536"/>
        <item x="198"/>
        <item x="178"/>
        <item x="242"/>
        <item x="163"/>
        <item x="537"/>
        <item x="6"/>
        <item x="128"/>
        <item x="94"/>
        <item x="347"/>
        <item x="369"/>
        <item x="182"/>
        <item x="431"/>
        <item x="173"/>
        <item x="193"/>
        <item x="236"/>
        <item x="352"/>
        <item x="9"/>
        <item x="341"/>
        <item x="190"/>
        <item x="361"/>
        <item x="417"/>
        <item x="183"/>
        <item x="192"/>
        <item x="360"/>
        <item x="464"/>
        <item x="252"/>
        <item x="114"/>
        <item x="364"/>
        <item x="368"/>
        <item x="508"/>
        <item x="285"/>
        <item x="463"/>
        <item x="63"/>
        <item x="529"/>
        <item x="405"/>
        <item x="27"/>
        <item x="157"/>
        <item x="84"/>
        <item x="29"/>
        <item x="406"/>
        <item x="388"/>
        <item x="185"/>
        <item x="503"/>
        <item x="454"/>
        <item x="73"/>
        <item x="542"/>
        <item x="28"/>
        <item x="87"/>
        <item x="143"/>
        <item x="115"/>
        <item x="97"/>
        <item x="263"/>
        <item x="96"/>
        <item x="53"/>
        <item x="433"/>
        <item x="355"/>
        <item x="525"/>
        <item x="240"/>
        <item x="139"/>
        <item x="376"/>
        <item x="374"/>
        <item x="152"/>
        <item x="258"/>
        <item x="449"/>
        <item x="495"/>
        <item x="179"/>
        <item x="483"/>
        <item x="113"/>
        <item x="239"/>
        <item x="72"/>
        <item x="383"/>
        <item x="385"/>
        <item x="420"/>
        <item x="23"/>
        <item x="227"/>
        <item x="22"/>
        <item x="539"/>
        <item x="232"/>
        <item x="397"/>
        <item x="287"/>
        <item x="403"/>
        <item x="528"/>
        <item x="67"/>
        <item x="174"/>
        <item x="458"/>
        <item x="210"/>
        <item x="535"/>
        <item x="89"/>
        <item x="319"/>
        <item x="443"/>
        <item x="484"/>
        <item x="439"/>
        <item x="256"/>
        <item x="516"/>
        <item x="280"/>
        <item x="312"/>
        <item x="337"/>
        <item x="375"/>
        <item x="207"/>
        <item x="304"/>
        <item x="241"/>
        <item x="357"/>
        <item x="462"/>
        <item x="498"/>
        <item x="533"/>
        <item x="159"/>
        <item x="122"/>
        <item x="284"/>
        <item x="160"/>
        <item x="213"/>
        <item x="316"/>
        <item x="514"/>
        <item x="311"/>
        <item x="315"/>
        <item x="147"/>
        <item x="82"/>
        <item x="323"/>
        <item x="333"/>
        <item x="414"/>
        <item x="55"/>
        <item x="476"/>
        <item x="188"/>
        <item x="472"/>
        <item x="510"/>
        <item x="118"/>
        <item x="98"/>
        <item x="363"/>
        <item x="489"/>
        <item x="95"/>
        <item x="111"/>
        <item x="293"/>
        <item x="401"/>
        <item x="245"/>
        <item x="382"/>
        <item x="141"/>
        <item x="391"/>
        <item x="146"/>
        <item x="1"/>
        <item x="225"/>
        <item x="317"/>
        <item x="119"/>
        <item x="345"/>
        <item x="281"/>
        <item x="101"/>
        <item x="292"/>
        <item x="154"/>
        <item x="177"/>
        <item x="169"/>
        <item x="200"/>
        <item x="105"/>
        <item x="58"/>
        <item x="430"/>
        <item x="446"/>
        <item x="390"/>
        <item x="136"/>
        <item x="184"/>
        <item x="339"/>
        <item x="465"/>
        <item x="260"/>
        <item x="223"/>
        <item x="298"/>
        <item x="132"/>
        <item x="78"/>
        <item x="475"/>
        <item x="206"/>
        <item x="231"/>
        <item x="222"/>
        <item x="515"/>
        <item x="149"/>
        <item x="481"/>
        <item x="107"/>
        <item x="379"/>
        <item x="487"/>
        <item x="474"/>
        <item x="502"/>
        <item x="524"/>
        <item x="491"/>
        <item x="288"/>
        <item x="216"/>
        <item x="274"/>
        <item x="296"/>
        <item x="478"/>
        <item x="38"/>
        <item x="86"/>
        <item x="468"/>
        <item x="336"/>
        <item x="66"/>
        <item x="166"/>
        <item x="321"/>
        <item x="88"/>
        <item x="62"/>
        <item x="434"/>
        <item x="419"/>
        <item x="249"/>
        <item x="400"/>
        <item x="308"/>
        <item x="269"/>
        <item x="332"/>
        <item x="44"/>
        <item x="396"/>
        <item x="494"/>
        <item x="106"/>
        <item x="171"/>
        <item x="51"/>
        <item x="49"/>
        <item x="76"/>
        <item x="282"/>
        <item x="532"/>
        <item x="74"/>
        <item x="408"/>
        <item x="43"/>
        <item x="499"/>
        <item x="307"/>
        <item x="180"/>
        <item x="266"/>
        <item x="100"/>
        <item x="170"/>
        <item x="275"/>
        <item x="121"/>
        <item x="469"/>
        <item x="129"/>
        <item x="279"/>
        <item x="519"/>
        <item x="229"/>
        <item x="322"/>
        <item x="335"/>
        <item x="437"/>
        <item x="209"/>
        <item x="137"/>
        <item x="270"/>
        <item x="246"/>
        <item x="334"/>
        <item x="194"/>
        <item x="187"/>
        <item x="471"/>
        <item x="167"/>
        <item x="238"/>
        <item x="482"/>
        <item x="362"/>
        <item x="290"/>
        <item x="504"/>
        <item x="393"/>
        <item x="117"/>
        <item x="486"/>
        <item x="411"/>
        <item x="228"/>
        <item x="189"/>
        <item x="267"/>
        <item x="394"/>
        <item x="438"/>
        <item x="306"/>
        <item x="48"/>
        <item x="140"/>
        <item x="402"/>
        <item x="39"/>
        <item x="99"/>
        <item x="135"/>
        <item x="517"/>
        <item x="172"/>
        <item x="522"/>
        <item x="377"/>
        <item x="404"/>
        <item x="45"/>
        <item x="395"/>
        <item x="543"/>
        <item x="218"/>
        <item x="0"/>
        <item x="511"/>
        <item x="176"/>
        <item x="14"/>
        <item x="259"/>
        <item x="248"/>
        <item x="370"/>
        <item x="83"/>
        <item x="271"/>
        <item x="351"/>
        <item x="450"/>
        <item x="195"/>
        <item x="8"/>
        <item x="165"/>
        <item x="69"/>
        <item x="538"/>
        <item x="204"/>
        <item x="257"/>
        <item x="81"/>
        <item x="540"/>
        <item x="175"/>
        <item x="75"/>
        <item x="302"/>
        <item x="545"/>
        <item x="202"/>
        <item x="186"/>
        <item x="156"/>
        <item x="530"/>
        <item x="477"/>
        <item x="130"/>
        <item x="123"/>
        <item x="26"/>
        <item x="407"/>
        <item x="13"/>
        <item x="466"/>
        <item x="378"/>
        <item x="64"/>
        <item x="429"/>
        <item x="523"/>
        <item x="418"/>
        <item x="150"/>
        <item x="329"/>
        <item x="71"/>
        <item x="116"/>
        <item x="59"/>
        <item x="295"/>
        <item x="286"/>
        <item x="126"/>
        <item x="488"/>
        <item x="127"/>
        <item x="520"/>
        <item x="521"/>
        <item x="371"/>
        <item x="541"/>
        <item x="440"/>
        <item x="233"/>
        <item x="42"/>
        <item x="300"/>
        <item x="416"/>
        <item x="485"/>
        <item x="413"/>
        <item x="289"/>
        <item x="24"/>
        <item x="444"/>
        <item x="250"/>
        <item x="34"/>
        <item x="191"/>
        <item x="120"/>
        <item x="461"/>
        <item x="309"/>
        <item x="506"/>
        <item x="412"/>
        <item x="509"/>
        <item x="91"/>
        <item x="328"/>
        <item x="367"/>
        <item x="268"/>
        <item x="162"/>
        <item x="217"/>
        <item x="456"/>
        <item x="324"/>
        <item x="109"/>
        <item x="70"/>
        <item x="426"/>
        <item x="366"/>
        <item x="40"/>
        <item x="327"/>
        <item x="226"/>
        <item x="12"/>
        <item x="35"/>
        <item x="387"/>
        <item x="212"/>
        <item x="56"/>
        <item x="21"/>
        <item x="493"/>
        <item x="10"/>
        <item x="325"/>
        <item x="501"/>
        <item x="54"/>
        <item x="447"/>
        <item x="531"/>
        <item x="11"/>
        <item x="151"/>
        <item x="50"/>
        <item x="299"/>
        <item x="310"/>
        <item x="513"/>
        <item x="372"/>
        <item x="344"/>
        <item x="138"/>
        <item x="497"/>
        <item x="2"/>
        <item x="350"/>
        <item x="448"/>
        <item x="112"/>
        <item x="353"/>
        <item x="104"/>
        <item x="318"/>
        <item x="221"/>
        <item x="224"/>
        <item x="243"/>
        <item x="47"/>
        <item x="421"/>
        <item x="219"/>
        <item x="4"/>
        <item x="145"/>
        <item x="305"/>
        <item x="342"/>
        <item x="61"/>
        <item x="409"/>
        <item x="108"/>
        <item x="425"/>
        <item x="518"/>
        <item x="415"/>
        <item x="142"/>
        <item x="526"/>
        <item x="354"/>
        <item x="203"/>
        <item x="220"/>
        <item x="500"/>
        <item x="46"/>
        <item x="144"/>
        <item x="5"/>
        <item x="435"/>
        <item x="77"/>
        <item x="19"/>
        <item x="473"/>
        <item x="7"/>
        <item x="57"/>
        <item x="230"/>
        <item x="254"/>
        <item x="211"/>
        <item x="264"/>
        <item x="453"/>
        <item x="384"/>
        <item x="208"/>
        <item x="340"/>
        <item x="331"/>
        <item x="92"/>
        <item x="265"/>
        <item x="432"/>
        <item x="36"/>
        <item t="default"/>
      </items>
    </pivotField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>
      <items count="6">
        <item x="1"/>
        <item x="2"/>
        <item x="0"/>
        <item x="4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2" showAll="0"/>
    <pivotField showAll="0"/>
    <pivotField dataField="1" showAll="0"/>
    <pivotField axis="axisRow" showAll="0" sortType="descending">
      <items count="12">
        <item x="10"/>
        <item x="6"/>
        <item x="2"/>
        <item x="9"/>
        <item x="1"/>
        <item x="8"/>
        <item x="0"/>
        <item x="3"/>
        <item x="4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axis="axisRow" showAll="0" sortType="descending" countASubtotal="1">
      <items count="3">
        <item x="1"/>
        <item x="0"/>
        <item t="countA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1"/>
    <field x="20"/>
  </rowFields>
  <rowItems count="36">
    <i>
      <x v="8"/>
    </i>
    <i r="1">
      <x v="1"/>
    </i>
    <i r="1">
      <x/>
    </i>
    <i>
      <x v="1"/>
    </i>
    <i r="1">
      <x v="1"/>
    </i>
    <i r="1">
      <x/>
    </i>
    <i>
      <x v="3"/>
    </i>
    <i r="1">
      <x v="1"/>
    </i>
    <i r="1">
      <x/>
    </i>
    <i>
      <x/>
    </i>
    <i r="1">
      <x v="1"/>
    </i>
    <i r="1">
      <x/>
    </i>
    <i>
      <x v="6"/>
    </i>
    <i r="1">
      <x v="1"/>
    </i>
    <i r="1">
      <x/>
    </i>
    <i>
      <x v="7"/>
    </i>
    <i r="1">
      <x v="1"/>
    </i>
    <i r="1">
      <x/>
    </i>
    <i>
      <x v="9"/>
    </i>
    <i r="1">
      <x v="1"/>
    </i>
    <i r="1">
      <x/>
    </i>
    <i>
      <x v="4"/>
    </i>
    <i r="1">
      <x v="1"/>
    </i>
    <i r="1">
      <x/>
    </i>
    <i>
      <x v="2"/>
    </i>
    <i r="1">
      <x v="1"/>
    </i>
    <i r="1">
      <x/>
    </i>
    <i>
      <x v="10"/>
    </i>
    <i r="1">
      <x v="1"/>
    </i>
    <i r="1">
      <x/>
    </i>
    <i>
      <x v="5"/>
    </i>
    <i r="1">
      <x v="1"/>
    </i>
    <i r="1">
      <x/>
    </i>
    <i t="countA">
      <x v="1048832"/>
      <x/>
    </i>
    <i t="countA" r="1">
      <x v="1"/>
    </i>
    <i t="grand">
      <x/>
    </i>
  </rowItems>
  <colItems count="1">
    <i/>
  </colItems>
  <dataFields count="1">
    <dataField name="Cuenta de Número de Orden" fld="10" subtotal="count" baseField="11" baseItem="0"/>
  </dataFields>
  <formats count="7"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6" type="button" dataOnly="0" labelOnly="1" outline="0"/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7">
      <pivotArea collapsedLevelsAreSubtotals="1" fieldPosition="0">
        <references count="2">
          <reference field="11" count="1" selected="0">
            <x v="1"/>
          </reference>
          <reference field="20" count="1">
            <x v="0"/>
          </reference>
        </references>
      </pivotArea>
    </format>
    <format dxfId="126">
      <pivotArea dataOnly="0" labelOnly="1" fieldPosition="0">
        <references count="2">
          <reference field="11" count="1" selected="0">
            <x v="1"/>
          </reference>
          <reference field="2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1BAD5-DDED-4EFC-9AC1-62D02581C56D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G3:H11" firstHeaderRow="1" firstDataRow="1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2" showAll="0"/>
    <pivotField showAll="0"/>
    <pivotField showAll="0"/>
    <pivotField showAll="0"/>
    <pivotField showAll="0"/>
    <pivotField dataField="1"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 sortType="ascending">
      <items count="369">
        <item sd="0" x="0"/>
        <item sd="0" x="367"/>
        <item sd="0" x="92"/>
        <item sd="0" x="214"/>
        <item sd="0" x="336"/>
        <item sd="0" x="1"/>
        <item sd="0" x="32"/>
        <item sd="0" x="183"/>
        <item sd="0" x="153"/>
        <item sd="0" x="61"/>
        <item sd="0" x="122"/>
        <item sd="0" x="306"/>
        <item sd="0" x="275"/>
        <item sd="0" x="245"/>
        <item sd="0" x="93"/>
        <item sd="0" x="215"/>
        <item sd="0" x="337"/>
        <item sd="0" x="2"/>
        <item sd="0" x="33"/>
        <item sd="0" x="184"/>
        <item sd="0" x="154"/>
        <item sd="0" x="62"/>
        <item sd="0" x="123"/>
        <item sd="0" x="307"/>
        <item sd="0" x="276"/>
        <item sd="0" x="246"/>
        <item sd="0" x="94"/>
        <item sd="0" x="216"/>
        <item sd="0" x="338"/>
        <item sd="0" x="3"/>
        <item sd="0" x="34"/>
        <item sd="0" x="185"/>
        <item sd="0" x="155"/>
        <item sd="0" x="63"/>
        <item sd="0" x="124"/>
        <item sd="0" x="308"/>
        <item sd="0" x="277"/>
        <item sd="0" x="247"/>
        <item sd="0" x="95"/>
        <item sd="0" x="217"/>
        <item sd="0" x="339"/>
        <item sd="0" x="4"/>
        <item sd="0" x="35"/>
        <item sd="0" x="186"/>
        <item sd="0" x="156"/>
        <item sd="0" x="64"/>
        <item sd="0" x="125"/>
        <item sd="0" x="309"/>
        <item sd="0" x="278"/>
        <item sd="0" x="248"/>
        <item sd="0" x="96"/>
        <item sd="0" x="218"/>
        <item sd="0" x="340"/>
        <item sd="0" x="5"/>
        <item sd="0" x="36"/>
        <item sd="0" x="187"/>
        <item sd="0" x="157"/>
        <item sd="0" x="65"/>
        <item sd="0" x="126"/>
        <item sd="0" x="310"/>
        <item sd="0" x="279"/>
        <item sd="0" x="249"/>
        <item sd="0" x="97"/>
        <item sd="0" x="219"/>
        <item sd="0" x="341"/>
        <item sd="0" x="6"/>
        <item sd="0" x="37"/>
        <item sd="0" x="188"/>
        <item sd="0" x="158"/>
        <item sd="0" x="66"/>
        <item sd="0" x="127"/>
        <item sd="0" x="311"/>
        <item sd="0" x="280"/>
        <item sd="0" x="250"/>
        <item sd="0" x="98"/>
        <item sd="0" x="220"/>
        <item sd="0" x="342"/>
        <item sd="0" x="7"/>
        <item sd="0" x="38"/>
        <item sd="0" x="189"/>
        <item sd="0" x="159"/>
        <item sd="0" x="67"/>
        <item sd="0" x="128"/>
        <item sd="0" x="312"/>
        <item sd="0" x="281"/>
        <item sd="0" x="251"/>
        <item sd="0" x="99"/>
        <item sd="0" x="221"/>
        <item sd="0" x="343"/>
        <item sd="0" x="8"/>
        <item sd="0" x="39"/>
        <item sd="0" x="190"/>
        <item sd="0" x="160"/>
        <item sd="0" x="68"/>
        <item sd="0" x="129"/>
        <item sd="0" x="313"/>
        <item sd="0" x="282"/>
        <item sd="0" x="252"/>
        <item sd="0" x="100"/>
        <item sd="0" x="222"/>
        <item sd="0" x="344"/>
        <item sd="0" x="9"/>
        <item sd="0" x="40"/>
        <item sd="0" x="191"/>
        <item sd="0" x="161"/>
        <item sd="0" x="69"/>
        <item sd="0" x="130"/>
        <item sd="0" x="314"/>
        <item sd="0" x="283"/>
        <item sd="0" x="253"/>
        <item sd="0" x="101"/>
        <item sd="0" x="223"/>
        <item sd="0" x="345"/>
        <item sd="0" x="10"/>
        <item sd="0" x="41"/>
        <item sd="0" x="192"/>
        <item sd="0" x="162"/>
        <item sd="0" x="70"/>
        <item sd="0" x="131"/>
        <item sd="0" x="315"/>
        <item sd="0" x="284"/>
        <item sd="0" x="254"/>
        <item sd="0" x="102"/>
        <item sd="0" x="224"/>
        <item sd="0" x="346"/>
        <item sd="0" x="11"/>
        <item sd="0" x="42"/>
        <item sd="0" x="193"/>
        <item sd="0" x="163"/>
        <item sd="0" x="71"/>
        <item sd="0" x="132"/>
        <item sd="0" x="316"/>
        <item sd="0" x="285"/>
        <item sd="0" x="255"/>
        <item sd="0" x="103"/>
        <item sd="0" x="225"/>
        <item sd="0" x="347"/>
        <item sd="0" x="12"/>
        <item sd="0" x="43"/>
        <item sd="0" x="194"/>
        <item sd="0" x="164"/>
        <item sd="0" x="72"/>
        <item sd="0" x="133"/>
        <item sd="0" x="317"/>
        <item sd="0" x="286"/>
        <item sd="0" x="256"/>
        <item sd="0" x="104"/>
        <item sd="0" x="226"/>
        <item sd="0" x="348"/>
        <item sd="0" x="13"/>
        <item sd="0" x="44"/>
        <item sd="0" x="195"/>
        <item sd="0" x="165"/>
        <item sd="0" x="73"/>
        <item sd="0" x="134"/>
        <item sd="0" x="318"/>
        <item sd="0" x="287"/>
        <item sd="0" x="257"/>
        <item sd="0" x="105"/>
        <item sd="0" x="227"/>
        <item sd="0" x="349"/>
        <item sd="0" x="14"/>
        <item sd="0" x="45"/>
        <item sd="0" x="196"/>
        <item sd="0" x="166"/>
        <item sd="0" x="74"/>
        <item sd="0" x="135"/>
        <item sd="0" x="319"/>
        <item sd="0" x="288"/>
        <item sd="0" x="258"/>
        <item sd="0" x="106"/>
        <item sd="0" x="228"/>
        <item sd="0" x="350"/>
        <item sd="0" x="15"/>
        <item sd="0" x="46"/>
        <item sd="0" x="197"/>
        <item sd="0" x="167"/>
        <item sd="0" x="75"/>
        <item sd="0" x="136"/>
        <item sd="0" x="320"/>
        <item sd="0" x="289"/>
        <item sd="0" x="259"/>
        <item sd="0" x="107"/>
        <item sd="0" x="229"/>
        <item sd="0" x="351"/>
        <item sd="0" x="16"/>
        <item sd="0" x="47"/>
        <item sd="0" x="198"/>
        <item sd="0" x="168"/>
        <item sd="0" x="76"/>
        <item sd="0" x="137"/>
        <item sd="0" x="321"/>
        <item sd="0" x="290"/>
        <item sd="0" x="260"/>
        <item sd="0" x="108"/>
        <item sd="0" x="230"/>
        <item sd="0" x="352"/>
        <item sd="0" x="17"/>
        <item sd="0" x="48"/>
        <item sd="0" x="199"/>
        <item sd="0" x="169"/>
        <item sd="0" x="77"/>
        <item sd="0" x="138"/>
        <item sd="0" x="322"/>
        <item sd="0" x="291"/>
        <item sd="0" x="261"/>
        <item sd="0" x="109"/>
        <item sd="0" x="231"/>
        <item sd="0" x="353"/>
        <item sd="0" x="18"/>
        <item sd="0" x="49"/>
        <item sd="0" x="200"/>
        <item sd="0" x="170"/>
        <item sd="0" x="78"/>
        <item sd="0" x="139"/>
        <item sd="0" x="323"/>
        <item sd="0" x="292"/>
        <item sd="0" x="262"/>
        <item sd="0" x="110"/>
        <item sd="0" x="232"/>
        <item sd="0" x="354"/>
        <item sd="0" x="19"/>
        <item sd="0" x="50"/>
        <item sd="0" x="201"/>
        <item sd="0" x="171"/>
        <item sd="0" x="79"/>
        <item sd="0" x="140"/>
        <item sd="0" x="324"/>
        <item sd="0" x="293"/>
        <item sd="0" x="263"/>
        <item sd="0" x="111"/>
        <item sd="0" x="233"/>
        <item sd="0" x="355"/>
        <item sd="0" x="20"/>
        <item sd="0" x="51"/>
        <item sd="0" x="202"/>
        <item sd="0" x="172"/>
        <item sd="0" x="80"/>
        <item sd="0" x="141"/>
        <item sd="0" x="325"/>
        <item sd="0" x="294"/>
        <item sd="0" x="264"/>
        <item sd="0" x="112"/>
        <item sd="0" x="234"/>
        <item sd="0" x="356"/>
        <item sd="0" x="21"/>
        <item sd="0" x="52"/>
        <item sd="0" x="203"/>
        <item sd="0" x="173"/>
        <item sd="0" x="81"/>
        <item sd="0" x="142"/>
        <item sd="0" x="326"/>
        <item sd="0" x="295"/>
        <item sd="0" x="265"/>
        <item sd="0" x="113"/>
        <item sd="0" x="235"/>
        <item sd="0" x="357"/>
        <item sd="0" x="22"/>
        <item sd="0" x="53"/>
        <item sd="0" x="204"/>
        <item sd="0" x="174"/>
        <item sd="0" x="82"/>
        <item sd="0" x="143"/>
        <item sd="0" x="327"/>
        <item sd="0" x="296"/>
        <item sd="0" x="266"/>
        <item sd="0" x="114"/>
        <item sd="0" x="236"/>
        <item sd="0" x="358"/>
        <item sd="0" x="23"/>
        <item sd="0" x="54"/>
        <item sd="0" x="205"/>
        <item sd="0" x="175"/>
        <item sd="0" x="83"/>
        <item sd="0" x="144"/>
        <item sd="0" x="328"/>
        <item sd="0" x="297"/>
        <item sd="0" x="267"/>
        <item sd="0" x="115"/>
        <item sd="0" x="237"/>
        <item sd="0" x="359"/>
        <item sd="0" x="24"/>
        <item sd="0" x="55"/>
        <item sd="0" x="206"/>
        <item sd="0" x="176"/>
        <item sd="0" x="84"/>
        <item sd="0" x="145"/>
        <item sd="0" x="329"/>
        <item sd="0" x="298"/>
        <item sd="0" x="268"/>
        <item sd="0" x="116"/>
        <item sd="0" x="238"/>
        <item sd="0" x="360"/>
        <item sd="0" x="25"/>
        <item sd="0" x="56"/>
        <item sd="0" x="207"/>
        <item sd="0" x="177"/>
        <item sd="0" x="85"/>
        <item sd="0" x="146"/>
        <item sd="0" x="330"/>
        <item sd="0" x="299"/>
        <item sd="0" x="269"/>
        <item sd="0" x="117"/>
        <item sd="0" x="239"/>
        <item sd="0" x="361"/>
        <item sd="0" x="26"/>
        <item sd="0" x="57"/>
        <item sd="0" x="208"/>
        <item sd="0" x="178"/>
        <item sd="0" x="86"/>
        <item sd="0" x="147"/>
        <item sd="0" x="331"/>
        <item sd="0" x="300"/>
        <item sd="0" x="270"/>
        <item sd="0" x="118"/>
        <item sd="0" x="240"/>
        <item sd="0" x="362"/>
        <item sd="0" x="27"/>
        <item sd="0" x="58"/>
        <item sd="0" x="209"/>
        <item sd="0" x="179"/>
        <item sd="0" x="87"/>
        <item sd="0" x="148"/>
        <item sd="0" x="332"/>
        <item sd="0" x="301"/>
        <item sd="0" x="271"/>
        <item sd="0" x="119"/>
        <item sd="0" x="241"/>
        <item sd="0" x="363"/>
        <item sd="0" x="28"/>
        <item sd="0" x="59"/>
        <item sd="0" x="210"/>
        <item sd="0" x="180"/>
        <item sd="0" x="88"/>
        <item sd="0" x="149"/>
        <item sd="0" x="333"/>
        <item sd="0" x="302"/>
        <item sd="0" x="272"/>
        <item sd="0" x="120"/>
        <item sd="0" x="242"/>
        <item sd="0" x="364"/>
        <item sd="0" x="29"/>
        <item sd="0" x="60"/>
        <item sd="0" x="211"/>
        <item sd="0" x="181"/>
        <item sd="0" x="89"/>
        <item sd="0" x="150"/>
        <item sd="0" x="334"/>
        <item sd="0" x="303"/>
        <item sd="0" x="273"/>
        <item sd="0" x="121"/>
        <item sd="0" x="243"/>
        <item sd="0" x="365"/>
        <item sd="0" x="30"/>
        <item sd="0" x="212"/>
        <item sd="0" x="182"/>
        <item sd="0" x="90"/>
        <item sd="0" x="151"/>
        <item sd="0" x="335"/>
        <item sd="0" x="304"/>
        <item sd="0" x="274"/>
        <item sd="0" x="244"/>
        <item sd="0" x="366"/>
        <item sd="0" x="31"/>
        <item sd="0" x="213"/>
        <item sd="0" x="91"/>
        <item sd="0" x="152"/>
        <item sd="0" x="30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3"/>
  </rowFields>
  <rowItems count="8">
    <i>
      <x v="2"/>
    </i>
    <i>
      <x v="14"/>
    </i>
    <i>
      <x v="26"/>
    </i>
    <i>
      <x v="38"/>
    </i>
    <i>
      <x v="50"/>
    </i>
    <i>
      <x v="62"/>
    </i>
    <i>
      <x v="74"/>
    </i>
    <i t="grand">
      <x/>
    </i>
  </rowItems>
  <colItems count="1">
    <i/>
  </colItems>
  <dataFields count="1">
    <dataField name="Suma de Monto total " fld="13" baseField="0" baseItem="0" numFmtId="165"/>
  </dataFields>
  <formats count="5">
    <format dxfId="137">
      <pivotArea type="all" dataOnly="0" outline="0" fieldPosition="0"/>
    </format>
    <format dxfId="136">
      <pivotArea field="6" type="button" dataOnly="0" labelOnly="1" outline="0"/>
    </format>
    <format dxfId="135">
      <pivotArea dataOnly="0" labelOnly="1" grandRow="1" outline="0" fieldPosition="0"/>
    </format>
    <format dxfId="134">
      <pivotArea outline="0" collapsedLevelsAreSubtotals="1" fieldPosition="0"/>
    </format>
    <format dxfId="1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29A90-EED1-478F-91A6-FC38C299A8CD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7" firstHeaderRow="1" firstDataRow="1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2" showAll="0"/>
    <pivotField showAll="0"/>
    <pivotField dataField="1" showAll="0"/>
    <pivotField showAll="0"/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Número de Orden" fld="10" subtotal="count" baseField="7" baseItem="0"/>
  </dataFields>
  <formats count="7"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6" type="button" dataOnly="0" labelOnly="1" outline="0"/>
    </format>
    <format dxfId="141">
      <pivotArea dataOnly="0" labelOnly="1" grandRow="1" outline="0" fieldPosition="0"/>
    </format>
    <format dxfId="140">
      <pivotArea dataOnly="0" labelOnly="1" outline="0" axis="axisValues" fieldPosition="0"/>
    </format>
    <format dxfId="139">
      <pivotArea collapsedLevelsAreSubtotals="1" fieldPosition="0">
        <references count="1">
          <reference field="7" count="1">
            <x v="1"/>
          </reference>
        </references>
      </pivotArea>
    </format>
    <format dxfId="138">
      <pivotArea dataOnly="0" labelOnly="1" fieldPosition="0">
        <references count="1"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7152B-4CB6-429D-9F93-3D5D5D4804B6}" name="TablaDinámica1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V3:W9" firstHeaderRow="1" firstDataRow="1" firstDataCol="1"/>
  <pivotFields count="31">
    <pivotField showAll="0"/>
    <pivotField showAll="0">
      <items count="547">
        <item x="33"/>
        <item x="85"/>
        <item x="32"/>
        <item x="507"/>
        <item x="25"/>
        <item x="359"/>
        <item x="442"/>
        <item x="424"/>
        <item x="428"/>
        <item x="512"/>
        <item x="148"/>
        <item x="102"/>
        <item x="452"/>
        <item x="65"/>
        <item x="277"/>
        <item x="496"/>
        <item x="164"/>
        <item x="399"/>
        <item x="3"/>
        <item x="158"/>
        <item x="244"/>
        <item x="445"/>
        <item x="459"/>
        <item x="320"/>
        <item x="110"/>
        <item x="330"/>
        <item x="215"/>
        <item x="373"/>
        <item x="52"/>
        <item x="196"/>
        <item x="80"/>
        <item x="398"/>
        <item x="181"/>
        <item x="283"/>
        <item x="155"/>
        <item x="349"/>
        <item x="131"/>
        <item x="358"/>
        <item x="273"/>
        <item x="467"/>
        <item x="348"/>
        <item x="37"/>
        <item x="103"/>
        <item x="410"/>
        <item x="168"/>
        <item x="15"/>
        <item x="199"/>
        <item x="460"/>
        <item x="392"/>
        <item x="314"/>
        <item x="251"/>
        <item x="389"/>
        <item x="205"/>
        <item x="480"/>
        <item x="17"/>
        <item x="313"/>
        <item x="294"/>
        <item x="386"/>
        <item x="261"/>
        <item x="338"/>
        <item x="479"/>
        <item x="134"/>
        <item x="492"/>
        <item x="16"/>
        <item x="436"/>
        <item x="381"/>
        <item x="457"/>
        <item x="441"/>
        <item x="20"/>
        <item x="262"/>
        <item x="197"/>
        <item x="291"/>
        <item x="422"/>
        <item x="301"/>
        <item x="470"/>
        <item x="505"/>
        <item x="544"/>
        <item x="234"/>
        <item x="30"/>
        <item x="41"/>
        <item x="427"/>
        <item x="346"/>
        <item x="255"/>
        <item x="201"/>
        <item x="247"/>
        <item x="90"/>
        <item x="235"/>
        <item x="423"/>
        <item x="68"/>
        <item x="365"/>
        <item x="124"/>
        <item x="527"/>
        <item x="214"/>
        <item x="60"/>
        <item x="272"/>
        <item x="276"/>
        <item x="31"/>
        <item x="125"/>
        <item x="326"/>
        <item x="253"/>
        <item x="490"/>
        <item x="451"/>
        <item x="237"/>
        <item x="161"/>
        <item x="455"/>
        <item x="380"/>
        <item x="343"/>
        <item x="133"/>
        <item x="356"/>
        <item x="303"/>
        <item x="93"/>
        <item x="18"/>
        <item x="79"/>
        <item x="278"/>
        <item x="153"/>
        <item x="297"/>
        <item x="534"/>
        <item x="536"/>
        <item x="198"/>
        <item x="178"/>
        <item x="242"/>
        <item x="163"/>
        <item x="537"/>
        <item x="6"/>
        <item x="128"/>
        <item x="94"/>
        <item x="347"/>
        <item x="369"/>
        <item x="182"/>
        <item x="431"/>
        <item x="173"/>
        <item x="193"/>
        <item x="236"/>
        <item x="352"/>
        <item x="9"/>
        <item x="341"/>
        <item x="190"/>
        <item x="361"/>
        <item x="417"/>
        <item x="183"/>
        <item x="192"/>
        <item x="360"/>
        <item x="464"/>
        <item x="252"/>
        <item x="114"/>
        <item x="364"/>
        <item x="368"/>
        <item x="508"/>
        <item x="285"/>
        <item x="463"/>
        <item x="63"/>
        <item x="529"/>
        <item x="405"/>
        <item x="27"/>
        <item x="157"/>
        <item x="84"/>
        <item x="29"/>
        <item x="406"/>
        <item x="388"/>
        <item x="185"/>
        <item x="503"/>
        <item x="454"/>
        <item x="73"/>
        <item x="542"/>
        <item x="28"/>
        <item x="87"/>
        <item x="143"/>
        <item x="115"/>
        <item x="97"/>
        <item x="263"/>
        <item x="96"/>
        <item x="53"/>
        <item x="433"/>
        <item x="355"/>
        <item x="525"/>
        <item x="240"/>
        <item x="139"/>
        <item x="376"/>
        <item x="374"/>
        <item x="152"/>
        <item x="258"/>
        <item x="449"/>
        <item x="495"/>
        <item x="179"/>
        <item x="483"/>
        <item x="113"/>
        <item x="239"/>
        <item x="72"/>
        <item x="383"/>
        <item x="385"/>
        <item x="420"/>
        <item x="23"/>
        <item x="227"/>
        <item x="22"/>
        <item x="539"/>
        <item x="232"/>
        <item x="397"/>
        <item x="287"/>
        <item x="403"/>
        <item x="528"/>
        <item x="67"/>
        <item x="174"/>
        <item x="458"/>
        <item x="210"/>
        <item x="535"/>
        <item x="89"/>
        <item x="319"/>
        <item x="443"/>
        <item x="484"/>
        <item x="439"/>
        <item x="256"/>
        <item x="516"/>
        <item x="280"/>
        <item x="312"/>
        <item x="337"/>
        <item x="375"/>
        <item x="207"/>
        <item x="304"/>
        <item x="241"/>
        <item x="357"/>
        <item x="462"/>
        <item x="498"/>
        <item x="533"/>
        <item x="159"/>
        <item x="122"/>
        <item x="284"/>
        <item x="160"/>
        <item x="213"/>
        <item x="316"/>
        <item x="514"/>
        <item x="311"/>
        <item x="315"/>
        <item x="147"/>
        <item x="82"/>
        <item x="323"/>
        <item x="333"/>
        <item x="414"/>
        <item x="55"/>
        <item x="476"/>
        <item x="188"/>
        <item x="472"/>
        <item x="510"/>
        <item x="118"/>
        <item x="98"/>
        <item x="363"/>
        <item x="489"/>
        <item x="95"/>
        <item x="111"/>
        <item x="293"/>
        <item x="401"/>
        <item x="245"/>
        <item x="382"/>
        <item x="141"/>
        <item x="391"/>
        <item x="146"/>
        <item x="1"/>
        <item x="225"/>
        <item x="317"/>
        <item x="119"/>
        <item x="345"/>
        <item x="281"/>
        <item x="101"/>
        <item x="292"/>
        <item x="154"/>
        <item x="177"/>
        <item x="169"/>
        <item x="200"/>
        <item x="105"/>
        <item x="58"/>
        <item x="430"/>
        <item x="446"/>
        <item x="390"/>
        <item x="136"/>
        <item x="184"/>
        <item x="339"/>
        <item x="465"/>
        <item x="260"/>
        <item x="223"/>
        <item x="298"/>
        <item x="132"/>
        <item x="78"/>
        <item x="475"/>
        <item x="206"/>
        <item x="231"/>
        <item x="222"/>
        <item x="515"/>
        <item x="149"/>
        <item x="481"/>
        <item x="107"/>
        <item x="379"/>
        <item x="487"/>
        <item x="474"/>
        <item x="502"/>
        <item x="524"/>
        <item x="491"/>
        <item x="288"/>
        <item x="216"/>
        <item x="274"/>
        <item x="296"/>
        <item x="478"/>
        <item x="38"/>
        <item x="86"/>
        <item x="468"/>
        <item x="336"/>
        <item x="66"/>
        <item x="166"/>
        <item x="321"/>
        <item x="88"/>
        <item x="62"/>
        <item x="434"/>
        <item x="419"/>
        <item x="249"/>
        <item x="400"/>
        <item x="308"/>
        <item x="269"/>
        <item x="332"/>
        <item x="44"/>
        <item x="396"/>
        <item x="494"/>
        <item x="106"/>
        <item x="171"/>
        <item x="51"/>
        <item x="49"/>
        <item x="76"/>
        <item x="282"/>
        <item x="532"/>
        <item x="74"/>
        <item x="408"/>
        <item x="43"/>
        <item x="499"/>
        <item x="307"/>
        <item x="180"/>
        <item x="266"/>
        <item x="100"/>
        <item x="170"/>
        <item x="275"/>
        <item x="121"/>
        <item x="469"/>
        <item x="129"/>
        <item x="279"/>
        <item x="519"/>
        <item x="229"/>
        <item x="322"/>
        <item x="335"/>
        <item x="437"/>
        <item x="209"/>
        <item x="137"/>
        <item x="270"/>
        <item x="246"/>
        <item x="334"/>
        <item x="194"/>
        <item x="187"/>
        <item x="471"/>
        <item x="167"/>
        <item x="238"/>
        <item x="482"/>
        <item x="362"/>
        <item x="290"/>
        <item x="504"/>
        <item x="393"/>
        <item x="117"/>
        <item x="486"/>
        <item x="411"/>
        <item x="228"/>
        <item x="189"/>
        <item x="267"/>
        <item x="394"/>
        <item x="438"/>
        <item x="306"/>
        <item x="48"/>
        <item x="140"/>
        <item x="402"/>
        <item x="39"/>
        <item x="99"/>
        <item x="135"/>
        <item x="517"/>
        <item x="172"/>
        <item x="522"/>
        <item x="377"/>
        <item x="404"/>
        <item x="45"/>
        <item x="395"/>
        <item x="543"/>
        <item x="218"/>
        <item x="0"/>
        <item x="511"/>
        <item x="176"/>
        <item x="14"/>
        <item x="259"/>
        <item x="248"/>
        <item x="370"/>
        <item x="83"/>
        <item x="271"/>
        <item x="351"/>
        <item x="450"/>
        <item x="195"/>
        <item x="8"/>
        <item x="165"/>
        <item x="69"/>
        <item x="538"/>
        <item x="204"/>
        <item x="257"/>
        <item x="81"/>
        <item x="540"/>
        <item x="175"/>
        <item x="75"/>
        <item x="302"/>
        <item x="545"/>
        <item x="202"/>
        <item x="186"/>
        <item x="156"/>
        <item x="530"/>
        <item x="477"/>
        <item x="130"/>
        <item x="123"/>
        <item x="26"/>
        <item x="407"/>
        <item x="13"/>
        <item x="466"/>
        <item x="378"/>
        <item x="64"/>
        <item x="429"/>
        <item x="523"/>
        <item x="418"/>
        <item x="150"/>
        <item x="329"/>
        <item x="71"/>
        <item x="116"/>
        <item x="59"/>
        <item x="295"/>
        <item x="286"/>
        <item x="126"/>
        <item x="488"/>
        <item x="127"/>
        <item x="520"/>
        <item x="521"/>
        <item x="371"/>
        <item x="541"/>
        <item x="440"/>
        <item x="233"/>
        <item x="42"/>
        <item x="300"/>
        <item x="416"/>
        <item x="485"/>
        <item x="413"/>
        <item x="289"/>
        <item x="24"/>
        <item x="444"/>
        <item x="250"/>
        <item x="34"/>
        <item x="191"/>
        <item x="120"/>
        <item x="461"/>
        <item x="309"/>
        <item x="506"/>
        <item x="412"/>
        <item x="509"/>
        <item x="91"/>
        <item x="328"/>
        <item x="367"/>
        <item x="268"/>
        <item x="162"/>
        <item x="217"/>
        <item x="456"/>
        <item x="324"/>
        <item x="109"/>
        <item x="70"/>
        <item x="426"/>
        <item x="366"/>
        <item x="40"/>
        <item x="327"/>
        <item x="226"/>
        <item x="12"/>
        <item x="35"/>
        <item x="387"/>
        <item x="212"/>
        <item x="56"/>
        <item x="21"/>
        <item x="493"/>
        <item x="10"/>
        <item x="325"/>
        <item x="501"/>
        <item x="54"/>
        <item x="447"/>
        <item x="531"/>
        <item x="11"/>
        <item x="151"/>
        <item x="50"/>
        <item x="299"/>
        <item x="310"/>
        <item x="513"/>
        <item x="372"/>
        <item x="344"/>
        <item x="138"/>
        <item x="497"/>
        <item x="2"/>
        <item x="350"/>
        <item x="448"/>
        <item x="112"/>
        <item x="353"/>
        <item x="104"/>
        <item x="318"/>
        <item x="221"/>
        <item x="224"/>
        <item x="243"/>
        <item x="47"/>
        <item x="421"/>
        <item x="219"/>
        <item x="4"/>
        <item x="145"/>
        <item x="305"/>
        <item x="342"/>
        <item x="61"/>
        <item x="409"/>
        <item x="108"/>
        <item x="425"/>
        <item x="518"/>
        <item x="415"/>
        <item x="142"/>
        <item x="526"/>
        <item x="354"/>
        <item x="203"/>
        <item x="220"/>
        <item x="500"/>
        <item x="46"/>
        <item x="144"/>
        <item x="5"/>
        <item x="435"/>
        <item x="77"/>
        <item x="19"/>
        <item x="473"/>
        <item x="7"/>
        <item x="57"/>
        <item x="230"/>
        <item x="254"/>
        <item x="211"/>
        <item x="264"/>
        <item x="453"/>
        <item x="384"/>
        <item x="208"/>
        <item x="340"/>
        <item x="331"/>
        <item x="92"/>
        <item x="265"/>
        <item x="432"/>
        <item x="36"/>
        <item t="default"/>
      </items>
    </pivotField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2" showAll="0"/>
    <pivotField showAll="0"/>
    <pivotField dataField="1" showAll="0"/>
    <pivotField showAll="0">
      <items count="12">
        <item x="10"/>
        <item x="6"/>
        <item x="2"/>
        <item x="9"/>
        <item x="1"/>
        <item x="8"/>
        <item x="0"/>
        <item x="3"/>
        <item x="4"/>
        <item x="7"/>
        <item x="5"/>
        <item t="default"/>
      </items>
    </pivotField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 countASubtotal="1">
      <items count="3">
        <item x="1"/>
        <item x="0"/>
        <item t="countA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Número de Orden" fld="10" subtotal="count" baseField="5" baseItem="0"/>
  </dataFields>
  <formats count="7"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6" type="button" dataOnly="0" labelOnly="1" outline="0"/>
    </format>
    <format dxfId="148">
      <pivotArea dataOnly="0" labelOnly="1" grandRow="1" outline="0" fieldPosition="0"/>
    </format>
    <format dxfId="147">
      <pivotArea dataOnly="0" labelOnly="1" outline="0" axis="axisValues" fieldPosition="0"/>
    </format>
    <format dxfId="146">
      <pivotArea collapsedLevelsAreSubtotals="1" fieldPosition="0">
        <references count="1">
          <reference field="5" count="1">
            <x v="1"/>
          </reference>
        </references>
      </pivotArea>
    </format>
    <format dxfId="145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823F2-755E-46D2-A979-79D01369A89A}" name="TablaDinámica1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18:Q27" firstHeaderRow="1" firstDataRow="1" firstDataCol="1"/>
  <pivotFields count="31">
    <pivotField showAll="0"/>
    <pivotField showAll="0">
      <items count="547">
        <item x="33"/>
        <item x="85"/>
        <item x="32"/>
        <item x="507"/>
        <item x="25"/>
        <item x="359"/>
        <item x="442"/>
        <item x="424"/>
        <item x="428"/>
        <item x="512"/>
        <item x="148"/>
        <item x="102"/>
        <item x="452"/>
        <item x="65"/>
        <item x="277"/>
        <item x="496"/>
        <item x="164"/>
        <item x="399"/>
        <item x="3"/>
        <item x="158"/>
        <item x="244"/>
        <item x="445"/>
        <item x="459"/>
        <item x="320"/>
        <item x="110"/>
        <item x="330"/>
        <item x="215"/>
        <item x="373"/>
        <item x="52"/>
        <item x="196"/>
        <item x="80"/>
        <item x="398"/>
        <item x="181"/>
        <item x="283"/>
        <item x="155"/>
        <item x="349"/>
        <item x="131"/>
        <item x="358"/>
        <item x="273"/>
        <item x="467"/>
        <item x="348"/>
        <item x="37"/>
        <item x="103"/>
        <item x="410"/>
        <item x="168"/>
        <item x="15"/>
        <item x="199"/>
        <item x="460"/>
        <item x="392"/>
        <item x="314"/>
        <item x="251"/>
        <item x="389"/>
        <item x="205"/>
        <item x="480"/>
        <item x="17"/>
        <item x="313"/>
        <item x="294"/>
        <item x="386"/>
        <item x="261"/>
        <item x="338"/>
        <item x="479"/>
        <item x="134"/>
        <item x="492"/>
        <item x="16"/>
        <item x="436"/>
        <item x="381"/>
        <item x="457"/>
        <item x="441"/>
        <item x="20"/>
        <item x="262"/>
        <item x="197"/>
        <item x="291"/>
        <item x="422"/>
        <item x="301"/>
        <item x="470"/>
        <item x="505"/>
        <item x="544"/>
        <item x="234"/>
        <item x="30"/>
        <item x="41"/>
        <item x="427"/>
        <item x="346"/>
        <item x="255"/>
        <item x="201"/>
        <item x="247"/>
        <item x="90"/>
        <item x="235"/>
        <item x="423"/>
        <item x="68"/>
        <item x="365"/>
        <item x="124"/>
        <item x="527"/>
        <item x="214"/>
        <item x="60"/>
        <item x="272"/>
        <item x="276"/>
        <item x="31"/>
        <item x="125"/>
        <item x="326"/>
        <item x="253"/>
        <item x="490"/>
        <item x="451"/>
        <item x="237"/>
        <item x="161"/>
        <item x="455"/>
        <item x="380"/>
        <item x="343"/>
        <item x="133"/>
        <item x="356"/>
        <item x="303"/>
        <item x="93"/>
        <item x="18"/>
        <item x="79"/>
        <item x="278"/>
        <item x="153"/>
        <item x="297"/>
        <item x="534"/>
        <item x="536"/>
        <item x="198"/>
        <item x="178"/>
        <item x="242"/>
        <item x="163"/>
        <item x="537"/>
        <item x="6"/>
        <item x="128"/>
        <item x="94"/>
        <item x="347"/>
        <item x="369"/>
        <item x="182"/>
        <item x="431"/>
        <item x="173"/>
        <item x="193"/>
        <item x="236"/>
        <item x="352"/>
        <item x="9"/>
        <item x="341"/>
        <item x="190"/>
        <item x="361"/>
        <item x="417"/>
        <item x="183"/>
        <item x="192"/>
        <item x="360"/>
        <item x="464"/>
        <item x="252"/>
        <item x="114"/>
        <item x="364"/>
        <item x="368"/>
        <item x="508"/>
        <item x="285"/>
        <item x="463"/>
        <item x="63"/>
        <item x="529"/>
        <item x="405"/>
        <item x="27"/>
        <item x="157"/>
        <item x="84"/>
        <item x="29"/>
        <item x="406"/>
        <item x="388"/>
        <item x="185"/>
        <item x="503"/>
        <item x="454"/>
        <item x="73"/>
        <item x="542"/>
        <item x="28"/>
        <item x="87"/>
        <item x="143"/>
        <item x="115"/>
        <item x="97"/>
        <item x="263"/>
        <item x="96"/>
        <item x="53"/>
        <item x="433"/>
        <item x="355"/>
        <item x="525"/>
        <item x="240"/>
        <item x="139"/>
        <item x="376"/>
        <item x="374"/>
        <item x="152"/>
        <item x="258"/>
        <item x="449"/>
        <item x="495"/>
        <item x="179"/>
        <item x="483"/>
        <item x="113"/>
        <item x="239"/>
        <item x="72"/>
        <item x="383"/>
        <item x="385"/>
        <item x="420"/>
        <item x="23"/>
        <item x="227"/>
        <item x="22"/>
        <item x="539"/>
        <item x="232"/>
        <item x="397"/>
        <item x="287"/>
        <item x="403"/>
        <item x="528"/>
        <item x="67"/>
        <item x="174"/>
        <item x="458"/>
        <item x="210"/>
        <item x="535"/>
        <item x="89"/>
        <item x="319"/>
        <item x="443"/>
        <item x="484"/>
        <item x="439"/>
        <item x="256"/>
        <item x="516"/>
        <item x="280"/>
        <item x="312"/>
        <item x="337"/>
        <item x="375"/>
        <item x="207"/>
        <item x="304"/>
        <item x="241"/>
        <item x="357"/>
        <item x="462"/>
        <item x="498"/>
        <item x="533"/>
        <item x="159"/>
        <item x="122"/>
        <item x="284"/>
        <item x="160"/>
        <item x="213"/>
        <item x="316"/>
        <item x="514"/>
        <item x="311"/>
        <item x="315"/>
        <item x="147"/>
        <item x="82"/>
        <item x="323"/>
        <item x="333"/>
        <item x="414"/>
        <item x="55"/>
        <item x="476"/>
        <item x="188"/>
        <item x="472"/>
        <item x="510"/>
        <item x="118"/>
        <item x="98"/>
        <item x="363"/>
        <item x="489"/>
        <item x="95"/>
        <item x="111"/>
        <item x="293"/>
        <item x="401"/>
        <item x="245"/>
        <item x="382"/>
        <item x="141"/>
        <item x="391"/>
        <item x="146"/>
        <item x="1"/>
        <item x="225"/>
        <item x="317"/>
        <item x="119"/>
        <item x="345"/>
        <item x="281"/>
        <item x="101"/>
        <item x="292"/>
        <item x="154"/>
        <item x="177"/>
        <item x="169"/>
        <item x="200"/>
        <item x="105"/>
        <item x="58"/>
        <item x="430"/>
        <item x="446"/>
        <item x="390"/>
        <item x="136"/>
        <item x="184"/>
        <item x="339"/>
        <item x="465"/>
        <item x="260"/>
        <item x="223"/>
        <item x="298"/>
        <item x="132"/>
        <item x="78"/>
        <item x="475"/>
        <item x="206"/>
        <item x="231"/>
        <item x="222"/>
        <item x="515"/>
        <item x="149"/>
        <item x="481"/>
        <item x="107"/>
        <item x="379"/>
        <item x="487"/>
        <item x="474"/>
        <item x="502"/>
        <item x="524"/>
        <item x="491"/>
        <item x="288"/>
        <item x="216"/>
        <item x="274"/>
        <item x="296"/>
        <item x="478"/>
        <item x="38"/>
        <item x="86"/>
        <item x="468"/>
        <item x="336"/>
        <item x="66"/>
        <item x="166"/>
        <item x="321"/>
        <item x="88"/>
        <item x="62"/>
        <item x="434"/>
        <item x="419"/>
        <item x="249"/>
        <item x="400"/>
        <item x="308"/>
        <item x="269"/>
        <item x="332"/>
        <item x="44"/>
        <item x="396"/>
        <item x="494"/>
        <item x="106"/>
        <item x="171"/>
        <item x="51"/>
        <item x="49"/>
        <item x="76"/>
        <item x="282"/>
        <item x="532"/>
        <item x="74"/>
        <item x="408"/>
        <item x="43"/>
        <item x="499"/>
        <item x="307"/>
        <item x="180"/>
        <item x="266"/>
        <item x="100"/>
        <item x="170"/>
        <item x="275"/>
        <item x="121"/>
        <item x="469"/>
        <item x="129"/>
        <item x="279"/>
        <item x="519"/>
        <item x="229"/>
        <item x="322"/>
        <item x="335"/>
        <item x="437"/>
        <item x="209"/>
        <item x="137"/>
        <item x="270"/>
        <item x="246"/>
        <item x="334"/>
        <item x="194"/>
        <item x="187"/>
        <item x="471"/>
        <item x="167"/>
        <item x="238"/>
        <item x="482"/>
        <item x="362"/>
        <item x="290"/>
        <item x="504"/>
        <item x="393"/>
        <item x="117"/>
        <item x="486"/>
        <item x="411"/>
        <item x="228"/>
        <item x="189"/>
        <item x="267"/>
        <item x="394"/>
        <item x="438"/>
        <item x="306"/>
        <item x="48"/>
        <item x="140"/>
        <item x="402"/>
        <item x="39"/>
        <item x="99"/>
        <item x="135"/>
        <item x="517"/>
        <item x="172"/>
        <item x="522"/>
        <item x="377"/>
        <item x="404"/>
        <item x="45"/>
        <item x="395"/>
        <item x="543"/>
        <item x="218"/>
        <item x="0"/>
        <item x="511"/>
        <item x="176"/>
        <item x="14"/>
        <item x="259"/>
        <item x="248"/>
        <item x="370"/>
        <item x="83"/>
        <item x="271"/>
        <item x="351"/>
        <item x="450"/>
        <item x="195"/>
        <item x="8"/>
        <item x="165"/>
        <item x="69"/>
        <item x="538"/>
        <item x="204"/>
        <item x="257"/>
        <item x="81"/>
        <item x="540"/>
        <item x="175"/>
        <item x="75"/>
        <item x="302"/>
        <item x="545"/>
        <item x="202"/>
        <item x="186"/>
        <item x="156"/>
        <item x="530"/>
        <item x="477"/>
        <item x="130"/>
        <item x="123"/>
        <item x="26"/>
        <item x="407"/>
        <item x="13"/>
        <item x="466"/>
        <item x="378"/>
        <item x="64"/>
        <item x="429"/>
        <item x="523"/>
        <item x="418"/>
        <item x="150"/>
        <item x="329"/>
        <item x="71"/>
        <item x="116"/>
        <item x="59"/>
        <item x="295"/>
        <item x="286"/>
        <item x="126"/>
        <item x="488"/>
        <item x="127"/>
        <item x="520"/>
        <item x="521"/>
        <item x="371"/>
        <item x="541"/>
        <item x="440"/>
        <item x="233"/>
        <item x="42"/>
        <item x="300"/>
        <item x="416"/>
        <item x="485"/>
        <item x="413"/>
        <item x="289"/>
        <item x="24"/>
        <item x="444"/>
        <item x="250"/>
        <item x="34"/>
        <item x="191"/>
        <item x="120"/>
        <item x="461"/>
        <item x="309"/>
        <item x="506"/>
        <item x="412"/>
        <item x="509"/>
        <item x="91"/>
        <item x="328"/>
        <item x="367"/>
        <item x="268"/>
        <item x="162"/>
        <item x="217"/>
        <item x="456"/>
        <item x="324"/>
        <item x="109"/>
        <item x="70"/>
        <item x="426"/>
        <item x="366"/>
        <item x="40"/>
        <item x="327"/>
        <item x="226"/>
        <item x="12"/>
        <item x="35"/>
        <item x="387"/>
        <item x="212"/>
        <item x="56"/>
        <item x="21"/>
        <item x="493"/>
        <item x="10"/>
        <item x="325"/>
        <item x="501"/>
        <item x="54"/>
        <item x="447"/>
        <item x="531"/>
        <item x="11"/>
        <item x="151"/>
        <item x="50"/>
        <item x="299"/>
        <item x="310"/>
        <item x="513"/>
        <item x="372"/>
        <item x="344"/>
        <item x="138"/>
        <item x="497"/>
        <item x="2"/>
        <item x="350"/>
        <item x="448"/>
        <item x="112"/>
        <item x="353"/>
        <item x="104"/>
        <item x="318"/>
        <item x="221"/>
        <item x="224"/>
        <item x="243"/>
        <item x="47"/>
        <item x="421"/>
        <item x="219"/>
        <item x="4"/>
        <item x="145"/>
        <item x="305"/>
        <item x="342"/>
        <item x="61"/>
        <item x="409"/>
        <item x="108"/>
        <item x="425"/>
        <item x="518"/>
        <item x="415"/>
        <item x="142"/>
        <item x="526"/>
        <item x="354"/>
        <item x="203"/>
        <item x="220"/>
        <item x="500"/>
        <item x="46"/>
        <item x="144"/>
        <item x="5"/>
        <item x="435"/>
        <item x="77"/>
        <item x="19"/>
        <item x="473"/>
        <item x="7"/>
        <item x="57"/>
        <item x="230"/>
        <item x="254"/>
        <item x="211"/>
        <item x="264"/>
        <item x="453"/>
        <item x="384"/>
        <item x="208"/>
        <item x="340"/>
        <item x="331"/>
        <item x="92"/>
        <item x="265"/>
        <item x="432"/>
        <item x="36"/>
        <item t="default"/>
      </items>
    </pivotField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2" showAll="0"/>
    <pivotField showAll="0"/>
    <pivotField dataField="1" showAll="0"/>
    <pivotField showAll="0">
      <items count="12">
        <item x="10"/>
        <item x="6"/>
        <item x="2"/>
        <item x="9"/>
        <item x="1"/>
        <item x="8"/>
        <item x="0"/>
        <item x="3"/>
        <item x="4"/>
        <item x="7"/>
        <item x="5"/>
        <item t="default"/>
      </items>
    </pivotField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axis="axisRow" showAll="0" countASubtotal="1">
      <items count="3">
        <item x="1"/>
        <item x="0"/>
        <item t="countA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20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uenta de Número de Orden" fld="10" subtotal="count" baseField="11" baseItem="0"/>
  </dataFields>
  <formats count="5"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6" type="button" dataOnly="0" labelOnly="1" outline="0" axis="axisRow" fieldPosition="1"/>
    </format>
    <format dxfId="153">
      <pivotArea dataOnly="0" labelOnly="1" grandRow="1" outline="0" fieldPosition="0"/>
    </format>
    <format dxfId="1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2FFBD-06D7-4385-A2F8-2556A75B7514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O25:P33" firstHeaderRow="1" firstDataRow="1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numFmtId="2" showAll="0"/>
    <pivotField showAll="0"/>
    <pivotField showAll="0"/>
    <pivotField showAll="0"/>
    <pivotField showAll="0"/>
    <pivotField dataField="1"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3"/>
  </rowFields>
  <rowItems count="8"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Suma de Monto total " fld="13" baseField="0" baseItem="0"/>
  </dataFields>
  <formats count="5">
    <format dxfId="1">
      <pivotArea type="all" dataOnly="0" outline="0" fieldPosition="0"/>
    </format>
    <format dxfId="2">
      <pivotArea outline="0" collapsedLevelsAreSubtotals="1" fieldPosition="0"/>
    </format>
    <format dxfId="3">
      <pivotArea field="6" type="button" dataOnly="0" labelOnly="1" outline="0"/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35F21-F434-49E4-A174-596E2C4393FC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R14:S22" firstHeaderRow="1" firstDataRow="1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numFmtId="2" showAll="0"/>
    <pivotField showAll="0"/>
    <pivotField showAll="0"/>
    <pivotField showAll="0"/>
    <pivotField showAll="0"/>
    <pivotField dataField="1"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3"/>
  </rowFields>
  <rowItems count="8"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Promedio de Monto total " fld="13" subtotal="average" baseField="23" baseItem="92"/>
  </dataFields>
  <formats count="5">
    <format dxfId="6">
      <pivotArea type="all" dataOnly="0" outline="0" fieldPosition="0"/>
    </format>
    <format dxfId="7">
      <pivotArea outline="0" collapsedLevelsAreSubtotals="1" fieldPosition="0"/>
    </format>
    <format dxfId="8">
      <pivotArea field="6" type="button" dataOnly="0" labelOnly="1" outline="0"/>
    </format>
    <format dxfId="9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79D6C-291B-4E52-92B9-443EE2ADFBD1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O14:P22" firstHeaderRow="1" firstDataRow="1" firstDataCol="1"/>
  <pivotFields count="31">
    <pivotField showAll="0"/>
    <pivotField showAll="0"/>
    <pivotField dataField="1"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3"/>
  </rowFields>
  <rowItems count="8"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Suma de Número de Comensales" fld="2" baseField="0" baseItem="0"/>
  </dataFields>
  <formats count="5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6" type="button" dataOnly="0" labelOnly="1" outline="0"/>
    </format>
    <format dxfId="14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E4D2C-0CEC-4560-8BC3-8ABE66A5D5D8}" name="TablaDinámica1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E27:F35" firstHeaderRow="1" firstDataRow="1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>
      <items count="6">
        <item x="1"/>
        <item x="2"/>
        <item x="0"/>
        <item x="4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2" showAll="0"/>
    <pivotField showAll="0">
      <items count="4">
        <item x="1"/>
        <item x="2"/>
        <item x="0"/>
        <item t="default"/>
      </items>
    </pivotField>
    <pivotField showAll="0"/>
    <pivotField showAll="0">
      <items count="12">
        <item x="10"/>
        <item x="6"/>
        <item x="2"/>
        <item x="9"/>
        <item x="1"/>
        <item x="8"/>
        <item x="0"/>
        <item x="3"/>
        <item x="4"/>
        <item x="7"/>
        <item x="5"/>
        <item t="default"/>
      </items>
    </pivotField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dataField="1"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3"/>
  </rowFields>
  <rowItems count="8"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Promedio de Tiempo de preparación total" fld="18" subtotal="average" baseField="0" baseItem="1" numFmtId="164"/>
  </dataFields>
  <formats count="5">
    <format dxfId="55">
      <pivotArea type="all" dataOnly="0" outline="0" fieldPosition="0"/>
    </format>
    <format dxfId="54">
      <pivotArea field="6" type="button" dataOnly="0" labelOnly="1" outline="0"/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A94DF-F811-4D86-B4F3-15E0DD24B446}" name="TablaDinámica1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27:C33" firstHeaderRow="1" firstDataRow="1" firstDataCol="1" rowPageCount="1" colPageCount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2" showAll="0"/>
    <pivotField showAll="0"/>
    <pivotField dataField="1" showAll="0"/>
    <pivotField showAll="0"/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Page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3" hier="-1"/>
  </pageFields>
  <dataFields count="1">
    <dataField name="Cuenta de Número de Orden" fld="10" subtotal="count" baseField="5" baseItem="0"/>
  </dataFields>
  <formats count="5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6" type="button" dataOnly="0" labelOnly="1" outline="0"/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B1946-486C-4775-A0C0-F70A4D2CCFC6}" name="TablaDinámica1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4:J24" firstHeaderRow="1" firstDataRow="3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numFmtId="2" showAll="0"/>
    <pivotField showAll="0"/>
    <pivotField dataField="1" showAll="0"/>
    <pivotField showAll="0"/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3"/>
  </rowFields>
  <rowItems count="8"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2">
    <field x="-2"/>
    <field x="7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Suma de Número de Orden" fld="10" baseField="23" baseItem="92"/>
    <dataField name="Suma de Propina" fld="8" baseField="23" baseItem="92"/>
  </dataFields>
  <formats count="7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6" type="button" dataOnly="0" labelOnly="1" outline="0"/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collapsedLevelsAreSubtotals="1" fieldPosition="0">
        <references count="1">
          <reference field="7" count="1">
            <x v="1"/>
          </reference>
        </references>
      </pivotArea>
    </format>
    <format dxfId="61">
      <pivotArea dataOnly="0" labelOnly="1" fieldPosition="0">
        <references count="1"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F466D-0071-485C-A55E-568A826BC3C0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3:F12" firstHeaderRow="1" firstDataRow="2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numFmtId="2" showAll="0"/>
    <pivotField showAll="0"/>
    <pivotField showAll="0"/>
    <pivotField showAll="0"/>
    <pivotField showAll="0"/>
    <pivotField dataField="1"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3"/>
  </rowFields>
  <rowItems count="8"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a de Monto total " fld="13" baseField="0" baseItem="0" numFmtId="2"/>
  </dataFields>
  <formats count="11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6" type="button" dataOnly="0" labelOnly="1" outline="0" axis="axisCol" fieldPosition="0"/>
    </format>
    <format dxfId="75">
      <pivotArea dataOnly="0" labelOnly="1" fieldPosition="0">
        <references count="1">
          <reference field="6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collapsedLevelsAreSubtotals="1" fieldPosition="0">
        <references count="1">
          <reference field="6" count="1">
            <x v="0"/>
          </reference>
        </references>
      </pivotArea>
    </format>
    <format dxfId="71">
      <pivotArea collapsedLevelsAreSubtotals="1" fieldPosition="0">
        <references count="1">
          <reference field="6" count="2">
            <x v="1"/>
            <x v="2"/>
          </reference>
        </references>
      </pivotArea>
    </format>
    <format dxfId="70">
      <pivotArea collapsedLevelsAreSubtotals="1" fieldPosition="0">
        <references count="1">
          <reference field="6" count="1">
            <x v="0"/>
          </reference>
        </references>
      </pivotArea>
    </format>
    <format dxfId="69">
      <pivotArea dataOnly="0" labelOnly="1" fieldPosition="0">
        <references count="1">
          <reference field="6" count="1">
            <x v="0"/>
          </reference>
        </references>
      </pivotArea>
    </format>
    <format dxfId="68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C4EE3-84DE-4D8B-AA82-51A575298398}" name="TablaDinámica2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L14:M43" firstHeaderRow="1" firstDataRow="1" firstDataCol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numFmtId="2" showAll="0"/>
    <pivotField showAll="0"/>
    <pivotField showAll="0"/>
    <pivotField showAll="0"/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23"/>
    <field x="6"/>
  </rowFields>
  <rowItems count="29">
    <i>
      <x v="92"/>
    </i>
    <i r="1">
      <x/>
    </i>
    <i r="1">
      <x v="1"/>
    </i>
    <i r="1">
      <x v="2"/>
    </i>
    <i>
      <x v="93"/>
    </i>
    <i r="1">
      <x/>
    </i>
    <i r="1">
      <x v="1"/>
    </i>
    <i r="1">
      <x v="2"/>
    </i>
    <i>
      <x v="94"/>
    </i>
    <i r="1">
      <x/>
    </i>
    <i r="1">
      <x v="1"/>
    </i>
    <i r="1">
      <x v="2"/>
    </i>
    <i>
      <x v="95"/>
    </i>
    <i r="1">
      <x/>
    </i>
    <i r="1">
      <x v="1"/>
    </i>
    <i r="1">
      <x v="2"/>
    </i>
    <i>
      <x v="96"/>
    </i>
    <i r="1">
      <x/>
    </i>
    <i r="1">
      <x v="1"/>
    </i>
    <i r="1">
      <x v="2"/>
    </i>
    <i>
      <x v="97"/>
    </i>
    <i r="1">
      <x/>
    </i>
    <i r="1">
      <x v="1"/>
    </i>
    <i r="1">
      <x v="2"/>
    </i>
    <i>
      <x v="98"/>
    </i>
    <i r="1">
      <x/>
    </i>
    <i r="1">
      <x v="1"/>
    </i>
    <i r="1">
      <x v="2"/>
    </i>
    <i t="grand">
      <x/>
    </i>
  </rowItems>
  <colItems count="1">
    <i/>
  </colItems>
  <dataFields count="1">
    <dataField name="Suma de Propina" fld="8" baseField="0" baseItem="0"/>
  </dataFields>
  <formats count="5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6" type="button" dataOnly="0" labelOnly="1" outline="0" axis="axisRow" fieldPosition="1"/>
    </format>
    <format dxfId="80">
      <pivotArea dataOnly="0" labelOnly="1" grandRow="1" outline="0" fieldPosition="0"/>
    </format>
    <format dxfId="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7EB08-9A9B-4488-B998-B7C0B8ED0BC2}" name="TablaDinámica2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B38:C41" firstHeaderRow="1" firstDataRow="1" firstDataCol="1" rowPageCount="1" colPageCount="1"/>
  <pivotFields count="31">
    <pivotField showAll="0"/>
    <pivotField showAll="0"/>
    <pivotField showAll="0"/>
    <pivotField numFmtId="22" showAll="0"/>
    <pivotField numFmtId="22" showAll="0">
      <items count="644">
        <item x="49"/>
        <item x="65"/>
        <item x="97"/>
        <item x="39"/>
        <item x="9"/>
        <item x="13"/>
        <item x="4"/>
        <item x="78"/>
        <item x="87"/>
        <item x="80"/>
        <item x="92"/>
        <item x="25"/>
        <item x="88"/>
        <item x="90"/>
        <item x="48"/>
        <item x="61"/>
        <item x="81"/>
        <item x="40"/>
        <item x="63"/>
        <item x="26"/>
        <item x="77"/>
        <item x="85"/>
        <item x="11"/>
        <item x="16"/>
        <item x="18"/>
        <item x="95"/>
        <item x="5"/>
        <item x="91"/>
        <item x="43"/>
        <item x="73"/>
        <item x="82"/>
        <item x="1"/>
        <item x="0"/>
        <item x="35"/>
        <item x="2"/>
        <item x="64"/>
        <item x="89"/>
        <item x="42"/>
        <item x="45"/>
        <item x="37"/>
        <item x="60"/>
        <item x="22"/>
        <item x="69"/>
        <item x="51"/>
        <item x="38"/>
        <item x="55"/>
        <item x="6"/>
        <item x="15"/>
        <item x="8"/>
        <item x="17"/>
        <item x="3"/>
        <item x="50"/>
        <item x="21"/>
        <item x="7"/>
        <item x="54"/>
        <item x="83"/>
        <item x="53"/>
        <item x="14"/>
        <item x="52"/>
        <item x="56"/>
        <item x="94"/>
        <item x="72"/>
        <item x="62"/>
        <item x="19"/>
        <item x="70"/>
        <item x="84"/>
        <item x="46"/>
        <item x="12"/>
        <item x="96"/>
        <item x="57"/>
        <item x="24"/>
        <item x="67"/>
        <item x="20"/>
        <item x="33"/>
        <item x="66"/>
        <item x="29"/>
        <item x="32"/>
        <item x="68"/>
        <item x="27"/>
        <item x="28"/>
        <item x="71"/>
        <item x="41"/>
        <item x="23"/>
        <item x="31"/>
        <item x="58"/>
        <item x="59"/>
        <item x="34"/>
        <item x="74"/>
        <item x="10"/>
        <item x="93"/>
        <item x="76"/>
        <item x="79"/>
        <item x="86"/>
        <item x="30"/>
        <item x="47"/>
        <item x="75"/>
        <item x="44"/>
        <item x="36"/>
        <item x="197"/>
        <item x="148"/>
        <item x="150"/>
        <item x="135"/>
        <item x="188"/>
        <item x="108"/>
        <item x="99"/>
        <item x="169"/>
        <item x="170"/>
        <item x="212"/>
        <item x="200"/>
        <item x="171"/>
        <item x="193"/>
        <item x="105"/>
        <item x="138"/>
        <item x="163"/>
        <item x="192"/>
        <item x="107"/>
        <item x="110"/>
        <item x="141"/>
        <item x="142"/>
        <item x="101"/>
        <item x="186"/>
        <item x="128"/>
        <item x="122"/>
        <item x="209"/>
        <item x="112"/>
        <item x="145"/>
        <item x="167"/>
        <item x="152"/>
        <item x="126"/>
        <item x="206"/>
        <item x="162"/>
        <item x="143"/>
        <item x="191"/>
        <item x="205"/>
        <item x="106"/>
        <item x="130"/>
        <item x="178"/>
        <item x="182"/>
        <item x="147"/>
        <item x="204"/>
        <item x="111"/>
        <item x="153"/>
        <item x="201"/>
        <item x="165"/>
        <item x="134"/>
        <item x="174"/>
        <item x="119"/>
        <item x="176"/>
        <item x="139"/>
        <item x="102"/>
        <item x="114"/>
        <item x="158"/>
        <item x="132"/>
        <item x="109"/>
        <item x="137"/>
        <item x="203"/>
        <item x="211"/>
        <item x="177"/>
        <item x="120"/>
        <item x="149"/>
        <item x="136"/>
        <item x="208"/>
        <item x="116"/>
        <item x="131"/>
        <item x="181"/>
        <item x="190"/>
        <item x="183"/>
        <item x="125"/>
        <item x="189"/>
        <item x="164"/>
        <item x="166"/>
        <item x="195"/>
        <item x="184"/>
        <item x="123"/>
        <item x="113"/>
        <item x="98"/>
        <item x="115"/>
        <item x="104"/>
        <item x="144"/>
        <item x="151"/>
        <item x="160"/>
        <item x="103"/>
        <item x="129"/>
        <item x="159"/>
        <item x="121"/>
        <item x="180"/>
        <item x="168"/>
        <item x="118"/>
        <item x="187"/>
        <item x="124"/>
        <item x="194"/>
        <item x="198"/>
        <item x="140"/>
        <item x="146"/>
        <item x="196"/>
        <item x="173"/>
        <item x="161"/>
        <item x="100"/>
        <item x="172"/>
        <item x="133"/>
        <item x="207"/>
        <item x="179"/>
        <item x="157"/>
        <item x="155"/>
        <item x="117"/>
        <item x="154"/>
        <item x="202"/>
        <item x="175"/>
        <item x="185"/>
        <item x="127"/>
        <item x="199"/>
        <item x="156"/>
        <item x="210"/>
        <item x="238"/>
        <item x="241"/>
        <item x="266"/>
        <item x="232"/>
        <item x="251"/>
        <item x="225"/>
        <item x="226"/>
        <item x="255"/>
        <item x="244"/>
        <item x="219"/>
        <item x="214"/>
        <item x="213"/>
        <item x="258"/>
        <item x="223"/>
        <item x="240"/>
        <item x="262"/>
        <item x="254"/>
        <item x="246"/>
        <item x="250"/>
        <item x="215"/>
        <item x="263"/>
        <item x="264"/>
        <item x="245"/>
        <item x="218"/>
        <item x="242"/>
        <item x="236"/>
        <item x="239"/>
        <item x="230"/>
        <item x="253"/>
        <item x="249"/>
        <item x="233"/>
        <item x="229"/>
        <item x="247"/>
        <item x="216"/>
        <item x="228"/>
        <item x="261"/>
        <item x="217"/>
        <item x="224"/>
        <item x="243"/>
        <item x="259"/>
        <item x="234"/>
        <item x="222"/>
        <item x="252"/>
        <item x="257"/>
        <item x="265"/>
        <item x="220"/>
        <item x="221"/>
        <item x="231"/>
        <item x="237"/>
        <item x="256"/>
        <item x="260"/>
        <item x="235"/>
        <item x="248"/>
        <item x="227"/>
        <item x="273"/>
        <item x="280"/>
        <item x="285"/>
        <item x="296"/>
        <item x="319"/>
        <item x="270"/>
        <item x="292"/>
        <item x="290"/>
        <item x="276"/>
        <item x="312"/>
        <item x="310"/>
        <item x="294"/>
        <item x="303"/>
        <item x="279"/>
        <item x="307"/>
        <item x="286"/>
        <item x="271"/>
        <item x="269"/>
        <item x="299"/>
        <item x="282"/>
        <item x="313"/>
        <item x="297"/>
        <item x="274"/>
        <item x="278"/>
        <item x="316"/>
        <item x="305"/>
        <item x="287"/>
        <item x="268"/>
        <item x="281"/>
        <item x="306"/>
        <item x="277"/>
        <item x="300"/>
        <item x="288"/>
        <item x="295"/>
        <item x="314"/>
        <item x="315"/>
        <item x="301"/>
        <item x="308"/>
        <item x="267"/>
        <item x="284"/>
        <item x="309"/>
        <item x="298"/>
        <item x="302"/>
        <item x="291"/>
        <item x="283"/>
        <item x="311"/>
        <item x="272"/>
        <item x="317"/>
        <item x="275"/>
        <item x="318"/>
        <item x="304"/>
        <item x="289"/>
        <item x="293"/>
        <item x="373"/>
        <item x="332"/>
        <item x="347"/>
        <item x="387"/>
        <item x="324"/>
        <item x="382"/>
        <item x="341"/>
        <item x="321"/>
        <item x="344"/>
        <item x="357"/>
        <item x="391"/>
        <item x="377"/>
        <item x="359"/>
        <item x="376"/>
        <item x="375"/>
        <item x="353"/>
        <item x="323"/>
        <item x="331"/>
        <item x="393"/>
        <item x="362"/>
        <item x="360"/>
        <item x="364"/>
        <item x="368"/>
        <item x="365"/>
        <item x="370"/>
        <item x="343"/>
        <item x="356"/>
        <item x="327"/>
        <item x="326"/>
        <item x="335"/>
        <item x="397"/>
        <item x="394"/>
        <item x="386"/>
        <item x="390"/>
        <item x="339"/>
        <item x="352"/>
        <item x="350"/>
        <item x="392"/>
        <item x="342"/>
        <item x="384"/>
        <item x="358"/>
        <item x="348"/>
        <item x="340"/>
        <item x="381"/>
        <item x="361"/>
        <item x="346"/>
        <item x="383"/>
        <item x="337"/>
        <item x="338"/>
        <item x="328"/>
        <item x="325"/>
        <item x="396"/>
        <item x="345"/>
        <item x="371"/>
        <item x="355"/>
        <item x="330"/>
        <item x="398"/>
        <item x="334"/>
        <item x="354"/>
        <item x="395"/>
        <item x="374"/>
        <item x="367"/>
        <item x="389"/>
        <item x="369"/>
        <item x="363"/>
        <item x="378"/>
        <item x="322"/>
        <item x="379"/>
        <item x="351"/>
        <item x="320"/>
        <item x="399"/>
        <item x="388"/>
        <item x="336"/>
        <item x="329"/>
        <item x="333"/>
        <item x="349"/>
        <item x="380"/>
        <item x="366"/>
        <item x="385"/>
        <item x="372"/>
        <item x="491"/>
        <item x="526"/>
        <item x="420"/>
        <item x="403"/>
        <item x="534"/>
        <item x="515"/>
        <item x="536"/>
        <item x="429"/>
        <item x="415"/>
        <item x="439"/>
        <item x="457"/>
        <item x="532"/>
        <item x="490"/>
        <item x="479"/>
        <item x="437"/>
        <item x="520"/>
        <item x="447"/>
        <item x="418"/>
        <item x="466"/>
        <item x="500"/>
        <item x="519"/>
        <item x="527"/>
        <item x="528"/>
        <item x="412"/>
        <item x="444"/>
        <item x="470"/>
        <item x="404"/>
        <item x="409"/>
        <item x="530"/>
        <item x="481"/>
        <item x="474"/>
        <item x="485"/>
        <item x="522"/>
        <item x="518"/>
        <item x="476"/>
        <item x="524"/>
        <item x="436"/>
        <item x="523"/>
        <item x="405"/>
        <item x="507"/>
        <item x="401"/>
        <item x="494"/>
        <item x="513"/>
        <item x="516"/>
        <item x="462"/>
        <item x="477"/>
        <item x="541"/>
        <item x="425"/>
        <item x="451"/>
        <item x="442"/>
        <item x="414"/>
        <item x="501"/>
        <item x="535"/>
        <item x="468"/>
        <item x="496"/>
        <item x="475"/>
        <item x="430"/>
        <item x="465"/>
        <item x="467"/>
        <item x="510"/>
        <item x="525"/>
        <item x="502"/>
        <item x="489"/>
        <item x="445"/>
        <item x="482"/>
        <item x="426"/>
        <item x="455"/>
        <item x="406"/>
        <item x="411"/>
        <item x="461"/>
        <item x="435"/>
        <item x="419"/>
        <item x="514"/>
        <item x="456"/>
        <item x="446"/>
        <item x="408"/>
        <item x="486"/>
        <item x="463"/>
        <item x="431"/>
        <item x="421"/>
        <item x="438"/>
        <item x="540"/>
        <item x="417"/>
        <item x="440"/>
        <item x="512"/>
        <item x="503"/>
        <item x="471"/>
        <item x="452"/>
        <item x="492"/>
        <item x="493"/>
        <item x="427"/>
        <item x="480"/>
        <item x="517"/>
        <item x="533"/>
        <item x="454"/>
        <item x="469"/>
        <item x="453"/>
        <item x="416"/>
        <item x="529"/>
        <item x="464"/>
        <item x="441"/>
        <item x="521"/>
        <item x="458"/>
        <item x="449"/>
        <item x="531"/>
        <item x="402"/>
        <item x="450"/>
        <item x="498"/>
        <item x="497"/>
        <item x="434"/>
        <item x="506"/>
        <item x="432"/>
        <item x="413"/>
        <item x="504"/>
        <item x="499"/>
        <item x="478"/>
        <item x="423"/>
        <item x="443"/>
        <item x="505"/>
        <item x="538"/>
        <item x="483"/>
        <item x="428"/>
        <item x="433"/>
        <item x="539"/>
        <item x="488"/>
        <item x="422"/>
        <item x="460"/>
        <item x="424"/>
        <item x="495"/>
        <item x="459"/>
        <item x="410"/>
        <item x="509"/>
        <item x="400"/>
        <item x="487"/>
        <item x="484"/>
        <item x="537"/>
        <item x="448"/>
        <item x="407"/>
        <item x="508"/>
        <item x="473"/>
        <item x="472"/>
        <item x="511"/>
        <item x="564"/>
        <item x="640"/>
        <item x="636"/>
        <item x="575"/>
        <item x="546"/>
        <item x="619"/>
        <item x="635"/>
        <item x="593"/>
        <item x="579"/>
        <item x="544"/>
        <item x="602"/>
        <item x="614"/>
        <item x="567"/>
        <item x="607"/>
        <item x="590"/>
        <item x="563"/>
        <item x="595"/>
        <item x="589"/>
        <item x="628"/>
        <item x="612"/>
        <item x="569"/>
        <item x="618"/>
        <item x="629"/>
        <item x="560"/>
        <item x="611"/>
        <item x="617"/>
        <item x="638"/>
        <item x="561"/>
        <item x="600"/>
        <item x="576"/>
        <item x="599"/>
        <item x="637"/>
        <item x="566"/>
        <item x="553"/>
        <item x="562"/>
        <item x="554"/>
        <item x="642"/>
        <item x="550"/>
        <item x="572"/>
        <item x="549"/>
        <item x="610"/>
        <item x="603"/>
        <item x="545"/>
        <item x="622"/>
        <item x="582"/>
        <item x="632"/>
        <item x="594"/>
        <item x="565"/>
        <item x="559"/>
        <item x="631"/>
        <item x="630"/>
        <item x="574"/>
        <item x="558"/>
        <item x="634"/>
        <item x="604"/>
        <item x="547"/>
        <item x="641"/>
        <item x="625"/>
        <item x="596"/>
        <item x="556"/>
        <item x="542"/>
        <item x="578"/>
        <item x="639"/>
        <item x="584"/>
        <item x="592"/>
        <item x="581"/>
        <item x="601"/>
        <item x="570"/>
        <item x="568"/>
        <item x="597"/>
        <item x="616"/>
        <item x="585"/>
        <item x="577"/>
        <item x="580"/>
        <item x="543"/>
        <item x="591"/>
        <item x="608"/>
        <item x="624"/>
        <item x="551"/>
        <item x="555"/>
        <item x="627"/>
        <item x="605"/>
        <item x="613"/>
        <item x="620"/>
        <item x="586"/>
        <item x="573"/>
        <item x="621"/>
        <item x="588"/>
        <item x="626"/>
        <item x="548"/>
        <item x="587"/>
        <item x="571"/>
        <item x="552"/>
        <item x="609"/>
        <item x="606"/>
        <item x="557"/>
        <item x="615"/>
        <item x="598"/>
        <item x="583"/>
        <item x="623"/>
        <item x="633"/>
        <item t="default"/>
      </items>
    </pivotField>
    <pivotField showAll="0">
      <items count="6">
        <item x="1"/>
        <item x="2"/>
        <item x="0"/>
        <item x="4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2" showAll="0"/>
    <pivotField showAll="0">
      <items count="4">
        <item x="1"/>
        <item x="2"/>
        <item x="0"/>
        <item t="default"/>
      </items>
    </pivotField>
    <pivotField dataField="1" showAll="0"/>
    <pivotField axis="axisPage" multipleItemSelectionAllowed="1" showAll="0">
      <items count="12">
        <item h="1" x="10"/>
        <item h="1" x="6"/>
        <item h="1" x="2"/>
        <item h="1" x="9"/>
        <item h="1" x="1"/>
        <item h="1" x="8"/>
        <item x="0"/>
        <item h="1" x="3"/>
        <item h="1" x="4"/>
        <item h="1" x="7"/>
        <item h="1" x="5"/>
        <item t="default"/>
      </items>
    </pivotField>
    <pivotField showAll="0"/>
    <pivotField showAll="0"/>
    <pivotField numFmtId="14" showAll="0">
      <items count="602">
        <item x="4"/>
        <item x="9"/>
        <item x="11"/>
        <item x="16"/>
        <item x="63"/>
        <item x="87"/>
        <item x="13"/>
        <item x="38"/>
        <item x="44"/>
        <item x="2"/>
        <item x="97"/>
        <item x="18"/>
        <item x="48"/>
        <item x="57"/>
        <item x="76"/>
        <item x="26"/>
        <item x="84"/>
        <item x="39"/>
        <item x="66"/>
        <item x="0"/>
        <item x="94"/>
        <item x="77"/>
        <item x="89"/>
        <item x="25"/>
        <item x="50"/>
        <item x="53"/>
        <item x="5"/>
        <item x="19"/>
        <item x="1"/>
        <item x="90"/>
        <item x="49"/>
        <item x="52"/>
        <item x="91"/>
        <item x="88"/>
        <item x="70"/>
        <item x="80"/>
        <item x="58"/>
        <item x="47"/>
        <item x="45"/>
        <item x="75"/>
        <item x="42"/>
        <item x="92"/>
        <item x="93"/>
        <item x="81"/>
        <item x="59"/>
        <item x="6"/>
        <item x="83"/>
        <item x="36"/>
        <item x="62"/>
        <item x="8"/>
        <item x="24"/>
        <item x="17"/>
        <item x="54"/>
        <item x="7"/>
        <item x="37"/>
        <item x="41"/>
        <item x="21"/>
        <item x="85"/>
        <item x="60"/>
        <item x="15"/>
        <item x="74"/>
        <item x="34"/>
        <item x="65"/>
        <item x="64"/>
        <item x="22"/>
        <item x="69"/>
        <item x="56"/>
        <item x="29"/>
        <item x="28"/>
        <item x="68"/>
        <item x="23"/>
        <item x="27"/>
        <item x="3"/>
        <item x="51"/>
        <item x="40"/>
        <item x="30"/>
        <item x="12"/>
        <item x="96"/>
        <item x="32"/>
        <item x="82"/>
        <item x="14"/>
        <item x="72"/>
        <item x="33"/>
        <item x="43"/>
        <item x="86"/>
        <item x="31"/>
        <item x="79"/>
        <item x="67"/>
        <item x="78"/>
        <item x="20"/>
        <item x="71"/>
        <item x="35"/>
        <item x="73"/>
        <item x="95"/>
        <item x="61"/>
        <item x="10"/>
        <item x="55"/>
        <item x="46"/>
        <item x="158"/>
        <item x="188"/>
        <item x="113"/>
        <item x="147"/>
        <item x="135"/>
        <item x="163"/>
        <item x="160"/>
        <item x="150"/>
        <item x="187"/>
        <item x="168"/>
        <item x="146"/>
        <item x="185"/>
        <item x="195"/>
        <item x="109"/>
        <item x="174"/>
        <item x="201"/>
        <item x="122"/>
        <item x="164"/>
        <item x="124"/>
        <item x="99"/>
        <item x="193"/>
        <item x="118"/>
        <item x="108"/>
        <item x="106"/>
        <item x="110"/>
        <item x="151"/>
        <item x="137"/>
        <item x="184"/>
        <item x="112"/>
        <item x="138"/>
        <item x="166"/>
        <item x="114"/>
        <item x="176"/>
        <item x="136"/>
        <item x="197"/>
        <item x="182"/>
        <item x="130"/>
        <item x="179"/>
        <item x="141"/>
        <item x="142"/>
        <item x="192"/>
        <item x="116"/>
        <item x="101"/>
        <item x="111"/>
        <item x="148"/>
        <item x="107"/>
        <item x="128"/>
        <item x="125"/>
        <item x="173"/>
        <item x="181"/>
        <item x="115"/>
        <item x="177"/>
        <item x="133"/>
        <item x="143"/>
        <item x="120"/>
        <item x="183"/>
        <item x="121"/>
        <item x="180"/>
        <item x="196"/>
        <item x="132"/>
        <item x="169"/>
        <item x="186"/>
        <item x="140"/>
        <item x="156"/>
        <item x="149"/>
        <item x="175"/>
        <item x="139"/>
        <item x="165"/>
        <item x="159"/>
        <item x="144"/>
        <item x="161"/>
        <item x="172"/>
        <item x="105"/>
        <item x="153"/>
        <item x="155"/>
        <item x="145"/>
        <item x="198"/>
        <item x="200"/>
        <item x="104"/>
        <item x="123"/>
        <item x="162"/>
        <item x="194"/>
        <item x="131"/>
        <item x="102"/>
        <item x="199"/>
        <item x="129"/>
        <item x="126"/>
        <item x="134"/>
        <item x="98"/>
        <item x="170"/>
        <item x="191"/>
        <item x="171"/>
        <item x="178"/>
        <item x="103"/>
        <item x="157"/>
        <item x="189"/>
        <item x="190"/>
        <item x="100"/>
        <item x="117"/>
        <item x="119"/>
        <item x="127"/>
        <item x="152"/>
        <item x="154"/>
        <item x="167"/>
        <item x="240"/>
        <item x="226"/>
        <item x="229"/>
        <item x="247"/>
        <item x="214"/>
        <item x="220"/>
        <item x="228"/>
        <item x="243"/>
        <item x="215"/>
        <item x="207"/>
        <item x="256"/>
        <item x="239"/>
        <item x="203"/>
        <item x="251"/>
        <item x="257"/>
        <item x="231"/>
        <item x="217"/>
        <item x="205"/>
        <item x="233"/>
        <item x="236"/>
        <item x="255"/>
        <item x="212"/>
        <item x="252"/>
        <item x="248"/>
        <item x="206"/>
        <item x="208"/>
        <item x="242"/>
        <item x="253"/>
        <item x="224"/>
        <item x="202"/>
        <item x="222"/>
        <item x="210"/>
        <item x="235"/>
        <item x="234"/>
        <item x="246"/>
        <item x="249"/>
        <item x="218"/>
        <item x="211"/>
        <item x="230"/>
        <item x="227"/>
        <item x="204"/>
        <item x="219"/>
        <item x="244"/>
        <item x="245"/>
        <item x="223"/>
        <item x="241"/>
        <item x="213"/>
        <item x="232"/>
        <item x="209"/>
        <item x="225"/>
        <item x="238"/>
        <item x="250"/>
        <item x="221"/>
        <item x="237"/>
        <item x="254"/>
        <item x="216"/>
        <item x="271"/>
        <item x="313"/>
        <item x="287"/>
        <item x="264"/>
        <item x="284"/>
        <item x="261"/>
        <item x="270"/>
        <item x="282"/>
        <item x="304"/>
        <item x="278"/>
        <item x="290"/>
        <item x="276"/>
        <item x="298"/>
        <item x="310"/>
        <item x="309"/>
        <item x="296"/>
        <item x="291"/>
        <item x="272"/>
        <item x="302"/>
        <item x="280"/>
        <item x="277"/>
        <item x="288"/>
        <item x="308"/>
        <item x="297"/>
        <item x="268"/>
        <item x="269"/>
        <item x="258"/>
        <item x="286"/>
        <item x="260"/>
        <item x="294"/>
        <item x="279"/>
        <item x="262"/>
        <item x="292"/>
        <item x="267"/>
        <item x="293"/>
        <item x="273"/>
        <item x="300"/>
        <item x="301"/>
        <item x="274"/>
        <item x="289"/>
        <item x="303"/>
        <item x="266"/>
        <item x="306"/>
        <item x="259"/>
        <item x="263"/>
        <item x="311"/>
        <item x="265"/>
        <item x="305"/>
        <item x="299"/>
        <item x="312"/>
        <item x="285"/>
        <item x="281"/>
        <item x="295"/>
        <item x="283"/>
        <item x="307"/>
        <item x="275"/>
        <item x="363"/>
        <item x="317"/>
        <item x="370"/>
        <item x="353"/>
        <item x="360"/>
        <item x="358"/>
        <item x="324"/>
        <item x="338"/>
        <item x="376"/>
        <item x="333"/>
        <item x="323"/>
        <item x="315"/>
        <item x="347"/>
        <item x="331"/>
        <item x="341"/>
        <item x="344"/>
        <item x="379"/>
        <item x="335"/>
        <item x="369"/>
        <item x="365"/>
        <item x="349"/>
        <item x="381"/>
        <item x="357"/>
        <item x="367"/>
        <item x="371"/>
        <item x="380"/>
        <item x="350"/>
        <item x="322"/>
        <item x="385"/>
        <item x="382"/>
        <item x="336"/>
        <item x="364"/>
        <item x="366"/>
        <item x="319"/>
        <item x="327"/>
        <item x="374"/>
        <item x="334"/>
        <item x="330"/>
        <item x="346"/>
        <item x="354"/>
        <item x="320"/>
        <item x="348"/>
        <item x="339"/>
        <item x="332"/>
        <item x="329"/>
        <item x="383"/>
        <item x="378"/>
        <item x="337"/>
        <item x="326"/>
        <item x="372"/>
        <item x="384"/>
        <item x="318"/>
        <item x="361"/>
        <item x="342"/>
        <item x="316"/>
        <item x="325"/>
        <item x="351"/>
        <item x="345"/>
        <item x="352"/>
        <item x="368"/>
        <item x="343"/>
        <item x="321"/>
        <item x="377"/>
        <item x="356"/>
        <item x="355"/>
        <item x="386"/>
        <item x="314"/>
        <item x="373"/>
        <item x="340"/>
        <item x="375"/>
        <item x="328"/>
        <item x="359"/>
        <item x="387"/>
        <item x="362"/>
        <item x="403"/>
        <item x="393"/>
        <item x="502"/>
        <item x="391"/>
        <item x="475"/>
        <item x="406"/>
        <item x="500"/>
        <item x="474"/>
        <item x="463"/>
        <item x="464"/>
        <item x="497"/>
        <item x="413"/>
        <item x="462"/>
        <item x="503"/>
        <item x="445"/>
        <item x="482"/>
        <item x="456"/>
        <item x="408"/>
        <item x="449"/>
        <item x="485"/>
        <item x="397"/>
        <item x="394"/>
        <item x="433"/>
        <item x="480"/>
        <item x="417"/>
        <item x="494"/>
        <item x="450"/>
        <item x="431"/>
        <item x="483"/>
        <item x="506"/>
        <item x="453"/>
        <item x="496"/>
        <item x="443"/>
        <item x="427"/>
        <item x="400"/>
        <item x="442"/>
        <item x="407"/>
        <item x="454"/>
        <item x="492"/>
        <item x="465"/>
        <item x="415"/>
        <item x="487"/>
        <item x="426"/>
        <item x="495"/>
        <item x="414"/>
        <item x="479"/>
        <item x="489"/>
        <item x="409"/>
        <item x="458"/>
        <item x="399"/>
        <item x="402"/>
        <item x="429"/>
        <item x="471"/>
        <item x="425"/>
        <item x="392"/>
        <item x="478"/>
        <item x="468"/>
        <item x="436"/>
        <item x="440"/>
        <item x="389"/>
        <item x="505"/>
        <item x="499"/>
        <item x="396"/>
        <item x="437"/>
        <item x="459"/>
        <item x="421"/>
        <item x="498"/>
        <item x="430"/>
        <item x="419"/>
        <item x="473"/>
        <item x="491"/>
        <item x="438"/>
        <item x="507"/>
        <item x="418"/>
        <item x="501"/>
        <item x="444"/>
        <item x="493"/>
        <item x="411"/>
        <item x="466"/>
        <item x="420"/>
        <item x="451"/>
        <item x="469"/>
        <item x="452"/>
        <item x="457"/>
        <item x="401"/>
        <item x="488"/>
        <item x="422"/>
        <item x="470"/>
        <item x="509"/>
        <item x="404"/>
        <item x="455"/>
        <item x="510"/>
        <item x="410"/>
        <item x="439"/>
        <item x="467"/>
        <item x="423"/>
        <item x="472"/>
        <item x="441"/>
        <item x="484"/>
        <item x="390"/>
        <item x="446"/>
        <item x="405"/>
        <item x="490"/>
        <item x="395"/>
        <item x="434"/>
        <item x="412"/>
        <item x="424"/>
        <item x="476"/>
        <item x="432"/>
        <item x="388"/>
        <item x="481"/>
        <item x="435"/>
        <item x="504"/>
        <item x="416"/>
        <item x="448"/>
        <item x="477"/>
        <item x="398"/>
        <item x="447"/>
        <item x="461"/>
        <item x="428"/>
        <item x="460"/>
        <item x="486"/>
        <item x="508"/>
        <item x="515"/>
        <item x="534"/>
        <item x="513"/>
        <item x="565"/>
        <item x="558"/>
        <item x="556"/>
        <item x="599"/>
        <item x="596"/>
        <item x="536"/>
        <item x="577"/>
        <item x="574"/>
        <item x="537"/>
        <item x="547"/>
        <item x="533"/>
        <item x="583"/>
        <item x="595"/>
        <item x="518"/>
        <item x="549"/>
        <item x="535"/>
        <item x="529"/>
        <item x="527"/>
        <item x="582"/>
        <item x="524"/>
        <item x="544"/>
        <item x="561"/>
        <item x="516"/>
        <item x="570"/>
        <item x="591"/>
        <item x="539"/>
        <item x="532"/>
        <item x="541"/>
        <item x="593"/>
        <item x="600"/>
        <item x="525"/>
        <item x="559"/>
        <item x="519"/>
        <item x="567"/>
        <item x="592"/>
        <item x="568"/>
        <item x="560"/>
        <item x="551"/>
        <item x="530"/>
        <item x="545"/>
        <item x="563"/>
        <item x="521"/>
        <item x="586"/>
        <item x="523"/>
        <item x="552"/>
        <item x="512"/>
        <item x="526"/>
        <item x="575"/>
        <item x="571"/>
        <item x="553"/>
        <item x="531"/>
        <item x="566"/>
        <item x="581"/>
        <item x="564"/>
        <item x="555"/>
        <item x="514"/>
        <item x="590"/>
        <item x="587"/>
        <item x="597"/>
        <item x="548"/>
        <item x="576"/>
        <item x="520"/>
        <item x="573"/>
        <item x="589"/>
        <item x="540"/>
        <item x="538"/>
        <item x="562"/>
        <item x="588"/>
        <item x="578"/>
        <item x="579"/>
        <item x="569"/>
        <item x="557"/>
        <item x="594"/>
        <item x="522"/>
        <item x="546"/>
        <item x="543"/>
        <item x="598"/>
        <item x="511"/>
        <item x="517"/>
        <item x="528"/>
        <item x="580"/>
        <item x="550"/>
        <item x="585"/>
        <item x="554"/>
        <item x="584"/>
        <item x="572"/>
        <item x="542"/>
        <item t="default"/>
      </items>
    </pivotField>
    <pivotField numFmtId="164" showAll="0"/>
    <pivotField numFmtId="164" showAll="0"/>
    <pivotField numFmtId="164" showAll="0"/>
    <pivotField numFmtId="164" showAll="0">
      <items count="174">
        <item x="144"/>
        <item x="105"/>
        <item x="109"/>
        <item x="69"/>
        <item x="136"/>
        <item x="67"/>
        <item x="5"/>
        <item x="104"/>
        <item x="99"/>
        <item x="156"/>
        <item x="141"/>
        <item x="85"/>
        <item x="4"/>
        <item x="73"/>
        <item x="65"/>
        <item x="60"/>
        <item x="40"/>
        <item x="108"/>
        <item x="121"/>
        <item x="148"/>
        <item x="94"/>
        <item x="100"/>
        <item x="111"/>
        <item x="101"/>
        <item x="9"/>
        <item x="52"/>
        <item x="126"/>
        <item x="87"/>
        <item x="88"/>
        <item x="153"/>
        <item x="24"/>
        <item x="167"/>
        <item x="128"/>
        <item x="15"/>
        <item x="142"/>
        <item x="3"/>
        <item x="6"/>
        <item x="72"/>
        <item x="49"/>
        <item x="18"/>
        <item x="129"/>
        <item x="78"/>
        <item x="32"/>
        <item x="48"/>
        <item x="58"/>
        <item x="150"/>
        <item x="62"/>
        <item x="170"/>
        <item x="123"/>
        <item x="59"/>
        <item x="7"/>
        <item x="10"/>
        <item x="0"/>
        <item x="118"/>
        <item x="12"/>
        <item x="145"/>
        <item x="135"/>
        <item x="42"/>
        <item x="22"/>
        <item x="152"/>
        <item x="31"/>
        <item x="149"/>
        <item x="64"/>
        <item x="46"/>
        <item x="27"/>
        <item x="19"/>
        <item x="26"/>
        <item x="117"/>
        <item x="47"/>
        <item x="107"/>
        <item x="134"/>
        <item x="75"/>
        <item x="158"/>
        <item x="34"/>
        <item x="76"/>
        <item x="93"/>
        <item x="39"/>
        <item x="53"/>
        <item x="133"/>
        <item x="90"/>
        <item x="1"/>
        <item x="36"/>
        <item x="37"/>
        <item x="98"/>
        <item x="35"/>
        <item x="146"/>
        <item x="125"/>
        <item x="57"/>
        <item x="114"/>
        <item x="66"/>
        <item x="11"/>
        <item x="45"/>
        <item x="63"/>
        <item x="33"/>
        <item x="79"/>
        <item x="61"/>
        <item x="127"/>
        <item x="96"/>
        <item x="14"/>
        <item x="28"/>
        <item x="103"/>
        <item x="97"/>
        <item x="122"/>
        <item x="25"/>
        <item x="110"/>
        <item x="120"/>
        <item x="43"/>
        <item x="139"/>
        <item x="54"/>
        <item x="81"/>
        <item x="130"/>
        <item x="70"/>
        <item x="82"/>
        <item x="124"/>
        <item x="95"/>
        <item x="83"/>
        <item x="131"/>
        <item x="21"/>
        <item x="38"/>
        <item x="169"/>
        <item x="2"/>
        <item x="29"/>
        <item x="74"/>
        <item x="30"/>
        <item x="55"/>
        <item x="71"/>
        <item x="157"/>
        <item x="17"/>
        <item x="106"/>
        <item x="86"/>
        <item x="84"/>
        <item x="89"/>
        <item x="91"/>
        <item x="77"/>
        <item x="80"/>
        <item x="68"/>
        <item x="147"/>
        <item x="56"/>
        <item x="8"/>
        <item x="168"/>
        <item x="132"/>
        <item x="102"/>
        <item x="166"/>
        <item x="20"/>
        <item x="155"/>
        <item x="13"/>
        <item x="51"/>
        <item x="119"/>
        <item x="159"/>
        <item x="16"/>
        <item x="50"/>
        <item x="112"/>
        <item x="165"/>
        <item x="151"/>
        <item x="41"/>
        <item x="171"/>
        <item x="113"/>
        <item x="163"/>
        <item x="164"/>
        <item x="115"/>
        <item x="92"/>
        <item x="116"/>
        <item x="138"/>
        <item x="162"/>
        <item x="154"/>
        <item x="23"/>
        <item x="140"/>
        <item x="143"/>
        <item x="137"/>
        <item x="172"/>
        <item x="161"/>
        <item x="160"/>
        <item x="44"/>
        <item t="default"/>
      </items>
    </pivotField>
    <pivotField numFmtId="164" showAll="0">
      <items count="210">
        <item x="8"/>
        <item x="35"/>
        <item x="156"/>
        <item x="207"/>
        <item x="137"/>
        <item x="102"/>
        <item x="15"/>
        <item x="12"/>
        <item x="42"/>
        <item x="47"/>
        <item x="79"/>
        <item x="43"/>
        <item x="34"/>
        <item x="72"/>
        <item x="73"/>
        <item x="189"/>
        <item x="159"/>
        <item x="97"/>
        <item x="111"/>
        <item x="77"/>
        <item x="19"/>
        <item x="52"/>
        <item x="63"/>
        <item x="37"/>
        <item x="98"/>
        <item x="18"/>
        <item x="115"/>
        <item x="166"/>
        <item x="53"/>
        <item x="171"/>
        <item x="188"/>
        <item x="20"/>
        <item x="61"/>
        <item x="66"/>
        <item x="58"/>
        <item x="104"/>
        <item x="154"/>
        <item x="14"/>
        <item x="89"/>
        <item x="93"/>
        <item x="198"/>
        <item x="176"/>
        <item x="83"/>
        <item x="160"/>
        <item x="32"/>
        <item x="3"/>
        <item x="180"/>
        <item x="59"/>
        <item x="113"/>
        <item x="33"/>
        <item x="26"/>
        <item x="155"/>
        <item x="192"/>
        <item x="1"/>
        <item x="153"/>
        <item x="158"/>
        <item x="36"/>
        <item x="49"/>
        <item x="143"/>
        <item x="81"/>
        <item x="51"/>
        <item x="80"/>
        <item x="95"/>
        <item x="101"/>
        <item x="69"/>
        <item x="68"/>
        <item x="182"/>
        <item x="157"/>
        <item x="99"/>
        <item x="107"/>
        <item x="67"/>
        <item x="196"/>
        <item x="13"/>
        <item x="88"/>
        <item x="48"/>
        <item x="191"/>
        <item x="108"/>
        <item x="84"/>
        <item x="2"/>
        <item x="120"/>
        <item x="132"/>
        <item x="85"/>
        <item x="184"/>
        <item x="90"/>
        <item x="200"/>
        <item x="109"/>
        <item x="57"/>
        <item x="39"/>
        <item x="23"/>
        <item x="114"/>
        <item x="183"/>
        <item x="142"/>
        <item x="138"/>
        <item x="110"/>
        <item x="9"/>
        <item x="21"/>
        <item x="11"/>
        <item x="178"/>
        <item x="25"/>
        <item x="151"/>
        <item x="7"/>
        <item x="121"/>
        <item x="146"/>
        <item x="0"/>
        <item x="28"/>
        <item x="4"/>
        <item x="76"/>
        <item x="86"/>
        <item x="10"/>
        <item x="60"/>
        <item x="87"/>
        <item x="128"/>
        <item x="75"/>
        <item x="50"/>
        <item x="5"/>
        <item x="62"/>
        <item x="6"/>
        <item x="172"/>
        <item x="119"/>
        <item x="122"/>
        <item x="131"/>
        <item x="185"/>
        <item x="147"/>
        <item x="30"/>
        <item x="64"/>
        <item x="129"/>
        <item x="22"/>
        <item x="16"/>
        <item x="71"/>
        <item x="24"/>
        <item x="186"/>
        <item x="163"/>
        <item x="55"/>
        <item x="194"/>
        <item x="193"/>
        <item x="187"/>
        <item x="44"/>
        <item x="105"/>
        <item x="134"/>
        <item x="70"/>
        <item x="150"/>
        <item x="40"/>
        <item x="168"/>
        <item x="116"/>
        <item x="141"/>
        <item x="162"/>
        <item x="202"/>
        <item x="82"/>
        <item x="170"/>
        <item x="29"/>
        <item x="17"/>
        <item x="148"/>
        <item x="78"/>
        <item x="201"/>
        <item x="106"/>
        <item x="169"/>
        <item x="124"/>
        <item x="175"/>
        <item x="74"/>
        <item x="27"/>
        <item x="38"/>
        <item x="135"/>
        <item x="203"/>
        <item x="140"/>
        <item x="177"/>
        <item x="117"/>
        <item x="127"/>
        <item x="46"/>
        <item x="45"/>
        <item x="173"/>
        <item x="41"/>
        <item x="161"/>
        <item x="118"/>
        <item x="165"/>
        <item x="197"/>
        <item x="195"/>
        <item x="136"/>
        <item x="112"/>
        <item x="167"/>
        <item x="130"/>
        <item x="133"/>
        <item x="179"/>
        <item x="56"/>
        <item x="190"/>
        <item x="199"/>
        <item x="91"/>
        <item x="204"/>
        <item x="31"/>
        <item x="152"/>
        <item x="94"/>
        <item x="164"/>
        <item x="149"/>
        <item x="139"/>
        <item x="208"/>
        <item x="54"/>
        <item x="65"/>
        <item x="103"/>
        <item x="181"/>
        <item x="92"/>
        <item x="100"/>
        <item x="126"/>
        <item x="145"/>
        <item x="206"/>
        <item x="96"/>
        <item x="125"/>
        <item x="205"/>
        <item x="174"/>
        <item x="123"/>
        <item x="144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pageFields count="1">
    <pageField fld="11" hier="-1"/>
  </pageFields>
  <dataFields count="1">
    <dataField name="Cuenta de Número de Orden" fld="10" subtotal="count" baseField="5" baseItem="0"/>
  </dataFields>
  <formats count="5"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6" type="button" dataOnly="0" labelOnly="1" outline="0"/>
    </format>
    <format dxfId="85">
      <pivotArea dataOnly="0" labelOnly="1" grandRow="1" outline="0" fieldPosition="0"/>
    </format>
    <format dxfId="84">
      <pivotArea dataOnly="0" labelOnly="1" outline="0" axis="axisValues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7E71A-9E2F-408E-93DA-FFABB8B1E31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1:R18" firstHeaderRow="1" firstDataRow="1" firstDataCol="0"/>
  <pivotFields count="13"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numFmtId="2"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C3475-A230-48D3-82FD-9BA9C1FA4733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J4" firstHeaderRow="0" firstDataRow="1" firstDataCol="0"/>
  <pivotFields count="11">
    <pivotField showAll="0">
      <items count="7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numFmtId="9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Porcentaje ganancia" fld="10" baseField="0" baseItem="0"/>
    <dataField name="Suma de Ganancia bruta" fld="8" baseField="0" baseItem="0"/>
    <dataField name="Suma de Costo Unitari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795E7-88DB-4BF1-B913-89C0E9B5C209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771" firstHeaderRow="1" firstDataRow="1" firstDataCol="1"/>
  <pivotFields count="11">
    <pivotField axis="axisRow" showAll="0">
      <items count="7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</pivotFields>
  <rowFields count="1">
    <field x="0"/>
  </rowFields>
  <rowItems count="7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 t="grand">
      <x/>
    </i>
  </rowItems>
  <colItems count="1">
    <i/>
  </colItems>
  <dataFields count="1">
    <dataField name="Suma de Tiempo de Preparació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A2CE4-FFAC-4542-A1A7-D720EA9F33F9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771" firstHeaderRow="1" firstDataRow="1" firstDataCol="1"/>
  <pivotFields count="11">
    <pivotField axis="axisRow" showAll="0">
      <items count="7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</pivotFields>
  <rowFields count="1">
    <field x="0"/>
  </rowFields>
  <rowItems count="7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 t="grand">
      <x/>
    </i>
  </rowItems>
  <colItems count="1">
    <i/>
  </colItems>
  <dataFields count="1">
    <dataField name="Suma de Ganancia neta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4A025240-A68C-43D9-86C2-F2F2FA1853C2}" autoFormatId="16" applyNumberFormats="0" applyBorderFormats="0" applyFontFormats="0" applyPatternFormats="0" applyAlignmentFormats="0" applyWidthHeightFormats="0">
  <queryTableRefresh nextId="13" unboundColumnsRight="3">
    <queryTableFields count="11">
      <queryTableField id="1" name="N√∫mero de Orden" tableColumnId="1"/>
      <queryTableField id="2" name="N√∫mero de Mesa" tableColumnId="2"/>
      <queryTableField id="3" name="Nombre del Plato" tableColumnId="3"/>
      <queryTableField id="4" name="Descripci√≥n del Plato" tableColumnId="4"/>
      <queryTableField id="5" name="Costo Unitario" tableColumnId="5"/>
      <queryTableField id="6" name="Precio Unitario" tableColumnId="6"/>
      <queryTableField id="7" name="Cantidad Ordenada" tableColumnId="7"/>
      <queryTableField id="8" name="Tiempo de Preparaci√≥n" tableColumnId="8"/>
      <queryTableField id="10" dataBound="0" tableColumnId="10"/>
      <queryTableField id="11" dataBound="0" tableColumnId="11"/>
      <queryTableField id="12" dataBound="0" tableColumnId="12"/>
    </queryTableFields>
    <queryTableDeletedFields count="1">
      <deletedField name="Observacione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C1096C62-4526-40A0-B5BA-286948AB0A74}" autoFormatId="16" applyNumberFormats="0" applyBorderFormats="0" applyFontFormats="0" applyPatternFormats="0" applyAlignmentFormats="0" applyWidthHeightFormats="0">
  <queryTableRefresh nextId="10">
    <queryTableFields count="9">
      <queryTableField id="1" name="N√∫mero de Orden" tableColumnId="1"/>
      <queryTableField id="2" name="N√∫mero de Mesa" tableColumnId="2"/>
      <queryTableField id="3" name="Nombre del Plato" tableColumnId="3"/>
      <queryTableField id="4" name="Descripci√≥n del Plato" tableColumnId="4"/>
      <queryTableField id="5" name="Costo Unitario" tableColumnId="5"/>
      <queryTableField id="6" name="Precio Unitario" tableColumnId="6"/>
      <queryTableField id="7" name="Cantidad Ordenada" tableColumnId="7"/>
      <queryTableField id="8" name="Tiempo de Preparaci√≥n" tableColumnId="8"/>
      <queryTableField id="9" name="Observaciones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_de_Origen1" xr10:uid="{7C17D2ED-9BD4-48E1-9D11-3C41165CE32D}" sourceName="País de Origen">
  <pivotTables>
    <pivotTable tabId="17" name="TablaDinámica20"/>
  </pivotTables>
  <data>
    <tabular pivotCacheId="1448079903">
      <items count="11">
        <i x="10"/>
        <i x="6"/>
        <i x="2"/>
        <i x="9"/>
        <i x="1"/>
        <i x="8"/>
        <i x="0" s="1"/>
        <i x="3"/>
        <i x="4"/>
        <i x="7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 de Origen 1" xr10:uid="{DF7AAFA3-5987-4561-BC09-A02858D6136B}" cache="SegmentaciónDeDatos_País_de_Origen1" caption="País de Origen" startItem="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7E27F2-9899-4CA8-B571-75850C8C6E2F}" name="spaces_3iWczBNnn5rbfoUlE0Jd_uploads_git_blob_d9e80ffbcef8a4adc6d29edd78618add5df6" displayName="spaces_3iWczBNnn5rbfoUlE0Jd_uploads_git_blob_d9e80ffbcef8a4adc6d29edd78618add5df6" ref="A1:K1903" tableType="queryTable" totalsRowShown="0">
  <autoFilter ref="A1:K1903" xr:uid="{FE7E27F2-9899-4CA8-B571-75850C8C6E2F}"/>
  <sortState xmlns:xlrd2="http://schemas.microsoft.com/office/spreadsheetml/2017/richdata2" ref="A2:K1903">
    <sortCondition ref="A2:A1903"/>
  </sortState>
  <tableColumns count="11">
    <tableColumn id="1" xr3:uid="{CA2B9B3A-3A66-4D34-835F-50B8B5E99F1B}" uniqueName="1" name="Número de Orden" queryTableFieldId="1"/>
    <tableColumn id="2" xr3:uid="{C7FF9202-FC29-4290-86AD-EEA00CE6979E}" uniqueName="2" name="Número de Mesa" queryTableFieldId="2"/>
    <tableColumn id="3" xr3:uid="{99896484-CAF6-4C41-B639-8245EF890E66}" uniqueName="3" name="Nombre del Plato" queryTableFieldId="3" dataDxfId="179"/>
    <tableColumn id="4" xr3:uid="{5DDE230C-F9DC-409D-84CE-17F873530222}" uniqueName="4" name="Descripción del Plato" queryTableFieldId="4" dataDxfId="178"/>
    <tableColumn id="5" xr3:uid="{1D3E8E52-7281-47A1-9E41-5AA207E9E645}" uniqueName="5" name="Costo Unitario" queryTableFieldId="5"/>
    <tableColumn id="6" xr3:uid="{EA814B63-F650-447E-92CC-C6D13F65148F}" uniqueName="6" name="Precio Unitario" queryTableFieldId="6"/>
    <tableColumn id="7" xr3:uid="{45DDACAD-34E3-4225-A00A-DA440133D62F}" uniqueName="7" name="Cantidad Ordenada" queryTableFieldId="7"/>
    <tableColumn id="8" xr3:uid="{D3F8769F-21E0-4836-9F15-7BB23701DD0E}" uniqueName="8" name="Tiempo de Preparación" queryTableFieldId="8"/>
    <tableColumn id="10" xr3:uid="{89D37355-54D2-4064-8CFA-934B27FC4755}" uniqueName="10" name="Ganancia bruta" queryTableFieldId="10">
      <calculatedColumnFormula>spaces_3iWczBNnn5rbfoUlE0Jd_uploads_git_blob_d9e80ffbcef8a4adc6d29edd78618add5df6[[#This Row],[Precio Unitario]]*spaces_3iWczBNnn5rbfoUlE0Jd_uploads_git_blob_d9e80ffbcef8a4adc6d29edd78618add5df6[[#This Row],[Cantidad Ordenada]]</calculatedColumnFormula>
    </tableColumn>
    <tableColumn id="11" xr3:uid="{990CA30E-ACE5-4574-A122-67EA900E7D30}" uniqueName="11" name="Ganancia neta" queryTableFieldId="11">
      <calculatedColumnFormula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calculatedColumnFormula>
    </tableColumn>
    <tableColumn id="12" xr3:uid="{4423DF0A-BE5F-4E9C-AB94-1A1F8ACC8E56}" uniqueName="12" name="Porcentaje ganancia" queryTableFieldId="12">
      <calculatedColumnFormula>(spaces_3iWczBNnn5rbfoUlE0Jd_uploads_git_blob_d9e80ffbcef8a4adc6d29edd78618add5df6[[#This Row],[Ganancia neta]]/spaces_3iWczBNnn5rbfoUlE0Jd_uploads_git_blob_d9e80ffbcef8a4adc6d29edd78618add5df6[[#This Row],[Ganancia bruta]])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76740D-F801-4EA6-830D-7A9B03BE549B}" name="spaces_3iWczBNnn5rbfoUlE0Jd_uploads_git_blob_9864c7f811c613c3faab876659c6423__25" displayName="spaces_3iWczBNnn5rbfoUlE0Jd_uploads_git_blob_9864c7f811c613c3faab876659c6423__25" ref="A1:U768" totalsRowShown="0">
  <sortState xmlns:xlrd2="http://schemas.microsoft.com/office/spreadsheetml/2017/richdata2" ref="A2:U768">
    <sortCondition ref="K2:K768"/>
  </sortState>
  <tableColumns count="21">
    <tableColumn id="1" xr3:uid="{09537950-63DC-4340-A1CF-C1E0F2DC9FA8}" name="Número de Mesa" dataDxfId="177"/>
    <tableColumn id="2" xr3:uid="{45C8D438-AD21-4481-91E8-D2633E93BD56}" name="Nombre del Cliente" dataDxfId="176"/>
    <tableColumn id="3" xr3:uid="{480DBB9F-9755-40F1-8391-D2FAB9C5DBA7}" name="Número de Comensales" dataDxfId="175"/>
    <tableColumn id="4" xr3:uid="{A87F7A1E-1231-4D4E-8A31-0D4A510D0B8B}" name="Hora de Llegada" dataDxfId="174"/>
    <tableColumn id="5" xr3:uid="{C2169DC4-8255-4AD3-847D-AB63C9D03B65}" name="Hora de Salida" dataDxfId="173"/>
    <tableColumn id="6" xr3:uid="{9E0A09B0-EB7C-4E15-A700-8C439F67EE89}" name="Mesero Asignado" dataDxfId="172"/>
    <tableColumn id="7" xr3:uid="{8E391922-FDA1-4013-A36F-9413DF62493E}" name="Tipo de Servicio" dataDxfId="171"/>
    <tableColumn id="8" xr3:uid="{58E805E1-B74C-4339-B4D2-2AD27CD985EB}" name="Método de Pago" dataDxfId="170"/>
    <tableColumn id="9" xr3:uid="{622B6E5B-E16C-440C-87CD-B4001D2E1410}" name="Propina" dataDxfId="169"/>
    <tableColumn id="10" xr3:uid="{49FE07E6-7179-4A16-B061-96CA7FEA8EC7}" name="Estado de la Mesa" dataDxfId="168"/>
    <tableColumn id="11" xr3:uid="{3F2AEC75-EC68-4C65-9E12-4DFE62BFA122}" name="Número de Orden" dataDxfId="167"/>
    <tableColumn id="13" xr3:uid="{9AA5C8EB-92D3-4189-8B72-F18D683E939C}" name="País de Origen" dataDxfId="166"/>
    <tableColumn id="14" xr3:uid="{00F38555-0C48-4C3C-9D99-EFABB466609D}" name="Platos Ordenados" dataDxfId="165"/>
    <tableColumn id="17" xr3:uid="{4D1062C8-1EBF-4F74-B1B9-54EA8358CE75}" name="Monto total " dataDxfId="164">
      <calculatedColumnFormula>_xlfn.XLOOKUP(spaces_3iWczBNnn5rbfoUlE0Jd_uploads_git_blob_9864c7f811c613c3faab876659c6423__25[[#This Row],[Número de Orden]],Cocinadinamica!B3:B771,Cocinadinamica!C3:C771)</calculatedColumnFormula>
    </tableColumn>
    <tableColumn id="18" xr3:uid="{73EAC0A9-995C-47F6-919E-7F04E8DBEBC6}" name="Fecha de factura" dataDxfId="163">
      <calculatedColumnFormula>spaces_3iWczBNnn5rbfoUlE0Jd_uploads_git_blob_9864c7f811c613c3faab876659c6423__25[[#This Row],[Hora de Llegada]]</calculatedColumnFormula>
    </tableColumn>
    <tableColumn id="12" xr3:uid="{9752C5D5-B2D5-46AE-A2BC-EAE5254A0362}" name="Hora de llegada2" dataDxfId="162">
      <calculatedColumnFormula>spaces_3iWczBNnn5rbfoUlE0Jd_uploads_git_blob_9864c7f811c613c3faab876659c6423__25[[#This Row],[Hora de Llegada]]</calculatedColumnFormula>
    </tableColumn>
    <tableColumn id="19" xr3:uid="{C09DBFD7-6275-4E79-A7FA-8EE37D9B3016}" name="Hora de salida2" dataDxfId="161">
      <calculatedColumnFormula>spaces_3iWczBNnn5rbfoUlE0Jd_uploads_git_blob_9864c7f811c613c3faab876659c6423__25[[#This Row],[Hora de Salida]]</calculatedColumnFormula>
    </tableColumn>
    <tableColumn id="20" xr3:uid="{A4A1574D-68C7-4238-8E73-C673F3D0577D}" name="Tiempo de permanencia" dataDxfId="160">
      <calculatedColumnFormula array="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calculatedColumnFormula>
    </tableColumn>
    <tableColumn id="21" xr3:uid="{FBCDE5EA-0D36-42B9-90E6-3A4817CF1F3C}" name="Tiempo de preparación total" dataDxfId="159">
      <calculatedColumnFormula>_xlfn.XLOOKUP(spaces_3iWczBNnn5rbfoUlE0Jd_uploads_git_blob_9864c7f811c613c3faab876659c6423__25[[#This Row],[Número de Orden]],Cocinadinamica!E3:E771,Cocinadinamica!F3:F771)/1440</calculatedColumnFormula>
    </tableColumn>
    <tableColumn id="22" xr3:uid="{3C2A14AF-DFA8-4D59-A9D5-43ACEE6A09F6}" name="Tiempo degustación" dataDxfId="158">
      <calculatedColumnFormula array="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calculatedColumnFormula>
    </tableColumn>
    <tableColumn id="23" xr3:uid="{1E0E45FD-70A0-47D5-97C5-4F26F1B02F26}" name="Mesa pagada" dataDxfId="157">
      <calculatedColumnFormula array="1">_xlfn.IFS(spaces_3iWczBNnn5rbfoUlE0Jd_uploads_git_blob_9864c7f811c613c3faab876659c6423__25[[#This Row],[Tiempo degustación]]=0,"NO PAGADA",spaces_3iWczBNnn5rbfoUlE0Jd_uploads_git_blob_9864c7f811c613c3faab876659c6423__25[[#This Row],[Tiempo degustación]]&gt;0, "PAGADA")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906142-B9BB-47AE-B62B-BE40AD7BC88C}" name="Tabla37" displayName="Tabla37" ref="A1:M768" totalsRowShown="0" headerRowDxfId="50" dataDxfId="49" tableBorderDxfId="48">
  <autoFilter ref="A1:M768" xr:uid="{A5906142-B9BB-47AE-B62B-BE40AD7BC88C}"/>
  <sortState xmlns:xlrd2="http://schemas.microsoft.com/office/spreadsheetml/2017/richdata2" ref="A2:M768">
    <sortCondition ref="A2:A768"/>
  </sortState>
  <tableColumns count="13">
    <tableColumn id="1" xr3:uid="{F0449573-4C7D-4149-B737-541CFF117AD5}" name="Número de Mesa" dataDxfId="47"/>
    <tableColumn id="2" xr3:uid="{BC288860-44E7-4414-8EDC-63DB08674B61}" name="Nombre del Cliente" dataDxfId="46"/>
    <tableColumn id="3" xr3:uid="{54968750-0D00-4646-9367-A6DA4FBC3EA7}" name="Número de Comensales" dataDxfId="45"/>
    <tableColumn id="4" xr3:uid="{5273468D-862C-4C89-9DC1-4B42F71CC461}" name="Hora de Llegada" dataDxfId="44"/>
    <tableColumn id="5" xr3:uid="{6F9562FC-3EF3-4B3E-8CF1-972C84726E7E}" name="Hora de Salida" dataDxfId="43"/>
    <tableColumn id="6" xr3:uid="{CE1A34FD-DD88-40CB-B587-72F2A404F4F2}" name="Mesero Asignado" dataDxfId="42"/>
    <tableColumn id="7" xr3:uid="{6E83175E-EA2B-4BF2-923A-F1D13B502EAB}" name="Tipo de Servicio" dataDxfId="41"/>
    <tableColumn id="8" xr3:uid="{C6E33E84-8BF1-41CC-91F6-35576C204068}" name="Método de Pago" dataDxfId="40"/>
    <tableColumn id="9" xr3:uid="{9E0E3C13-1A85-49DA-B774-113205FC36BA}" name="Propina" dataDxfId="39"/>
    <tableColumn id="10" xr3:uid="{400E102D-2A1A-4F9F-AB89-9E38F6F91F72}" name="Estado de la Mesa" dataDxfId="38"/>
    <tableColumn id="11" xr3:uid="{B096CA37-885F-45F4-AC9A-87A9D3CBC077}" name="Número de Orden" dataDxfId="37"/>
    <tableColumn id="12" xr3:uid="{CAC23E6E-352B-458C-BC23-B24BF25506E5}" name="País de Origen" dataDxfId="36"/>
    <tableColumn id="13" xr3:uid="{8C7B090E-CCEB-4DC5-B1B2-D7082BBA61E4}" name="Platos Ordenados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773262-C025-404D-92C0-2B883714B783}" name="Tabla3" displayName="Tabla3" ref="A1:M768" totalsRowShown="0" headerRowDxfId="34" dataDxfId="33" tableBorderDxfId="32">
  <autoFilter ref="A1:M768" xr:uid="{52773262-C025-404D-92C0-2B883714B783}"/>
  <tableColumns count="13">
    <tableColumn id="1" xr3:uid="{B402F976-1E4E-4859-AC3C-DE995EE721D3}" name="Número de Mesa" dataDxfId="31"/>
    <tableColumn id="2" xr3:uid="{C217188A-9576-467A-BF3B-167DFC19A623}" name="Nombre del Cliente" dataDxfId="30"/>
    <tableColumn id="3" xr3:uid="{38F37CC2-24B7-444A-B14E-E2EAA63D4FA9}" name="Número de Comensales" dataDxfId="29"/>
    <tableColumn id="4" xr3:uid="{9B02B6C6-EF1F-4330-8940-0CB0EED85C2D}" name="Hora de Llegada" dataDxfId="28"/>
    <tableColumn id="5" xr3:uid="{23B41B01-15E0-410B-A7F0-534BBE0DC4C7}" name="Hora de Salida" dataDxfId="27"/>
    <tableColumn id="6" xr3:uid="{CE93724E-2472-422C-8150-37BDA6616FAB}" name="Mesero Asignado" dataDxfId="26"/>
    <tableColumn id="7" xr3:uid="{99149D67-E73D-4A9D-9CA7-252D7E283708}" name="Tipo de Servicio" dataDxfId="25"/>
    <tableColumn id="8" xr3:uid="{676FF0DA-AE22-43F2-907D-F3590F3FF7CD}" name="Método de Pago" dataDxfId="24"/>
    <tableColumn id="9" xr3:uid="{1EEA941E-B7FA-4BCB-88F3-0084789705C4}" name="Propina" dataDxfId="23"/>
    <tableColumn id="10" xr3:uid="{83A59322-2127-4E96-9B05-313421694042}" name="Estado de la Mesa" dataDxfId="22"/>
    <tableColumn id="11" xr3:uid="{88FE94FB-F80E-4106-95D0-F5CF5586BED4}" name="Número de Orden" dataDxfId="21"/>
    <tableColumn id="12" xr3:uid="{846F55F8-61CF-4235-BC9E-EC011174A22B}" name="País de Origen" dataDxfId="20"/>
    <tableColumn id="13" xr3:uid="{8F440BFF-9180-4ECA-9A20-CD6E290978CB}" name="Platos Ordenados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E4A99-1856-4F09-9249-09F411CFBCB7}" name="spaces_3iWczBNnn5rbfoUlE0Jd_uploads_git_blob_d9e80ffbcef8a4adc6d29edd78618add5df" displayName="spaces_3iWczBNnn5rbfoUlE0Jd_uploads_git_blob_d9e80ffbcef8a4adc6d29edd78618add5df" ref="A1:I1903" tableType="queryTable" totalsRowShown="0">
  <autoFilter ref="A1:I1903" xr:uid="{0D1E4A99-1856-4F09-9249-09F411CFBCB7}"/>
  <tableColumns count="9">
    <tableColumn id="1" xr3:uid="{09F6CCF7-2067-4D34-B8DC-9B6AA24F0B75}" uniqueName="1" name="N√∫mero de Orden" queryTableFieldId="1"/>
    <tableColumn id="2" xr3:uid="{F2774E47-3D17-423D-B087-DD3531D3389F}" uniqueName="2" name="N√∫mero de Mesa" queryTableFieldId="2"/>
    <tableColumn id="3" xr3:uid="{8C69E1AD-09B4-443C-B20F-6B618B773BAD}" uniqueName="3" name="Nombre del Plato" queryTableFieldId="3" dataDxfId="18"/>
    <tableColumn id="4" xr3:uid="{FD357C79-A985-4849-A6AF-EEFC98D474F8}" uniqueName="4" name="Descripci√≥n del Plato" queryTableFieldId="4" dataDxfId="17"/>
    <tableColumn id="5" xr3:uid="{CA9F5CAD-4D3D-4805-8C38-1C92A477EFBA}" uniqueName="5" name="Costo Unitario" queryTableFieldId="5"/>
    <tableColumn id="6" xr3:uid="{DCF95791-9DEF-4BD0-973E-555CABDA08D8}" uniqueName="6" name="Precio Unitario" queryTableFieldId="6"/>
    <tableColumn id="7" xr3:uid="{0F20E23C-5788-4B2B-82EA-D129DEE12E85}" uniqueName="7" name="Cantidad Ordenada" queryTableFieldId="7"/>
    <tableColumn id="8" xr3:uid="{E87D677C-2CE1-49BA-89D0-E23FBD1801CF}" uniqueName="8" name="Tiempo de Preparaci√≥n" queryTableFieldId="8"/>
    <tableColumn id="9" xr3:uid="{8DD96E85-58A6-48A6-B202-FEF45EC99B0C}" uniqueName="9" name="Observaciones" queryTableFieldId="9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5990-B0C3-49BD-9F34-6844B09AD3FE}">
  <dimension ref="A1:I11"/>
  <sheetViews>
    <sheetView workbookViewId="0">
      <selection activeCell="G11" sqref="G11"/>
    </sheetView>
  </sheetViews>
  <sheetFormatPr baseColWidth="10" defaultRowHeight="14.5" x14ac:dyDescent="0.35"/>
  <sheetData>
    <row r="1" spans="1:9" x14ac:dyDescent="0.35">
      <c r="A1" s="2" t="s">
        <v>1229</v>
      </c>
    </row>
    <row r="2" spans="1:9" x14ac:dyDescent="0.35">
      <c r="A2" s="1" t="s">
        <v>1230</v>
      </c>
      <c r="I2" s="1" t="s">
        <v>1235</v>
      </c>
    </row>
    <row r="3" spans="1:9" x14ac:dyDescent="0.35">
      <c r="A3" t="s">
        <v>1231</v>
      </c>
      <c r="I3" t="s">
        <v>1231</v>
      </c>
    </row>
    <row r="4" spans="1:9" x14ac:dyDescent="0.35">
      <c r="A4" t="s">
        <v>1790</v>
      </c>
      <c r="I4" t="s">
        <v>1238</v>
      </c>
    </row>
    <row r="5" spans="1:9" x14ac:dyDescent="0.35">
      <c r="A5" t="s">
        <v>1791</v>
      </c>
      <c r="I5" t="s">
        <v>1243</v>
      </c>
    </row>
    <row r="6" spans="1:9" x14ac:dyDescent="0.35">
      <c r="A6" t="s">
        <v>1792</v>
      </c>
      <c r="I6" t="s">
        <v>1239</v>
      </c>
    </row>
    <row r="7" spans="1:9" x14ac:dyDescent="0.35">
      <c r="A7" t="s">
        <v>1793</v>
      </c>
      <c r="I7" t="s">
        <v>1240</v>
      </c>
    </row>
    <row r="8" spans="1:9" x14ac:dyDescent="0.35">
      <c r="A8" t="s">
        <v>1794</v>
      </c>
      <c r="I8" t="s">
        <v>1242</v>
      </c>
    </row>
    <row r="9" spans="1:9" x14ac:dyDescent="0.35">
      <c r="A9" t="s">
        <v>1795</v>
      </c>
    </row>
    <row r="10" spans="1:9" x14ac:dyDescent="0.35">
      <c r="A10" t="s">
        <v>1818</v>
      </c>
    </row>
    <row r="11" spans="1:9" x14ac:dyDescent="0.35">
      <c r="A11" t="s">
        <v>1819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0683-640A-440F-A1BF-C13680742466}">
  <dimension ref="A1:K1903"/>
  <sheetViews>
    <sheetView workbookViewId="0">
      <selection activeCell="C2" sqref="C2"/>
    </sheetView>
  </sheetViews>
  <sheetFormatPr baseColWidth="10" defaultRowHeight="14.5" x14ac:dyDescent="0.35"/>
  <sheetData>
    <row r="1" spans="1:11" x14ac:dyDescent="0.35">
      <c r="A1" t="s">
        <v>61</v>
      </c>
      <c r="B1" t="s">
        <v>51</v>
      </c>
      <c r="C1" t="s">
        <v>2</v>
      </c>
      <c r="D1" t="s">
        <v>1796</v>
      </c>
      <c r="E1" t="s">
        <v>4</v>
      </c>
      <c r="F1" t="s">
        <v>5</v>
      </c>
      <c r="G1" t="s">
        <v>6</v>
      </c>
      <c r="H1" t="s">
        <v>1248</v>
      </c>
      <c r="I1" t="s">
        <v>1233</v>
      </c>
      <c r="J1" t="s">
        <v>1232</v>
      </c>
      <c r="K1" t="s">
        <v>1234</v>
      </c>
    </row>
    <row r="2" spans="1:11" x14ac:dyDescent="0.35">
      <c r="A2">
        <v>1</v>
      </c>
      <c r="B2">
        <v>10</v>
      </c>
      <c r="C2" t="s">
        <v>12</v>
      </c>
      <c r="D2" t="s">
        <v>1797</v>
      </c>
      <c r="E2">
        <v>18</v>
      </c>
      <c r="F2">
        <v>30</v>
      </c>
      <c r="G2">
        <v>3</v>
      </c>
      <c r="H2">
        <v>32</v>
      </c>
      <c r="I2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" spans="1:11" x14ac:dyDescent="0.35">
      <c r="A3">
        <v>1</v>
      </c>
      <c r="B3">
        <v>10</v>
      </c>
      <c r="C3" t="s">
        <v>9</v>
      </c>
      <c r="D3" t="s">
        <v>1798</v>
      </c>
      <c r="E3">
        <v>14</v>
      </c>
      <c r="F3">
        <v>24</v>
      </c>
      <c r="G3">
        <v>2</v>
      </c>
      <c r="H3">
        <v>25</v>
      </c>
      <c r="I3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4" spans="1:11" x14ac:dyDescent="0.35">
      <c r="A4">
        <v>2</v>
      </c>
      <c r="B4">
        <v>6</v>
      </c>
      <c r="C4" t="s">
        <v>15</v>
      </c>
      <c r="D4" t="s">
        <v>1799</v>
      </c>
      <c r="E4">
        <v>19</v>
      </c>
      <c r="F4">
        <v>31</v>
      </c>
      <c r="G4">
        <v>1</v>
      </c>
      <c r="H4">
        <v>51</v>
      </c>
      <c r="I4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5" spans="1:11" x14ac:dyDescent="0.35">
      <c r="A5">
        <v>2</v>
      </c>
      <c r="B5">
        <v>6</v>
      </c>
      <c r="C5" t="s">
        <v>17</v>
      </c>
      <c r="D5" t="s">
        <v>1800</v>
      </c>
      <c r="E5">
        <v>16</v>
      </c>
      <c r="F5">
        <v>27</v>
      </c>
      <c r="G5">
        <v>1</v>
      </c>
      <c r="H5">
        <v>34</v>
      </c>
      <c r="I5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5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6" spans="1:11" x14ac:dyDescent="0.35">
      <c r="A6">
        <v>3</v>
      </c>
      <c r="B6">
        <v>20</v>
      </c>
      <c r="C6" t="s">
        <v>15</v>
      </c>
      <c r="D6" t="s">
        <v>1799</v>
      </c>
      <c r="E6">
        <v>19</v>
      </c>
      <c r="F6">
        <v>31</v>
      </c>
      <c r="G6">
        <v>1</v>
      </c>
      <c r="H6">
        <v>27</v>
      </c>
      <c r="I6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" spans="1:11" x14ac:dyDescent="0.35">
      <c r="A7">
        <v>3</v>
      </c>
      <c r="B7">
        <v>20</v>
      </c>
      <c r="C7" t="s">
        <v>21</v>
      </c>
      <c r="D7" t="s">
        <v>1801</v>
      </c>
      <c r="E7">
        <v>22</v>
      </c>
      <c r="F7">
        <v>36</v>
      </c>
      <c r="G7">
        <v>1</v>
      </c>
      <c r="H7">
        <v>36</v>
      </c>
      <c r="I7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7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8" spans="1:11" x14ac:dyDescent="0.35">
      <c r="A8">
        <v>3</v>
      </c>
      <c r="B8">
        <v>20</v>
      </c>
      <c r="C8" t="s">
        <v>19</v>
      </c>
      <c r="D8" t="s">
        <v>1802</v>
      </c>
      <c r="E8">
        <v>25</v>
      </c>
      <c r="F8">
        <v>40</v>
      </c>
      <c r="G8">
        <v>1</v>
      </c>
      <c r="H8">
        <v>9</v>
      </c>
      <c r="I8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8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9" spans="1:11" x14ac:dyDescent="0.35">
      <c r="A9">
        <v>3</v>
      </c>
      <c r="B9">
        <v>20</v>
      </c>
      <c r="C9" t="s">
        <v>23</v>
      </c>
      <c r="D9" t="s">
        <v>1803</v>
      </c>
      <c r="E9">
        <v>17</v>
      </c>
      <c r="F9">
        <v>29</v>
      </c>
      <c r="G9">
        <v>2</v>
      </c>
      <c r="H9">
        <v>54</v>
      </c>
      <c r="I9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0" spans="1:11" x14ac:dyDescent="0.35">
      <c r="A10">
        <v>4</v>
      </c>
      <c r="B10">
        <v>3</v>
      </c>
      <c r="C10" t="s">
        <v>25</v>
      </c>
      <c r="D10" t="s">
        <v>1804</v>
      </c>
      <c r="E10">
        <v>20</v>
      </c>
      <c r="F10">
        <v>33</v>
      </c>
      <c r="G10">
        <v>3</v>
      </c>
      <c r="H10">
        <v>23</v>
      </c>
      <c r="I10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1" spans="1:11" x14ac:dyDescent="0.35">
      <c r="A11">
        <v>4</v>
      </c>
      <c r="B11">
        <v>3</v>
      </c>
      <c r="C11" t="s">
        <v>27</v>
      </c>
      <c r="D11" t="s">
        <v>1805</v>
      </c>
      <c r="E11">
        <v>16</v>
      </c>
      <c r="F11">
        <v>28</v>
      </c>
      <c r="G11">
        <v>3</v>
      </c>
      <c r="H11">
        <v>17</v>
      </c>
      <c r="I11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1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2" spans="1:11" x14ac:dyDescent="0.35">
      <c r="A12">
        <v>5</v>
      </c>
      <c r="B12">
        <v>8</v>
      </c>
      <c r="C12" t="s">
        <v>29</v>
      </c>
      <c r="D12" t="s">
        <v>1806</v>
      </c>
      <c r="E12">
        <v>11</v>
      </c>
      <c r="F12">
        <v>19</v>
      </c>
      <c r="G12">
        <v>1</v>
      </c>
      <c r="H12">
        <v>8</v>
      </c>
      <c r="I12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3" spans="1:11" x14ac:dyDescent="0.35">
      <c r="A13">
        <v>5</v>
      </c>
      <c r="B13">
        <v>8</v>
      </c>
      <c r="C13" t="s">
        <v>9</v>
      </c>
      <c r="D13" t="s">
        <v>1798</v>
      </c>
      <c r="E13">
        <v>14</v>
      </c>
      <c r="F13">
        <v>24</v>
      </c>
      <c r="G13">
        <v>2</v>
      </c>
      <c r="H13">
        <v>9</v>
      </c>
      <c r="I13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4" spans="1:11" x14ac:dyDescent="0.35">
      <c r="A14">
        <v>6</v>
      </c>
      <c r="B14">
        <v>7</v>
      </c>
      <c r="C14" t="s">
        <v>31</v>
      </c>
      <c r="D14" t="s">
        <v>1807</v>
      </c>
      <c r="E14">
        <v>21</v>
      </c>
      <c r="F14">
        <v>35</v>
      </c>
      <c r="G14">
        <v>2</v>
      </c>
      <c r="H14">
        <v>11</v>
      </c>
      <c r="I14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" spans="1:11" x14ac:dyDescent="0.35">
      <c r="A15">
        <v>7</v>
      </c>
      <c r="B15">
        <v>17</v>
      </c>
      <c r="C15" t="s">
        <v>33</v>
      </c>
      <c r="D15" t="s">
        <v>1808</v>
      </c>
      <c r="E15">
        <v>19</v>
      </c>
      <c r="F15">
        <v>32</v>
      </c>
      <c r="G15">
        <v>2</v>
      </c>
      <c r="H15">
        <v>15</v>
      </c>
      <c r="I15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5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6" spans="1:11" x14ac:dyDescent="0.35">
      <c r="A16">
        <v>7</v>
      </c>
      <c r="B16">
        <v>17</v>
      </c>
      <c r="C16" t="s">
        <v>21</v>
      </c>
      <c r="D16" t="s">
        <v>1801</v>
      </c>
      <c r="E16">
        <v>22</v>
      </c>
      <c r="F16">
        <v>36</v>
      </c>
      <c r="G16">
        <v>3</v>
      </c>
      <c r="H16">
        <v>26</v>
      </c>
      <c r="I16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6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7" spans="1:11" x14ac:dyDescent="0.35">
      <c r="A17">
        <v>8</v>
      </c>
      <c r="B17">
        <v>11</v>
      </c>
      <c r="C17" t="s">
        <v>27</v>
      </c>
      <c r="D17" t="s">
        <v>1805</v>
      </c>
      <c r="E17">
        <v>16</v>
      </c>
      <c r="F17">
        <v>28</v>
      </c>
      <c r="G17">
        <v>2</v>
      </c>
      <c r="H17">
        <v>8</v>
      </c>
      <c r="I17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8" spans="1:11" x14ac:dyDescent="0.35">
      <c r="A18">
        <v>8</v>
      </c>
      <c r="B18">
        <v>11</v>
      </c>
      <c r="C18" t="s">
        <v>19</v>
      </c>
      <c r="D18" t="s">
        <v>1802</v>
      </c>
      <c r="E18">
        <v>25</v>
      </c>
      <c r="F18">
        <v>40</v>
      </c>
      <c r="G18">
        <v>3</v>
      </c>
      <c r="H18">
        <v>36</v>
      </c>
      <c r="I18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8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9" spans="1:11" x14ac:dyDescent="0.35">
      <c r="A19">
        <v>8</v>
      </c>
      <c r="B19">
        <v>11</v>
      </c>
      <c r="C19" t="s">
        <v>35</v>
      </c>
      <c r="D19" t="s">
        <v>1809</v>
      </c>
      <c r="E19">
        <v>13</v>
      </c>
      <c r="F19">
        <v>22</v>
      </c>
      <c r="G19">
        <v>3</v>
      </c>
      <c r="H19">
        <v>11</v>
      </c>
      <c r="I19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20" spans="1:11" x14ac:dyDescent="0.35">
      <c r="A20">
        <v>9</v>
      </c>
      <c r="B20">
        <v>15</v>
      </c>
      <c r="C20" t="s">
        <v>29</v>
      </c>
      <c r="D20" t="s">
        <v>1806</v>
      </c>
      <c r="E20">
        <v>11</v>
      </c>
      <c r="F20">
        <v>19</v>
      </c>
      <c r="G20">
        <v>1</v>
      </c>
      <c r="H20">
        <v>15</v>
      </c>
      <c r="I20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0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21" spans="1:11" x14ac:dyDescent="0.35">
      <c r="A21">
        <v>9</v>
      </c>
      <c r="B21">
        <v>15</v>
      </c>
      <c r="C21" t="s">
        <v>33</v>
      </c>
      <c r="D21" t="s">
        <v>1808</v>
      </c>
      <c r="E21">
        <v>19</v>
      </c>
      <c r="F21">
        <v>32</v>
      </c>
      <c r="G21">
        <v>3</v>
      </c>
      <c r="H21">
        <v>31</v>
      </c>
      <c r="I21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2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22" spans="1:11" x14ac:dyDescent="0.35">
      <c r="A22">
        <v>9</v>
      </c>
      <c r="B22">
        <v>15</v>
      </c>
      <c r="C22" t="s">
        <v>12</v>
      </c>
      <c r="D22" t="s">
        <v>1797</v>
      </c>
      <c r="E22">
        <v>18</v>
      </c>
      <c r="F22">
        <v>30</v>
      </c>
      <c r="G22">
        <v>1</v>
      </c>
      <c r="H22">
        <v>51</v>
      </c>
      <c r="I22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3" spans="1:11" x14ac:dyDescent="0.35">
      <c r="A23">
        <v>9</v>
      </c>
      <c r="B23">
        <v>15</v>
      </c>
      <c r="C23" t="s">
        <v>9</v>
      </c>
      <c r="D23" t="s">
        <v>1798</v>
      </c>
      <c r="E23">
        <v>14</v>
      </c>
      <c r="F23">
        <v>24</v>
      </c>
      <c r="G23">
        <v>1</v>
      </c>
      <c r="H23">
        <v>49</v>
      </c>
      <c r="I23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2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24" spans="1:11" x14ac:dyDescent="0.35">
      <c r="A24">
        <v>10</v>
      </c>
      <c r="B24">
        <v>17</v>
      </c>
      <c r="C24" t="s">
        <v>37</v>
      </c>
      <c r="D24" t="s">
        <v>1810</v>
      </c>
      <c r="E24">
        <v>20</v>
      </c>
      <c r="F24">
        <v>34</v>
      </c>
      <c r="G24">
        <v>2</v>
      </c>
      <c r="H24">
        <v>10</v>
      </c>
      <c r="I24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2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25" spans="1:11" x14ac:dyDescent="0.35">
      <c r="A25">
        <v>10</v>
      </c>
      <c r="B25">
        <v>17</v>
      </c>
      <c r="C25" t="s">
        <v>19</v>
      </c>
      <c r="D25" t="s">
        <v>1802</v>
      </c>
      <c r="E25">
        <v>25</v>
      </c>
      <c r="F25">
        <v>40</v>
      </c>
      <c r="G25">
        <v>2</v>
      </c>
      <c r="H25">
        <v>19</v>
      </c>
      <c r="I25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2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26" spans="1:11" x14ac:dyDescent="0.35">
      <c r="A26">
        <v>11</v>
      </c>
      <c r="B26">
        <v>14</v>
      </c>
      <c r="C26" t="s">
        <v>27</v>
      </c>
      <c r="D26" t="s">
        <v>1805</v>
      </c>
      <c r="E26">
        <v>16</v>
      </c>
      <c r="F26">
        <v>28</v>
      </c>
      <c r="G26">
        <v>1</v>
      </c>
      <c r="H26">
        <v>32</v>
      </c>
      <c r="I26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27" spans="1:11" x14ac:dyDescent="0.35">
      <c r="A27">
        <v>11</v>
      </c>
      <c r="B27">
        <v>14</v>
      </c>
      <c r="C27" t="s">
        <v>12</v>
      </c>
      <c r="D27" t="s">
        <v>1797</v>
      </c>
      <c r="E27">
        <v>18</v>
      </c>
      <c r="F27">
        <v>30</v>
      </c>
      <c r="G27">
        <v>2</v>
      </c>
      <c r="H27">
        <v>24</v>
      </c>
      <c r="I27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8" spans="1:11" x14ac:dyDescent="0.35">
      <c r="A28">
        <v>12</v>
      </c>
      <c r="B28">
        <v>14</v>
      </c>
      <c r="C28" t="s">
        <v>27</v>
      </c>
      <c r="D28" t="s">
        <v>1805</v>
      </c>
      <c r="E28">
        <v>16</v>
      </c>
      <c r="F28">
        <v>28</v>
      </c>
      <c r="G28">
        <v>1</v>
      </c>
      <c r="H28">
        <v>5</v>
      </c>
      <c r="I28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8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29" spans="1:11" x14ac:dyDescent="0.35">
      <c r="A29">
        <v>12</v>
      </c>
      <c r="B29">
        <v>14</v>
      </c>
      <c r="C29" t="s">
        <v>21</v>
      </c>
      <c r="D29" t="s">
        <v>1801</v>
      </c>
      <c r="E29">
        <v>22</v>
      </c>
      <c r="F29">
        <v>36</v>
      </c>
      <c r="G29">
        <v>3</v>
      </c>
      <c r="H29">
        <v>44</v>
      </c>
      <c r="I29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29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30" spans="1:11" x14ac:dyDescent="0.35">
      <c r="A30">
        <v>12</v>
      </c>
      <c r="B30">
        <v>14</v>
      </c>
      <c r="C30" t="s">
        <v>19</v>
      </c>
      <c r="D30" t="s">
        <v>1802</v>
      </c>
      <c r="E30">
        <v>25</v>
      </c>
      <c r="F30">
        <v>40</v>
      </c>
      <c r="G30">
        <v>3</v>
      </c>
      <c r="H30">
        <v>40</v>
      </c>
      <c r="I30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30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31" spans="1:11" x14ac:dyDescent="0.35">
      <c r="A31">
        <v>12</v>
      </c>
      <c r="B31">
        <v>14</v>
      </c>
      <c r="C31" t="s">
        <v>31</v>
      </c>
      <c r="D31" t="s">
        <v>1807</v>
      </c>
      <c r="E31">
        <v>21</v>
      </c>
      <c r="F31">
        <v>35</v>
      </c>
      <c r="G31">
        <v>2</v>
      </c>
      <c r="H31">
        <v>6</v>
      </c>
      <c r="I31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3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2" spans="1:11" x14ac:dyDescent="0.35">
      <c r="A32">
        <v>13</v>
      </c>
      <c r="B32">
        <v>2</v>
      </c>
      <c r="C32" t="s">
        <v>23</v>
      </c>
      <c r="D32" t="s">
        <v>1803</v>
      </c>
      <c r="E32">
        <v>17</v>
      </c>
      <c r="F32">
        <v>29</v>
      </c>
      <c r="G32">
        <v>3</v>
      </c>
      <c r="H32">
        <v>59</v>
      </c>
      <c r="I32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3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33" spans="1:11" x14ac:dyDescent="0.35">
      <c r="A33">
        <v>14</v>
      </c>
      <c r="B33">
        <v>16</v>
      </c>
      <c r="C33" t="s">
        <v>25</v>
      </c>
      <c r="D33" t="s">
        <v>1804</v>
      </c>
      <c r="E33">
        <v>20</v>
      </c>
      <c r="F33">
        <v>33</v>
      </c>
      <c r="G33">
        <v>1</v>
      </c>
      <c r="H33">
        <v>26</v>
      </c>
      <c r="I33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3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34" spans="1:11" x14ac:dyDescent="0.35">
      <c r="A34">
        <v>14</v>
      </c>
      <c r="B34">
        <v>16</v>
      </c>
      <c r="C34" t="s">
        <v>41</v>
      </c>
      <c r="D34" t="s">
        <v>1811</v>
      </c>
      <c r="E34">
        <v>14</v>
      </c>
      <c r="F34">
        <v>23</v>
      </c>
      <c r="G34">
        <v>2</v>
      </c>
      <c r="H34">
        <v>44</v>
      </c>
      <c r="I34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34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35" spans="1:11" x14ac:dyDescent="0.35">
      <c r="A35">
        <v>14</v>
      </c>
      <c r="B35">
        <v>16</v>
      </c>
      <c r="C35" t="s">
        <v>12</v>
      </c>
      <c r="D35" t="s">
        <v>1797</v>
      </c>
      <c r="E35">
        <v>18</v>
      </c>
      <c r="F35">
        <v>30</v>
      </c>
      <c r="G35">
        <v>1</v>
      </c>
      <c r="H35">
        <v>48</v>
      </c>
      <c r="I35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3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6" spans="1:11" x14ac:dyDescent="0.35">
      <c r="A36">
        <v>14</v>
      </c>
      <c r="B36">
        <v>16</v>
      </c>
      <c r="C36" t="s">
        <v>39</v>
      </c>
      <c r="D36" t="s">
        <v>1812</v>
      </c>
      <c r="E36">
        <v>12</v>
      </c>
      <c r="F36">
        <v>20</v>
      </c>
      <c r="G36">
        <v>1</v>
      </c>
      <c r="H36">
        <v>36</v>
      </c>
      <c r="I36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3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7" spans="1:11" x14ac:dyDescent="0.35">
      <c r="A37">
        <v>15</v>
      </c>
      <c r="B37">
        <v>6</v>
      </c>
      <c r="C37" t="s">
        <v>43</v>
      </c>
      <c r="D37" t="s">
        <v>1813</v>
      </c>
      <c r="E37">
        <v>13</v>
      </c>
      <c r="F37">
        <v>21</v>
      </c>
      <c r="G37">
        <v>3</v>
      </c>
      <c r="H37">
        <v>27</v>
      </c>
      <c r="I37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38" spans="1:11" x14ac:dyDescent="0.35">
      <c r="A38">
        <v>15</v>
      </c>
      <c r="B38">
        <v>6</v>
      </c>
      <c r="C38" t="s">
        <v>27</v>
      </c>
      <c r="D38" t="s">
        <v>1805</v>
      </c>
      <c r="E38">
        <v>16</v>
      </c>
      <c r="F38">
        <v>28</v>
      </c>
      <c r="G38">
        <v>2</v>
      </c>
      <c r="H38">
        <v>25</v>
      </c>
      <c r="I38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8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39" spans="1:11" x14ac:dyDescent="0.35">
      <c r="A39">
        <v>15</v>
      </c>
      <c r="B39">
        <v>6</v>
      </c>
      <c r="C39" t="s">
        <v>31</v>
      </c>
      <c r="D39" t="s">
        <v>1807</v>
      </c>
      <c r="E39">
        <v>21</v>
      </c>
      <c r="F39">
        <v>35</v>
      </c>
      <c r="G39">
        <v>3</v>
      </c>
      <c r="H39">
        <v>51</v>
      </c>
      <c r="I39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3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0" spans="1:11" x14ac:dyDescent="0.35">
      <c r="A40">
        <v>16</v>
      </c>
      <c r="B40">
        <v>20</v>
      </c>
      <c r="C40" t="s">
        <v>27</v>
      </c>
      <c r="D40" t="s">
        <v>1805</v>
      </c>
      <c r="E40">
        <v>16</v>
      </c>
      <c r="F40">
        <v>28</v>
      </c>
      <c r="G40">
        <v>1</v>
      </c>
      <c r="H40">
        <v>38</v>
      </c>
      <c r="I40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41" spans="1:11" x14ac:dyDescent="0.35">
      <c r="A41">
        <v>17</v>
      </c>
      <c r="B41">
        <v>14</v>
      </c>
      <c r="C41" t="s">
        <v>45</v>
      </c>
      <c r="D41" t="s">
        <v>1814</v>
      </c>
      <c r="E41">
        <v>10</v>
      </c>
      <c r="F41">
        <v>18</v>
      </c>
      <c r="G41">
        <v>2</v>
      </c>
      <c r="H41">
        <v>58</v>
      </c>
      <c r="I41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4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42" spans="1:11" x14ac:dyDescent="0.35">
      <c r="A42">
        <v>17</v>
      </c>
      <c r="B42">
        <v>14</v>
      </c>
      <c r="C42" t="s">
        <v>35</v>
      </c>
      <c r="D42" t="s">
        <v>1809</v>
      </c>
      <c r="E42">
        <v>13</v>
      </c>
      <c r="F42">
        <v>22</v>
      </c>
      <c r="G42">
        <v>3</v>
      </c>
      <c r="H42">
        <v>57</v>
      </c>
      <c r="I42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4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43" spans="1:11" x14ac:dyDescent="0.35">
      <c r="A43">
        <v>17</v>
      </c>
      <c r="B43">
        <v>14</v>
      </c>
      <c r="C43" t="s">
        <v>31</v>
      </c>
      <c r="D43" t="s">
        <v>1807</v>
      </c>
      <c r="E43">
        <v>21</v>
      </c>
      <c r="F43">
        <v>35</v>
      </c>
      <c r="G43">
        <v>1</v>
      </c>
      <c r="H43">
        <v>43</v>
      </c>
      <c r="I43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4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4" spans="1:11" x14ac:dyDescent="0.35">
      <c r="A44">
        <v>18</v>
      </c>
      <c r="B44">
        <v>9</v>
      </c>
      <c r="C44" t="s">
        <v>47</v>
      </c>
      <c r="D44" t="s">
        <v>1815</v>
      </c>
      <c r="E44">
        <v>15</v>
      </c>
      <c r="F44">
        <v>26</v>
      </c>
      <c r="G44">
        <v>3</v>
      </c>
      <c r="H44">
        <v>23</v>
      </c>
      <c r="I44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4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45" spans="1:11" x14ac:dyDescent="0.35">
      <c r="A45">
        <v>18</v>
      </c>
      <c r="B45">
        <v>9</v>
      </c>
      <c r="C45" t="s">
        <v>33</v>
      </c>
      <c r="D45" t="s">
        <v>1808</v>
      </c>
      <c r="E45">
        <v>19</v>
      </c>
      <c r="F45">
        <v>32</v>
      </c>
      <c r="G45">
        <v>2</v>
      </c>
      <c r="H45">
        <v>34</v>
      </c>
      <c r="I45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45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46" spans="1:11" x14ac:dyDescent="0.35">
      <c r="A46">
        <v>18</v>
      </c>
      <c r="B46">
        <v>9</v>
      </c>
      <c r="C46" t="s">
        <v>19</v>
      </c>
      <c r="D46" t="s">
        <v>1802</v>
      </c>
      <c r="E46">
        <v>25</v>
      </c>
      <c r="F46">
        <v>40</v>
      </c>
      <c r="G46">
        <v>2</v>
      </c>
      <c r="H46">
        <v>54</v>
      </c>
      <c r="I46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46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47" spans="1:11" x14ac:dyDescent="0.35">
      <c r="A47">
        <v>18</v>
      </c>
      <c r="B47">
        <v>9</v>
      </c>
      <c r="C47" t="s">
        <v>23</v>
      </c>
      <c r="D47" t="s">
        <v>1803</v>
      </c>
      <c r="E47">
        <v>17</v>
      </c>
      <c r="F47">
        <v>29</v>
      </c>
      <c r="G47">
        <v>1</v>
      </c>
      <c r="H47">
        <v>23</v>
      </c>
      <c r="I47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48" spans="1:11" x14ac:dyDescent="0.35">
      <c r="A48">
        <v>19</v>
      </c>
      <c r="B48">
        <v>18</v>
      </c>
      <c r="C48" t="s">
        <v>19</v>
      </c>
      <c r="D48" t="s">
        <v>1802</v>
      </c>
      <c r="E48">
        <v>25</v>
      </c>
      <c r="F48">
        <v>40</v>
      </c>
      <c r="G48">
        <v>2</v>
      </c>
      <c r="H48">
        <v>44</v>
      </c>
      <c r="I48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48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49" spans="1:11" x14ac:dyDescent="0.35">
      <c r="A49">
        <v>20</v>
      </c>
      <c r="B49">
        <v>8</v>
      </c>
      <c r="C49" t="s">
        <v>49</v>
      </c>
      <c r="D49" t="s">
        <v>1816</v>
      </c>
      <c r="E49">
        <v>15</v>
      </c>
      <c r="F49">
        <v>25</v>
      </c>
      <c r="G49">
        <v>2</v>
      </c>
      <c r="H49">
        <v>6</v>
      </c>
      <c r="I49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4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0" spans="1:11" x14ac:dyDescent="0.35">
      <c r="A50">
        <v>20</v>
      </c>
      <c r="B50">
        <v>8</v>
      </c>
      <c r="C50" t="s">
        <v>41</v>
      </c>
      <c r="D50" t="s">
        <v>1811</v>
      </c>
      <c r="E50">
        <v>14</v>
      </c>
      <c r="F50">
        <v>23</v>
      </c>
      <c r="G50">
        <v>1</v>
      </c>
      <c r="H50">
        <v>14</v>
      </c>
      <c r="I50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50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51" spans="1:11" x14ac:dyDescent="0.35">
      <c r="A51">
        <v>20</v>
      </c>
      <c r="B51">
        <v>8</v>
      </c>
      <c r="C51" t="s">
        <v>31</v>
      </c>
      <c r="D51" t="s">
        <v>1807</v>
      </c>
      <c r="E51">
        <v>21</v>
      </c>
      <c r="F51">
        <v>35</v>
      </c>
      <c r="G51">
        <v>3</v>
      </c>
      <c r="H51">
        <v>50</v>
      </c>
      <c r="I51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5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2" spans="1:11" x14ac:dyDescent="0.35">
      <c r="A52">
        <v>21</v>
      </c>
      <c r="B52">
        <v>12</v>
      </c>
      <c r="C52" t="s">
        <v>49</v>
      </c>
      <c r="D52" t="s">
        <v>1816</v>
      </c>
      <c r="E52">
        <v>15</v>
      </c>
      <c r="F52">
        <v>25</v>
      </c>
      <c r="G52">
        <v>2</v>
      </c>
      <c r="H52">
        <v>45</v>
      </c>
      <c r="I52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5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3" spans="1:11" x14ac:dyDescent="0.35">
      <c r="A53">
        <v>21</v>
      </c>
      <c r="B53">
        <v>12</v>
      </c>
      <c r="C53" t="s">
        <v>33</v>
      </c>
      <c r="D53" t="s">
        <v>1808</v>
      </c>
      <c r="E53">
        <v>19</v>
      </c>
      <c r="F53">
        <v>32</v>
      </c>
      <c r="G53">
        <v>2</v>
      </c>
      <c r="H53">
        <v>44</v>
      </c>
      <c r="I53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5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54" spans="1:11" x14ac:dyDescent="0.35">
      <c r="A54">
        <v>21</v>
      </c>
      <c r="B54">
        <v>12</v>
      </c>
      <c r="C54" t="s">
        <v>19</v>
      </c>
      <c r="D54" t="s">
        <v>1802</v>
      </c>
      <c r="E54">
        <v>25</v>
      </c>
      <c r="F54">
        <v>40</v>
      </c>
      <c r="G54">
        <v>3</v>
      </c>
      <c r="H54">
        <v>20</v>
      </c>
      <c r="I54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5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55" spans="1:11" x14ac:dyDescent="0.35">
      <c r="A55">
        <v>21</v>
      </c>
      <c r="B55">
        <v>12</v>
      </c>
      <c r="C55" t="s">
        <v>39</v>
      </c>
      <c r="D55" t="s">
        <v>1812</v>
      </c>
      <c r="E55">
        <v>12</v>
      </c>
      <c r="F55">
        <v>20</v>
      </c>
      <c r="G55">
        <v>2</v>
      </c>
      <c r="H55">
        <v>43</v>
      </c>
      <c r="I55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5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6" spans="1:11" x14ac:dyDescent="0.35">
      <c r="A56">
        <v>22</v>
      </c>
      <c r="B56">
        <v>15</v>
      </c>
      <c r="C56" t="s">
        <v>37</v>
      </c>
      <c r="D56" t="s">
        <v>1810</v>
      </c>
      <c r="E56">
        <v>20</v>
      </c>
      <c r="F56">
        <v>34</v>
      </c>
      <c r="G56">
        <v>3</v>
      </c>
      <c r="H56">
        <v>19</v>
      </c>
      <c r="I56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56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57" spans="1:11" x14ac:dyDescent="0.35">
      <c r="A57">
        <v>22</v>
      </c>
      <c r="B57">
        <v>15</v>
      </c>
      <c r="C57" t="s">
        <v>45</v>
      </c>
      <c r="D57" t="s">
        <v>1814</v>
      </c>
      <c r="E57">
        <v>10</v>
      </c>
      <c r="F57">
        <v>18</v>
      </c>
      <c r="G57">
        <v>1</v>
      </c>
      <c r="H57">
        <v>32</v>
      </c>
      <c r="I57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57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58" spans="1:11" x14ac:dyDescent="0.35">
      <c r="A58">
        <v>22</v>
      </c>
      <c r="B58">
        <v>15</v>
      </c>
      <c r="C58" t="s">
        <v>31</v>
      </c>
      <c r="D58" t="s">
        <v>1807</v>
      </c>
      <c r="E58">
        <v>21</v>
      </c>
      <c r="F58">
        <v>35</v>
      </c>
      <c r="G58">
        <v>1</v>
      </c>
      <c r="H58">
        <v>59</v>
      </c>
      <c r="I58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5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9" spans="1:11" x14ac:dyDescent="0.35">
      <c r="A59">
        <v>22</v>
      </c>
      <c r="B59">
        <v>15</v>
      </c>
      <c r="C59" t="s">
        <v>23</v>
      </c>
      <c r="D59" t="s">
        <v>1803</v>
      </c>
      <c r="E59">
        <v>17</v>
      </c>
      <c r="F59">
        <v>29</v>
      </c>
      <c r="G59">
        <v>2</v>
      </c>
      <c r="H59">
        <v>13</v>
      </c>
      <c r="I59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9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60" spans="1:11" x14ac:dyDescent="0.35">
      <c r="A60">
        <v>23</v>
      </c>
      <c r="B60">
        <v>1</v>
      </c>
      <c r="C60" t="s">
        <v>29</v>
      </c>
      <c r="D60" t="s">
        <v>1806</v>
      </c>
      <c r="E60">
        <v>11</v>
      </c>
      <c r="F60">
        <v>19</v>
      </c>
      <c r="G60">
        <v>3</v>
      </c>
      <c r="H60">
        <v>46</v>
      </c>
      <c r="I60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60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61" spans="1:11" x14ac:dyDescent="0.35">
      <c r="A61">
        <v>23</v>
      </c>
      <c r="B61">
        <v>1</v>
      </c>
      <c r="C61" t="s">
        <v>17</v>
      </c>
      <c r="D61" t="s">
        <v>1800</v>
      </c>
      <c r="E61">
        <v>16</v>
      </c>
      <c r="F61">
        <v>27</v>
      </c>
      <c r="G61">
        <v>3</v>
      </c>
      <c r="H61">
        <v>17</v>
      </c>
      <c r="I61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61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62" spans="1:11" x14ac:dyDescent="0.35">
      <c r="A62">
        <v>24</v>
      </c>
      <c r="B62">
        <v>5</v>
      </c>
      <c r="C62" t="s">
        <v>47</v>
      </c>
      <c r="D62" t="s">
        <v>1815</v>
      </c>
      <c r="E62">
        <v>15</v>
      </c>
      <c r="F62">
        <v>26</v>
      </c>
      <c r="G62">
        <v>3</v>
      </c>
      <c r="H62">
        <v>45</v>
      </c>
      <c r="I62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6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63" spans="1:11" x14ac:dyDescent="0.35">
      <c r="A63">
        <v>24</v>
      </c>
      <c r="B63">
        <v>5</v>
      </c>
      <c r="C63" t="s">
        <v>41</v>
      </c>
      <c r="D63" t="s">
        <v>1811</v>
      </c>
      <c r="E63">
        <v>14</v>
      </c>
      <c r="F63">
        <v>23</v>
      </c>
      <c r="G63">
        <v>2</v>
      </c>
      <c r="H63">
        <v>42</v>
      </c>
      <c r="I63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63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64" spans="1:11" x14ac:dyDescent="0.35">
      <c r="A64">
        <v>24</v>
      </c>
      <c r="B64">
        <v>5</v>
      </c>
      <c r="C64" t="s">
        <v>19</v>
      </c>
      <c r="D64" t="s">
        <v>1802</v>
      </c>
      <c r="E64">
        <v>25</v>
      </c>
      <c r="F64">
        <v>40</v>
      </c>
      <c r="G64">
        <v>2</v>
      </c>
      <c r="H64">
        <v>47</v>
      </c>
      <c r="I64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6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65" spans="1:11" x14ac:dyDescent="0.35">
      <c r="A65">
        <v>24</v>
      </c>
      <c r="B65">
        <v>5</v>
      </c>
      <c r="C65" t="s">
        <v>23</v>
      </c>
      <c r="D65" t="s">
        <v>1803</v>
      </c>
      <c r="E65">
        <v>17</v>
      </c>
      <c r="F65">
        <v>29</v>
      </c>
      <c r="G65">
        <v>1</v>
      </c>
      <c r="H65">
        <v>46</v>
      </c>
      <c r="I65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65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66" spans="1:11" x14ac:dyDescent="0.35">
      <c r="A66">
        <v>25</v>
      </c>
      <c r="B66">
        <v>12</v>
      </c>
      <c r="C66" t="s">
        <v>37</v>
      </c>
      <c r="D66" t="s">
        <v>1810</v>
      </c>
      <c r="E66">
        <v>20</v>
      </c>
      <c r="F66">
        <v>34</v>
      </c>
      <c r="G66">
        <v>1</v>
      </c>
      <c r="H66">
        <v>35</v>
      </c>
      <c r="I66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66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67" spans="1:11" x14ac:dyDescent="0.35">
      <c r="A67">
        <v>26</v>
      </c>
      <c r="B67">
        <v>18</v>
      </c>
      <c r="C67" t="s">
        <v>43</v>
      </c>
      <c r="D67" t="s">
        <v>1813</v>
      </c>
      <c r="E67">
        <v>13</v>
      </c>
      <c r="F67">
        <v>21</v>
      </c>
      <c r="G67">
        <v>2</v>
      </c>
      <c r="H67">
        <v>54</v>
      </c>
      <c r="I67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6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68" spans="1:11" x14ac:dyDescent="0.35">
      <c r="A68">
        <v>26</v>
      </c>
      <c r="B68">
        <v>18</v>
      </c>
      <c r="C68" t="s">
        <v>45</v>
      </c>
      <c r="D68" t="s">
        <v>1814</v>
      </c>
      <c r="E68">
        <v>10</v>
      </c>
      <c r="F68">
        <v>18</v>
      </c>
      <c r="G68">
        <v>2</v>
      </c>
      <c r="H68">
        <v>13</v>
      </c>
      <c r="I68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68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69" spans="1:11" x14ac:dyDescent="0.35">
      <c r="A69">
        <v>26</v>
      </c>
      <c r="B69">
        <v>18</v>
      </c>
      <c r="C69" t="s">
        <v>9</v>
      </c>
      <c r="D69" t="s">
        <v>1798</v>
      </c>
      <c r="E69">
        <v>14</v>
      </c>
      <c r="F69">
        <v>24</v>
      </c>
      <c r="G69">
        <v>2</v>
      </c>
      <c r="H69">
        <v>42</v>
      </c>
      <c r="I69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6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70" spans="1:11" x14ac:dyDescent="0.35">
      <c r="A70">
        <v>27</v>
      </c>
      <c r="B70">
        <v>4</v>
      </c>
      <c r="C70" t="s">
        <v>47</v>
      </c>
      <c r="D70" t="s">
        <v>1815</v>
      </c>
      <c r="E70">
        <v>15</v>
      </c>
      <c r="F70">
        <v>26</v>
      </c>
      <c r="G70">
        <v>1</v>
      </c>
      <c r="H70">
        <v>38</v>
      </c>
      <c r="I70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70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1" spans="1:11" x14ac:dyDescent="0.35">
      <c r="A71">
        <v>27</v>
      </c>
      <c r="B71">
        <v>4</v>
      </c>
      <c r="C71" t="s">
        <v>31</v>
      </c>
      <c r="D71" t="s">
        <v>1807</v>
      </c>
      <c r="E71">
        <v>21</v>
      </c>
      <c r="F71">
        <v>35</v>
      </c>
      <c r="G71">
        <v>1</v>
      </c>
      <c r="H71">
        <v>17</v>
      </c>
      <c r="I71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7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2" spans="1:11" x14ac:dyDescent="0.35">
      <c r="A72">
        <v>28</v>
      </c>
      <c r="B72">
        <v>2</v>
      </c>
      <c r="C72" t="s">
        <v>45</v>
      </c>
      <c r="D72" t="s">
        <v>1814</v>
      </c>
      <c r="E72">
        <v>10</v>
      </c>
      <c r="F72">
        <v>18</v>
      </c>
      <c r="G72">
        <v>2</v>
      </c>
      <c r="H72">
        <v>17</v>
      </c>
      <c r="I72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73" spans="1:11" x14ac:dyDescent="0.35">
      <c r="A73">
        <v>28</v>
      </c>
      <c r="B73">
        <v>2</v>
      </c>
      <c r="C73" t="s">
        <v>23</v>
      </c>
      <c r="D73" t="s">
        <v>1803</v>
      </c>
      <c r="E73">
        <v>17</v>
      </c>
      <c r="F73">
        <v>29</v>
      </c>
      <c r="G73">
        <v>2</v>
      </c>
      <c r="H73">
        <v>39</v>
      </c>
      <c r="I73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3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74" spans="1:11" x14ac:dyDescent="0.35">
      <c r="A74">
        <v>29</v>
      </c>
      <c r="B74">
        <v>20</v>
      </c>
      <c r="C74" t="s">
        <v>49</v>
      </c>
      <c r="D74" t="s">
        <v>1816</v>
      </c>
      <c r="E74">
        <v>15</v>
      </c>
      <c r="F74">
        <v>25</v>
      </c>
      <c r="G74">
        <v>3</v>
      </c>
      <c r="H74">
        <v>22</v>
      </c>
      <c r="I74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7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5" spans="1:11" x14ac:dyDescent="0.35">
      <c r="A75">
        <v>29</v>
      </c>
      <c r="B75">
        <v>20</v>
      </c>
      <c r="C75" t="s">
        <v>15</v>
      </c>
      <c r="D75" t="s">
        <v>1799</v>
      </c>
      <c r="E75">
        <v>19</v>
      </c>
      <c r="F75">
        <v>31</v>
      </c>
      <c r="G75">
        <v>2</v>
      </c>
      <c r="H75">
        <v>31</v>
      </c>
      <c r="I75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6" spans="1:11" x14ac:dyDescent="0.35">
      <c r="A76">
        <v>29</v>
      </c>
      <c r="B76">
        <v>20</v>
      </c>
      <c r="C76" t="s">
        <v>45</v>
      </c>
      <c r="D76" t="s">
        <v>1814</v>
      </c>
      <c r="E76">
        <v>10</v>
      </c>
      <c r="F76">
        <v>18</v>
      </c>
      <c r="G76">
        <v>2</v>
      </c>
      <c r="H76">
        <v>18</v>
      </c>
      <c r="I76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77" spans="1:11" x14ac:dyDescent="0.35">
      <c r="A77">
        <v>30</v>
      </c>
      <c r="B77">
        <v>14</v>
      </c>
      <c r="C77" t="s">
        <v>47</v>
      </c>
      <c r="D77" t="s">
        <v>1815</v>
      </c>
      <c r="E77">
        <v>15</v>
      </c>
      <c r="F77">
        <v>26</v>
      </c>
      <c r="G77">
        <v>2</v>
      </c>
      <c r="H77">
        <v>14</v>
      </c>
      <c r="I77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7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8" spans="1:11" x14ac:dyDescent="0.35">
      <c r="A78">
        <v>30</v>
      </c>
      <c r="B78">
        <v>14</v>
      </c>
      <c r="C78" t="s">
        <v>39</v>
      </c>
      <c r="D78" t="s">
        <v>1812</v>
      </c>
      <c r="E78">
        <v>12</v>
      </c>
      <c r="F78">
        <v>20</v>
      </c>
      <c r="G78">
        <v>3</v>
      </c>
      <c r="H78">
        <v>55</v>
      </c>
      <c r="I78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9" spans="1:11" x14ac:dyDescent="0.35">
      <c r="A79">
        <v>31</v>
      </c>
      <c r="B79">
        <v>13</v>
      </c>
      <c r="C79" t="s">
        <v>29</v>
      </c>
      <c r="D79" t="s">
        <v>1806</v>
      </c>
      <c r="E79">
        <v>11</v>
      </c>
      <c r="F79">
        <v>19</v>
      </c>
      <c r="G79">
        <v>2</v>
      </c>
      <c r="H79">
        <v>46</v>
      </c>
      <c r="I79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9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80" spans="1:11" x14ac:dyDescent="0.35">
      <c r="A80">
        <v>31</v>
      </c>
      <c r="B80">
        <v>13</v>
      </c>
      <c r="C80" t="s">
        <v>23</v>
      </c>
      <c r="D80" t="s">
        <v>1803</v>
      </c>
      <c r="E80">
        <v>17</v>
      </c>
      <c r="F80">
        <v>29</v>
      </c>
      <c r="G80">
        <v>1</v>
      </c>
      <c r="H80">
        <v>59</v>
      </c>
      <c r="I80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81" spans="1:11" x14ac:dyDescent="0.35">
      <c r="A81">
        <v>32</v>
      </c>
      <c r="B81">
        <v>5</v>
      </c>
      <c r="C81" t="s">
        <v>47</v>
      </c>
      <c r="D81" t="s">
        <v>1815</v>
      </c>
      <c r="E81">
        <v>15</v>
      </c>
      <c r="F81">
        <v>26</v>
      </c>
      <c r="G81">
        <v>3</v>
      </c>
      <c r="H81">
        <v>35</v>
      </c>
      <c r="I81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8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82" spans="1:11" x14ac:dyDescent="0.35">
      <c r="A82">
        <v>32</v>
      </c>
      <c r="B82">
        <v>5</v>
      </c>
      <c r="C82" t="s">
        <v>25</v>
      </c>
      <c r="D82" t="s">
        <v>1804</v>
      </c>
      <c r="E82">
        <v>20</v>
      </c>
      <c r="F82">
        <v>33</v>
      </c>
      <c r="G82">
        <v>1</v>
      </c>
      <c r="H82">
        <v>20</v>
      </c>
      <c r="I82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82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83" spans="1:11" x14ac:dyDescent="0.35">
      <c r="A83">
        <v>32</v>
      </c>
      <c r="B83">
        <v>5</v>
      </c>
      <c r="C83" t="s">
        <v>33</v>
      </c>
      <c r="D83" t="s">
        <v>1808</v>
      </c>
      <c r="E83">
        <v>19</v>
      </c>
      <c r="F83">
        <v>32</v>
      </c>
      <c r="G83">
        <v>2</v>
      </c>
      <c r="H83">
        <v>50</v>
      </c>
      <c r="I83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8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84" spans="1:11" x14ac:dyDescent="0.35">
      <c r="A84">
        <v>32</v>
      </c>
      <c r="B84">
        <v>5</v>
      </c>
      <c r="C84" t="s">
        <v>45</v>
      </c>
      <c r="D84" t="s">
        <v>1814</v>
      </c>
      <c r="E84">
        <v>10</v>
      </c>
      <c r="F84">
        <v>18</v>
      </c>
      <c r="G84">
        <v>2</v>
      </c>
      <c r="H84">
        <v>23</v>
      </c>
      <c r="I84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85" spans="1:11" x14ac:dyDescent="0.35">
      <c r="A85">
        <v>33</v>
      </c>
      <c r="B85">
        <v>4</v>
      </c>
      <c r="C85" t="s">
        <v>47</v>
      </c>
      <c r="D85" t="s">
        <v>1815</v>
      </c>
      <c r="E85">
        <v>15</v>
      </c>
      <c r="F85">
        <v>26</v>
      </c>
      <c r="G85">
        <v>3</v>
      </c>
      <c r="H85">
        <v>10</v>
      </c>
      <c r="I85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8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86" spans="1:11" x14ac:dyDescent="0.35">
      <c r="A86">
        <v>33</v>
      </c>
      <c r="B86">
        <v>4</v>
      </c>
      <c r="C86" t="s">
        <v>33</v>
      </c>
      <c r="D86" t="s">
        <v>1808</v>
      </c>
      <c r="E86">
        <v>19</v>
      </c>
      <c r="F86">
        <v>32</v>
      </c>
      <c r="G86">
        <v>3</v>
      </c>
      <c r="H86">
        <v>55</v>
      </c>
      <c r="I86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8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87" spans="1:11" x14ac:dyDescent="0.35">
      <c r="A87">
        <v>33</v>
      </c>
      <c r="B87">
        <v>4</v>
      </c>
      <c r="C87" t="s">
        <v>17</v>
      </c>
      <c r="D87" t="s">
        <v>1800</v>
      </c>
      <c r="E87">
        <v>16</v>
      </c>
      <c r="F87">
        <v>27</v>
      </c>
      <c r="G87">
        <v>1</v>
      </c>
      <c r="H87">
        <v>59</v>
      </c>
      <c r="I87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8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88" spans="1:11" x14ac:dyDescent="0.35">
      <c r="A88">
        <v>33</v>
      </c>
      <c r="B88">
        <v>4</v>
      </c>
      <c r="C88" t="s">
        <v>31</v>
      </c>
      <c r="D88" t="s">
        <v>1807</v>
      </c>
      <c r="E88">
        <v>21</v>
      </c>
      <c r="F88">
        <v>35</v>
      </c>
      <c r="G88">
        <v>3</v>
      </c>
      <c r="H88">
        <v>6</v>
      </c>
      <c r="I88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8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9" spans="1:11" x14ac:dyDescent="0.35">
      <c r="A89">
        <v>34</v>
      </c>
      <c r="B89">
        <v>15</v>
      </c>
      <c r="C89" t="s">
        <v>47</v>
      </c>
      <c r="D89" t="s">
        <v>1815</v>
      </c>
      <c r="E89">
        <v>15</v>
      </c>
      <c r="F89">
        <v>26</v>
      </c>
      <c r="G89">
        <v>3</v>
      </c>
      <c r="H89">
        <v>19</v>
      </c>
      <c r="I89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8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90" spans="1:11" x14ac:dyDescent="0.35">
      <c r="A90">
        <v>34</v>
      </c>
      <c r="B90">
        <v>15</v>
      </c>
      <c r="C90" t="s">
        <v>37</v>
      </c>
      <c r="D90" t="s">
        <v>1810</v>
      </c>
      <c r="E90">
        <v>20</v>
      </c>
      <c r="F90">
        <v>34</v>
      </c>
      <c r="G90">
        <v>1</v>
      </c>
      <c r="H90">
        <v>46</v>
      </c>
      <c r="I90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9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91" spans="1:11" x14ac:dyDescent="0.35">
      <c r="A91">
        <v>35</v>
      </c>
      <c r="B91">
        <v>13</v>
      </c>
      <c r="C91" t="s">
        <v>25</v>
      </c>
      <c r="D91" t="s">
        <v>1804</v>
      </c>
      <c r="E91">
        <v>20</v>
      </c>
      <c r="F91">
        <v>33</v>
      </c>
      <c r="G91">
        <v>1</v>
      </c>
      <c r="H91">
        <v>21</v>
      </c>
      <c r="I91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9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92" spans="1:11" x14ac:dyDescent="0.35">
      <c r="A92">
        <v>35</v>
      </c>
      <c r="B92">
        <v>13</v>
      </c>
      <c r="C92" t="s">
        <v>15</v>
      </c>
      <c r="D92" t="s">
        <v>1799</v>
      </c>
      <c r="E92">
        <v>19</v>
      </c>
      <c r="F92">
        <v>31</v>
      </c>
      <c r="G92">
        <v>2</v>
      </c>
      <c r="H92">
        <v>31</v>
      </c>
      <c r="I92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93" spans="1:11" x14ac:dyDescent="0.35">
      <c r="A93">
        <v>35</v>
      </c>
      <c r="B93">
        <v>13</v>
      </c>
      <c r="C93" t="s">
        <v>12</v>
      </c>
      <c r="D93" t="s">
        <v>1797</v>
      </c>
      <c r="E93">
        <v>18</v>
      </c>
      <c r="F93">
        <v>30</v>
      </c>
      <c r="G93">
        <v>3</v>
      </c>
      <c r="H93">
        <v>5</v>
      </c>
      <c r="I93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9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4" spans="1:11" x14ac:dyDescent="0.35">
      <c r="A94">
        <v>35</v>
      </c>
      <c r="B94">
        <v>13</v>
      </c>
      <c r="C94" t="s">
        <v>23</v>
      </c>
      <c r="D94" t="s">
        <v>1803</v>
      </c>
      <c r="E94">
        <v>17</v>
      </c>
      <c r="F94">
        <v>29</v>
      </c>
      <c r="G94">
        <v>1</v>
      </c>
      <c r="H94">
        <v>8</v>
      </c>
      <c r="I94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94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95" spans="1:11" x14ac:dyDescent="0.35">
      <c r="A95">
        <v>36</v>
      </c>
      <c r="B95">
        <v>5</v>
      </c>
      <c r="C95" t="s">
        <v>12</v>
      </c>
      <c r="D95" t="s">
        <v>1797</v>
      </c>
      <c r="E95">
        <v>18</v>
      </c>
      <c r="F95">
        <v>30</v>
      </c>
      <c r="G95">
        <v>1</v>
      </c>
      <c r="H95">
        <v>38</v>
      </c>
      <c r="I95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9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6" spans="1:11" x14ac:dyDescent="0.35">
      <c r="A96">
        <v>37</v>
      </c>
      <c r="B96">
        <v>20</v>
      </c>
      <c r="C96" t="s">
        <v>43</v>
      </c>
      <c r="D96" t="s">
        <v>1813</v>
      </c>
      <c r="E96">
        <v>13</v>
      </c>
      <c r="F96">
        <v>21</v>
      </c>
      <c r="G96">
        <v>1</v>
      </c>
      <c r="H96">
        <v>47</v>
      </c>
      <c r="I96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9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97" spans="1:11" x14ac:dyDescent="0.35">
      <c r="A97">
        <v>38</v>
      </c>
      <c r="B97">
        <v>10</v>
      </c>
      <c r="C97" t="s">
        <v>15</v>
      </c>
      <c r="D97" t="s">
        <v>1799</v>
      </c>
      <c r="E97">
        <v>19</v>
      </c>
      <c r="F97">
        <v>31</v>
      </c>
      <c r="G97">
        <v>3</v>
      </c>
      <c r="H97">
        <v>21</v>
      </c>
      <c r="I97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9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98" spans="1:11" x14ac:dyDescent="0.35">
      <c r="A98">
        <v>38</v>
      </c>
      <c r="B98">
        <v>10</v>
      </c>
      <c r="C98" t="s">
        <v>21</v>
      </c>
      <c r="D98" t="s">
        <v>1801</v>
      </c>
      <c r="E98">
        <v>22</v>
      </c>
      <c r="F98">
        <v>36</v>
      </c>
      <c r="G98">
        <v>2</v>
      </c>
      <c r="H98">
        <v>43</v>
      </c>
      <c r="I9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9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99" spans="1:11" x14ac:dyDescent="0.35">
      <c r="A99">
        <v>38</v>
      </c>
      <c r="B99">
        <v>10</v>
      </c>
      <c r="C99" t="s">
        <v>31</v>
      </c>
      <c r="D99" t="s">
        <v>1807</v>
      </c>
      <c r="E99">
        <v>21</v>
      </c>
      <c r="F99">
        <v>35</v>
      </c>
      <c r="G99">
        <v>2</v>
      </c>
      <c r="H99">
        <v>34</v>
      </c>
      <c r="I99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9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0" spans="1:11" x14ac:dyDescent="0.35">
      <c r="A100">
        <v>39</v>
      </c>
      <c r="B100">
        <v>15</v>
      </c>
      <c r="C100" t="s">
        <v>21</v>
      </c>
      <c r="D100" t="s">
        <v>1801</v>
      </c>
      <c r="E100">
        <v>22</v>
      </c>
      <c r="F100">
        <v>36</v>
      </c>
      <c r="G100">
        <v>3</v>
      </c>
      <c r="H100">
        <v>57</v>
      </c>
      <c r="I100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0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01" spans="1:11" x14ac:dyDescent="0.35">
      <c r="A101">
        <v>40</v>
      </c>
      <c r="B101">
        <v>1</v>
      </c>
      <c r="C101" t="s">
        <v>25</v>
      </c>
      <c r="D101" t="s">
        <v>1804</v>
      </c>
      <c r="E101">
        <v>20</v>
      </c>
      <c r="F101">
        <v>33</v>
      </c>
      <c r="G101">
        <v>1</v>
      </c>
      <c r="H101">
        <v>50</v>
      </c>
      <c r="I101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0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02" spans="1:11" x14ac:dyDescent="0.35">
      <c r="A102">
        <v>40</v>
      </c>
      <c r="B102">
        <v>1</v>
      </c>
      <c r="C102" t="s">
        <v>27</v>
      </c>
      <c r="D102" t="s">
        <v>1805</v>
      </c>
      <c r="E102">
        <v>16</v>
      </c>
      <c r="F102">
        <v>28</v>
      </c>
      <c r="G102">
        <v>1</v>
      </c>
      <c r="H102">
        <v>13</v>
      </c>
      <c r="I102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02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03" spans="1:11" x14ac:dyDescent="0.35">
      <c r="A103">
        <v>40</v>
      </c>
      <c r="B103">
        <v>1</v>
      </c>
      <c r="C103" t="s">
        <v>23</v>
      </c>
      <c r="D103" t="s">
        <v>1803</v>
      </c>
      <c r="E103">
        <v>17</v>
      </c>
      <c r="F103">
        <v>29</v>
      </c>
      <c r="G103">
        <v>3</v>
      </c>
      <c r="H103">
        <v>15</v>
      </c>
      <c r="I103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03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04" spans="1:11" x14ac:dyDescent="0.35">
      <c r="A104">
        <v>41</v>
      </c>
      <c r="B104">
        <v>7</v>
      </c>
      <c r="C104" t="s">
        <v>47</v>
      </c>
      <c r="D104" t="s">
        <v>1815</v>
      </c>
      <c r="E104">
        <v>15</v>
      </c>
      <c r="F104">
        <v>26</v>
      </c>
      <c r="G104">
        <v>3</v>
      </c>
      <c r="H104">
        <v>47</v>
      </c>
      <c r="I104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0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05" spans="1:11" x14ac:dyDescent="0.35">
      <c r="A105">
        <v>41</v>
      </c>
      <c r="B105">
        <v>7</v>
      </c>
      <c r="C105" t="s">
        <v>33</v>
      </c>
      <c r="D105" t="s">
        <v>1808</v>
      </c>
      <c r="E105">
        <v>19</v>
      </c>
      <c r="F105">
        <v>32</v>
      </c>
      <c r="G105">
        <v>3</v>
      </c>
      <c r="H105">
        <v>23</v>
      </c>
      <c r="I105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05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06" spans="1:11" x14ac:dyDescent="0.35">
      <c r="A106">
        <v>41</v>
      </c>
      <c r="B106">
        <v>7</v>
      </c>
      <c r="C106" t="s">
        <v>12</v>
      </c>
      <c r="D106" t="s">
        <v>1797</v>
      </c>
      <c r="E106">
        <v>18</v>
      </c>
      <c r="F106">
        <v>30</v>
      </c>
      <c r="G106">
        <v>1</v>
      </c>
      <c r="H106">
        <v>19</v>
      </c>
      <c r="I106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0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7" spans="1:11" x14ac:dyDescent="0.35">
      <c r="A107">
        <v>42</v>
      </c>
      <c r="B107">
        <v>14</v>
      </c>
      <c r="C107" t="s">
        <v>19</v>
      </c>
      <c r="D107" t="s">
        <v>1802</v>
      </c>
      <c r="E107">
        <v>25</v>
      </c>
      <c r="F107">
        <v>40</v>
      </c>
      <c r="G107">
        <v>2</v>
      </c>
      <c r="H107">
        <v>12</v>
      </c>
      <c r="I107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07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08" spans="1:11" x14ac:dyDescent="0.35">
      <c r="A108">
        <v>42</v>
      </c>
      <c r="B108">
        <v>14</v>
      </c>
      <c r="C108" t="s">
        <v>35</v>
      </c>
      <c r="D108" t="s">
        <v>1809</v>
      </c>
      <c r="E108">
        <v>13</v>
      </c>
      <c r="F108">
        <v>22</v>
      </c>
      <c r="G108">
        <v>1</v>
      </c>
      <c r="H108">
        <v>57</v>
      </c>
      <c r="I108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08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09" spans="1:11" x14ac:dyDescent="0.35">
      <c r="A109">
        <v>43</v>
      </c>
      <c r="B109">
        <v>8</v>
      </c>
      <c r="C109" t="s">
        <v>33</v>
      </c>
      <c r="D109" t="s">
        <v>1808</v>
      </c>
      <c r="E109">
        <v>19</v>
      </c>
      <c r="F109">
        <v>32</v>
      </c>
      <c r="G109">
        <v>1</v>
      </c>
      <c r="H109">
        <v>6</v>
      </c>
      <c r="I109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0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10" spans="1:11" x14ac:dyDescent="0.35">
      <c r="A110">
        <v>43</v>
      </c>
      <c r="B110">
        <v>8</v>
      </c>
      <c r="C110" t="s">
        <v>15</v>
      </c>
      <c r="D110" t="s">
        <v>1799</v>
      </c>
      <c r="E110">
        <v>19</v>
      </c>
      <c r="F110">
        <v>31</v>
      </c>
      <c r="G110">
        <v>1</v>
      </c>
      <c r="H110">
        <v>24</v>
      </c>
      <c r="I110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1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11" spans="1:11" x14ac:dyDescent="0.35">
      <c r="A111">
        <v>43</v>
      </c>
      <c r="B111">
        <v>8</v>
      </c>
      <c r="C111" t="s">
        <v>37</v>
      </c>
      <c r="D111" t="s">
        <v>1810</v>
      </c>
      <c r="E111">
        <v>20</v>
      </c>
      <c r="F111">
        <v>34</v>
      </c>
      <c r="G111">
        <v>2</v>
      </c>
      <c r="H111">
        <v>59</v>
      </c>
      <c r="I111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1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2" spans="1:11" x14ac:dyDescent="0.35">
      <c r="A112">
        <v>43</v>
      </c>
      <c r="B112">
        <v>8</v>
      </c>
      <c r="C112" t="s">
        <v>9</v>
      </c>
      <c r="D112" t="s">
        <v>1798</v>
      </c>
      <c r="E112">
        <v>14</v>
      </c>
      <c r="F112">
        <v>24</v>
      </c>
      <c r="G112">
        <v>3</v>
      </c>
      <c r="H112">
        <v>57</v>
      </c>
      <c r="I112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1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13" spans="1:11" x14ac:dyDescent="0.35">
      <c r="A113">
        <v>44</v>
      </c>
      <c r="B113">
        <v>18</v>
      </c>
      <c r="C113" t="s">
        <v>49</v>
      </c>
      <c r="D113" t="s">
        <v>1816</v>
      </c>
      <c r="E113">
        <v>15</v>
      </c>
      <c r="F113">
        <v>25</v>
      </c>
      <c r="G113">
        <v>3</v>
      </c>
      <c r="H113">
        <v>8</v>
      </c>
      <c r="I113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1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4" spans="1:11" x14ac:dyDescent="0.35">
      <c r="A114">
        <v>44</v>
      </c>
      <c r="B114">
        <v>18</v>
      </c>
      <c r="C114" t="s">
        <v>47</v>
      </c>
      <c r="D114" t="s">
        <v>1815</v>
      </c>
      <c r="E114">
        <v>15</v>
      </c>
      <c r="F114">
        <v>26</v>
      </c>
      <c r="G114">
        <v>1</v>
      </c>
      <c r="H114">
        <v>34</v>
      </c>
      <c r="I114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1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15" spans="1:11" x14ac:dyDescent="0.35">
      <c r="A115">
        <v>44</v>
      </c>
      <c r="B115">
        <v>18</v>
      </c>
      <c r="C115" t="s">
        <v>43</v>
      </c>
      <c r="D115" t="s">
        <v>1813</v>
      </c>
      <c r="E115">
        <v>13</v>
      </c>
      <c r="F115">
        <v>21</v>
      </c>
      <c r="G115">
        <v>1</v>
      </c>
      <c r="H115">
        <v>43</v>
      </c>
      <c r="I115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15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16" spans="1:11" x14ac:dyDescent="0.35">
      <c r="A116">
        <v>45</v>
      </c>
      <c r="B116">
        <v>17</v>
      </c>
      <c r="C116" t="s">
        <v>45</v>
      </c>
      <c r="D116" t="s">
        <v>1814</v>
      </c>
      <c r="E116">
        <v>10</v>
      </c>
      <c r="F116">
        <v>18</v>
      </c>
      <c r="G116">
        <v>3</v>
      </c>
      <c r="H116">
        <v>47</v>
      </c>
      <c r="I116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1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17" spans="1:11" x14ac:dyDescent="0.35">
      <c r="A117">
        <v>46</v>
      </c>
      <c r="B117">
        <v>10</v>
      </c>
      <c r="C117" t="s">
        <v>41</v>
      </c>
      <c r="D117" t="s">
        <v>1811</v>
      </c>
      <c r="E117">
        <v>14</v>
      </c>
      <c r="F117">
        <v>23</v>
      </c>
      <c r="G117">
        <v>2</v>
      </c>
      <c r="H117">
        <v>15</v>
      </c>
      <c r="I117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1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18" spans="1:11" x14ac:dyDescent="0.35">
      <c r="A118">
        <v>46</v>
      </c>
      <c r="B118">
        <v>10</v>
      </c>
      <c r="C118" t="s">
        <v>37</v>
      </c>
      <c r="D118" t="s">
        <v>1810</v>
      </c>
      <c r="E118">
        <v>20</v>
      </c>
      <c r="F118">
        <v>34</v>
      </c>
      <c r="G118">
        <v>1</v>
      </c>
      <c r="H118">
        <v>48</v>
      </c>
      <c r="I118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1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9" spans="1:11" x14ac:dyDescent="0.35">
      <c r="A119">
        <v>46</v>
      </c>
      <c r="B119">
        <v>10</v>
      </c>
      <c r="C119" t="s">
        <v>12</v>
      </c>
      <c r="D119" t="s">
        <v>1797</v>
      </c>
      <c r="E119">
        <v>18</v>
      </c>
      <c r="F119">
        <v>30</v>
      </c>
      <c r="G119">
        <v>2</v>
      </c>
      <c r="H119">
        <v>23</v>
      </c>
      <c r="I11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1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0" spans="1:11" x14ac:dyDescent="0.35">
      <c r="A120">
        <v>47</v>
      </c>
      <c r="B120">
        <v>18</v>
      </c>
      <c r="C120" t="s">
        <v>25</v>
      </c>
      <c r="D120" t="s">
        <v>1804</v>
      </c>
      <c r="E120">
        <v>20</v>
      </c>
      <c r="F120">
        <v>33</v>
      </c>
      <c r="G120">
        <v>2</v>
      </c>
      <c r="H120">
        <v>56</v>
      </c>
      <c r="I120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2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21" spans="1:11" x14ac:dyDescent="0.35">
      <c r="A121">
        <v>47</v>
      </c>
      <c r="B121">
        <v>18</v>
      </c>
      <c r="C121" t="s">
        <v>41</v>
      </c>
      <c r="D121" t="s">
        <v>1811</v>
      </c>
      <c r="E121">
        <v>14</v>
      </c>
      <c r="F121">
        <v>23</v>
      </c>
      <c r="G121">
        <v>1</v>
      </c>
      <c r="H121">
        <v>17</v>
      </c>
      <c r="I121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21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22" spans="1:11" x14ac:dyDescent="0.35">
      <c r="A122">
        <v>47</v>
      </c>
      <c r="B122">
        <v>18</v>
      </c>
      <c r="C122" t="s">
        <v>39</v>
      </c>
      <c r="D122" t="s">
        <v>1812</v>
      </c>
      <c r="E122">
        <v>12</v>
      </c>
      <c r="F122">
        <v>20</v>
      </c>
      <c r="G122">
        <v>1</v>
      </c>
      <c r="H122">
        <v>14</v>
      </c>
      <c r="I122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3" spans="1:11" x14ac:dyDescent="0.35">
      <c r="A123">
        <v>48</v>
      </c>
      <c r="B123">
        <v>17</v>
      </c>
      <c r="C123" t="s">
        <v>25</v>
      </c>
      <c r="D123" t="s">
        <v>1804</v>
      </c>
      <c r="E123">
        <v>20</v>
      </c>
      <c r="F123">
        <v>33</v>
      </c>
      <c r="G123">
        <v>1</v>
      </c>
      <c r="H123">
        <v>32</v>
      </c>
      <c r="I123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2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24" spans="1:11" x14ac:dyDescent="0.35">
      <c r="A124">
        <v>48</v>
      </c>
      <c r="B124">
        <v>17</v>
      </c>
      <c r="C124" t="s">
        <v>35</v>
      </c>
      <c r="D124" t="s">
        <v>1809</v>
      </c>
      <c r="E124">
        <v>13</v>
      </c>
      <c r="F124">
        <v>22</v>
      </c>
      <c r="G124">
        <v>2</v>
      </c>
      <c r="H124">
        <v>55</v>
      </c>
      <c r="I124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24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25" spans="1:11" x14ac:dyDescent="0.35">
      <c r="A125">
        <v>48</v>
      </c>
      <c r="B125">
        <v>17</v>
      </c>
      <c r="C125" t="s">
        <v>17</v>
      </c>
      <c r="D125" t="s">
        <v>1800</v>
      </c>
      <c r="E125">
        <v>16</v>
      </c>
      <c r="F125">
        <v>27</v>
      </c>
      <c r="G125">
        <v>3</v>
      </c>
      <c r="H125">
        <v>37</v>
      </c>
      <c r="I125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25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26" spans="1:11" x14ac:dyDescent="0.35">
      <c r="A126">
        <v>49</v>
      </c>
      <c r="B126">
        <v>8</v>
      </c>
      <c r="C126" t="s">
        <v>33</v>
      </c>
      <c r="D126" t="s">
        <v>1808</v>
      </c>
      <c r="E126">
        <v>19</v>
      </c>
      <c r="F126">
        <v>32</v>
      </c>
      <c r="G126">
        <v>3</v>
      </c>
      <c r="H126">
        <v>27</v>
      </c>
      <c r="I126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2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27" spans="1:11" x14ac:dyDescent="0.35">
      <c r="A127">
        <v>49</v>
      </c>
      <c r="B127">
        <v>8</v>
      </c>
      <c r="C127" t="s">
        <v>45</v>
      </c>
      <c r="D127" t="s">
        <v>1814</v>
      </c>
      <c r="E127">
        <v>10</v>
      </c>
      <c r="F127">
        <v>18</v>
      </c>
      <c r="G127">
        <v>1</v>
      </c>
      <c r="H127">
        <v>45</v>
      </c>
      <c r="I127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7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28" spans="1:11" x14ac:dyDescent="0.35">
      <c r="A128">
        <v>49</v>
      </c>
      <c r="B128">
        <v>8</v>
      </c>
      <c r="C128" t="s">
        <v>9</v>
      </c>
      <c r="D128" t="s">
        <v>1798</v>
      </c>
      <c r="E128">
        <v>14</v>
      </c>
      <c r="F128">
        <v>24</v>
      </c>
      <c r="G128">
        <v>3</v>
      </c>
      <c r="H128">
        <v>9</v>
      </c>
      <c r="I12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2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29" spans="1:11" x14ac:dyDescent="0.35">
      <c r="A129">
        <v>50</v>
      </c>
      <c r="B129">
        <v>19</v>
      </c>
      <c r="C129" t="s">
        <v>33</v>
      </c>
      <c r="D129" t="s">
        <v>1808</v>
      </c>
      <c r="E129">
        <v>19</v>
      </c>
      <c r="F129">
        <v>32</v>
      </c>
      <c r="G129">
        <v>1</v>
      </c>
      <c r="H129">
        <v>6</v>
      </c>
      <c r="I129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2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30" spans="1:11" x14ac:dyDescent="0.35">
      <c r="A130">
        <v>50</v>
      </c>
      <c r="B130">
        <v>19</v>
      </c>
      <c r="C130" t="s">
        <v>35</v>
      </c>
      <c r="D130" t="s">
        <v>1809</v>
      </c>
      <c r="E130">
        <v>13</v>
      </c>
      <c r="F130">
        <v>22</v>
      </c>
      <c r="G130">
        <v>2</v>
      </c>
      <c r="H130">
        <v>15</v>
      </c>
      <c r="I130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3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31" spans="1:11" x14ac:dyDescent="0.35">
      <c r="A131">
        <v>51</v>
      </c>
      <c r="B131">
        <v>12</v>
      </c>
      <c r="C131" t="s">
        <v>25</v>
      </c>
      <c r="D131" t="s">
        <v>1804</v>
      </c>
      <c r="E131">
        <v>20</v>
      </c>
      <c r="F131">
        <v>33</v>
      </c>
      <c r="G131">
        <v>3</v>
      </c>
      <c r="H131">
        <v>56</v>
      </c>
      <c r="I131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3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32" spans="1:11" x14ac:dyDescent="0.35">
      <c r="A132">
        <v>51</v>
      </c>
      <c r="B132">
        <v>12</v>
      </c>
      <c r="C132" t="s">
        <v>41</v>
      </c>
      <c r="D132" t="s">
        <v>1811</v>
      </c>
      <c r="E132">
        <v>14</v>
      </c>
      <c r="F132">
        <v>23</v>
      </c>
      <c r="G132">
        <v>2</v>
      </c>
      <c r="H132">
        <v>33</v>
      </c>
      <c r="I132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32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33" spans="1:11" x14ac:dyDescent="0.35">
      <c r="A133">
        <v>51</v>
      </c>
      <c r="B133">
        <v>12</v>
      </c>
      <c r="C133" t="s">
        <v>45</v>
      </c>
      <c r="D133" t="s">
        <v>1814</v>
      </c>
      <c r="E133">
        <v>10</v>
      </c>
      <c r="F133">
        <v>18</v>
      </c>
      <c r="G133">
        <v>2</v>
      </c>
      <c r="H133">
        <v>22</v>
      </c>
      <c r="I133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3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4" spans="1:11" x14ac:dyDescent="0.35">
      <c r="A134">
        <v>51</v>
      </c>
      <c r="B134">
        <v>12</v>
      </c>
      <c r="C134" t="s">
        <v>35</v>
      </c>
      <c r="D134" t="s">
        <v>1809</v>
      </c>
      <c r="E134">
        <v>13</v>
      </c>
      <c r="F134">
        <v>22</v>
      </c>
      <c r="G134">
        <v>2</v>
      </c>
      <c r="H134">
        <v>53</v>
      </c>
      <c r="I134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34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35" spans="1:11" x14ac:dyDescent="0.35">
      <c r="A135">
        <v>52</v>
      </c>
      <c r="B135">
        <v>7</v>
      </c>
      <c r="C135" t="s">
        <v>25</v>
      </c>
      <c r="D135" t="s">
        <v>1804</v>
      </c>
      <c r="E135">
        <v>20</v>
      </c>
      <c r="F135">
        <v>33</v>
      </c>
      <c r="G135">
        <v>3</v>
      </c>
      <c r="H135">
        <v>13</v>
      </c>
      <c r="I135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3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36" spans="1:11" x14ac:dyDescent="0.35">
      <c r="A136">
        <v>52</v>
      </c>
      <c r="B136">
        <v>7</v>
      </c>
      <c r="C136" t="s">
        <v>15</v>
      </c>
      <c r="D136" t="s">
        <v>1799</v>
      </c>
      <c r="E136">
        <v>19</v>
      </c>
      <c r="F136">
        <v>31</v>
      </c>
      <c r="G136">
        <v>2</v>
      </c>
      <c r="H136">
        <v>17</v>
      </c>
      <c r="I136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37" spans="1:11" x14ac:dyDescent="0.35">
      <c r="A137">
        <v>52</v>
      </c>
      <c r="B137">
        <v>7</v>
      </c>
      <c r="C137" t="s">
        <v>37</v>
      </c>
      <c r="D137" t="s">
        <v>1810</v>
      </c>
      <c r="E137">
        <v>20</v>
      </c>
      <c r="F137">
        <v>34</v>
      </c>
      <c r="G137">
        <v>3</v>
      </c>
      <c r="H137">
        <v>32</v>
      </c>
      <c r="I137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37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38" spans="1:11" x14ac:dyDescent="0.35">
      <c r="A138">
        <v>53</v>
      </c>
      <c r="B138">
        <v>16</v>
      </c>
      <c r="C138" t="s">
        <v>41</v>
      </c>
      <c r="D138" t="s">
        <v>1811</v>
      </c>
      <c r="E138">
        <v>14</v>
      </c>
      <c r="F138">
        <v>23</v>
      </c>
      <c r="G138">
        <v>3</v>
      </c>
      <c r="H138">
        <v>47</v>
      </c>
      <c r="I138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3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39" spans="1:11" x14ac:dyDescent="0.35">
      <c r="A139">
        <v>53</v>
      </c>
      <c r="B139">
        <v>16</v>
      </c>
      <c r="C139" t="s">
        <v>21</v>
      </c>
      <c r="D139" t="s">
        <v>1801</v>
      </c>
      <c r="E139">
        <v>22</v>
      </c>
      <c r="F139">
        <v>36</v>
      </c>
      <c r="G139">
        <v>3</v>
      </c>
      <c r="H139">
        <v>26</v>
      </c>
      <c r="I139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39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40" spans="1:11" x14ac:dyDescent="0.35">
      <c r="A140">
        <v>53</v>
      </c>
      <c r="B140">
        <v>16</v>
      </c>
      <c r="C140" t="s">
        <v>12</v>
      </c>
      <c r="D140" t="s">
        <v>1797</v>
      </c>
      <c r="E140">
        <v>18</v>
      </c>
      <c r="F140">
        <v>30</v>
      </c>
      <c r="G140">
        <v>3</v>
      </c>
      <c r="H140">
        <v>39</v>
      </c>
      <c r="I140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4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1" spans="1:11" x14ac:dyDescent="0.35">
      <c r="A141">
        <v>54</v>
      </c>
      <c r="B141">
        <v>6</v>
      </c>
      <c r="C141" t="s">
        <v>25</v>
      </c>
      <c r="D141" t="s">
        <v>1804</v>
      </c>
      <c r="E141">
        <v>20</v>
      </c>
      <c r="F141">
        <v>33</v>
      </c>
      <c r="G141">
        <v>1</v>
      </c>
      <c r="H141">
        <v>46</v>
      </c>
      <c r="I141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4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2" spans="1:11" x14ac:dyDescent="0.35">
      <c r="A142">
        <v>54</v>
      </c>
      <c r="B142">
        <v>6</v>
      </c>
      <c r="C142" t="s">
        <v>15</v>
      </c>
      <c r="D142" t="s">
        <v>1799</v>
      </c>
      <c r="E142">
        <v>19</v>
      </c>
      <c r="F142">
        <v>31</v>
      </c>
      <c r="G142">
        <v>1</v>
      </c>
      <c r="H142">
        <v>55</v>
      </c>
      <c r="I142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4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43" spans="1:11" x14ac:dyDescent="0.35">
      <c r="A143">
        <v>54</v>
      </c>
      <c r="B143">
        <v>6</v>
      </c>
      <c r="C143" t="s">
        <v>45</v>
      </c>
      <c r="D143" t="s">
        <v>1814</v>
      </c>
      <c r="E143">
        <v>10</v>
      </c>
      <c r="F143">
        <v>18</v>
      </c>
      <c r="G143">
        <v>1</v>
      </c>
      <c r="H143">
        <v>55</v>
      </c>
      <c r="I143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44" spans="1:11" x14ac:dyDescent="0.35">
      <c r="A144">
        <v>54</v>
      </c>
      <c r="B144">
        <v>6</v>
      </c>
      <c r="C144" t="s">
        <v>31</v>
      </c>
      <c r="D144" t="s">
        <v>1807</v>
      </c>
      <c r="E144">
        <v>21</v>
      </c>
      <c r="F144">
        <v>35</v>
      </c>
      <c r="G144">
        <v>3</v>
      </c>
      <c r="H144">
        <v>47</v>
      </c>
      <c r="I144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4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5" spans="1:11" x14ac:dyDescent="0.35">
      <c r="A145">
        <v>55</v>
      </c>
      <c r="B145">
        <v>20</v>
      </c>
      <c r="C145" t="s">
        <v>25</v>
      </c>
      <c r="D145" t="s">
        <v>1804</v>
      </c>
      <c r="E145">
        <v>20</v>
      </c>
      <c r="F145">
        <v>33</v>
      </c>
      <c r="G145">
        <v>3</v>
      </c>
      <c r="H145">
        <v>27</v>
      </c>
      <c r="I145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4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6" spans="1:11" x14ac:dyDescent="0.35">
      <c r="A146">
        <v>55</v>
      </c>
      <c r="B146">
        <v>20</v>
      </c>
      <c r="C146" t="s">
        <v>33</v>
      </c>
      <c r="D146" t="s">
        <v>1808</v>
      </c>
      <c r="E146">
        <v>19</v>
      </c>
      <c r="F146">
        <v>32</v>
      </c>
      <c r="G146">
        <v>3</v>
      </c>
      <c r="H146">
        <v>13</v>
      </c>
      <c r="I146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4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47" spans="1:11" x14ac:dyDescent="0.35">
      <c r="A147">
        <v>55</v>
      </c>
      <c r="B147">
        <v>20</v>
      </c>
      <c r="C147" t="s">
        <v>21</v>
      </c>
      <c r="D147" t="s">
        <v>1801</v>
      </c>
      <c r="E147">
        <v>22</v>
      </c>
      <c r="F147">
        <v>36</v>
      </c>
      <c r="G147">
        <v>1</v>
      </c>
      <c r="H147">
        <v>51</v>
      </c>
      <c r="I147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47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48" spans="1:11" x14ac:dyDescent="0.35">
      <c r="A148">
        <v>55</v>
      </c>
      <c r="B148">
        <v>20</v>
      </c>
      <c r="C148" t="s">
        <v>9</v>
      </c>
      <c r="D148" t="s">
        <v>1798</v>
      </c>
      <c r="E148">
        <v>14</v>
      </c>
      <c r="F148">
        <v>24</v>
      </c>
      <c r="G148">
        <v>1</v>
      </c>
      <c r="H148">
        <v>5</v>
      </c>
      <c r="I148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4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49" spans="1:11" x14ac:dyDescent="0.35">
      <c r="A149">
        <v>56</v>
      </c>
      <c r="B149">
        <v>1</v>
      </c>
      <c r="C149" t="s">
        <v>29</v>
      </c>
      <c r="D149" t="s">
        <v>1806</v>
      </c>
      <c r="E149">
        <v>11</v>
      </c>
      <c r="F149">
        <v>19</v>
      </c>
      <c r="G149">
        <v>1</v>
      </c>
      <c r="H149">
        <v>40</v>
      </c>
      <c r="I149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9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50" spans="1:11" x14ac:dyDescent="0.35">
      <c r="A150">
        <v>56</v>
      </c>
      <c r="B150">
        <v>1</v>
      </c>
      <c r="C150" t="s">
        <v>23</v>
      </c>
      <c r="D150" t="s">
        <v>1803</v>
      </c>
      <c r="E150">
        <v>17</v>
      </c>
      <c r="F150">
        <v>29</v>
      </c>
      <c r="G150">
        <v>1</v>
      </c>
      <c r="H150">
        <v>38</v>
      </c>
      <c r="I150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5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51" spans="1:11" x14ac:dyDescent="0.35">
      <c r="A151">
        <v>57</v>
      </c>
      <c r="B151">
        <v>18</v>
      </c>
      <c r="C151" t="s">
        <v>21</v>
      </c>
      <c r="D151" t="s">
        <v>1801</v>
      </c>
      <c r="E151">
        <v>22</v>
      </c>
      <c r="F151">
        <v>36</v>
      </c>
      <c r="G151">
        <v>2</v>
      </c>
      <c r="H151">
        <v>7</v>
      </c>
      <c r="I151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51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52" spans="1:11" x14ac:dyDescent="0.35">
      <c r="A152">
        <v>57</v>
      </c>
      <c r="B152">
        <v>18</v>
      </c>
      <c r="C152" t="s">
        <v>19</v>
      </c>
      <c r="D152" t="s">
        <v>1802</v>
      </c>
      <c r="E152">
        <v>25</v>
      </c>
      <c r="F152">
        <v>40</v>
      </c>
      <c r="G152">
        <v>1</v>
      </c>
      <c r="H152">
        <v>30</v>
      </c>
      <c r="I152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5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53" spans="1:11" x14ac:dyDescent="0.35">
      <c r="A153">
        <v>57</v>
      </c>
      <c r="B153">
        <v>18</v>
      </c>
      <c r="C153" t="s">
        <v>35</v>
      </c>
      <c r="D153" t="s">
        <v>1809</v>
      </c>
      <c r="E153">
        <v>13</v>
      </c>
      <c r="F153">
        <v>22</v>
      </c>
      <c r="G153">
        <v>1</v>
      </c>
      <c r="H153">
        <v>10</v>
      </c>
      <c r="I153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5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54" spans="1:11" x14ac:dyDescent="0.35">
      <c r="A154">
        <v>57</v>
      </c>
      <c r="B154">
        <v>18</v>
      </c>
      <c r="C154" t="s">
        <v>31</v>
      </c>
      <c r="D154" t="s">
        <v>1807</v>
      </c>
      <c r="E154">
        <v>21</v>
      </c>
      <c r="F154">
        <v>35</v>
      </c>
      <c r="G154">
        <v>1</v>
      </c>
      <c r="H154">
        <v>21</v>
      </c>
      <c r="I154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5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5" spans="1:11" x14ac:dyDescent="0.35">
      <c r="A155">
        <v>58</v>
      </c>
      <c r="B155">
        <v>8</v>
      </c>
      <c r="C155" t="s">
        <v>39</v>
      </c>
      <c r="D155" t="s">
        <v>1812</v>
      </c>
      <c r="E155">
        <v>12</v>
      </c>
      <c r="F155">
        <v>20</v>
      </c>
      <c r="G155">
        <v>3</v>
      </c>
      <c r="H155">
        <v>56</v>
      </c>
      <c r="I15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6" spans="1:11" x14ac:dyDescent="0.35">
      <c r="A156">
        <v>58</v>
      </c>
      <c r="B156">
        <v>8</v>
      </c>
      <c r="C156" t="s">
        <v>35</v>
      </c>
      <c r="D156" t="s">
        <v>1809</v>
      </c>
      <c r="E156">
        <v>13</v>
      </c>
      <c r="F156">
        <v>22</v>
      </c>
      <c r="G156">
        <v>1</v>
      </c>
      <c r="H156">
        <v>17</v>
      </c>
      <c r="I156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56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57" spans="1:11" x14ac:dyDescent="0.35">
      <c r="A157">
        <v>59</v>
      </c>
      <c r="B157">
        <v>8</v>
      </c>
      <c r="C157" t="s">
        <v>29</v>
      </c>
      <c r="D157" t="s">
        <v>1806</v>
      </c>
      <c r="E157">
        <v>11</v>
      </c>
      <c r="F157">
        <v>19</v>
      </c>
      <c r="G157">
        <v>2</v>
      </c>
      <c r="H157">
        <v>13</v>
      </c>
      <c r="I157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7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58" spans="1:11" x14ac:dyDescent="0.35">
      <c r="A158">
        <v>59</v>
      </c>
      <c r="B158">
        <v>8</v>
      </c>
      <c r="C158" t="s">
        <v>41</v>
      </c>
      <c r="D158" t="s">
        <v>1811</v>
      </c>
      <c r="E158">
        <v>14</v>
      </c>
      <c r="F158">
        <v>23</v>
      </c>
      <c r="G158">
        <v>2</v>
      </c>
      <c r="H158">
        <v>9</v>
      </c>
      <c r="I158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5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59" spans="1:11" x14ac:dyDescent="0.35">
      <c r="A159">
        <v>59</v>
      </c>
      <c r="B159">
        <v>8</v>
      </c>
      <c r="C159" t="s">
        <v>19</v>
      </c>
      <c r="D159" t="s">
        <v>1802</v>
      </c>
      <c r="E159">
        <v>25</v>
      </c>
      <c r="F159">
        <v>40</v>
      </c>
      <c r="G159">
        <v>1</v>
      </c>
      <c r="H159">
        <v>13</v>
      </c>
      <c r="I159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59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60" spans="1:11" x14ac:dyDescent="0.35">
      <c r="A160">
        <v>59</v>
      </c>
      <c r="B160">
        <v>8</v>
      </c>
      <c r="C160" t="s">
        <v>45</v>
      </c>
      <c r="D160" t="s">
        <v>1814</v>
      </c>
      <c r="E160">
        <v>10</v>
      </c>
      <c r="F160">
        <v>18</v>
      </c>
      <c r="G160">
        <v>2</v>
      </c>
      <c r="H160">
        <v>13</v>
      </c>
      <c r="I160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0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61" spans="1:11" x14ac:dyDescent="0.35">
      <c r="A161">
        <v>60</v>
      </c>
      <c r="B161">
        <v>6</v>
      </c>
      <c r="C161" t="s">
        <v>25</v>
      </c>
      <c r="D161" t="s">
        <v>1804</v>
      </c>
      <c r="E161">
        <v>20</v>
      </c>
      <c r="F161">
        <v>33</v>
      </c>
      <c r="G161">
        <v>2</v>
      </c>
      <c r="H161">
        <v>20</v>
      </c>
      <c r="I161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6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62" spans="1:11" x14ac:dyDescent="0.35">
      <c r="A162">
        <v>60</v>
      </c>
      <c r="B162">
        <v>6</v>
      </c>
      <c r="C162" t="s">
        <v>45</v>
      </c>
      <c r="D162" t="s">
        <v>1814</v>
      </c>
      <c r="E162">
        <v>10</v>
      </c>
      <c r="F162">
        <v>18</v>
      </c>
      <c r="G162">
        <v>2</v>
      </c>
      <c r="H162">
        <v>23</v>
      </c>
      <c r="I162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63" spans="1:11" x14ac:dyDescent="0.35">
      <c r="A163">
        <v>61</v>
      </c>
      <c r="B163">
        <v>10</v>
      </c>
      <c r="C163" t="s">
        <v>27</v>
      </c>
      <c r="D163" t="s">
        <v>1805</v>
      </c>
      <c r="E163">
        <v>16</v>
      </c>
      <c r="F163">
        <v>28</v>
      </c>
      <c r="G163">
        <v>3</v>
      </c>
      <c r="H163">
        <v>51</v>
      </c>
      <c r="I163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63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64" spans="1:11" x14ac:dyDescent="0.35">
      <c r="A164">
        <v>61</v>
      </c>
      <c r="B164">
        <v>10</v>
      </c>
      <c r="C164" t="s">
        <v>12</v>
      </c>
      <c r="D164" t="s">
        <v>1797</v>
      </c>
      <c r="E164">
        <v>18</v>
      </c>
      <c r="F164">
        <v>30</v>
      </c>
      <c r="G164">
        <v>2</v>
      </c>
      <c r="H164">
        <v>13</v>
      </c>
      <c r="I164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5" spans="1:11" x14ac:dyDescent="0.35">
      <c r="A165">
        <v>61</v>
      </c>
      <c r="B165">
        <v>10</v>
      </c>
      <c r="C165" t="s">
        <v>19</v>
      </c>
      <c r="D165" t="s">
        <v>1802</v>
      </c>
      <c r="E165">
        <v>25</v>
      </c>
      <c r="F165">
        <v>40</v>
      </c>
      <c r="G165">
        <v>2</v>
      </c>
      <c r="H165">
        <v>56</v>
      </c>
      <c r="I165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6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66" spans="1:11" x14ac:dyDescent="0.35">
      <c r="A166">
        <v>61</v>
      </c>
      <c r="B166">
        <v>10</v>
      </c>
      <c r="C166" t="s">
        <v>45</v>
      </c>
      <c r="D166" t="s">
        <v>1814</v>
      </c>
      <c r="E166">
        <v>10</v>
      </c>
      <c r="F166">
        <v>18</v>
      </c>
      <c r="G166">
        <v>1</v>
      </c>
      <c r="H166">
        <v>39</v>
      </c>
      <c r="I166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6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67" spans="1:11" x14ac:dyDescent="0.35">
      <c r="A167">
        <v>62</v>
      </c>
      <c r="B167">
        <v>2</v>
      </c>
      <c r="C167" t="s">
        <v>29</v>
      </c>
      <c r="D167" t="s">
        <v>1806</v>
      </c>
      <c r="E167">
        <v>11</v>
      </c>
      <c r="F167">
        <v>19</v>
      </c>
      <c r="G167">
        <v>3</v>
      </c>
      <c r="H167">
        <v>46</v>
      </c>
      <c r="I167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7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68" spans="1:11" x14ac:dyDescent="0.35">
      <c r="A168">
        <v>62</v>
      </c>
      <c r="B168">
        <v>2</v>
      </c>
      <c r="C168" t="s">
        <v>15</v>
      </c>
      <c r="D168" t="s">
        <v>1799</v>
      </c>
      <c r="E168">
        <v>19</v>
      </c>
      <c r="F168">
        <v>31</v>
      </c>
      <c r="G168">
        <v>1</v>
      </c>
      <c r="H168">
        <v>50</v>
      </c>
      <c r="I168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6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9" spans="1:11" x14ac:dyDescent="0.35">
      <c r="A169">
        <v>62</v>
      </c>
      <c r="B169">
        <v>2</v>
      </c>
      <c r="C169" t="s">
        <v>12</v>
      </c>
      <c r="D169" t="s">
        <v>1797</v>
      </c>
      <c r="E169">
        <v>18</v>
      </c>
      <c r="F169">
        <v>30</v>
      </c>
      <c r="G169">
        <v>2</v>
      </c>
      <c r="H169">
        <v>59</v>
      </c>
      <c r="I16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0" spans="1:11" x14ac:dyDescent="0.35">
      <c r="A170">
        <v>63</v>
      </c>
      <c r="B170">
        <v>17</v>
      </c>
      <c r="C170" t="s">
        <v>39</v>
      </c>
      <c r="D170" t="s">
        <v>1812</v>
      </c>
      <c r="E170">
        <v>12</v>
      </c>
      <c r="F170">
        <v>20</v>
      </c>
      <c r="G170">
        <v>1</v>
      </c>
      <c r="H170">
        <v>10</v>
      </c>
      <c r="I170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1" spans="1:11" x14ac:dyDescent="0.35">
      <c r="A171">
        <v>63</v>
      </c>
      <c r="B171">
        <v>17</v>
      </c>
      <c r="C171" t="s">
        <v>31</v>
      </c>
      <c r="D171" t="s">
        <v>1807</v>
      </c>
      <c r="E171">
        <v>21</v>
      </c>
      <c r="F171">
        <v>35</v>
      </c>
      <c r="G171">
        <v>1</v>
      </c>
      <c r="H171">
        <v>20</v>
      </c>
      <c r="I171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7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2" spans="1:11" x14ac:dyDescent="0.35">
      <c r="A172">
        <v>64</v>
      </c>
      <c r="B172">
        <v>3</v>
      </c>
      <c r="C172" t="s">
        <v>21</v>
      </c>
      <c r="D172" t="s">
        <v>1801</v>
      </c>
      <c r="E172">
        <v>22</v>
      </c>
      <c r="F172">
        <v>36</v>
      </c>
      <c r="G172">
        <v>3</v>
      </c>
      <c r="H172">
        <v>10</v>
      </c>
      <c r="I172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7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73" spans="1:11" x14ac:dyDescent="0.35">
      <c r="A173">
        <v>64</v>
      </c>
      <c r="B173">
        <v>3</v>
      </c>
      <c r="C173" t="s">
        <v>19</v>
      </c>
      <c r="D173" t="s">
        <v>1802</v>
      </c>
      <c r="E173">
        <v>25</v>
      </c>
      <c r="F173">
        <v>40</v>
      </c>
      <c r="G173">
        <v>3</v>
      </c>
      <c r="H173">
        <v>47</v>
      </c>
      <c r="I173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7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74" spans="1:11" x14ac:dyDescent="0.35">
      <c r="A174">
        <v>64</v>
      </c>
      <c r="B174">
        <v>3</v>
      </c>
      <c r="C174" t="s">
        <v>39</v>
      </c>
      <c r="D174" t="s">
        <v>1812</v>
      </c>
      <c r="E174">
        <v>12</v>
      </c>
      <c r="F174">
        <v>20</v>
      </c>
      <c r="G174">
        <v>3</v>
      </c>
      <c r="H174">
        <v>25</v>
      </c>
      <c r="I174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5" spans="1:11" x14ac:dyDescent="0.35">
      <c r="A175">
        <v>65</v>
      </c>
      <c r="B175">
        <v>5</v>
      </c>
      <c r="C175" t="s">
        <v>29</v>
      </c>
      <c r="D175" t="s">
        <v>1806</v>
      </c>
      <c r="E175">
        <v>11</v>
      </c>
      <c r="F175">
        <v>19</v>
      </c>
      <c r="G175">
        <v>3</v>
      </c>
      <c r="H175">
        <v>51</v>
      </c>
      <c r="I175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76" spans="1:11" x14ac:dyDescent="0.35">
      <c r="A176">
        <v>65</v>
      </c>
      <c r="B176">
        <v>5</v>
      </c>
      <c r="C176" t="s">
        <v>27</v>
      </c>
      <c r="D176" t="s">
        <v>1805</v>
      </c>
      <c r="E176">
        <v>16</v>
      </c>
      <c r="F176">
        <v>28</v>
      </c>
      <c r="G176">
        <v>1</v>
      </c>
      <c r="H176">
        <v>32</v>
      </c>
      <c r="I176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7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77" spans="1:11" x14ac:dyDescent="0.35">
      <c r="A177">
        <v>65</v>
      </c>
      <c r="B177">
        <v>5</v>
      </c>
      <c r="C177" t="s">
        <v>15</v>
      </c>
      <c r="D177" t="s">
        <v>1799</v>
      </c>
      <c r="E177">
        <v>19</v>
      </c>
      <c r="F177">
        <v>31</v>
      </c>
      <c r="G177">
        <v>1</v>
      </c>
      <c r="H177">
        <v>55</v>
      </c>
      <c r="I177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7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78" spans="1:11" x14ac:dyDescent="0.35">
      <c r="A178">
        <v>65</v>
      </c>
      <c r="B178">
        <v>5</v>
      </c>
      <c r="C178" t="s">
        <v>19</v>
      </c>
      <c r="D178" t="s">
        <v>1802</v>
      </c>
      <c r="E178">
        <v>25</v>
      </c>
      <c r="F178">
        <v>40</v>
      </c>
      <c r="G178">
        <v>2</v>
      </c>
      <c r="H178">
        <v>17</v>
      </c>
      <c r="I178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78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79" spans="1:11" x14ac:dyDescent="0.35">
      <c r="A179">
        <v>66</v>
      </c>
      <c r="B179">
        <v>18</v>
      </c>
      <c r="C179" t="s">
        <v>21</v>
      </c>
      <c r="D179" t="s">
        <v>1801</v>
      </c>
      <c r="E179">
        <v>22</v>
      </c>
      <c r="F179">
        <v>36</v>
      </c>
      <c r="G179">
        <v>1</v>
      </c>
      <c r="H179">
        <v>29</v>
      </c>
      <c r="I179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79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80" spans="1:11" x14ac:dyDescent="0.35">
      <c r="A180">
        <v>66</v>
      </c>
      <c r="B180">
        <v>18</v>
      </c>
      <c r="C180" t="s">
        <v>19</v>
      </c>
      <c r="D180" t="s">
        <v>1802</v>
      </c>
      <c r="E180">
        <v>25</v>
      </c>
      <c r="F180">
        <v>40</v>
      </c>
      <c r="G180">
        <v>3</v>
      </c>
      <c r="H180">
        <v>30</v>
      </c>
      <c r="I180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80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81" spans="1:11" x14ac:dyDescent="0.35">
      <c r="A181">
        <v>66</v>
      </c>
      <c r="B181">
        <v>18</v>
      </c>
      <c r="C181" t="s">
        <v>45</v>
      </c>
      <c r="D181" t="s">
        <v>1814</v>
      </c>
      <c r="E181">
        <v>10</v>
      </c>
      <c r="F181">
        <v>18</v>
      </c>
      <c r="G181">
        <v>3</v>
      </c>
      <c r="H181">
        <v>55</v>
      </c>
      <c r="I181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82" spans="1:11" x14ac:dyDescent="0.35">
      <c r="A182">
        <v>67</v>
      </c>
      <c r="B182">
        <v>2</v>
      </c>
      <c r="C182" t="s">
        <v>47</v>
      </c>
      <c r="D182" t="s">
        <v>1815</v>
      </c>
      <c r="E182">
        <v>15</v>
      </c>
      <c r="F182">
        <v>26</v>
      </c>
      <c r="G182">
        <v>3</v>
      </c>
      <c r="H182">
        <v>15</v>
      </c>
      <c r="I182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8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83" spans="1:11" x14ac:dyDescent="0.35">
      <c r="A183">
        <v>67</v>
      </c>
      <c r="B183">
        <v>2</v>
      </c>
      <c r="C183" t="s">
        <v>21</v>
      </c>
      <c r="D183" t="s">
        <v>1801</v>
      </c>
      <c r="E183">
        <v>22</v>
      </c>
      <c r="F183">
        <v>36</v>
      </c>
      <c r="G183">
        <v>3</v>
      </c>
      <c r="H183">
        <v>59</v>
      </c>
      <c r="I183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83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84" spans="1:11" x14ac:dyDescent="0.35">
      <c r="A184">
        <v>67</v>
      </c>
      <c r="B184">
        <v>2</v>
      </c>
      <c r="C184" t="s">
        <v>12</v>
      </c>
      <c r="D184" t="s">
        <v>1797</v>
      </c>
      <c r="E184">
        <v>18</v>
      </c>
      <c r="F184">
        <v>30</v>
      </c>
      <c r="G184">
        <v>1</v>
      </c>
      <c r="H184">
        <v>35</v>
      </c>
      <c r="I184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8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5" spans="1:11" x14ac:dyDescent="0.35">
      <c r="A185">
        <v>67</v>
      </c>
      <c r="B185">
        <v>2</v>
      </c>
      <c r="C185" t="s">
        <v>19</v>
      </c>
      <c r="D185" t="s">
        <v>1802</v>
      </c>
      <c r="E185">
        <v>25</v>
      </c>
      <c r="F185">
        <v>40</v>
      </c>
      <c r="G185">
        <v>1</v>
      </c>
      <c r="H185">
        <v>22</v>
      </c>
      <c r="I185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8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86" spans="1:11" x14ac:dyDescent="0.35">
      <c r="A186">
        <v>68</v>
      </c>
      <c r="B186">
        <v>8</v>
      </c>
      <c r="C186" t="s">
        <v>49</v>
      </c>
      <c r="D186" t="s">
        <v>1816</v>
      </c>
      <c r="E186">
        <v>15</v>
      </c>
      <c r="F186">
        <v>25</v>
      </c>
      <c r="G186">
        <v>1</v>
      </c>
      <c r="H186">
        <v>26</v>
      </c>
      <c r="I186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8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7" spans="1:11" x14ac:dyDescent="0.35">
      <c r="A187">
        <v>68</v>
      </c>
      <c r="B187">
        <v>8</v>
      </c>
      <c r="C187" t="s">
        <v>41</v>
      </c>
      <c r="D187" t="s">
        <v>1811</v>
      </c>
      <c r="E187">
        <v>14</v>
      </c>
      <c r="F187">
        <v>23</v>
      </c>
      <c r="G187">
        <v>3</v>
      </c>
      <c r="H187">
        <v>43</v>
      </c>
      <c r="I187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8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88" spans="1:11" x14ac:dyDescent="0.35">
      <c r="A188">
        <v>68</v>
      </c>
      <c r="B188">
        <v>8</v>
      </c>
      <c r="C188" t="s">
        <v>33</v>
      </c>
      <c r="D188" t="s">
        <v>1808</v>
      </c>
      <c r="E188">
        <v>19</v>
      </c>
      <c r="F188">
        <v>32</v>
      </c>
      <c r="G188">
        <v>3</v>
      </c>
      <c r="H188">
        <v>57</v>
      </c>
      <c r="I188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8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89" spans="1:11" x14ac:dyDescent="0.35">
      <c r="A189">
        <v>68</v>
      </c>
      <c r="B189">
        <v>8</v>
      </c>
      <c r="C189" t="s">
        <v>27</v>
      </c>
      <c r="D189" t="s">
        <v>1805</v>
      </c>
      <c r="E189">
        <v>16</v>
      </c>
      <c r="F189">
        <v>28</v>
      </c>
      <c r="G189">
        <v>1</v>
      </c>
      <c r="H189">
        <v>19</v>
      </c>
      <c r="I189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89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90" spans="1:11" x14ac:dyDescent="0.35">
      <c r="A190">
        <v>69</v>
      </c>
      <c r="B190">
        <v>5</v>
      </c>
      <c r="C190" t="s">
        <v>25</v>
      </c>
      <c r="D190" t="s">
        <v>1804</v>
      </c>
      <c r="E190">
        <v>20</v>
      </c>
      <c r="F190">
        <v>33</v>
      </c>
      <c r="G190">
        <v>3</v>
      </c>
      <c r="H190">
        <v>24</v>
      </c>
      <c r="I190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9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91" spans="1:11" x14ac:dyDescent="0.35">
      <c r="A191">
        <v>69</v>
      </c>
      <c r="B191">
        <v>5</v>
      </c>
      <c r="C191" t="s">
        <v>43</v>
      </c>
      <c r="D191" t="s">
        <v>1813</v>
      </c>
      <c r="E191">
        <v>13</v>
      </c>
      <c r="F191">
        <v>21</v>
      </c>
      <c r="G191">
        <v>3</v>
      </c>
      <c r="H191">
        <v>20</v>
      </c>
      <c r="I191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9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92" spans="1:11" x14ac:dyDescent="0.35">
      <c r="A192">
        <v>69</v>
      </c>
      <c r="B192">
        <v>5</v>
      </c>
      <c r="C192" t="s">
        <v>9</v>
      </c>
      <c r="D192" t="s">
        <v>1798</v>
      </c>
      <c r="E192">
        <v>14</v>
      </c>
      <c r="F192">
        <v>24</v>
      </c>
      <c r="G192">
        <v>3</v>
      </c>
      <c r="H192">
        <v>48</v>
      </c>
      <c r="I192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9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93" spans="1:11" x14ac:dyDescent="0.35">
      <c r="A193">
        <v>70</v>
      </c>
      <c r="B193">
        <v>17</v>
      </c>
      <c r="C193" t="s">
        <v>49</v>
      </c>
      <c r="D193" t="s">
        <v>1816</v>
      </c>
      <c r="E193">
        <v>15</v>
      </c>
      <c r="F193">
        <v>25</v>
      </c>
      <c r="G193">
        <v>2</v>
      </c>
      <c r="H193">
        <v>19</v>
      </c>
      <c r="I193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9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94" spans="1:11" x14ac:dyDescent="0.35">
      <c r="A194">
        <v>70</v>
      </c>
      <c r="B194">
        <v>17</v>
      </c>
      <c r="C194" t="s">
        <v>37</v>
      </c>
      <c r="D194" t="s">
        <v>1810</v>
      </c>
      <c r="E194">
        <v>20</v>
      </c>
      <c r="F194">
        <v>34</v>
      </c>
      <c r="G194">
        <v>2</v>
      </c>
      <c r="H194">
        <v>21</v>
      </c>
      <c r="I194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9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95" spans="1:11" x14ac:dyDescent="0.35">
      <c r="A195">
        <v>71</v>
      </c>
      <c r="B195">
        <v>18</v>
      </c>
      <c r="C195" t="s">
        <v>41</v>
      </c>
      <c r="D195" t="s">
        <v>1811</v>
      </c>
      <c r="E195">
        <v>14</v>
      </c>
      <c r="F195">
        <v>23</v>
      </c>
      <c r="G195">
        <v>2</v>
      </c>
      <c r="H195">
        <v>29</v>
      </c>
      <c r="I195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95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96" spans="1:11" x14ac:dyDescent="0.35">
      <c r="A196">
        <v>71</v>
      </c>
      <c r="B196">
        <v>18</v>
      </c>
      <c r="C196" t="s">
        <v>12</v>
      </c>
      <c r="D196" t="s">
        <v>1797</v>
      </c>
      <c r="E196">
        <v>18</v>
      </c>
      <c r="F196">
        <v>30</v>
      </c>
      <c r="G196">
        <v>3</v>
      </c>
      <c r="H196">
        <v>20</v>
      </c>
      <c r="I196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9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97" spans="1:11" x14ac:dyDescent="0.35">
      <c r="A197">
        <v>72</v>
      </c>
      <c r="B197">
        <v>17</v>
      </c>
      <c r="C197" t="s">
        <v>43</v>
      </c>
      <c r="D197" t="s">
        <v>1813</v>
      </c>
      <c r="E197">
        <v>13</v>
      </c>
      <c r="F197">
        <v>21</v>
      </c>
      <c r="G197">
        <v>1</v>
      </c>
      <c r="H197">
        <v>17</v>
      </c>
      <c r="I197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9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98" spans="1:11" x14ac:dyDescent="0.35">
      <c r="A198">
        <v>72</v>
      </c>
      <c r="B198">
        <v>17</v>
      </c>
      <c r="C198" t="s">
        <v>45</v>
      </c>
      <c r="D198" t="s">
        <v>1814</v>
      </c>
      <c r="E198">
        <v>10</v>
      </c>
      <c r="F198">
        <v>18</v>
      </c>
      <c r="G198">
        <v>3</v>
      </c>
      <c r="H198">
        <v>37</v>
      </c>
      <c r="I198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98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99" spans="1:11" x14ac:dyDescent="0.35">
      <c r="A199">
        <v>73</v>
      </c>
      <c r="B199">
        <v>1</v>
      </c>
      <c r="C199" t="s">
        <v>17</v>
      </c>
      <c r="D199" t="s">
        <v>1800</v>
      </c>
      <c r="E199">
        <v>16</v>
      </c>
      <c r="F199">
        <v>27</v>
      </c>
      <c r="G199">
        <v>3</v>
      </c>
      <c r="H199">
        <v>20</v>
      </c>
      <c r="I199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99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200" spans="1:11" x14ac:dyDescent="0.35">
      <c r="A200">
        <v>74</v>
      </c>
      <c r="B200">
        <v>19</v>
      </c>
      <c r="C200" t="s">
        <v>47</v>
      </c>
      <c r="D200" t="s">
        <v>1815</v>
      </c>
      <c r="E200">
        <v>15</v>
      </c>
      <c r="F200">
        <v>26</v>
      </c>
      <c r="G200">
        <v>2</v>
      </c>
      <c r="H200">
        <v>39</v>
      </c>
      <c r="I200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2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200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201" spans="1:11" x14ac:dyDescent="0.35">
      <c r="A201">
        <v>74</v>
      </c>
      <c r="B201">
        <v>19</v>
      </c>
      <c r="C201" t="s">
        <v>33</v>
      </c>
      <c r="D201" t="s">
        <v>1808</v>
      </c>
      <c r="E201">
        <v>19</v>
      </c>
      <c r="F201">
        <v>32</v>
      </c>
      <c r="G201">
        <v>2</v>
      </c>
      <c r="H201">
        <v>24</v>
      </c>
      <c r="I201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2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20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202" spans="1:11" x14ac:dyDescent="0.35">
      <c r="A202">
        <v>74</v>
      </c>
      <c r="B202">
        <v>19</v>
      </c>
      <c r="C202" t="s">
        <v>37</v>
      </c>
      <c r="D202" t="s">
        <v>1810</v>
      </c>
      <c r="E202">
        <v>20</v>
      </c>
      <c r="F202">
        <v>34</v>
      </c>
      <c r="G202">
        <v>3</v>
      </c>
      <c r="H202">
        <v>37</v>
      </c>
      <c r="I202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2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20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203" spans="1:11" x14ac:dyDescent="0.35">
      <c r="A203">
        <v>75</v>
      </c>
      <c r="B203">
        <v>19</v>
      </c>
      <c r="C203" t="s">
        <v>41</v>
      </c>
      <c r="D203" t="s">
        <v>1811</v>
      </c>
      <c r="E203">
        <v>14</v>
      </c>
      <c r="F203">
        <v>23</v>
      </c>
      <c r="G203">
        <v>3</v>
      </c>
      <c r="H203">
        <v>16</v>
      </c>
      <c r="I203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2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203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204" spans="1:11" x14ac:dyDescent="0.35">
      <c r="A204">
        <v>75</v>
      </c>
      <c r="B204">
        <v>19</v>
      </c>
      <c r="C204" t="s">
        <v>19</v>
      </c>
      <c r="D204" t="s">
        <v>1802</v>
      </c>
      <c r="E204">
        <v>25</v>
      </c>
      <c r="F204">
        <v>40</v>
      </c>
      <c r="G204">
        <v>1</v>
      </c>
      <c r="H204">
        <v>35</v>
      </c>
      <c r="I204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2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20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205" spans="1:11" x14ac:dyDescent="0.35">
      <c r="A205">
        <v>76</v>
      </c>
      <c r="B205">
        <v>17</v>
      </c>
      <c r="C205" t="s">
        <v>47</v>
      </c>
      <c r="D205" t="s">
        <v>1815</v>
      </c>
      <c r="E205">
        <v>15</v>
      </c>
      <c r="F205">
        <v>26</v>
      </c>
      <c r="G205">
        <v>1</v>
      </c>
      <c r="H205">
        <v>30</v>
      </c>
      <c r="I205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2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20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206" spans="1:11" x14ac:dyDescent="0.35">
      <c r="A206">
        <v>76</v>
      </c>
      <c r="B206">
        <v>17</v>
      </c>
      <c r="C206" t="s">
        <v>12</v>
      </c>
      <c r="D206" t="s">
        <v>1797</v>
      </c>
      <c r="E206">
        <v>18</v>
      </c>
      <c r="F206">
        <v>30</v>
      </c>
      <c r="G206">
        <v>3</v>
      </c>
      <c r="H206">
        <v>13</v>
      </c>
      <c r="I206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2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20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07" spans="1:11" x14ac:dyDescent="0.35">
      <c r="A207">
        <v>76</v>
      </c>
      <c r="B207">
        <v>17</v>
      </c>
      <c r="C207" t="s">
        <v>45</v>
      </c>
      <c r="D207" t="s">
        <v>1814</v>
      </c>
      <c r="E207">
        <v>10</v>
      </c>
      <c r="F207">
        <v>18</v>
      </c>
      <c r="G207">
        <v>1</v>
      </c>
      <c r="H207">
        <v>34</v>
      </c>
      <c r="I207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2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07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208" spans="1:11" x14ac:dyDescent="0.35">
      <c r="A208">
        <v>76</v>
      </c>
      <c r="B208">
        <v>17</v>
      </c>
      <c r="C208" t="s">
        <v>9</v>
      </c>
      <c r="D208" t="s">
        <v>1798</v>
      </c>
      <c r="E208">
        <v>14</v>
      </c>
      <c r="F208">
        <v>24</v>
      </c>
      <c r="G208">
        <v>1</v>
      </c>
      <c r="H208">
        <v>20</v>
      </c>
      <c r="I208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2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20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209" spans="1:11" x14ac:dyDescent="0.35">
      <c r="A209">
        <v>77</v>
      </c>
      <c r="B209">
        <v>3</v>
      </c>
      <c r="C209" t="s">
        <v>25</v>
      </c>
      <c r="D209" t="s">
        <v>1804</v>
      </c>
      <c r="E209">
        <v>20</v>
      </c>
      <c r="F209">
        <v>33</v>
      </c>
      <c r="G209">
        <v>1</v>
      </c>
      <c r="H209">
        <v>8</v>
      </c>
      <c r="I209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2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20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210" spans="1:11" x14ac:dyDescent="0.35">
      <c r="A210">
        <v>77</v>
      </c>
      <c r="B210">
        <v>3</v>
      </c>
      <c r="C210" t="s">
        <v>45</v>
      </c>
      <c r="D210" t="s">
        <v>1814</v>
      </c>
      <c r="E210">
        <v>10</v>
      </c>
      <c r="F210">
        <v>18</v>
      </c>
      <c r="G210">
        <v>1</v>
      </c>
      <c r="H210">
        <v>34</v>
      </c>
      <c r="I210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2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10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211" spans="1:11" x14ac:dyDescent="0.35">
      <c r="A211">
        <v>77</v>
      </c>
      <c r="B211">
        <v>3</v>
      </c>
      <c r="C211" t="s">
        <v>9</v>
      </c>
      <c r="D211" t="s">
        <v>1798</v>
      </c>
      <c r="E211">
        <v>14</v>
      </c>
      <c r="F211">
        <v>24</v>
      </c>
      <c r="G211">
        <v>2</v>
      </c>
      <c r="H211">
        <v>55</v>
      </c>
      <c r="I211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2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211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212" spans="1:11" x14ac:dyDescent="0.35">
      <c r="A212">
        <v>78</v>
      </c>
      <c r="B212">
        <v>7</v>
      </c>
      <c r="C212" t="s">
        <v>29</v>
      </c>
      <c r="D212" t="s">
        <v>1806</v>
      </c>
      <c r="E212">
        <v>11</v>
      </c>
      <c r="F212">
        <v>19</v>
      </c>
      <c r="G212">
        <v>3</v>
      </c>
      <c r="H212">
        <v>54</v>
      </c>
      <c r="I212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2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1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213" spans="1:11" x14ac:dyDescent="0.35">
      <c r="A213">
        <v>79</v>
      </c>
      <c r="B213">
        <v>16</v>
      </c>
      <c r="C213" t="s">
        <v>25</v>
      </c>
      <c r="D213" t="s">
        <v>1804</v>
      </c>
      <c r="E213">
        <v>20</v>
      </c>
      <c r="F213">
        <v>33</v>
      </c>
      <c r="G213">
        <v>3</v>
      </c>
      <c r="H213">
        <v>14</v>
      </c>
      <c r="I213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2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21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214" spans="1:11" x14ac:dyDescent="0.35">
      <c r="A214">
        <v>79</v>
      </c>
      <c r="B214">
        <v>16</v>
      </c>
      <c r="C214" t="s">
        <v>43</v>
      </c>
      <c r="D214" t="s">
        <v>1813</v>
      </c>
      <c r="E214">
        <v>13</v>
      </c>
      <c r="F214">
        <v>21</v>
      </c>
      <c r="G214">
        <v>3</v>
      </c>
      <c r="H214">
        <v>43</v>
      </c>
      <c r="I214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2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1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215" spans="1:11" x14ac:dyDescent="0.35">
      <c r="A215">
        <v>79</v>
      </c>
      <c r="B215">
        <v>16</v>
      </c>
      <c r="C215" t="s">
        <v>39</v>
      </c>
      <c r="D215" t="s">
        <v>1812</v>
      </c>
      <c r="E215">
        <v>12</v>
      </c>
      <c r="F215">
        <v>20</v>
      </c>
      <c r="G215">
        <v>3</v>
      </c>
      <c r="H215">
        <v>25</v>
      </c>
      <c r="I21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2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1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16" spans="1:11" x14ac:dyDescent="0.35">
      <c r="A216">
        <v>79</v>
      </c>
      <c r="B216">
        <v>16</v>
      </c>
      <c r="C216" t="s">
        <v>23</v>
      </c>
      <c r="D216" t="s">
        <v>1803</v>
      </c>
      <c r="E216">
        <v>17</v>
      </c>
      <c r="F216">
        <v>29</v>
      </c>
      <c r="G216">
        <v>3</v>
      </c>
      <c r="H216">
        <v>14</v>
      </c>
      <c r="I216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2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21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17" spans="1:11" x14ac:dyDescent="0.35">
      <c r="A217">
        <v>80</v>
      </c>
      <c r="B217">
        <v>18</v>
      </c>
      <c r="C217" t="s">
        <v>35</v>
      </c>
      <c r="D217" t="s">
        <v>1809</v>
      </c>
      <c r="E217">
        <v>13</v>
      </c>
      <c r="F217">
        <v>22</v>
      </c>
      <c r="G217">
        <v>2</v>
      </c>
      <c r="H217">
        <v>5</v>
      </c>
      <c r="I217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2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21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218" spans="1:11" x14ac:dyDescent="0.35">
      <c r="A218">
        <v>80</v>
      </c>
      <c r="B218">
        <v>18</v>
      </c>
      <c r="C218" t="s">
        <v>9</v>
      </c>
      <c r="D218" t="s">
        <v>1798</v>
      </c>
      <c r="E218">
        <v>14</v>
      </c>
      <c r="F218">
        <v>24</v>
      </c>
      <c r="G218">
        <v>2</v>
      </c>
      <c r="H218">
        <v>28</v>
      </c>
      <c r="I218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2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21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219" spans="1:11" x14ac:dyDescent="0.35">
      <c r="A219">
        <v>80</v>
      </c>
      <c r="B219">
        <v>18</v>
      </c>
      <c r="C219" t="s">
        <v>23</v>
      </c>
      <c r="D219" t="s">
        <v>1803</v>
      </c>
      <c r="E219">
        <v>17</v>
      </c>
      <c r="F219">
        <v>29</v>
      </c>
      <c r="G219">
        <v>1</v>
      </c>
      <c r="H219">
        <v>34</v>
      </c>
      <c r="I219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2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19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20" spans="1:11" x14ac:dyDescent="0.35">
      <c r="A220">
        <v>81</v>
      </c>
      <c r="B220">
        <v>17</v>
      </c>
      <c r="C220" t="s">
        <v>15</v>
      </c>
      <c r="D220" t="s">
        <v>1799</v>
      </c>
      <c r="E220">
        <v>19</v>
      </c>
      <c r="F220">
        <v>31</v>
      </c>
      <c r="G220">
        <v>2</v>
      </c>
      <c r="H220">
        <v>59</v>
      </c>
      <c r="I220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2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2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221" spans="1:11" x14ac:dyDescent="0.35">
      <c r="A221">
        <v>82</v>
      </c>
      <c r="B221">
        <v>16</v>
      </c>
      <c r="C221" t="s">
        <v>49</v>
      </c>
      <c r="D221" t="s">
        <v>1816</v>
      </c>
      <c r="E221">
        <v>15</v>
      </c>
      <c r="F221">
        <v>25</v>
      </c>
      <c r="G221">
        <v>2</v>
      </c>
      <c r="H221">
        <v>11</v>
      </c>
      <c r="I221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2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22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22" spans="1:11" x14ac:dyDescent="0.35">
      <c r="A222">
        <v>82</v>
      </c>
      <c r="B222">
        <v>16</v>
      </c>
      <c r="C222" t="s">
        <v>12</v>
      </c>
      <c r="D222" t="s">
        <v>1797</v>
      </c>
      <c r="E222">
        <v>18</v>
      </c>
      <c r="F222">
        <v>30</v>
      </c>
      <c r="G222">
        <v>1</v>
      </c>
      <c r="H222">
        <v>8</v>
      </c>
      <c r="I222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2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2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23" spans="1:11" x14ac:dyDescent="0.35">
      <c r="A223">
        <v>83</v>
      </c>
      <c r="B223">
        <v>15</v>
      </c>
      <c r="C223" t="s">
        <v>33</v>
      </c>
      <c r="D223" t="s">
        <v>1808</v>
      </c>
      <c r="E223">
        <v>19</v>
      </c>
      <c r="F223">
        <v>32</v>
      </c>
      <c r="G223">
        <v>3</v>
      </c>
      <c r="H223">
        <v>50</v>
      </c>
      <c r="I223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2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22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224" spans="1:11" x14ac:dyDescent="0.35">
      <c r="A224">
        <v>83</v>
      </c>
      <c r="B224">
        <v>15</v>
      </c>
      <c r="C224" t="s">
        <v>39</v>
      </c>
      <c r="D224" t="s">
        <v>1812</v>
      </c>
      <c r="E224">
        <v>12</v>
      </c>
      <c r="F224">
        <v>20</v>
      </c>
      <c r="G224">
        <v>1</v>
      </c>
      <c r="H224">
        <v>30</v>
      </c>
      <c r="I224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2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2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25" spans="1:11" x14ac:dyDescent="0.35">
      <c r="A225">
        <v>83</v>
      </c>
      <c r="B225">
        <v>15</v>
      </c>
      <c r="C225" t="s">
        <v>17</v>
      </c>
      <c r="D225" t="s">
        <v>1800</v>
      </c>
      <c r="E225">
        <v>16</v>
      </c>
      <c r="F225">
        <v>27</v>
      </c>
      <c r="G225">
        <v>2</v>
      </c>
      <c r="H225">
        <v>14</v>
      </c>
      <c r="I225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2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225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226" spans="1:11" x14ac:dyDescent="0.35">
      <c r="A226">
        <v>84</v>
      </c>
      <c r="B226">
        <v>19</v>
      </c>
      <c r="C226" t="s">
        <v>12</v>
      </c>
      <c r="D226" t="s">
        <v>1797</v>
      </c>
      <c r="E226">
        <v>18</v>
      </c>
      <c r="F226">
        <v>30</v>
      </c>
      <c r="G226">
        <v>2</v>
      </c>
      <c r="H226">
        <v>10</v>
      </c>
      <c r="I226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2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2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27" spans="1:11" x14ac:dyDescent="0.35">
      <c r="A227">
        <v>85</v>
      </c>
      <c r="B227">
        <v>8</v>
      </c>
      <c r="C227" t="s">
        <v>33</v>
      </c>
      <c r="D227" t="s">
        <v>1808</v>
      </c>
      <c r="E227">
        <v>19</v>
      </c>
      <c r="F227">
        <v>32</v>
      </c>
      <c r="G227">
        <v>1</v>
      </c>
      <c r="H227">
        <v>29</v>
      </c>
      <c r="I227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2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22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228" spans="1:11" x14ac:dyDescent="0.35">
      <c r="A228">
        <v>85</v>
      </c>
      <c r="B228">
        <v>8</v>
      </c>
      <c r="C228" t="s">
        <v>27</v>
      </c>
      <c r="D228" t="s">
        <v>1805</v>
      </c>
      <c r="E228">
        <v>16</v>
      </c>
      <c r="F228">
        <v>28</v>
      </c>
      <c r="G228">
        <v>3</v>
      </c>
      <c r="H228">
        <v>26</v>
      </c>
      <c r="I228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2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228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229" spans="1:11" x14ac:dyDescent="0.35">
      <c r="A229">
        <v>85</v>
      </c>
      <c r="B229">
        <v>8</v>
      </c>
      <c r="C229" t="s">
        <v>21</v>
      </c>
      <c r="D229" t="s">
        <v>1801</v>
      </c>
      <c r="E229">
        <v>22</v>
      </c>
      <c r="F229">
        <v>36</v>
      </c>
      <c r="G229">
        <v>2</v>
      </c>
      <c r="H229">
        <v>33</v>
      </c>
      <c r="I229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2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229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230" spans="1:11" x14ac:dyDescent="0.35">
      <c r="A230">
        <v>85</v>
      </c>
      <c r="B230">
        <v>8</v>
      </c>
      <c r="C230" t="s">
        <v>39</v>
      </c>
      <c r="D230" t="s">
        <v>1812</v>
      </c>
      <c r="E230">
        <v>12</v>
      </c>
      <c r="F230">
        <v>20</v>
      </c>
      <c r="G230">
        <v>1</v>
      </c>
      <c r="H230">
        <v>54</v>
      </c>
      <c r="I230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2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3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31" spans="1:11" x14ac:dyDescent="0.35">
      <c r="A231">
        <v>86</v>
      </c>
      <c r="B231">
        <v>20</v>
      </c>
      <c r="C231" t="s">
        <v>49</v>
      </c>
      <c r="D231" t="s">
        <v>1816</v>
      </c>
      <c r="E231">
        <v>15</v>
      </c>
      <c r="F231">
        <v>25</v>
      </c>
      <c r="G231">
        <v>2</v>
      </c>
      <c r="H231">
        <v>8</v>
      </c>
      <c r="I231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2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23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32" spans="1:11" x14ac:dyDescent="0.35">
      <c r="A232">
        <v>87</v>
      </c>
      <c r="B232">
        <v>3</v>
      </c>
      <c r="C232" t="s">
        <v>33</v>
      </c>
      <c r="D232" t="s">
        <v>1808</v>
      </c>
      <c r="E232">
        <v>19</v>
      </c>
      <c r="F232">
        <v>32</v>
      </c>
      <c r="G232">
        <v>1</v>
      </c>
      <c r="H232">
        <v>5</v>
      </c>
      <c r="I232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2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232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233" spans="1:11" x14ac:dyDescent="0.35">
      <c r="A233">
        <v>87</v>
      </c>
      <c r="B233">
        <v>3</v>
      </c>
      <c r="C233" t="s">
        <v>15</v>
      </c>
      <c r="D233" t="s">
        <v>1799</v>
      </c>
      <c r="E233">
        <v>19</v>
      </c>
      <c r="F233">
        <v>31</v>
      </c>
      <c r="G233">
        <v>1</v>
      </c>
      <c r="H233">
        <v>11</v>
      </c>
      <c r="I233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2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33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234" spans="1:11" x14ac:dyDescent="0.35">
      <c r="A234">
        <v>87</v>
      </c>
      <c r="B234">
        <v>3</v>
      </c>
      <c r="C234" t="s">
        <v>45</v>
      </c>
      <c r="D234" t="s">
        <v>1814</v>
      </c>
      <c r="E234">
        <v>10</v>
      </c>
      <c r="F234">
        <v>18</v>
      </c>
      <c r="G234">
        <v>2</v>
      </c>
      <c r="H234">
        <v>55</v>
      </c>
      <c r="I234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2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23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235" spans="1:11" x14ac:dyDescent="0.35">
      <c r="A235">
        <v>88</v>
      </c>
      <c r="B235">
        <v>18</v>
      </c>
      <c r="C235" t="s">
        <v>47</v>
      </c>
      <c r="D235" t="s">
        <v>1815</v>
      </c>
      <c r="E235">
        <v>15</v>
      </c>
      <c r="F235">
        <v>26</v>
      </c>
      <c r="G235">
        <v>1</v>
      </c>
      <c r="H235">
        <v>59</v>
      </c>
      <c r="I235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2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23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236" spans="1:11" x14ac:dyDescent="0.35">
      <c r="A236">
        <v>88</v>
      </c>
      <c r="B236">
        <v>18</v>
      </c>
      <c r="C236" t="s">
        <v>29</v>
      </c>
      <c r="D236" t="s">
        <v>1806</v>
      </c>
      <c r="E236">
        <v>11</v>
      </c>
      <c r="F236">
        <v>19</v>
      </c>
      <c r="G236">
        <v>3</v>
      </c>
      <c r="H236">
        <v>46</v>
      </c>
      <c r="I236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2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36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237" spans="1:11" x14ac:dyDescent="0.35">
      <c r="A237">
        <v>88</v>
      </c>
      <c r="B237">
        <v>18</v>
      </c>
      <c r="C237" t="s">
        <v>19</v>
      </c>
      <c r="D237" t="s">
        <v>1802</v>
      </c>
      <c r="E237">
        <v>25</v>
      </c>
      <c r="F237">
        <v>40</v>
      </c>
      <c r="G237">
        <v>1</v>
      </c>
      <c r="H237">
        <v>12</v>
      </c>
      <c r="I237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2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237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238" spans="1:11" x14ac:dyDescent="0.35">
      <c r="A238">
        <v>89</v>
      </c>
      <c r="B238">
        <v>11</v>
      </c>
      <c r="C238" t="s">
        <v>41</v>
      </c>
      <c r="D238" t="s">
        <v>1811</v>
      </c>
      <c r="E238">
        <v>14</v>
      </c>
      <c r="F238">
        <v>23</v>
      </c>
      <c r="G238">
        <v>3</v>
      </c>
      <c r="H238">
        <v>44</v>
      </c>
      <c r="I238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2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23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239" spans="1:11" x14ac:dyDescent="0.35">
      <c r="A239">
        <v>89</v>
      </c>
      <c r="B239">
        <v>11</v>
      </c>
      <c r="C239" t="s">
        <v>37</v>
      </c>
      <c r="D239" t="s">
        <v>1810</v>
      </c>
      <c r="E239">
        <v>20</v>
      </c>
      <c r="F239">
        <v>34</v>
      </c>
      <c r="G239">
        <v>2</v>
      </c>
      <c r="H239">
        <v>58</v>
      </c>
      <c r="I239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2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239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240" spans="1:11" x14ac:dyDescent="0.35">
      <c r="A240">
        <v>89</v>
      </c>
      <c r="B240">
        <v>11</v>
      </c>
      <c r="C240" t="s">
        <v>35</v>
      </c>
      <c r="D240" t="s">
        <v>1809</v>
      </c>
      <c r="E240">
        <v>13</v>
      </c>
      <c r="F240">
        <v>22</v>
      </c>
      <c r="G240">
        <v>1</v>
      </c>
      <c r="H240">
        <v>40</v>
      </c>
      <c r="I240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2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24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241" spans="1:11" x14ac:dyDescent="0.35">
      <c r="A241">
        <v>90</v>
      </c>
      <c r="B241">
        <v>6</v>
      </c>
      <c r="C241" t="s">
        <v>37</v>
      </c>
      <c r="D241" t="s">
        <v>1810</v>
      </c>
      <c r="E241">
        <v>20</v>
      </c>
      <c r="F241">
        <v>34</v>
      </c>
      <c r="G241">
        <v>1</v>
      </c>
      <c r="H241">
        <v>48</v>
      </c>
      <c r="I241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2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24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242" spans="1:11" x14ac:dyDescent="0.35">
      <c r="A242">
        <v>91</v>
      </c>
      <c r="B242">
        <v>1</v>
      </c>
      <c r="C242" t="s">
        <v>43</v>
      </c>
      <c r="D242" t="s">
        <v>1813</v>
      </c>
      <c r="E242">
        <v>13</v>
      </c>
      <c r="F242">
        <v>21</v>
      </c>
      <c r="G242">
        <v>3</v>
      </c>
      <c r="H242">
        <v>52</v>
      </c>
      <c r="I242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2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42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243" spans="1:11" x14ac:dyDescent="0.35">
      <c r="A243">
        <v>91</v>
      </c>
      <c r="B243">
        <v>1</v>
      </c>
      <c r="C243" t="s">
        <v>35</v>
      </c>
      <c r="D243" t="s">
        <v>1809</v>
      </c>
      <c r="E243">
        <v>13</v>
      </c>
      <c r="F243">
        <v>22</v>
      </c>
      <c r="G243">
        <v>2</v>
      </c>
      <c r="H243">
        <v>11</v>
      </c>
      <c r="I243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2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24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244" spans="1:11" x14ac:dyDescent="0.35">
      <c r="A244">
        <v>91</v>
      </c>
      <c r="B244">
        <v>1</v>
      </c>
      <c r="C244" t="s">
        <v>17</v>
      </c>
      <c r="D244" t="s">
        <v>1800</v>
      </c>
      <c r="E244">
        <v>16</v>
      </c>
      <c r="F244">
        <v>27</v>
      </c>
      <c r="G244">
        <v>3</v>
      </c>
      <c r="H244">
        <v>48</v>
      </c>
      <c r="I244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2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244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245" spans="1:11" x14ac:dyDescent="0.35">
      <c r="A245">
        <v>91</v>
      </c>
      <c r="B245">
        <v>1</v>
      </c>
      <c r="C245" t="s">
        <v>31</v>
      </c>
      <c r="D245" t="s">
        <v>1807</v>
      </c>
      <c r="E245">
        <v>21</v>
      </c>
      <c r="F245">
        <v>35</v>
      </c>
      <c r="G245">
        <v>3</v>
      </c>
      <c r="H245">
        <v>21</v>
      </c>
      <c r="I245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2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24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46" spans="1:11" x14ac:dyDescent="0.35">
      <c r="A246">
        <v>92</v>
      </c>
      <c r="B246">
        <v>6</v>
      </c>
      <c r="C246" t="s">
        <v>9</v>
      </c>
      <c r="D246" t="s">
        <v>1798</v>
      </c>
      <c r="E246">
        <v>14</v>
      </c>
      <c r="F246">
        <v>24</v>
      </c>
      <c r="G246">
        <v>1</v>
      </c>
      <c r="H246">
        <v>6</v>
      </c>
      <c r="I246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2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24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247" spans="1:11" x14ac:dyDescent="0.35">
      <c r="A247">
        <v>92</v>
      </c>
      <c r="B247">
        <v>6</v>
      </c>
      <c r="C247" t="s">
        <v>23</v>
      </c>
      <c r="D247" t="s">
        <v>1803</v>
      </c>
      <c r="E247">
        <v>17</v>
      </c>
      <c r="F247">
        <v>29</v>
      </c>
      <c r="G247">
        <v>2</v>
      </c>
      <c r="H247">
        <v>36</v>
      </c>
      <c r="I247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2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4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48" spans="1:11" x14ac:dyDescent="0.35">
      <c r="A248">
        <v>93</v>
      </c>
      <c r="B248">
        <v>2</v>
      </c>
      <c r="C248" t="s">
        <v>23</v>
      </c>
      <c r="D248" t="s">
        <v>1803</v>
      </c>
      <c r="E248">
        <v>17</v>
      </c>
      <c r="F248">
        <v>29</v>
      </c>
      <c r="G248">
        <v>1</v>
      </c>
      <c r="H248">
        <v>18</v>
      </c>
      <c r="I248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2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48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49" spans="1:11" x14ac:dyDescent="0.35">
      <c r="A249">
        <v>94</v>
      </c>
      <c r="B249">
        <v>12</v>
      </c>
      <c r="C249" t="s">
        <v>25</v>
      </c>
      <c r="D249" t="s">
        <v>1804</v>
      </c>
      <c r="E249">
        <v>20</v>
      </c>
      <c r="F249">
        <v>33</v>
      </c>
      <c r="G249">
        <v>3</v>
      </c>
      <c r="H249">
        <v>54</v>
      </c>
      <c r="I249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2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24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250" spans="1:11" x14ac:dyDescent="0.35">
      <c r="A250">
        <v>94</v>
      </c>
      <c r="B250">
        <v>12</v>
      </c>
      <c r="C250" t="s">
        <v>33</v>
      </c>
      <c r="D250" t="s">
        <v>1808</v>
      </c>
      <c r="E250">
        <v>19</v>
      </c>
      <c r="F250">
        <v>32</v>
      </c>
      <c r="G250">
        <v>2</v>
      </c>
      <c r="H250">
        <v>56</v>
      </c>
      <c r="I250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2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25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251" spans="1:11" x14ac:dyDescent="0.35">
      <c r="A251">
        <v>94</v>
      </c>
      <c r="B251">
        <v>12</v>
      </c>
      <c r="C251" t="s">
        <v>12</v>
      </c>
      <c r="D251" t="s">
        <v>1797</v>
      </c>
      <c r="E251">
        <v>18</v>
      </c>
      <c r="F251">
        <v>30</v>
      </c>
      <c r="G251">
        <v>3</v>
      </c>
      <c r="H251">
        <v>19</v>
      </c>
      <c r="I251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2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25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52" spans="1:11" x14ac:dyDescent="0.35">
      <c r="A252">
        <v>95</v>
      </c>
      <c r="B252">
        <v>12</v>
      </c>
      <c r="C252" t="s">
        <v>29</v>
      </c>
      <c r="D252" t="s">
        <v>1806</v>
      </c>
      <c r="E252">
        <v>11</v>
      </c>
      <c r="F252">
        <v>19</v>
      </c>
      <c r="G252">
        <v>3</v>
      </c>
      <c r="H252">
        <v>19</v>
      </c>
      <c r="I252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2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5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253" spans="1:11" x14ac:dyDescent="0.35">
      <c r="A253">
        <v>95</v>
      </c>
      <c r="B253">
        <v>12</v>
      </c>
      <c r="C253" t="s">
        <v>33</v>
      </c>
      <c r="D253" t="s">
        <v>1808</v>
      </c>
      <c r="E253">
        <v>19</v>
      </c>
      <c r="F253">
        <v>32</v>
      </c>
      <c r="G253">
        <v>3</v>
      </c>
      <c r="H253">
        <v>22</v>
      </c>
      <c r="I253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2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25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254" spans="1:11" x14ac:dyDescent="0.35">
      <c r="A254">
        <v>96</v>
      </c>
      <c r="B254">
        <v>16</v>
      </c>
      <c r="C254" t="s">
        <v>25</v>
      </c>
      <c r="D254" t="s">
        <v>1804</v>
      </c>
      <c r="E254">
        <v>20</v>
      </c>
      <c r="F254">
        <v>33</v>
      </c>
      <c r="G254">
        <v>2</v>
      </c>
      <c r="H254">
        <v>47</v>
      </c>
      <c r="I254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2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254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255" spans="1:11" x14ac:dyDescent="0.35">
      <c r="A255">
        <v>96</v>
      </c>
      <c r="B255">
        <v>16</v>
      </c>
      <c r="C255" t="s">
        <v>29</v>
      </c>
      <c r="D255" t="s">
        <v>1806</v>
      </c>
      <c r="E255">
        <v>11</v>
      </c>
      <c r="F255">
        <v>19</v>
      </c>
      <c r="G255">
        <v>2</v>
      </c>
      <c r="H255">
        <v>10</v>
      </c>
      <c r="I255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2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25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256" spans="1:11" x14ac:dyDescent="0.35">
      <c r="A256">
        <v>96</v>
      </c>
      <c r="B256">
        <v>16</v>
      </c>
      <c r="C256" t="s">
        <v>9</v>
      </c>
      <c r="D256" t="s">
        <v>1798</v>
      </c>
      <c r="E256">
        <v>14</v>
      </c>
      <c r="F256">
        <v>24</v>
      </c>
      <c r="G256">
        <v>3</v>
      </c>
      <c r="H256">
        <v>19</v>
      </c>
      <c r="I256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2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25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257" spans="1:11" x14ac:dyDescent="0.35">
      <c r="A257">
        <v>97</v>
      </c>
      <c r="B257">
        <v>14</v>
      </c>
      <c r="C257" t="s">
        <v>47</v>
      </c>
      <c r="D257" t="s">
        <v>1815</v>
      </c>
      <c r="E257">
        <v>15</v>
      </c>
      <c r="F257">
        <v>26</v>
      </c>
      <c r="G257">
        <v>1</v>
      </c>
      <c r="H257">
        <v>17</v>
      </c>
      <c r="I257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2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25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258" spans="1:11" x14ac:dyDescent="0.35">
      <c r="A258">
        <v>97</v>
      </c>
      <c r="B258">
        <v>14</v>
      </c>
      <c r="C258" t="s">
        <v>37</v>
      </c>
      <c r="D258" t="s">
        <v>1810</v>
      </c>
      <c r="E258">
        <v>20</v>
      </c>
      <c r="F258">
        <v>34</v>
      </c>
      <c r="G258">
        <v>3</v>
      </c>
      <c r="H258">
        <v>57</v>
      </c>
      <c r="I258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2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25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259" spans="1:11" x14ac:dyDescent="0.35">
      <c r="A259">
        <v>97</v>
      </c>
      <c r="B259">
        <v>14</v>
      </c>
      <c r="C259" t="s">
        <v>39</v>
      </c>
      <c r="D259" t="s">
        <v>1812</v>
      </c>
      <c r="E259">
        <v>12</v>
      </c>
      <c r="F259">
        <v>20</v>
      </c>
      <c r="G259">
        <v>3</v>
      </c>
      <c r="H259">
        <v>5</v>
      </c>
      <c r="I25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2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5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60" spans="1:11" x14ac:dyDescent="0.35">
      <c r="A260">
        <v>98</v>
      </c>
      <c r="B260">
        <v>7</v>
      </c>
      <c r="C260" t="s">
        <v>29</v>
      </c>
      <c r="D260" t="s">
        <v>1806</v>
      </c>
      <c r="E260">
        <v>11</v>
      </c>
      <c r="F260">
        <v>19</v>
      </c>
      <c r="G260">
        <v>1</v>
      </c>
      <c r="H260">
        <v>51</v>
      </c>
      <c r="I260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2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60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261" spans="1:11" x14ac:dyDescent="0.35">
      <c r="A261">
        <v>98</v>
      </c>
      <c r="B261">
        <v>7</v>
      </c>
      <c r="C261" t="s">
        <v>39</v>
      </c>
      <c r="D261" t="s">
        <v>1812</v>
      </c>
      <c r="E261">
        <v>12</v>
      </c>
      <c r="F261">
        <v>20</v>
      </c>
      <c r="G261">
        <v>3</v>
      </c>
      <c r="H261">
        <v>56</v>
      </c>
      <c r="I261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2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6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62" spans="1:11" x14ac:dyDescent="0.35">
      <c r="A262">
        <v>98</v>
      </c>
      <c r="B262">
        <v>7</v>
      </c>
      <c r="C262" t="s">
        <v>23</v>
      </c>
      <c r="D262" t="s">
        <v>1803</v>
      </c>
      <c r="E262">
        <v>17</v>
      </c>
      <c r="F262">
        <v>29</v>
      </c>
      <c r="G262">
        <v>3</v>
      </c>
      <c r="H262">
        <v>33</v>
      </c>
      <c r="I262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2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26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63" spans="1:11" x14ac:dyDescent="0.35">
      <c r="A263">
        <v>99</v>
      </c>
      <c r="B263">
        <v>2</v>
      </c>
      <c r="C263" t="s">
        <v>29</v>
      </c>
      <c r="D263" t="s">
        <v>1806</v>
      </c>
      <c r="E263">
        <v>11</v>
      </c>
      <c r="F263">
        <v>19</v>
      </c>
      <c r="G263">
        <v>1</v>
      </c>
      <c r="H263">
        <v>9</v>
      </c>
      <c r="I263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2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63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264" spans="1:11" x14ac:dyDescent="0.35">
      <c r="A264">
        <v>99</v>
      </c>
      <c r="B264">
        <v>2</v>
      </c>
      <c r="C264" t="s">
        <v>15</v>
      </c>
      <c r="D264" t="s">
        <v>1799</v>
      </c>
      <c r="E264">
        <v>19</v>
      </c>
      <c r="F264">
        <v>31</v>
      </c>
      <c r="G264">
        <v>1</v>
      </c>
      <c r="H264">
        <v>5</v>
      </c>
      <c r="I264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2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6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265" spans="1:11" x14ac:dyDescent="0.35">
      <c r="A265">
        <v>99</v>
      </c>
      <c r="B265">
        <v>2</v>
      </c>
      <c r="C265" t="s">
        <v>12</v>
      </c>
      <c r="D265" t="s">
        <v>1797</v>
      </c>
      <c r="E265">
        <v>18</v>
      </c>
      <c r="F265">
        <v>30</v>
      </c>
      <c r="G265">
        <v>2</v>
      </c>
      <c r="H265">
        <v>27</v>
      </c>
      <c r="I26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2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6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66" spans="1:11" x14ac:dyDescent="0.35">
      <c r="A266">
        <v>99</v>
      </c>
      <c r="B266">
        <v>2</v>
      </c>
      <c r="C266" t="s">
        <v>23</v>
      </c>
      <c r="D266" t="s">
        <v>1803</v>
      </c>
      <c r="E266">
        <v>17</v>
      </c>
      <c r="F266">
        <v>29</v>
      </c>
      <c r="G266">
        <v>1</v>
      </c>
      <c r="H266">
        <v>45</v>
      </c>
      <c r="I266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2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6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67" spans="1:11" x14ac:dyDescent="0.35">
      <c r="A267">
        <v>100</v>
      </c>
      <c r="B267">
        <v>18</v>
      </c>
      <c r="C267" t="s">
        <v>49</v>
      </c>
      <c r="D267" t="s">
        <v>1816</v>
      </c>
      <c r="E267">
        <v>15</v>
      </c>
      <c r="F267">
        <v>25</v>
      </c>
      <c r="G267">
        <v>2</v>
      </c>
      <c r="H267">
        <v>22</v>
      </c>
      <c r="I267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2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26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68" spans="1:11" x14ac:dyDescent="0.35">
      <c r="A268">
        <v>100</v>
      </c>
      <c r="B268">
        <v>18</v>
      </c>
      <c r="C268" t="s">
        <v>35</v>
      </c>
      <c r="D268" t="s">
        <v>1809</v>
      </c>
      <c r="E268">
        <v>13</v>
      </c>
      <c r="F268">
        <v>22</v>
      </c>
      <c r="G268">
        <v>2</v>
      </c>
      <c r="H268">
        <v>33</v>
      </c>
      <c r="I268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2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268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269" spans="1:11" x14ac:dyDescent="0.35">
      <c r="A269">
        <v>100</v>
      </c>
      <c r="B269">
        <v>18</v>
      </c>
      <c r="C269" t="s">
        <v>9</v>
      </c>
      <c r="D269" t="s">
        <v>1798</v>
      </c>
      <c r="E269">
        <v>14</v>
      </c>
      <c r="F269">
        <v>24</v>
      </c>
      <c r="G269">
        <v>3</v>
      </c>
      <c r="H269">
        <v>48</v>
      </c>
      <c r="I269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2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26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270" spans="1:11" x14ac:dyDescent="0.35">
      <c r="A270">
        <v>101</v>
      </c>
      <c r="B270">
        <v>1</v>
      </c>
      <c r="C270" t="s">
        <v>49</v>
      </c>
      <c r="D270" t="s">
        <v>1816</v>
      </c>
      <c r="E270">
        <v>15</v>
      </c>
      <c r="F270">
        <v>25</v>
      </c>
      <c r="G270">
        <v>2</v>
      </c>
      <c r="H270">
        <v>41</v>
      </c>
      <c r="I270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2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27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71" spans="1:11" x14ac:dyDescent="0.35">
      <c r="A271">
        <v>101</v>
      </c>
      <c r="B271">
        <v>1</v>
      </c>
      <c r="C271" t="s">
        <v>15</v>
      </c>
      <c r="D271" t="s">
        <v>1799</v>
      </c>
      <c r="E271">
        <v>19</v>
      </c>
      <c r="F271">
        <v>31</v>
      </c>
      <c r="G271">
        <v>1</v>
      </c>
      <c r="H271">
        <v>24</v>
      </c>
      <c r="I271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2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71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272" spans="1:11" x14ac:dyDescent="0.35">
      <c r="A272">
        <v>101</v>
      </c>
      <c r="B272">
        <v>1</v>
      </c>
      <c r="C272" t="s">
        <v>35</v>
      </c>
      <c r="D272" t="s">
        <v>1809</v>
      </c>
      <c r="E272">
        <v>13</v>
      </c>
      <c r="F272">
        <v>22</v>
      </c>
      <c r="G272">
        <v>1</v>
      </c>
      <c r="H272">
        <v>35</v>
      </c>
      <c r="I272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2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27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273" spans="1:11" x14ac:dyDescent="0.35">
      <c r="A273">
        <v>101</v>
      </c>
      <c r="B273">
        <v>1</v>
      </c>
      <c r="C273" t="s">
        <v>31</v>
      </c>
      <c r="D273" t="s">
        <v>1807</v>
      </c>
      <c r="E273">
        <v>21</v>
      </c>
      <c r="F273">
        <v>35</v>
      </c>
      <c r="G273">
        <v>1</v>
      </c>
      <c r="H273">
        <v>34</v>
      </c>
      <c r="I273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2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27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74" spans="1:11" x14ac:dyDescent="0.35">
      <c r="A274">
        <v>102</v>
      </c>
      <c r="B274">
        <v>19</v>
      </c>
      <c r="C274" t="s">
        <v>27</v>
      </c>
      <c r="D274" t="s">
        <v>1805</v>
      </c>
      <c r="E274">
        <v>16</v>
      </c>
      <c r="F274">
        <v>28</v>
      </c>
      <c r="G274">
        <v>3</v>
      </c>
      <c r="H274">
        <v>17</v>
      </c>
      <c r="I274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2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27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275" spans="1:11" x14ac:dyDescent="0.35">
      <c r="A275">
        <v>102</v>
      </c>
      <c r="B275">
        <v>19</v>
      </c>
      <c r="C275" t="s">
        <v>23</v>
      </c>
      <c r="D275" t="s">
        <v>1803</v>
      </c>
      <c r="E275">
        <v>17</v>
      </c>
      <c r="F275">
        <v>29</v>
      </c>
      <c r="G275">
        <v>3</v>
      </c>
      <c r="H275">
        <v>29</v>
      </c>
      <c r="I275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2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275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76" spans="1:11" x14ac:dyDescent="0.35">
      <c r="A276">
        <v>103</v>
      </c>
      <c r="B276">
        <v>13</v>
      </c>
      <c r="C276" t="s">
        <v>43</v>
      </c>
      <c r="D276" t="s">
        <v>1813</v>
      </c>
      <c r="E276">
        <v>13</v>
      </c>
      <c r="F276">
        <v>21</v>
      </c>
      <c r="G276">
        <v>1</v>
      </c>
      <c r="H276">
        <v>57</v>
      </c>
      <c r="I276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2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7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277" spans="1:11" x14ac:dyDescent="0.35">
      <c r="A277">
        <v>103</v>
      </c>
      <c r="B277">
        <v>13</v>
      </c>
      <c r="C277" t="s">
        <v>37</v>
      </c>
      <c r="D277" t="s">
        <v>1810</v>
      </c>
      <c r="E277">
        <v>20</v>
      </c>
      <c r="F277">
        <v>34</v>
      </c>
      <c r="G277">
        <v>1</v>
      </c>
      <c r="H277">
        <v>9</v>
      </c>
      <c r="I277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2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277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278" spans="1:11" x14ac:dyDescent="0.35">
      <c r="A278">
        <v>103</v>
      </c>
      <c r="B278">
        <v>13</v>
      </c>
      <c r="C278" t="s">
        <v>45</v>
      </c>
      <c r="D278" t="s">
        <v>1814</v>
      </c>
      <c r="E278">
        <v>10</v>
      </c>
      <c r="F278">
        <v>18</v>
      </c>
      <c r="G278">
        <v>1</v>
      </c>
      <c r="H278">
        <v>33</v>
      </c>
      <c r="I278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2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78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279" spans="1:11" x14ac:dyDescent="0.35">
      <c r="A279">
        <v>104</v>
      </c>
      <c r="B279">
        <v>14</v>
      </c>
      <c r="C279" t="s">
        <v>41</v>
      </c>
      <c r="D279" t="s">
        <v>1811</v>
      </c>
      <c r="E279">
        <v>14</v>
      </c>
      <c r="F279">
        <v>23</v>
      </c>
      <c r="G279">
        <v>2</v>
      </c>
      <c r="H279">
        <v>43</v>
      </c>
      <c r="I279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2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27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280" spans="1:11" x14ac:dyDescent="0.35">
      <c r="A280">
        <v>104</v>
      </c>
      <c r="B280">
        <v>14</v>
      </c>
      <c r="C280" t="s">
        <v>15</v>
      </c>
      <c r="D280" t="s">
        <v>1799</v>
      </c>
      <c r="E280">
        <v>19</v>
      </c>
      <c r="F280">
        <v>31</v>
      </c>
      <c r="G280">
        <v>1</v>
      </c>
      <c r="H280">
        <v>12</v>
      </c>
      <c r="I280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2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8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281" spans="1:11" x14ac:dyDescent="0.35">
      <c r="A281">
        <v>105</v>
      </c>
      <c r="B281">
        <v>14</v>
      </c>
      <c r="C281" t="s">
        <v>39</v>
      </c>
      <c r="D281" t="s">
        <v>1812</v>
      </c>
      <c r="E281">
        <v>12</v>
      </c>
      <c r="F281">
        <v>20</v>
      </c>
      <c r="G281">
        <v>3</v>
      </c>
      <c r="H281">
        <v>9</v>
      </c>
      <c r="I281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2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8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82" spans="1:11" x14ac:dyDescent="0.35">
      <c r="A282">
        <v>105</v>
      </c>
      <c r="B282">
        <v>14</v>
      </c>
      <c r="C282" t="s">
        <v>17</v>
      </c>
      <c r="D282" t="s">
        <v>1800</v>
      </c>
      <c r="E282">
        <v>16</v>
      </c>
      <c r="F282">
        <v>27</v>
      </c>
      <c r="G282">
        <v>3</v>
      </c>
      <c r="H282">
        <v>34</v>
      </c>
      <c r="I282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2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28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283" spans="1:11" x14ac:dyDescent="0.35">
      <c r="A283">
        <v>106</v>
      </c>
      <c r="B283">
        <v>15</v>
      </c>
      <c r="C283" t="s">
        <v>37</v>
      </c>
      <c r="D283" t="s">
        <v>1810</v>
      </c>
      <c r="E283">
        <v>20</v>
      </c>
      <c r="F283">
        <v>34</v>
      </c>
      <c r="G283">
        <v>2</v>
      </c>
      <c r="H283">
        <v>29</v>
      </c>
      <c r="I283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2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283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284" spans="1:11" x14ac:dyDescent="0.35">
      <c r="A284">
        <v>107</v>
      </c>
      <c r="B284">
        <v>11</v>
      </c>
      <c r="C284" t="s">
        <v>33</v>
      </c>
      <c r="D284" t="s">
        <v>1808</v>
      </c>
      <c r="E284">
        <v>19</v>
      </c>
      <c r="F284">
        <v>32</v>
      </c>
      <c r="G284">
        <v>2</v>
      </c>
      <c r="H284">
        <v>48</v>
      </c>
      <c r="I284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2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28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285" spans="1:11" x14ac:dyDescent="0.35">
      <c r="A285">
        <v>107</v>
      </c>
      <c r="B285">
        <v>11</v>
      </c>
      <c r="C285" t="s">
        <v>37</v>
      </c>
      <c r="D285" t="s">
        <v>1810</v>
      </c>
      <c r="E285">
        <v>20</v>
      </c>
      <c r="F285">
        <v>34</v>
      </c>
      <c r="G285">
        <v>3</v>
      </c>
      <c r="H285">
        <v>42</v>
      </c>
      <c r="I285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2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28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286" spans="1:11" x14ac:dyDescent="0.35">
      <c r="A286">
        <v>107</v>
      </c>
      <c r="B286">
        <v>11</v>
      </c>
      <c r="C286" t="s">
        <v>23</v>
      </c>
      <c r="D286" t="s">
        <v>1803</v>
      </c>
      <c r="E286">
        <v>17</v>
      </c>
      <c r="F286">
        <v>29</v>
      </c>
      <c r="G286">
        <v>3</v>
      </c>
      <c r="H286">
        <v>51</v>
      </c>
      <c r="I286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2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28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87" spans="1:11" x14ac:dyDescent="0.35">
      <c r="A287">
        <v>108</v>
      </c>
      <c r="B287">
        <v>3</v>
      </c>
      <c r="C287" t="s">
        <v>27</v>
      </c>
      <c r="D287" t="s">
        <v>1805</v>
      </c>
      <c r="E287">
        <v>16</v>
      </c>
      <c r="F287">
        <v>28</v>
      </c>
      <c r="G287">
        <v>1</v>
      </c>
      <c r="H287">
        <v>56</v>
      </c>
      <c r="I287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2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287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288" spans="1:11" x14ac:dyDescent="0.35">
      <c r="A288">
        <v>108</v>
      </c>
      <c r="B288">
        <v>3</v>
      </c>
      <c r="C288" t="s">
        <v>39</v>
      </c>
      <c r="D288" t="s">
        <v>1812</v>
      </c>
      <c r="E288">
        <v>12</v>
      </c>
      <c r="F288">
        <v>20</v>
      </c>
      <c r="G288">
        <v>1</v>
      </c>
      <c r="H288">
        <v>26</v>
      </c>
      <c r="I288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2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8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289" spans="1:11" x14ac:dyDescent="0.35">
      <c r="A289">
        <v>108</v>
      </c>
      <c r="B289">
        <v>3</v>
      </c>
      <c r="C289" t="s">
        <v>45</v>
      </c>
      <c r="D289" t="s">
        <v>1814</v>
      </c>
      <c r="E289">
        <v>10</v>
      </c>
      <c r="F289">
        <v>18</v>
      </c>
      <c r="G289">
        <v>1</v>
      </c>
      <c r="H289">
        <v>10</v>
      </c>
      <c r="I289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2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28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290" spans="1:11" x14ac:dyDescent="0.35">
      <c r="A290">
        <v>108</v>
      </c>
      <c r="B290">
        <v>3</v>
      </c>
      <c r="C290" t="s">
        <v>23</v>
      </c>
      <c r="D290" t="s">
        <v>1803</v>
      </c>
      <c r="E290">
        <v>17</v>
      </c>
      <c r="F290">
        <v>29</v>
      </c>
      <c r="G290">
        <v>2</v>
      </c>
      <c r="H290">
        <v>23</v>
      </c>
      <c r="I290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2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9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91" spans="1:11" x14ac:dyDescent="0.35">
      <c r="A291">
        <v>109</v>
      </c>
      <c r="B291">
        <v>10</v>
      </c>
      <c r="C291" t="s">
        <v>41</v>
      </c>
      <c r="D291" t="s">
        <v>1811</v>
      </c>
      <c r="E291">
        <v>14</v>
      </c>
      <c r="F291">
        <v>23</v>
      </c>
      <c r="G291">
        <v>1</v>
      </c>
      <c r="H291">
        <v>26</v>
      </c>
      <c r="I291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2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291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292" spans="1:11" x14ac:dyDescent="0.35">
      <c r="A292">
        <v>109</v>
      </c>
      <c r="B292">
        <v>10</v>
      </c>
      <c r="C292" t="s">
        <v>37</v>
      </c>
      <c r="D292" t="s">
        <v>1810</v>
      </c>
      <c r="E292">
        <v>20</v>
      </c>
      <c r="F292">
        <v>34</v>
      </c>
      <c r="G292">
        <v>3</v>
      </c>
      <c r="H292">
        <v>54</v>
      </c>
      <c r="I292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2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29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293" spans="1:11" x14ac:dyDescent="0.35">
      <c r="A293">
        <v>109</v>
      </c>
      <c r="B293">
        <v>10</v>
      </c>
      <c r="C293" t="s">
        <v>35</v>
      </c>
      <c r="D293" t="s">
        <v>1809</v>
      </c>
      <c r="E293">
        <v>13</v>
      </c>
      <c r="F293">
        <v>22</v>
      </c>
      <c r="G293">
        <v>2</v>
      </c>
      <c r="H293">
        <v>38</v>
      </c>
      <c r="I293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2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29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294" spans="1:11" x14ac:dyDescent="0.35">
      <c r="A294">
        <v>110</v>
      </c>
      <c r="B294">
        <v>5</v>
      </c>
      <c r="C294" t="s">
        <v>47</v>
      </c>
      <c r="D294" t="s">
        <v>1815</v>
      </c>
      <c r="E294">
        <v>15</v>
      </c>
      <c r="F294">
        <v>26</v>
      </c>
      <c r="G294">
        <v>3</v>
      </c>
      <c r="H294">
        <v>27</v>
      </c>
      <c r="I294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2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29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295" spans="1:11" x14ac:dyDescent="0.35">
      <c r="A295">
        <v>110</v>
      </c>
      <c r="B295">
        <v>5</v>
      </c>
      <c r="C295" t="s">
        <v>17</v>
      </c>
      <c r="D295" t="s">
        <v>1800</v>
      </c>
      <c r="E295">
        <v>16</v>
      </c>
      <c r="F295">
        <v>27</v>
      </c>
      <c r="G295">
        <v>1</v>
      </c>
      <c r="H295">
        <v>56</v>
      </c>
      <c r="I295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2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295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296" spans="1:11" x14ac:dyDescent="0.35">
      <c r="A296">
        <v>110</v>
      </c>
      <c r="B296">
        <v>5</v>
      </c>
      <c r="C296" t="s">
        <v>23</v>
      </c>
      <c r="D296" t="s">
        <v>1803</v>
      </c>
      <c r="E296">
        <v>17</v>
      </c>
      <c r="F296">
        <v>29</v>
      </c>
      <c r="G296">
        <v>2</v>
      </c>
      <c r="H296">
        <v>38</v>
      </c>
      <c r="I296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2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29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297" spans="1:11" x14ac:dyDescent="0.35">
      <c r="A297">
        <v>111</v>
      </c>
      <c r="B297">
        <v>3</v>
      </c>
      <c r="C297" t="s">
        <v>33</v>
      </c>
      <c r="D297" t="s">
        <v>1808</v>
      </c>
      <c r="E297">
        <v>19</v>
      </c>
      <c r="F297">
        <v>32</v>
      </c>
      <c r="G297">
        <v>1</v>
      </c>
      <c r="H297">
        <v>47</v>
      </c>
      <c r="I297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2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29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298" spans="1:11" x14ac:dyDescent="0.35">
      <c r="A298">
        <v>111</v>
      </c>
      <c r="B298">
        <v>3</v>
      </c>
      <c r="C298" t="s">
        <v>35</v>
      </c>
      <c r="D298" t="s">
        <v>1809</v>
      </c>
      <c r="E298">
        <v>13</v>
      </c>
      <c r="F298">
        <v>22</v>
      </c>
      <c r="G298">
        <v>3</v>
      </c>
      <c r="H298">
        <v>5</v>
      </c>
      <c r="I298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2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298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299" spans="1:11" x14ac:dyDescent="0.35">
      <c r="A299">
        <v>111</v>
      </c>
      <c r="B299">
        <v>3</v>
      </c>
      <c r="C299" t="s">
        <v>9</v>
      </c>
      <c r="D299" t="s">
        <v>1798</v>
      </c>
      <c r="E299">
        <v>14</v>
      </c>
      <c r="F299">
        <v>24</v>
      </c>
      <c r="G299">
        <v>2</v>
      </c>
      <c r="H299">
        <v>48</v>
      </c>
      <c r="I299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2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29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300" spans="1:11" x14ac:dyDescent="0.35">
      <c r="A300">
        <v>111</v>
      </c>
      <c r="B300">
        <v>3</v>
      </c>
      <c r="C300" t="s">
        <v>23</v>
      </c>
      <c r="D300" t="s">
        <v>1803</v>
      </c>
      <c r="E300">
        <v>17</v>
      </c>
      <c r="F300">
        <v>29</v>
      </c>
      <c r="G300">
        <v>2</v>
      </c>
      <c r="H300">
        <v>37</v>
      </c>
      <c r="I300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3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0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301" spans="1:11" x14ac:dyDescent="0.35">
      <c r="A301">
        <v>112</v>
      </c>
      <c r="B301">
        <v>6</v>
      </c>
      <c r="C301" t="s">
        <v>39</v>
      </c>
      <c r="D301" t="s">
        <v>1812</v>
      </c>
      <c r="E301">
        <v>12</v>
      </c>
      <c r="F301">
        <v>20</v>
      </c>
      <c r="G301">
        <v>1</v>
      </c>
      <c r="H301">
        <v>16</v>
      </c>
      <c r="I301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3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30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02" spans="1:11" x14ac:dyDescent="0.35">
      <c r="A302">
        <v>113</v>
      </c>
      <c r="B302">
        <v>4</v>
      </c>
      <c r="C302" t="s">
        <v>37</v>
      </c>
      <c r="D302" t="s">
        <v>1810</v>
      </c>
      <c r="E302">
        <v>20</v>
      </c>
      <c r="F302">
        <v>34</v>
      </c>
      <c r="G302">
        <v>2</v>
      </c>
      <c r="H302">
        <v>51</v>
      </c>
      <c r="I302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3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30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303" spans="1:11" x14ac:dyDescent="0.35">
      <c r="A303">
        <v>114</v>
      </c>
      <c r="B303">
        <v>7</v>
      </c>
      <c r="C303" t="s">
        <v>12</v>
      </c>
      <c r="D303" t="s">
        <v>1797</v>
      </c>
      <c r="E303">
        <v>18</v>
      </c>
      <c r="F303">
        <v>30</v>
      </c>
      <c r="G303">
        <v>3</v>
      </c>
      <c r="H303">
        <v>36</v>
      </c>
      <c r="I303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3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30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04" spans="1:11" x14ac:dyDescent="0.35">
      <c r="A304">
        <v>114</v>
      </c>
      <c r="B304">
        <v>7</v>
      </c>
      <c r="C304" t="s">
        <v>45</v>
      </c>
      <c r="D304" t="s">
        <v>1814</v>
      </c>
      <c r="E304">
        <v>10</v>
      </c>
      <c r="F304">
        <v>18</v>
      </c>
      <c r="G304">
        <v>3</v>
      </c>
      <c r="H304">
        <v>31</v>
      </c>
      <c r="I304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3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0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305" spans="1:11" x14ac:dyDescent="0.35">
      <c r="A305">
        <v>114</v>
      </c>
      <c r="B305">
        <v>7</v>
      </c>
      <c r="C305" t="s">
        <v>35</v>
      </c>
      <c r="D305" t="s">
        <v>1809</v>
      </c>
      <c r="E305">
        <v>13</v>
      </c>
      <c r="F305">
        <v>22</v>
      </c>
      <c r="G305">
        <v>1</v>
      </c>
      <c r="H305">
        <v>42</v>
      </c>
      <c r="I305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3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305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306" spans="1:11" x14ac:dyDescent="0.35">
      <c r="A306">
        <v>114</v>
      </c>
      <c r="B306">
        <v>7</v>
      </c>
      <c r="C306" t="s">
        <v>23</v>
      </c>
      <c r="D306" t="s">
        <v>1803</v>
      </c>
      <c r="E306">
        <v>17</v>
      </c>
      <c r="F306">
        <v>29</v>
      </c>
      <c r="G306">
        <v>3</v>
      </c>
      <c r="H306">
        <v>22</v>
      </c>
      <c r="I306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3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30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307" spans="1:11" x14ac:dyDescent="0.35">
      <c r="A307">
        <v>115</v>
      </c>
      <c r="B307">
        <v>12</v>
      </c>
      <c r="C307" t="s">
        <v>33</v>
      </c>
      <c r="D307" t="s">
        <v>1808</v>
      </c>
      <c r="E307">
        <v>19</v>
      </c>
      <c r="F307">
        <v>32</v>
      </c>
      <c r="G307">
        <v>3</v>
      </c>
      <c r="H307">
        <v>43</v>
      </c>
      <c r="I307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3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30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308" spans="1:11" x14ac:dyDescent="0.35">
      <c r="A308">
        <v>115</v>
      </c>
      <c r="B308">
        <v>12</v>
      </c>
      <c r="C308" t="s">
        <v>12</v>
      </c>
      <c r="D308" t="s">
        <v>1797</v>
      </c>
      <c r="E308">
        <v>18</v>
      </c>
      <c r="F308">
        <v>30</v>
      </c>
      <c r="G308">
        <v>2</v>
      </c>
      <c r="H308">
        <v>32</v>
      </c>
      <c r="I308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3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0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09" spans="1:11" x14ac:dyDescent="0.35">
      <c r="A309">
        <v>115</v>
      </c>
      <c r="B309">
        <v>12</v>
      </c>
      <c r="C309" t="s">
        <v>17</v>
      </c>
      <c r="D309" t="s">
        <v>1800</v>
      </c>
      <c r="E309">
        <v>16</v>
      </c>
      <c r="F309">
        <v>27</v>
      </c>
      <c r="G309">
        <v>3</v>
      </c>
      <c r="H309">
        <v>23</v>
      </c>
      <c r="I309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3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309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310" spans="1:11" x14ac:dyDescent="0.35">
      <c r="A310">
        <v>116</v>
      </c>
      <c r="B310">
        <v>8</v>
      </c>
      <c r="C310" t="s">
        <v>33</v>
      </c>
      <c r="D310" t="s">
        <v>1808</v>
      </c>
      <c r="E310">
        <v>19</v>
      </c>
      <c r="F310">
        <v>32</v>
      </c>
      <c r="G310">
        <v>3</v>
      </c>
      <c r="H310">
        <v>54</v>
      </c>
      <c r="I310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3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31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311" spans="1:11" x14ac:dyDescent="0.35">
      <c r="A311">
        <v>116</v>
      </c>
      <c r="B311">
        <v>8</v>
      </c>
      <c r="C311" t="s">
        <v>37</v>
      </c>
      <c r="D311" t="s">
        <v>1810</v>
      </c>
      <c r="E311">
        <v>20</v>
      </c>
      <c r="F311">
        <v>34</v>
      </c>
      <c r="G311">
        <v>3</v>
      </c>
      <c r="H311">
        <v>28</v>
      </c>
      <c r="I311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3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31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312" spans="1:11" x14ac:dyDescent="0.35">
      <c r="A312">
        <v>116</v>
      </c>
      <c r="B312">
        <v>8</v>
      </c>
      <c r="C312" t="s">
        <v>21</v>
      </c>
      <c r="D312" t="s">
        <v>1801</v>
      </c>
      <c r="E312">
        <v>22</v>
      </c>
      <c r="F312">
        <v>36</v>
      </c>
      <c r="G312">
        <v>1</v>
      </c>
      <c r="H312">
        <v>26</v>
      </c>
      <c r="I312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3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31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313" spans="1:11" x14ac:dyDescent="0.35">
      <c r="A313">
        <v>116</v>
      </c>
      <c r="B313">
        <v>8</v>
      </c>
      <c r="C313" t="s">
        <v>31</v>
      </c>
      <c r="D313" t="s">
        <v>1807</v>
      </c>
      <c r="E313">
        <v>21</v>
      </c>
      <c r="F313">
        <v>35</v>
      </c>
      <c r="G313">
        <v>1</v>
      </c>
      <c r="H313">
        <v>21</v>
      </c>
      <c r="I313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3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31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14" spans="1:11" x14ac:dyDescent="0.35">
      <c r="A314">
        <v>117</v>
      </c>
      <c r="B314">
        <v>8</v>
      </c>
      <c r="C314" t="s">
        <v>31</v>
      </c>
      <c r="D314" t="s">
        <v>1807</v>
      </c>
      <c r="E314">
        <v>21</v>
      </c>
      <c r="F314">
        <v>35</v>
      </c>
      <c r="G314">
        <v>2</v>
      </c>
      <c r="H314">
        <v>8</v>
      </c>
      <c r="I314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3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31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15" spans="1:11" x14ac:dyDescent="0.35">
      <c r="A315">
        <v>118</v>
      </c>
      <c r="B315">
        <v>13</v>
      </c>
      <c r="C315" t="s">
        <v>41</v>
      </c>
      <c r="D315" t="s">
        <v>1811</v>
      </c>
      <c r="E315">
        <v>14</v>
      </c>
      <c r="F315">
        <v>23</v>
      </c>
      <c r="G315">
        <v>3</v>
      </c>
      <c r="H315">
        <v>22</v>
      </c>
      <c r="I315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3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315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316" spans="1:11" x14ac:dyDescent="0.35">
      <c r="A316">
        <v>118</v>
      </c>
      <c r="B316">
        <v>13</v>
      </c>
      <c r="C316" t="s">
        <v>33</v>
      </c>
      <c r="D316" t="s">
        <v>1808</v>
      </c>
      <c r="E316">
        <v>19</v>
      </c>
      <c r="F316">
        <v>32</v>
      </c>
      <c r="G316">
        <v>1</v>
      </c>
      <c r="H316">
        <v>23</v>
      </c>
      <c r="I316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3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31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317" spans="1:11" x14ac:dyDescent="0.35">
      <c r="A317">
        <v>118</v>
      </c>
      <c r="B317">
        <v>13</v>
      </c>
      <c r="C317" t="s">
        <v>45</v>
      </c>
      <c r="D317" t="s">
        <v>1814</v>
      </c>
      <c r="E317">
        <v>10</v>
      </c>
      <c r="F317">
        <v>18</v>
      </c>
      <c r="G317">
        <v>3</v>
      </c>
      <c r="H317">
        <v>39</v>
      </c>
      <c r="I31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3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17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318" spans="1:11" x14ac:dyDescent="0.35">
      <c r="A318">
        <v>118</v>
      </c>
      <c r="B318">
        <v>13</v>
      </c>
      <c r="C318" t="s">
        <v>17</v>
      </c>
      <c r="D318" t="s">
        <v>1800</v>
      </c>
      <c r="E318">
        <v>16</v>
      </c>
      <c r="F318">
        <v>27</v>
      </c>
      <c r="G318">
        <v>2</v>
      </c>
      <c r="H318">
        <v>52</v>
      </c>
      <c r="I318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3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318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319" spans="1:11" x14ac:dyDescent="0.35">
      <c r="A319">
        <v>119</v>
      </c>
      <c r="B319">
        <v>17</v>
      </c>
      <c r="C319" t="s">
        <v>47</v>
      </c>
      <c r="D319" t="s">
        <v>1815</v>
      </c>
      <c r="E319">
        <v>15</v>
      </c>
      <c r="F319">
        <v>26</v>
      </c>
      <c r="G319">
        <v>1</v>
      </c>
      <c r="H319">
        <v>7</v>
      </c>
      <c r="I319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3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31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320" spans="1:11" x14ac:dyDescent="0.35">
      <c r="A320">
        <v>119</v>
      </c>
      <c r="B320">
        <v>17</v>
      </c>
      <c r="C320" t="s">
        <v>21</v>
      </c>
      <c r="D320" t="s">
        <v>1801</v>
      </c>
      <c r="E320">
        <v>22</v>
      </c>
      <c r="F320">
        <v>36</v>
      </c>
      <c r="G320">
        <v>2</v>
      </c>
      <c r="H320">
        <v>13</v>
      </c>
      <c r="I320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3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32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321" spans="1:11" x14ac:dyDescent="0.35">
      <c r="A321">
        <v>119</v>
      </c>
      <c r="B321">
        <v>17</v>
      </c>
      <c r="C321" t="s">
        <v>45</v>
      </c>
      <c r="D321" t="s">
        <v>1814</v>
      </c>
      <c r="E321">
        <v>10</v>
      </c>
      <c r="F321">
        <v>18</v>
      </c>
      <c r="G321">
        <v>2</v>
      </c>
      <c r="H321">
        <v>34</v>
      </c>
      <c r="I321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3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32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322" spans="1:11" x14ac:dyDescent="0.35">
      <c r="A322">
        <v>120</v>
      </c>
      <c r="B322">
        <v>4</v>
      </c>
      <c r="C322" t="s">
        <v>47</v>
      </c>
      <c r="D322" t="s">
        <v>1815</v>
      </c>
      <c r="E322">
        <v>15</v>
      </c>
      <c r="F322">
        <v>26</v>
      </c>
      <c r="G322">
        <v>2</v>
      </c>
      <c r="H322">
        <v>41</v>
      </c>
      <c r="I322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3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32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323" spans="1:11" x14ac:dyDescent="0.35">
      <c r="A323">
        <v>120</v>
      </c>
      <c r="B323">
        <v>4</v>
      </c>
      <c r="C323" t="s">
        <v>15</v>
      </c>
      <c r="D323" t="s">
        <v>1799</v>
      </c>
      <c r="E323">
        <v>19</v>
      </c>
      <c r="F323">
        <v>31</v>
      </c>
      <c r="G323">
        <v>3</v>
      </c>
      <c r="H323">
        <v>56</v>
      </c>
      <c r="I323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3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323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324" spans="1:11" x14ac:dyDescent="0.35">
      <c r="A324">
        <v>121</v>
      </c>
      <c r="B324">
        <v>5</v>
      </c>
      <c r="C324" t="s">
        <v>47</v>
      </c>
      <c r="D324" t="s">
        <v>1815</v>
      </c>
      <c r="E324">
        <v>15</v>
      </c>
      <c r="F324">
        <v>26</v>
      </c>
      <c r="G324">
        <v>2</v>
      </c>
      <c r="H324">
        <v>38</v>
      </c>
      <c r="I324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3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32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325" spans="1:11" x14ac:dyDescent="0.35">
      <c r="A325">
        <v>122</v>
      </c>
      <c r="B325">
        <v>6</v>
      </c>
      <c r="C325" t="s">
        <v>31</v>
      </c>
      <c r="D325" t="s">
        <v>1807</v>
      </c>
      <c r="E325">
        <v>21</v>
      </c>
      <c r="F325">
        <v>35</v>
      </c>
      <c r="G325">
        <v>3</v>
      </c>
      <c r="H325">
        <v>32</v>
      </c>
      <c r="I325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3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32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26" spans="1:11" x14ac:dyDescent="0.35">
      <c r="A326">
        <v>123</v>
      </c>
      <c r="B326">
        <v>16</v>
      </c>
      <c r="C326" t="s">
        <v>9</v>
      </c>
      <c r="D326" t="s">
        <v>1798</v>
      </c>
      <c r="E326">
        <v>14</v>
      </c>
      <c r="F326">
        <v>24</v>
      </c>
      <c r="G326">
        <v>1</v>
      </c>
      <c r="H326">
        <v>33</v>
      </c>
      <c r="I326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3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32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327" spans="1:11" x14ac:dyDescent="0.35">
      <c r="A327">
        <v>124</v>
      </c>
      <c r="B327">
        <v>16</v>
      </c>
      <c r="C327" t="s">
        <v>49</v>
      </c>
      <c r="D327" t="s">
        <v>1816</v>
      </c>
      <c r="E327">
        <v>15</v>
      </c>
      <c r="F327">
        <v>25</v>
      </c>
      <c r="G327">
        <v>1</v>
      </c>
      <c r="H327">
        <v>27</v>
      </c>
      <c r="I327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3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32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28" spans="1:11" x14ac:dyDescent="0.35">
      <c r="A328">
        <v>124</v>
      </c>
      <c r="B328">
        <v>16</v>
      </c>
      <c r="C328" t="s">
        <v>25</v>
      </c>
      <c r="D328" t="s">
        <v>1804</v>
      </c>
      <c r="E328">
        <v>20</v>
      </c>
      <c r="F328">
        <v>33</v>
      </c>
      <c r="G328">
        <v>3</v>
      </c>
      <c r="H328">
        <v>9</v>
      </c>
      <c r="I328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3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328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329" spans="1:11" x14ac:dyDescent="0.35">
      <c r="A329">
        <v>124</v>
      </c>
      <c r="B329">
        <v>16</v>
      </c>
      <c r="C329" t="s">
        <v>39</v>
      </c>
      <c r="D329" t="s">
        <v>1812</v>
      </c>
      <c r="E329">
        <v>12</v>
      </c>
      <c r="F329">
        <v>20</v>
      </c>
      <c r="G329">
        <v>2</v>
      </c>
      <c r="H329">
        <v>43</v>
      </c>
      <c r="I329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3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32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30" spans="1:11" x14ac:dyDescent="0.35">
      <c r="A330">
        <v>124</v>
      </c>
      <c r="B330">
        <v>16</v>
      </c>
      <c r="C330" t="s">
        <v>23</v>
      </c>
      <c r="D330" t="s">
        <v>1803</v>
      </c>
      <c r="E330">
        <v>17</v>
      </c>
      <c r="F330">
        <v>29</v>
      </c>
      <c r="G330">
        <v>2</v>
      </c>
      <c r="H330">
        <v>59</v>
      </c>
      <c r="I330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3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3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331" spans="1:11" x14ac:dyDescent="0.35">
      <c r="A331">
        <v>125</v>
      </c>
      <c r="B331">
        <v>14</v>
      </c>
      <c r="C331" t="s">
        <v>27</v>
      </c>
      <c r="D331" t="s">
        <v>1805</v>
      </c>
      <c r="E331">
        <v>16</v>
      </c>
      <c r="F331">
        <v>28</v>
      </c>
      <c r="G331">
        <v>2</v>
      </c>
      <c r="H331">
        <v>38</v>
      </c>
      <c r="I331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3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31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332" spans="1:11" x14ac:dyDescent="0.35">
      <c r="A332">
        <v>125</v>
      </c>
      <c r="B332">
        <v>14</v>
      </c>
      <c r="C332" t="s">
        <v>37</v>
      </c>
      <c r="D332" t="s">
        <v>1810</v>
      </c>
      <c r="E332">
        <v>20</v>
      </c>
      <c r="F332">
        <v>34</v>
      </c>
      <c r="G332">
        <v>2</v>
      </c>
      <c r="H332">
        <v>15</v>
      </c>
      <c r="I332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3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33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333" spans="1:11" x14ac:dyDescent="0.35">
      <c r="A333">
        <v>125</v>
      </c>
      <c r="B333">
        <v>14</v>
      </c>
      <c r="C333" t="s">
        <v>39</v>
      </c>
      <c r="D333" t="s">
        <v>1812</v>
      </c>
      <c r="E333">
        <v>12</v>
      </c>
      <c r="F333">
        <v>20</v>
      </c>
      <c r="G333">
        <v>3</v>
      </c>
      <c r="H333">
        <v>31</v>
      </c>
      <c r="I33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3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3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34" spans="1:11" x14ac:dyDescent="0.35">
      <c r="A334">
        <v>126</v>
      </c>
      <c r="B334">
        <v>18</v>
      </c>
      <c r="C334" t="s">
        <v>27</v>
      </c>
      <c r="D334" t="s">
        <v>1805</v>
      </c>
      <c r="E334">
        <v>16</v>
      </c>
      <c r="F334">
        <v>28</v>
      </c>
      <c r="G334">
        <v>1</v>
      </c>
      <c r="H334">
        <v>19</v>
      </c>
      <c r="I334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3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33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335" spans="1:11" x14ac:dyDescent="0.35">
      <c r="A335">
        <v>126</v>
      </c>
      <c r="B335">
        <v>18</v>
      </c>
      <c r="C335" t="s">
        <v>12</v>
      </c>
      <c r="D335" t="s">
        <v>1797</v>
      </c>
      <c r="E335">
        <v>18</v>
      </c>
      <c r="F335">
        <v>30</v>
      </c>
      <c r="G335">
        <v>1</v>
      </c>
      <c r="H335">
        <v>53</v>
      </c>
      <c r="I335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3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33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36" spans="1:11" x14ac:dyDescent="0.35">
      <c r="A336">
        <v>126</v>
      </c>
      <c r="B336">
        <v>18</v>
      </c>
      <c r="C336" t="s">
        <v>9</v>
      </c>
      <c r="D336" t="s">
        <v>1798</v>
      </c>
      <c r="E336">
        <v>14</v>
      </c>
      <c r="F336">
        <v>24</v>
      </c>
      <c r="G336">
        <v>3</v>
      </c>
      <c r="H336">
        <v>27</v>
      </c>
      <c r="I336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3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33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337" spans="1:11" x14ac:dyDescent="0.35">
      <c r="A337">
        <v>126</v>
      </c>
      <c r="B337">
        <v>18</v>
      </c>
      <c r="C337" t="s">
        <v>31</v>
      </c>
      <c r="D337" t="s">
        <v>1807</v>
      </c>
      <c r="E337">
        <v>21</v>
      </c>
      <c r="F337">
        <v>35</v>
      </c>
      <c r="G337">
        <v>1</v>
      </c>
      <c r="H337">
        <v>40</v>
      </c>
      <c r="I337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3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33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38" spans="1:11" x14ac:dyDescent="0.35">
      <c r="A338">
        <v>127</v>
      </c>
      <c r="B338">
        <v>6</v>
      </c>
      <c r="C338" t="s">
        <v>21</v>
      </c>
      <c r="D338" t="s">
        <v>1801</v>
      </c>
      <c r="E338">
        <v>22</v>
      </c>
      <c r="F338">
        <v>36</v>
      </c>
      <c r="G338">
        <v>2</v>
      </c>
      <c r="H338">
        <v>30</v>
      </c>
      <c r="I33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3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33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339" spans="1:11" x14ac:dyDescent="0.35">
      <c r="A339">
        <v>128</v>
      </c>
      <c r="B339">
        <v>2</v>
      </c>
      <c r="C339" t="s">
        <v>49</v>
      </c>
      <c r="D339" t="s">
        <v>1816</v>
      </c>
      <c r="E339">
        <v>15</v>
      </c>
      <c r="F339">
        <v>25</v>
      </c>
      <c r="G339">
        <v>3</v>
      </c>
      <c r="H339">
        <v>53</v>
      </c>
      <c r="I339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3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33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40" spans="1:11" x14ac:dyDescent="0.35">
      <c r="A340">
        <v>128</v>
      </c>
      <c r="B340">
        <v>2</v>
      </c>
      <c r="C340" t="s">
        <v>15</v>
      </c>
      <c r="D340" t="s">
        <v>1799</v>
      </c>
      <c r="E340">
        <v>19</v>
      </c>
      <c r="F340">
        <v>31</v>
      </c>
      <c r="G340">
        <v>2</v>
      </c>
      <c r="H340">
        <v>34</v>
      </c>
      <c r="I340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3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4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341" spans="1:11" x14ac:dyDescent="0.35">
      <c r="A341">
        <v>128</v>
      </c>
      <c r="B341">
        <v>2</v>
      </c>
      <c r="C341" t="s">
        <v>45</v>
      </c>
      <c r="D341" t="s">
        <v>1814</v>
      </c>
      <c r="E341">
        <v>10</v>
      </c>
      <c r="F341">
        <v>18</v>
      </c>
      <c r="G341">
        <v>3</v>
      </c>
      <c r="H341">
        <v>50</v>
      </c>
      <c r="I341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3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4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342" spans="1:11" x14ac:dyDescent="0.35">
      <c r="A342">
        <v>128</v>
      </c>
      <c r="B342">
        <v>2</v>
      </c>
      <c r="C342" t="s">
        <v>9</v>
      </c>
      <c r="D342" t="s">
        <v>1798</v>
      </c>
      <c r="E342">
        <v>14</v>
      </c>
      <c r="F342">
        <v>24</v>
      </c>
      <c r="G342">
        <v>2</v>
      </c>
      <c r="H342">
        <v>35</v>
      </c>
      <c r="I342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3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34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343" spans="1:11" x14ac:dyDescent="0.35">
      <c r="A343">
        <v>129</v>
      </c>
      <c r="B343">
        <v>16</v>
      </c>
      <c r="C343" t="s">
        <v>29</v>
      </c>
      <c r="D343" t="s">
        <v>1806</v>
      </c>
      <c r="E343">
        <v>11</v>
      </c>
      <c r="F343">
        <v>19</v>
      </c>
      <c r="G343">
        <v>3</v>
      </c>
      <c r="H343">
        <v>6</v>
      </c>
      <c r="I343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3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43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344" spans="1:11" x14ac:dyDescent="0.35">
      <c r="A344">
        <v>129</v>
      </c>
      <c r="B344">
        <v>16</v>
      </c>
      <c r="C344" t="s">
        <v>39</v>
      </c>
      <c r="D344" t="s">
        <v>1812</v>
      </c>
      <c r="E344">
        <v>12</v>
      </c>
      <c r="F344">
        <v>20</v>
      </c>
      <c r="G344">
        <v>1</v>
      </c>
      <c r="H344">
        <v>24</v>
      </c>
      <c r="I344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3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34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45" spans="1:11" x14ac:dyDescent="0.35">
      <c r="A345">
        <v>129</v>
      </c>
      <c r="B345">
        <v>16</v>
      </c>
      <c r="C345" t="s">
        <v>23</v>
      </c>
      <c r="D345" t="s">
        <v>1803</v>
      </c>
      <c r="E345">
        <v>17</v>
      </c>
      <c r="F345">
        <v>29</v>
      </c>
      <c r="G345">
        <v>1</v>
      </c>
      <c r="H345">
        <v>50</v>
      </c>
      <c r="I345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3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345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346" spans="1:11" x14ac:dyDescent="0.35">
      <c r="A346">
        <v>130</v>
      </c>
      <c r="B346">
        <v>10</v>
      </c>
      <c r="C346" t="s">
        <v>31</v>
      </c>
      <c r="D346" t="s">
        <v>1807</v>
      </c>
      <c r="E346">
        <v>21</v>
      </c>
      <c r="F346">
        <v>35</v>
      </c>
      <c r="G346">
        <v>1</v>
      </c>
      <c r="H346">
        <v>25</v>
      </c>
      <c r="I346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3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34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47" spans="1:11" x14ac:dyDescent="0.35">
      <c r="A347">
        <v>131</v>
      </c>
      <c r="B347">
        <v>7</v>
      </c>
      <c r="C347" t="s">
        <v>43</v>
      </c>
      <c r="D347" t="s">
        <v>1813</v>
      </c>
      <c r="E347">
        <v>13</v>
      </c>
      <c r="F347">
        <v>21</v>
      </c>
      <c r="G347">
        <v>3</v>
      </c>
      <c r="H347">
        <v>57</v>
      </c>
      <c r="I347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3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4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348" spans="1:11" x14ac:dyDescent="0.35">
      <c r="A348">
        <v>131</v>
      </c>
      <c r="B348">
        <v>7</v>
      </c>
      <c r="C348" t="s">
        <v>19</v>
      </c>
      <c r="D348" t="s">
        <v>1802</v>
      </c>
      <c r="E348">
        <v>25</v>
      </c>
      <c r="F348">
        <v>40</v>
      </c>
      <c r="G348">
        <v>1</v>
      </c>
      <c r="H348">
        <v>43</v>
      </c>
      <c r="I348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3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348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349" spans="1:11" x14ac:dyDescent="0.35">
      <c r="A349">
        <v>131</v>
      </c>
      <c r="B349">
        <v>7</v>
      </c>
      <c r="C349" t="s">
        <v>45</v>
      </c>
      <c r="D349" t="s">
        <v>1814</v>
      </c>
      <c r="E349">
        <v>10</v>
      </c>
      <c r="F349">
        <v>18</v>
      </c>
      <c r="G349">
        <v>3</v>
      </c>
      <c r="H349">
        <v>20</v>
      </c>
      <c r="I349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3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4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350" spans="1:11" x14ac:dyDescent="0.35">
      <c r="A350">
        <v>132</v>
      </c>
      <c r="B350">
        <v>9</v>
      </c>
      <c r="C350" t="s">
        <v>43</v>
      </c>
      <c r="D350" t="s">
        <v>1813</v>
      </c>
      <c r="E350">
        <v>13</v>
      </c>
      <c r="F350">
        <v>21</v>
      </c>
      <c r="G350">
        <v>2</v>
      </c>
      <c r="H350">
        <v>53</v>
      </c>
      <c r="I350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3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350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351" spans="1:11" x14ac:dyDescent="0.35">
      <c r="A351">
        <v>132</v>
      </c>
      <c r="B351">
        <v>9</v>
      </c>
      <c r="C351" t="s">
        <v>41</v>
      </c>
      <c r="D351" t="s">
        <v>1811</v>
      </c>
      <c r="E351">
        <v>14</v>
      </c>
      <c r="F351">
        <v>23</v>
      </c>
      <c r="G351">
        <v>1</v>
      </c>
      <c r="H351">
        <v>6</v>
      </c>
      <c r="I351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3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351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352" spans="1:11" x14ac:dyDescent="0.35">
      <c r="A352">
        <v>132</v>
      </c>
      <c r="B352">
        <v>9</v>
      </c>
      <c r="C352" t="s">
        <v>21</v>
      </c>
      <c r="D352" t="s">
        <v>1801</v>
      </c>
      <c r="E352">
        <v>22</v>
      </c>
      <c r="F352">
        <v>36</v>
      </c>
      <c r="G352">
        <v>1</v>
      </c>
      <c r="H352">
        <v>18</v>
      </c>
      <c r="I352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3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35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353" spans="1:11" x14ac:dyDescent="0.35">
      <c r="A353">
        <v>132</v>
      </c>
      <c r="B353">
        <v>9</v>
      </c>
      <c r="C353" t="s">
        <v>31</v>
      </c>
      <c r="D353" t="s">
        <v>1807</v>
      </c>
      <c r="E353">
        <v>21</v>
      </c>
      <c r="F353">
        <v>35</v>
      </c>
      <c r="G353">
        <v>3</v>
      </c>
      <c r="H353">
        <v>25</v>
      </c>
      <c r="I353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3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35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54" spans="1:11" x14ac:dyDescent="0.35">
      <c r="A354">
        <v>133</v>
      </c>
      <c r="B354">
        <v>20</v>
      </c>
      <c r="C354" t="s">
        <v>33</v>
      </c>
      <c r="D354" t="s">
        <v>1808</v>
      </c>
      <c r="E354">
        <v>19</v>
      </c>
      <c r="F354">
        <v>32</v>
      </c>
      <c r="G354">
        <v>1</v>
      </c>
      <c r="H354">
        <v>5</v>
      </c>
      <c r="I354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3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35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355" spans="1:11" x14ac:dyDescent="0.35">
      <c r="A355">
        <v>133</v>
      </c>
      <c r="B355">
        <v>20</v>
      </c>
      <c r="C355" t="s">
        <v>15</v>
      </c>
      <c r="D355" t="s">
        <v>1799</v>
      </c>
      <c r="E355">
        <v>19</v>
      </c>
      <c r="F355">
        <v>31</v>
      </c>
      <c r="G355">
        <v>2</v>
      </c>
      <c r="H355">
        <v>46</v>
      </c>
      <c r="I355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3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5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356" spans="1:11" x14ac:dyDescent="0.35">
      <c r="A356">
        <v>133</v>
      </c>
      <c r="B356">
        <v>20</v>
      </c>
      <c r="C356" t="s">
        <v>37</v>
      </c>
      <c r="D356" t="s">
        <v>1810</v>
      </c>
      <c r="E356">
        <v>20</v>
      </c>
      <c r="F356">
        <v>34</v>
      </c>
      <c r="G356">
        <v>1</v>
      </c>
      <c r="H356">
        <v>45</v>
      </c>
      <c r="I356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3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356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357" spans="1:11" x14ac:dyDescent="0.35">
      <c r="A357">
        <v>133</v>
      </c>
      <c r="B357">
        <v>20</v>
      </c>
      <c r="C357" t="s">
        <v>45</v>
      </c>
      <c r="D357" t="s">
        <v>1814</v>
      </c>
      <c r="E357">
        <v>10</v>
      </c>
      <c r="F357">
        <v>18</v>
      </c>
      <c r="G357">
        <v>3</v>
      </c>
      <c r="H357">
        <v>11</v>
      </c>
      <c r="I35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3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57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358" spans="1:11" x14ac:dyDescent="0.35">
      <c r="A358">
        <v>134</v>
      </c>
      <c r="B358">
        <v>3</v>
      </c>
      <c r="C358" t="s">
        <v>33</v>
      </c>
      <c r="D358" t="s">
        <v>1808</v>
      </c>
      <c r="E358">
        <v>19</v>
      </c>
      <c r="F358">
        <v>32</v>
      </c>
      <c r="G358">
        <v>3</v>
      </c>
      <c r="H358">
        <v>29</v>
      </c>
      <c r="I358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3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35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359" spans="1:11" x14ac:dyDescent="0.35">
      <c r="A359">
        <v>134</v>
      </c>
      <c r="B359">
        <v>3</v>
      </c>
      <c r="C359" t="s">
        <v>9</v>
      </c>
      <c r="D359" t="s">
        <v>1798</v>
      </c>
      <c r="E359">
        <v>14</v>
      </c>
      <c r="F359">
        <v>24</v>
      </c>
      <c r="G359">
        <v>1</v>
      </c>
      <c r="H359">
        <v>19</v>
      </c>
      <c r="I359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3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35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360" spans="1:11" x14ac:dyDescent="0.35">
      <c r="A360">
        <v>135</v>
      </c>
      <c r="B360">
        <v>11</v>
      </c>
      <c r="C360" t="s">
        <v>15</v>
      </c>
      <c r="D360" t="s">
        <v>1799</v>
      </c>
      <c r="E360">
        <v>19</v>
      </c>
      <c r="F360">
        <v>31</v>
      </c>
      <c r="G360">
        <v>3</v>
      </c>
      <c r="H360">
        <v>17</v>
      </c>
      <c r="I360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3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36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361" spans="1:11" x14ac:dyDescent="0.35">
      <c r="A361">
        <v>135</v>
      </c>
      <c r="B361">
        <v>11</v>
      </c>
      <c r="C361" t="s">
        <v>19</v>
      </c>
      <c r="D361" t="s">
        <v>1802</v>
      </c>
      <c r="E361">
        <v>25</v>
      </c>
      <c r="F361">
        <v>40</v>
      </c>
      <c r="G361">
        <v>2</v>
      </c>
      <c r="H361">
        <v>42</v>
      </c>
      <c r="I361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3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361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362" spans="1:11" x14ac:dyDescent="0.35">
      <c r="A362">
        <v>135</v>
      </c>
      <c r="B362">
        <v>11</v>
      </c>
      <c r="C362" t="s">
        <v>23</v>
      </c>
      <c r="D362" t="s">
        <v>1803</v>
      </c>
      <c r="E362">
        <v>17</v>
      </c>
      <c r="F362">
        <v>29</v>
      </c>
      <c r="G362">
        <v>3</v>
      </c>
      <c r="H362">
        <v>29</v>
      </c>
      <c r="I362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3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36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363" spans="1:11" x14ac:dyDescent="0.35">
      <c r="A363">
        <v>136</v>
      </c>
      <c r="B363">
        <v>6</v>
      </c>
      <c r="C363" t="s">
        <v>19</v>
      </c>
      <c r="D363" t="s">
        <v>1802</v>
      </c>
      <c r="E363">
        <v>25</v>
      </c>
      <c r="F363">
        <v>40</v>
      </c>
      <c r="G363">
        <v>2</v>
      </c>
      <c r="H363">
        <v>13</v>
      </c>
      <c r="I363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3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36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364" spans="1:11" x14ac:dyDescent="0.35">
      <c r="A364">
        <v>137</v>
      </c>
      <c r="B364">
        <v>13</v>
      </c>
      <c r="C364" t="s">
        <v>43</v>
      </c>
      <c r="D364" t="s">
        <v>1813</v>
      </c>
      <c r="E364">
        <v>13</v>
      </c>
      <c r="F364">
        <v>21</v>
      </c>
      <c r="G364">
        <v>3</v>
      </c>
      <c r="H364">
        <v>41</v>
      </c>
      <c r="I364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3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6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365" spans="1:11" x14ac:dyDescent="0.35">
      <c r="A365">
        <v>138</v>
      </c>
      <c r="B365">
        <v>6</v>
      </c>
      <c r="C365" t="s">
        <v>47</v>
      </c>
      <c r="D365" t="s">
        <v>1815</v>
      </c>
      <c r="E365">
        <v>15</v>
      </c>
      <c r="F365">
        <v>26</v>
      </c>
      <c r="G365">
        <v>3</v>
      </c>
      <c r="H365">
        <v>7</v>
      </c>
      <c r="I365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3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36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366" spans="1:11" x14ac:dyDescent="0.35">
      <c r="A366">
        <v>138</v>
      </c>
      <c r="B366">
        <v>6</v>
      </c>
      <c r="C366" t="s">
        <v>29</v>
      </c>
      <c r="D366" t="s">
        <v>1806</v>
      </c>
      <c r="E366">
        <v>11</v>
      </c>
      <c r="F366">
        <v>19</v>
      </c>
      <c r="G366">
        <v>2</v>
      </c>
      <c r="H366">
        <v>6</v>
      </c>
      <c r="I366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3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366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367" spans="1:11" x14ac:dyDescent="0.35">
      <c r="A367">
        <v>138</v>
      </c>
      <c r="B367">
        <v>6</v>
      </c>
      <c r="C367" t="s">
        <v>15</v>
      </c>
      <c r="D367" t="s">
        <v>1799</v>
      </c>
      <c r="E367">
        <v>19</v>
      </c>
      <c r="F367">
        <v>31</v>
      </c>
      <c r="G367">
        <v>2</v>
      </c>
      <c r="H367">
        <v>40</v>
      </c>
      <c r="I367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3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6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368" spans="1:11" x14ac:dyDescent="0.35">
      <c r="A368">
        <v>138</v>
      </c>
      <c r="B368">
        <v>6</v>
      </c>
      <c r="C368" t="s">
        <v>12</v>
      </c>
      <c r="D368" t="s">
        <v>1797</v>
      </c>
      <c r="E368">
        <v>18</v>
      </c>
      <c r="F368">
        <v>30</v>
      </c>
      <c r="G368">
        <v>2</v>
      </c>
      <c r="H368">
        <v>44</v>
      </c>
      <c r="I368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3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6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69" spans="1:11" x14ac:dyDescent="0.35">
      <c r="A369">
        <v>139</v>
      </c>
      <c r="B369">
        <v>16</v>
      </c>
      <c r="C369" t="s">
        <v>31</v>
      </c>
      <c r="D369" t="s">
        <v>1807</v>
      </c>
      <c r="E369">
        <v>21</v>
      </c>
      <c r="F369">
        <v>35</v>
      </c>
      <c r="G369">
        <v>1</v>
      </c>
      <c r="H369">
        <v>26</v>
      </c>
      <c r="I369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3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36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70" spans="1:11" x14ac:dyDescent="0.35">
      <c r="A370">
        <v>140</v>
      </c>
      <c r="B370">
        <v>11</v>
      </c>
      <c r="C370" t="s">
        <v>49</v>
      </c>
      <c r="D370" t="s">
        <v>1816</v>
      </c>
      <c r="E370">
        <v>15</v>
      </c>
      <c r="F370">
        <v>25</v>
      </c>
      <c r="G370">
        <v>2</v>
      </c>
      <c r="H370">
        <v>35</v>
      </c>
      <c r="I370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3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37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71" spans="1:11" x14ac:dyDescent="0.35">
      <c r="A371">
        <v>140</v>
      </c>
      <c r="B371">
        <v>11</v>
      </c>
      <c r="C371" t="s">
        <v>45</v>
      </c>
      <c r="D371" t="s">
        <v>1814</v>
      </c>
      <c r="E371">
        <v>10</v>
      </c>
      <c r="F371">
        <v>18</v>
      </c>
      <c r="G371">
        <v>2</v>
      </c>
      <c r="H371">
        <v>48</v>
      </c>
      <c r="I371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3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37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372" spans="1:11" x14ac:dyDescent="0.35">
      <c r="A372">
        <v>140</v>
      </c>
      <c r="B372">
        <v>11</v>
      </c>
      <c r="C372" t="s">
        <v>31</v>
      </c>
      <c r="D372" t="s">
        <v>1807</v>
      </c>
      <c r="E372">
        <v>21</v>
      </c>
      <c r="F372">
        <v>35</v>
      </c>
      <c r="G372">
        <v>3</v>
      </c>
      <c r="H372">
        <v>35</v>
      </c>
      <c r="I372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3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37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73" spans="1:11" x14ac:dyDescent="0.35">
      <c r="A373">
        <v>141</v>
      </c>
      <c r="B373">
        <v>4</v>
      </c>
      <c r="C373" t="s">
        <v>43</v>
      </c>
      <c r="D373" t="s">
        <v>1813</v>
      </c>
      <c r="E373">
        <v>13</v>
      </c>
      <c r="F373">
        <v>21</v>
      </c>
      <c r="G373">
        <v>1</v>
      </c>
      <c r="H373">
        <v>28</v>
      </c>
      <c r="I373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3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37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374" spans="1:11" x14ac:dyDescent="0.35">
      <c r="A374">
        <v>142</v>
      </c>
      <c r="B374">
        <v>14</v>
      </c>
      <c r="C374" t="s">
        <v>41</v>
      </c>
      <c r="D374" t="s">
        <v>1811</v>
      </c>
      <c r="E374">
        <v>14</v>
      </c>
      <c r="F374">
        <v>23</v>
      </c>
      <c r="G374">
        <v>3</v>
      </c>
      <c r="H374">
        <v>11</v>
      </c>
      <c r="I374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3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374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375" spans="1:11" x14ac:dyDescent="0.35">
      <c r="A375">
        <v>142</v>
      </c>
      <c r="B375">
        <v>14</v>
      </c>
      <c r="C375" t="s">
        <v>19</v>
      </c>
      <c r="D375" t="s">
        <v>1802</v>
      </c>
      <c r="E375">
        <v>25</v>
      </c>
      <c r="F375">
        <v>40</v>
      </c>
      <c r="G375">
        <v>1</v>
      </c>
      <c r="H375">
        <v>22</v>
      </c>
      <c r="I375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3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37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376" spans="1:11" x14ac:dyDescent="0.35">
      <c r="A376">
        <v>142</v>
      </c>
      <c r="B376">
        <v>14</v>
      </c>
      <c r="C376" t="s">
        <v>9</v>
      </c>
      <c r="D376" t="s">
        <v>1798</v>
      </c>
      <c r="E376">
        <v>14</v>
      </c>
      <c r="F376">
        <v>24</v>
      </c>
      <c r="G376">
        <v>3</v>
      </c>
      <c r="H376">
        <v>37</v>
      </c>
      <c r="I376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3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37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377" spans="1:11" x14ac:dyDescent="0.35">
      <c r="A377">
        <v>143</v>
      </c>
      <c r="B377">
        <v>9</v>
      </c>
      <c r="C377" t="s">
        <v>49</v>
      </c>
      <c r="D377" t="s">
        <v>1816</v>
      </c>
      <c r="E377">
        <v>15</v>
      </c>
      <c r="F377">
        <v>25</v>
      </c>
      <c r="G377">
        <v>2</v>
      </c>
      <c r="H377">
        <v>16</v>
      </c>
      <c r="I377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3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37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78" spans="1:11" x14ac:dyDescent="0.35">
      <c r="A378">
        <v>144</v>
      </c>
      <c r="B378">
        <v>18</v>
      </c>
      <c r="C378" t="s">
        <v>29</v>
      </c>
      <c r="D378" t="s">
        <v>1806</v>
      </c>
      <c r="E378">
        <v>11</v>
      </c>
      <c r="F378">
        <v>19</v>
      </c>
      <c r="G378">
        <v>3</v>
      </c>
      <c r="H378">
        <v>51</v>
      </c>
      <c r="I378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3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7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379" spans="1:11" x14ac:dyDescent="0.35">
      <c r="A379">
        <v>144</v>
      </c>
      <c r="B379">
        <v>18</v>
      </c>
      <c r="C379" t="s">
        <v>37</v>
      </c>
      <c r="D379" t="s">
        <v>1810</v>
      </c>
      <c r="E379">
        <v>20</v>
      </c>
      <c r="F379">
        <v>34</v>
      </c>
      <c r="G379">
        <v>1</v>
      </c>
      <c r="H379">
        <v>34</v>
      </c>
      <c r="I379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3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379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380" spans="1:11" x14ac:dyDescent="0.35">
      <c r="A380">
        <v>144</v>
      </c>
      <c r="B380">
        <v>18</v>
      </c>
      <c r="C380" t="s">
        <v>21</v>
      </c>
      <c r="D380" t="s">
        <v>1801</v>
      </c>
      <c r="E380">
        <v>22</v>
      </c>
      <c r="F380">
        <v>36</v>
      </c>
      <c r="G380">
        <v>1</v>
      </c>
      <c r="H380">
        <v>27</v>
      </c>
      <c r="I380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3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38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381" spans="1:11" x14ac:dyDescent="0.35">
      <c r="A381">
        <v>144</v>
      </c>
      <c r="B381">
        <v>18</v>
      </c>
      <c r="C381" t="s">
        <v>23</v>
      </c>
      <c r="D381" t="s">
        <v>1803</v>
      </c>
      <c r="E381">
        <v>17</v>
      </c>
      <c r="F381">
        <v>29</v>
      </c>
      <c r="G381">
        <v>2</v>
      </c>
      <c r="H381">
        <v>38</v>
      </c>
      <c r="I381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3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8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382" spans="1:11" x14ac:dyDescent="0.35">
      <c r="A382">
        <v>145</v>
      </c>
      <c r="B382">
        <v>2</v>
      </c>
      <c r="C382" t="s">
        <v>12</v>
      </c>
      <c r="D382" t="s">
        <v>1797</v>
      </c>
      <c r="E382">
        <v>18</v>
      </c>
      <c r="F382">
        <v>30</v>
      </c>
      <c r="G382">
        <v>2</v>
      </c>
      <c r="H382">
        <v>47</v>
      </c>
      <c r="I382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3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8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83" spans="1:11" x14ac:dyDescent="0.35">
      <c r="A383">
        <v>145</v>
      </c>
      <c r="B383">
        <v>2</v>
      </c>
      <c r="C383" t="s">
        <v>35</v>
      </c>
      <c r="D383" t="s">
        <v>1809</v>
      </c>
      <c r="E383">
        <v>13</v>
      </c>
      <c r="F383">
        <v>22</v>
      </c>
      <c r="G383">
        <v>3</v>
      </c>
      <c r="H383">
        <v>59</v>
      </c>
      <c r="I383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3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38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384" spans="1:11" x14ac:dyDescent="0.35">
      <c r="A384">
        <v>146</v>
      </c>
      <c r="B384">
        <v>8</v>
      </c>
      <c r="C384" t="s">
        <v>15</v>
      </c>
      <c r="D384" t="s">
        <v>1799</v>
      </c>
      <c r="E384">
        <v>19</v>
      </c>
      <c r="F384">
        <v>31</v>
      </c>
      <c r="G384">
        <v>2</v>
      </c>
      <c r="H384">
        <v>47</v>
      </c>
      <c r="I384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3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8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385" spans="1:11" x14ac:dyDescent="0.35">
      <c r="A385">
        <v>147</v>
      </c>
      <c r="B385">
        <v>5</v>
      </c>
      <c r="C385" t="s">
        <v>19</v>
      </c>
      <c r="D385" t="s">
        <v>1802</v>
      </c>
      <c r="E385">
        <v>25</v>
      </c>
      <c r="F385">
        <v>40</v>
      </c>
      <c r="G385">
        <v>1</v>
      </c>
      <c r="H385">
        <v>13</v>
      </c>
      <c r="I385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3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38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386" spans="1:11" x14ac:dyDescent="0.35">
      <c r="A386">
        <v>147</v>
      </c>
      <c r="B386">
        <v>5</v>
      </c>
      <c r="C386" t="s">
        <v>35</v>
      </c>
      <c r="D386" t="s">
        <v>1809</v>
      </c>
      <c r="E386">
        <v>13</v>
      </c>
      <c r="F386">
        <v>22</v>
      </c>
      <c r="G386">
        <v>2</v>
      </c>
      <c r="H386">
        <v>20</v>
      </c>
      <c r="I386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3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386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387" spans="1:11" x14ac:dyDescent="0.35">
      <c r="A387">
        <v>148</v>
      </c>
      <c r="B387">
        <v>10</v>
      </c>
      <c r="C387" t="s">
        <v>47</v>
      </c>
      <c r="D387" t="s">
        <v>1815</v>
      </c>
      <c r="E387">
        <v>15</v>
      </c>
      <c r="F387">
        <v>26</v>
      </c>
      <c r="G387">
        <v>1</v>
      </c>
      <c r="H387">
        <v>25</v>
      </c>
      <c r="I387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3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38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388" spans="1:11" x14ac:dyDescent="0.35">
      <c r="A388">
        <v>148</v>
      </c>
      <c r="B388">
        <v>10</v>
      </c>
      <c r="C388" t="s">
        <v>37</v>
      </c>
      <c r="D388" t="s">
        <v>1810</v>
      </c>
      <c r="E388">
        <v>20</v>
      </c>
      <c r="F388">
        <v>34</v>
      </c>
      <c r="G388">
        <v>2</v>
      </c>
      <c r="H388">
        <v>57</v>
      </c>
      <c r="I388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3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38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389" spans="1:11" x14ac:dyDescent="0.35">
      <c r="A389">
        <v>148</v>
      </c>
      <c r="B389">
        <v>10</v>
      </c>
      <c r="C389" t="s">
        <v>39</v>
      </c>
      <c r="D389" t="s">
        <v>1812</v>
      </c>
      <c r="E389">
        <v>12</v>
      </c>
      <c r="F389">
        <v>20</v>
      </c>
      <c r="G389">
        <v>3</v>
      </c>
      <c r="H389">
        <v>46</v>
      </c>
      <c r="I38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3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8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90" spans="1:11" x14ac:dyDescent="0.35">
      <c r="A390">
        <v>148</v>
      </c>
      <c r="B390">
        <v>10</v>
      </c>
      <c r="C390" t="s">
        <v>23</v>
      </c>
      <c r="D390" t="s">
        <v>1803</v>
      </c>
      <c r="E390">
        <v>17</v>
      </c>
      <c r="F390">
        <v>29</v>
      </c>
      <c r="G390">
        <v>2</v>
      </c>
      <c r="H390">
        <v>31</v>
      </c>
      <c r="I390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3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9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391" spans="1:11" x14ac:dyDescent="0.35">
      <c r="A391">
        <v>149</v>
      </c>
      <c r="B391">
        <v>18</v>
      </c>
      <c r="C391" t="s">
        <v>37</v>
      </c>
      <c r="D391" t="s">
        <v>1810</v>
      </c>
      <c r="E391">
        <v>20</v>
      </c>
      <c r="F391">
        <v>34</v>
      </c>
      <c r="G391">
        <v>3</v>
      </c>
      <c r="H391">
        <v>28</v>
      </c>
      <c r="I391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3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39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392" spans="1:11" x14ac:dyDescent="0.35">
      <c r="A392">
        <v>149</v>
      </c>
      <c r="B392">
        <v>18</v>
      </c>
      <c r="C392" t="s">
        <v>12</v>
      </c>
      <c r="D392" t="s">
        <v>1797</v>
      </c>
      <c r="E392">
        <v>18</v>
      </c>
      <c r="F392">
        <v>30</v>
      </c>
      <c r="G392">
        <v>1</v>
      </c>
      <c r="H392">
        <v>38</v>
      </c>
      <c r="I392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3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39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93" spans="1:11" x14ac:dyDescent="0.35">
      <c r="A393">
        <v>149</v>
      </c>
      <c r="B393">
        <v>18</v>
      </c>
      <c r="C393" t="s">
        <v>45</v>
      </c>
      <c r="D393" t="s">
        <v>1814</v>
      </c>
      <c r="E393">
        <v>10</v>
      </c>
      <c r="F393">
        <v>18</v>
      </c>
      <c r="G393">
        <v>2</v>
      </c>
      <c r="H393">
        <v>25</v>
      </c>
      <c r="I393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3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39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394" spans="1:11" x14ac:dyDescent="0.35">
      <c r="A394">
        <v>149</v>
      </c>
      <c r="B394">
        <v>18</v>
      </c>
      <c r="C394" t="s">
        <v>23</v>
      </c>
      <c r="D394" t="s">
        <v>1803</v>
      </c>
      <c r="E394">
        <v>17</v>
      </c>
      <c r="F394">
        <v>29</v>
      </c>
      <c r="G394">
        <v>2</v>
      </c>
      <c r="H394">
        <v>48</v>
      </c>
      <c r="I394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3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94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395" spans="1:11" x14ac:dyDescent="0.35">
      <c r="A395">
        <v>150</v>
      </c>
      <c r="B395">
        <v>18</v>
      </c>
      <c r="C395" t="s">
        <v>25</v>
      </c>
      <c r="D395" t="s">
        <v>1804</v>
      </c>
      <c r="E395">
        <v>20</v>
      </c>
      <c r="F395">
        <v>33</v>
      </c>
      <c r="G395">
        <v>2</v>
      </c>
      <c r="H395">
        <v>57</v>
      </c>
      <c r="I395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3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39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396" spans="1:11" x14ac:dyDescent="0.35">
      <c r="A396">
        <v>150</v>
      </c>
      <c r="B396">
        <v>18</v>
      </c>
      <c r="C396" t="s">
        <v>39</v>
      </c>
      <c r="D396" t="s">
        <v>1812</v>
      </c>
      <c r="E396">
        <v>12</v>
      </c>
      <c r="F396">
        <v>20</v>
      </c>
      <c r="G396">
        <v>2</v>
      </c>
      <c r="H396">
        <v>30</v>
      </c>
      <c r="I396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3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39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397" spans="1:11" x14ac:dyDescent="0.35">
      <c r="A397">
        <v>150</v>
      </c>
      <c r="B397">
        <v>18</v>
      </c>
      <c r="C397" t="s">
        <v>35</v>
      </c>
      <c r="D397" t="s">
        <v>1809</v>
      </c>
      <c r="E397">
        <v>13</v>
      </c>
      <c r="F397">
        <v>22</v>
      </c>
      <c r="G397">
        <v>2</v>
      </c>
      <c r="H397">
        <v>19</v>
      </c>
      <c r="I397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3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39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398" spans="1:11" x14ac:dyDescent="0.35">
      <c r="A398">
        <v>151</v>
      </c>
      <c r="B398">
        <v>6</v>
      </c>
      <c r="C398" t="s">
        <v>43</v>
      </c>
      <c r="D398" t="s">
        <v>1813</v>
      </c>
      <c r="E398">
        <v>13</v>
      </c>
      <c r="F398">
        <v>21</v>
      </c>
      <c r="G398">
        <v>3</v>
      </c>
      <c r="H398">
        <v>6</v>
      </c>
      <c r="I398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3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398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399" spans="1:11" x14ac:dyDescent="0.35">
      <c r="A399">
        <v>151</v>
      </c>
      <c r="B399">
        <v>6</v>
      </c>
      <c r="C399" t="s">
        <v>41</v>
      </c>
      <c r="D399" t="s">
        <v>1811</v>
      </c>
      <c r="E399">
        <v>14</v>
      </c>
      <c r="F399">
        <v>23</v>
      </c>
      <c r="G399">
        <v>3</v>
      </c>
      <c r="H399">
        <v>13</v>
      </c>
      <c r="I399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3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39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400" spans="1:11" x14ac:dyDescent="0.35">
      <c r="A400">
        <v>152</v>
      </c>
      <c r="B400">
        <v>5</v>
      </c>
      <c r="C400" t="s">
        <v>27</v>
      </c>
      <c r="D400" t="s">
        <v>1805</v>
      </c>
      <c r="E400">
        <v>16</v>
      </c>
      <c r="F400">
        <v>28</v>
      </c>
      <c r="G400">
        <v>2</v>
      </c>
      <c r="H400">
        <v>12</v>
      </c>
      <c r="I400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4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0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401" spans="1:11" x14ac:dyDescent="0.35">
      <c r="A401">
        <v>153</v>
      </c>
      <c r="B401">
        <v>10</v>
      </c>
      <c r="C401" t="s">
        <v>25</v>
      </c>
      <c r="D401" t="s">
        <v>1804</v>
      </c>
      <c r="E401">
        <v>20</v>
      </c>
      <c r="F401">
        <v>33</v>
      </c>
      <c r="G401">
        <v>3</v>
      </c>
      <c r="H401">
        <v>10</v>
      </c>
      <c r="I401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4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40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402" spans="1:11" x14ac:dyDescent="0.35">
      <c r="A402">
        <v>153</v>
      </c>
      <c r="B402">
        <v>10</v>
      </c>
      <c r="C402" t="s">
        <v>19</v>
      </c>
      <c r="D402" t="s">
        <v>1802</v>
      </c>
      <c r="E402">
        <v>25</v>
      </c>
      <c r="F402">
        <v>40</v>
      </c>
      <c r="G402">
        <v>2</v>
      </c>
      <c r="H402">
        <v>26</v>
      </c>
      <c r="I402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4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40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403" spans="1:11" x14ac:dyDescent="0.35">
      <c r="A403">
        <v>153</v>
      </c>
      <c r="B403">
        <v>10</v>
      </c>
      <c r="C403" t="s">
        <v>9</v>
      </c>
      <c r="D403" t="s">
        <v>1798</v>
      </c>
      <c r="E403">
        <v>14</v>
      </c>
      <c r="F403">
        <v>24</v>
      </c>
      <c r="G403">
        <v>1</v>
      </c>
      <c r="H403">
        <v>53</v>
      </c>
      <c r="I403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4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40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404" spans="1:11" x14ac:dyDescent="0.35">
      <c r="A404">
        <v>154</v>
      </c>
      <c r="B404">
        <v>11</v>
      </c>
      <c r="C404" t="s">
        <v>21</v>
      </c>
      <c r="D404" t="s">
        <v>1801</v>
      </c>
      <c r="E404">
        <v>22</v>
      </c>
      <c r="F404">
        <v>36</v>
      </c>
      <c r="G404">
        <v>3</v>
      </c>
      <c r="H404">
        <v>52</v>
      </c>
      <c r="I404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4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404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405" spans="1:11" x14ac:dyDescent="0.35">
      <c r="A405">
        <v>154</v>
      </c>
      <c r="B405">
        <v>11</v>
      </c>
      <c r="C405" t="s">
        <v>45</v>
      </c>
      <c r="D405" t="s">
        <v>1814</v>
      </c>
      <c r="E405">
        <v>10</v>
      </c>
      <c r="F405">
        <v>18</v>
      </c>
      <c r="G405">
        <v>2</v>
      </c>
      <c r="H405">
        <v>30</v>
      </c>
      <c r="I40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4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405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406" spans="1:11" x14ac:dyDescent="0.35">
      <c r="A406">
        <v>155</v>
      </c>
      <c r="B406">
        <v>7</v>
      </c>
      <c r="C406" t="s">
        <v>15</v>
      </c>
      <c r="D406" t="s">
        <v>1799</v>
      </c>
      <c r="E406">
        <v>19</v>
      </c>
      <c r="F406">
        <v>31</v>
      </c>
      <c r="G406">
        <v>2</v>
      </c>
      <c r="H406">
        <v>43</v>
      </c>
      <c r="I406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4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0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407" spans="1:11" x14ac:dyDescent="0.35">
      <c r="A407">
        <v>155</v>
      </c>
      <c r="B407">
        <v>7</v>
      </c>
      <c r="C407" t="s">
        <v>39</v>
      </c>
      <c r="D407" t="s">
        <v>1812</v>
      </c>
      <c r="E407">
        <v>12</v>
      </c>
      <c r="F407">
        <v>20</v>
      </c>
      <c r="G407">
        <v>1</v>
      </c>
      <c r="H407">
        <v>33</v>
      </c>
      <c r="I407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4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40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08" spans="1:11" x14ac:dyDescent="0.35">
      <c r="A408">
        <v>155</v>
      </c>
      <c r="B408">
        <v>7</v>
      </c>
      <c r="C408" t="s">
        <v>17</v>
      </c>
      <c r="D408" t="s">
        <v>1800</v>
      </c>
      <c r="E408">
        <v>16</v>
      </c>
      <c r="F408">
        <v>27</v>
      </c>
      <c r="G408">
        <v>2</v>
      </c>
      <c r="H408">
        <v>24</v>
      </c>
      <c r="I408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4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408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409" spans="1:11" x14ac:dyDescent="0.35">
      <c r="A409">
        <v>156</v>
      </c>
      <c r="B409">
        <v>6</v>
      </c>
      <c r="C409" t="s">
        <v>27</v>
      </c>
      <c r="D409" t="s">
        <v>1805</v>
      </c>
      <c r="E409">
        <v>16</v>
      </c>
      <c r="F409">
        <v>28</v>
      </c>
      <c r="G409">
        <v>2</v>
      </c>
      <c r="H409">
        <v>6</v>
      </c>
      <c r="I409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4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09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410" spans="1:11" x14ac:dyDescent="0.35">
      <c r="A410">
        <v>157</v>
      </c>
      <c r="B410">
        <v>13</v>
      </c>
      <c r="C410" t="s">
        <v>49</v>
      </c>
      <c r="D410" t="s">
        <v>1816</v>
      </c>
      <c r="E410">
        <v>15</v>
      </c>
      <c r="F410">
        <v>25</v>
      </c>
      <c r="G410">
        <v>3</v>
      </c>
      <c r="H410">
        <v>48</v>
      </c>
      <c r="I410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4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41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11" spans="1:11" x14ac:dyDescent="0.35">
      <c r="A411">
        <v>157</v>
      </c>
      <c r="B411">
        <v>13</v>
      </c>
      <c r="C411" t="s">
        <v>27</v>
      </c>
      <c r="D411" t="s">
        <v>1805</v>
      </c>
      <c r="E411">
        <v>16</v>
      </c>
      <c r="F411">
        <v>28</v>
      </c>
      <c r="G411">
        <v>1</v>
      </c>
      <c r="H411">
        <v>54</v>
      </c>
      <c r="I411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4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11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412" spans="1:11" x14ac:dyDescent="0.35">
      <c r="A412">
        <v>157</v>
      </c>
      <c r="B412">
        <v>13</v>
      </c>
      <c r="C412" t="s">
        <v>21</v>
      </c>
      <c r="D412" t="s">
        <v>1801</v>
      </c>
      <c r="E412">
        <v>22</v>
      </c>
      <c r="F412">
        <v>36</v>
      </c>
      <c r="G412">
        <v>3</v>
      </c>
      <c r="H412">
        <v>21</v>
      </c>
      <c r="I412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4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41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413" spans="1:11" x14ac:dyDescent="0.35">
      <c r="A413">
        <v>157</v>
      </c>
      <c r="B413">
        <v>13</v>
      </c>
      <c r="C413" t="s">
        <v>12</v>
      </c>
      <c r="D413" t="s">
        <v>1797</v>
      </c>
      <c r="E413">
        <v>18</v>
      </c>
      <c r="F413">
        <v>30</v>
      </c>
      <c r="G413">
        <v>2</v>
      </c>
      <c r="H413">
        <v>27</v>
      </c>
      <c r="I41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4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1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14" spans="1:11" x14ac:dyDescent="0.35">
      <c r="A414">
        <v>158</v>
      </c>
      <c r="B414">
        <v>5</v>
      </c>
      <c r="C414" t="s">
        <v>47</v>
      </c>
      <c r="D414" t="s">
        <v>1815</v>
      </c>
      <c r="E414">
        <v>15</v>
      </c>
      <c r="F414">
        <v>26</v>
      </c>
      <c r="G414">
        <v>3</v>
      </c>
      <c r="H414">
        <v>55</v>
      </c>
      <c r="I414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4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41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415" spans="1:11" x14ac:dyDescent="0.35">
      <c r="A415">
        <v>158</v>
      </c>
      <c r="B415">
        <v>5</v>
      </c>
      <c r="C415" t="s">
        <v>29</v>
      </c>
      <c r="D415" t="s">
        <v>1806</v>
      </c>
      <c r="E415">
        <v>11</v>
      </c>
      <c r="F415">
        <v>19</v>
      </c>
      <c r="G415">
        <v>1</v>
      </c>
      <c r="H415">
        <v>57</v>
      </c>
      <c r="I415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4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41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416" spans="1:11" x14ac:dyDescent="0.35">
      <c r="A416">
        <v>158</v>
      </c>
      <c r="B416">
        <v>5</v>
      </c>
      <c r="C416" t="s">
        <v>21</v>
      </c>
      <c r="D416" t="s">
        <v>1801</v>
      </c>
      <c r="E416">
        <v>22</v>
      </c>
      <c r="F416">
        <v>36</v>
      </c>
      <c r="G416">
        <v>3</v>
      </c>
      <c r="H416">
        <v>7</v>
      </c>
      <c r="I416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4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416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417" spans="1:11" x14ac:dyDescent="0.35">
      <c r="A417">
        <v>158</v>
      </c>
      <c r="B417">
        <v>5</v>
      </c>
      <c r="C417" t="s">
        <v>31</v>
      </c>
      <c r="D417" t="s">
        <v>1807</v>
      </c>
      <c r="E417">
        <v>21</v>
      </c>
      <c r="F417">
        <v>35</v>
      </c>
      <c r="G417">
        <v>3</v>
      </c>
      <c r="H417">
        <v>16</v>
      </c>
      <c r="I417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4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41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18" spans="1:11" x14ac:dyDescent="0.35">
      <c r="A418">
        <v>159</v>
      </c>
      <c r="B418">
        <v>16</v>
      </c>
      <c r="C418" t="s">
        <v>25</v>
      </c>
      <c r="D418" t="s">
        <v>1804</v>
      </c>
      <c r="E418">
        <v>20</v>
      </c>
      <c r="F418">
        <v>33</v>
      </c>
      <c r="G418">
        <v>3</v>
      </c>
      <c r="H418">
        <v>40</v>
      </c>
      <c r="I418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4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418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419" spans="1:11" x14ac:dyDescent="0.35">
      <c r="A419">
        <v>159</v>
      </c>
      <c r="B419">
        <v>16</v>
      </c>
      <c r="C419" t="s">
        <v>15</v>
      </c>
      <c r="D419" t="s">
        <v>1799</v>
      </c>
      <c r="E419">
        <v>19</v>
      </c>
      <c r="F419">
        <v>31</v>
      </c>
      <c r="G419">
        <v>1</v>
      </c>
      <c r="H419">
        <v>5</v>
      </c>
      <c r="I419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4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1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420" spans="1:11" x14ac:dyDescent="0.35">
      <c r="A420">
        <v>159</v>
      </c>
      <c r="B420">
        <v>16</v>
      </c>
      <c r="C420" t="s">
        <v>45</v>
      </c>
      <c r="D420" t="s">
        <v>1814</v>
      </c>
      <c r="E420">
        <v>10</v>
      </c>
      <c r="F420">
        <v>18</v>
      </c>
      <c r="G420">
        <v>2</v>
      </c>
      <c r="H420">
        <v>6</v>
      </c>
      <c r="I420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4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420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421" spans="1:11" x14ac:dyDescent="0.35">
      <c r="A421">
        <v>159</v>
      </c>
      <c r="B421">
        <v>16</v>
      </c>
      <c r="C421" t="s">
        <v>23</v>
      </c>
      <c r="D421" t="s">
        <v>1803</v>
      </c>
      <c r="E421">
        <v>17</v>
      </c>
      <c r="F421">
        <v>29</v>
      </c>
      <c r="G421">
        <v>3</v>
      </c>
      <c r="H421">
        <v>23</v>
      </c>
      <c r="I421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4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2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422" spans="1:11" x14ac:dyDescent="0.35">
      <c r="A422">
        <v>160</v>
      </c>
      <c r="B422">
        <v>19</v>
      </c>
      <c r="C422" t="s">
        <v>21</v>
      </c>
      <c r="D422" t="s">
        <v>1801</v>
      </c>
      <c r="E422">
        <v>22</v>
      </c>
      <c r="F422">
        <v>36</v>
      </c>
      <c r="G422">
        <v>3</v>
      </c>
      <c r="H422">
        <v>20</v>
      </c>
      <c r="I422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4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42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423" spans="1:11" x14ac:dyDescent="0.35">
      <c r="A423">
        <v>160</v>
      </c>
      <c r="B423">
        <v>19</v>
      </c>
      <c r="C423" t="s">
        <v>9</v>
      </c>
      <c r="D423" t="s">
        <v>1798</v>
      </c>
      <c r="E423">
        <v>14</v>
      </c>
      <c r="F423">
        <v>24</v>
      </c>
      <c r="G423">
        <v>2</v>
      </c>
      <c r="H423">
        <v>47</v>
      </c>
      <c r="I423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4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42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424" spans="1:11" x14ac:dyDescent="0.35">
      <c r="A424">
        <v>161</v>
      </c>
      <c r="B424">
        <v>13</v>
      </c>
      <c r="C424" t="s">
        <v>27</v>
      </c>
      <c r="D424" t="s">
        <v>1805</v>
      </c>
      <c r="E424">
        <v>16</v>
      </c>
      <c r="F424">
        <v>28</v>
      </c>
      <c r="G424">
        <v>3</v>
      </c>
      <c r="H424">
        <v>57</v>
      </c>
      <c r="I424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4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2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425" spans="1:11" x14ac:dyDescent="0.35">
      <c r="A425">
        <v>162</v>
      </c>
      <c r="B425">
        <v>14</v>
      </c>
      <c r="C425" t="s">
        <v>9</v>
      </c>
      <c r="D425" t="s">
        <v>1798</v>
      </c>
      <c r="E425">
        <v>14</v>
      </c>
      <c r="F425">
        <v>24</v>
      </c>
      <c r="G425">
        <v>3</v>
      </c>
      <c r="H425">
        <v>25</v>
      </c>
      <c r="I425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4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425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426" spans="1:11" x14ac:dyDescent="0.35">
      <c r="A426">
        <v>163</v>
      </c>
      <c r="B426">
        <v>6</v>
      </c>
      <c r="C426" t="s">
        <v>25</v>
      </c>
      <c r="D426" t="s">
        <v>1804</v>
      </c>
      <c r="E426">
        <v>20</v>
      </c>
      <c r="F426">
        <v>33</v>
      </c>
      <c r="G426">
        <v>2</v>
      </c>
      <c r="H426">
        <v>40</v>
      </c>
      <c r="I426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4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426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427" spans="1:11" x14ac:dyDescent="0.35">
      <c r="A427">
        <v>163</v>
      </c>
      <c r="B427">
        <v>6</v>
      </c>
      <c r="C427" t="s">
        <v>15</v>
      </c>
      <c r="D427" t="s">
        <v>1799</v>
      </c>
      <c r="E427">
        <v>19</v>
      </c>
      <c r="F427">
        <v>31</v>
      </c>
      <c r="G427">
        <v>3</v>
      </c>
      <c r="H427">
        <v>8</v>
      </c>
      <c r="I427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4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2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428" spans="1:11" x14ac:dyDescent="0.35">
      <c r="A428">
        <v>163</v>
      </c>
      <c r="B428">
        <v>6</v>
      </c>
      <c r="C428" t="s">
        <v>12</v>
      </c>
      <c r="D428" t="s">
        <v>1797</v>
      </c>
      <c r="E428">
        <v>18</v>
      </c>
      <c r="F428">
        <v>30</v>
      </c>
      <c r="G428">
        <v>3</v>
      </c>
      <c r="H428">
        <v>16</v>
      </c>
      <c r="I428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4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2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29" spans="1:11" x14ac:dyDescent="0.35">
      <c r="A429">
        <v>163</v>
      </c>
      <c r="B429">
        <v>6</v>
      </c>
      <c r="C429" t="s">
        <v>35</v>
      </c>
      <c r="D429" t="s">
        <v>1809</v>
      </c>
      <c r="E429">
        <v>13</v>
      </c>
      <c r="F429">
        <v>22</v>
      </c>
      <c r="G429">
        <v>1</v>
      </c>
      <c r="H429">
        <v>7</v>
      </c>
      <c r="I429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4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42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430" spans="1:11" x14ac:dyDescent="0.35">
      <c r="A430">
        <v>164</v>
      </c>
      <c r="B430">
        <v>8</v>
      </c>
      <c r="C430" t="s">
        <v>33</v>
      </c>
      <c r="D430" t="s">
        <v>1808</v>
      </c>
      <c r="E430">
        <v>19</v>
      </c>
      <c r="F430">
        <v>32</v>
      </c>
      <c r="G430">
        <v>2</v>
      </c>
      <c r="H430">
        <v>20</v>
      </c>
      <c r="I430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4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43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431" spans="1:11" x14ac:dyDescent="0.35">
      <c r="A431">
        <v>164</v>
      </c>
      <c r="B431">
        <v>8</v>
      </c>
      <c r="C431" t="s">
        <v>21</v>
      </c>
      <c r="D431" t="s">
        <v>1801</v>
      </c>
      <c r="E431">
        <v>22</v>
      </c>
      <c r="F431">
        <v>36</v>
      </c>
      <c r="G431">
        <v>1</v>
      </c>
      <c r="H431">
        <v>7</v>
      </c>
      <c r="I431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4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431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432" spans="1:11" x14ac:dyDescent="0.35">
      <c r="A432">
        <v>164</v>
      </c>
      <c r="B432">
        <v>8</v>
      </c>
      <c r="C432" t="s">
        <v>35</v>
      </c>
      <c r="D432" t="s">
        <v>1809</v>
      </c>
      <c r="E432">
        <v>13</v>
      </c>
      <c r="F432">
        <v>22</v>
      </c>
      <c r="G432">
        <v>1</v>
      </c>
      <c r="H432">
        <v>43</v>
      </c>
      <c r="I432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4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43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433" spans="1:11" x14ac:dyDescent="0.35">
      <c r="A433">
        <v>164</v>
      </c>
      <c r="B433">
        <v>8</v>
      </c>
      <c r="C433" t="s">
        <v>9</v>
      </c>
      <c r="D433" t="s">
        <v>1798</v>
      </c>
      <c r="E433">
        <v>14</v>
      </c>
      <c r="F433">
        <v>24</v>
      </c>
      <c r="G433">
        <v>2</v>
      </c>
      <c r="H433">
        <v>35</v>
      </c>
      <c r="I433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4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43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434" spans="1:11" x14ac:dyDescent="0.35">
      <c r="A434">
        <v>165</v>
      </c>
      <c r="B434">
        <v>10</v>
      </c>
      <c r="C434" t="s">
        <v>43</v>
      </c>
      <c r="D434" t="s">
        <v>1813</v>
      </c>
      <c r="E434">
        <v>13</v>
      </c>
      <c r="F434">
        <v>21</v>
      </c>
      <c r="G434">
        <v>2</v>
      </c>
      <c r="H434">
        <v>41</v>
      </c>
      <c r="I434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4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43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435" spans="1:11" x14ac:dyDescent="0.35">
      <c r="A435">
        <v>165</v>
      </c>
      <c r="B435">
        <v>10</v>
      </c>
      <c r="C435" t="s">
        <v>9</v>
      </c>
      <c r="D435" t="s">
        <v>1798</v>
      </c>
      <c r="E435">
        <v>14</v>
      </c>
      <c r="F435">
        <v>24</v>
      </c>
      <c r="G435">
        <v>2</v>
      </c>
      <c r="H435">
        <v>15</v>
      </c>
      <c r="I435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4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435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436" spans="1:11" x14ac:dyDescent="0.35">
      <c r="A436">
        <v>166</v>
      </c>
      <c r="B436">
        <v>12</v>
      </c>
      <c r="C436" t="s">
        <v>41</v>
      </c>
      <c r="D436" t="s">
        <v>1811</v>
      </c>
      <c r="E436">
        <v>14</v>
      </c>
      <c r="F436">
        <v>23</v>
      </c>
      <c r="G436">
        <v>2</v>
      </c>
      <c r="H436">
        <v>22</v>
      </c>
      <c r="I436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4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43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437" spans="1:11" x14ac:dyDescent="0.35">
      <c r="A437">
        <v>167</v>
      </c>
      <c r="B437">
        <v>5</v>
      </c>
      <c r="C437" t="s">
        <v>29</v>
      </c>
      <c r="D437" t="s">
        <v>1806</v>
      </c>
      <c r="E437">
        <v>11</v>
      </c>
      <c r="F437">
        <v>19</v>
      </c>
      <c r="G437">
        <v>1</v>
      </c>
      <c r="H437">
        <v>29</v>
      </c>
      <c r="I437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4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437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438" spans="1:11" x14ac:dyDescent="0.35">
      <c r="A438">
        <v>167</v>
      </c>
      <c r="B438">
        <v>5</v>
      </c>
      <c r="C438" t="s">
        <v>15</v>
      </c>
      <c r="D438" t="s">
        <v>1799</v>
      </c>
      <c r="E438">
        <v>19</v>
      </c>
      <c r="F438">
        <v>31</v>
      </c>
      <c r="G438">
        <v>1</v>
      </c>
      <c r="H438">
        <v>36</v>
      </c>
      <c r="I438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4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3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439" spans="1:11" x14ac:dyDescent="0.35">
      <c r="A439">
        <v>167</v>
      </c>
      <c r="B439">
        <v>5</v>
      </c>
      <c r="C439" t="s">
        <v>37</v>
      </c>
      <c r="D439" t="s">
        <v>1810</v>
      </c>
      <c r="E439">
        <v>20</v>
      </c>
      <c r="F439">
        <v>34</v>
      </c>
      <c r="G439">
        <v>3</v>
      </c>
      <c r="H439">
        <v>11</v>
      </c>
      <c r="I439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4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439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440" spans="1:11" x14ac:dyDescent="0.35">
      <c r="A440">
        <v>168</v>
      </c>
      <c r="B440">
        <v>17</v>
      </c>
      <c r="C440" t="s">
        <v>35</v>
      </c>
      <c r="D440" t="s">
        <v>1809</v>
      </c>
      <c r="E440">
        <v>13</v>
      </c>
      <c r="F440">
        <v>22</v>
      </c>
      <c r="G440">
        <v>2</v>
      </c>
      <c r="H440">
        <v>7</v>
      </c>
      <c r="I440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4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44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441" spans="1:11" x14ac:dyDescent="0.35">
      <c r="A441">
        <v>169</v>
      </c>
      <c r="B441">
        <v>19</v>
      </c>
      <c r="C441" t="s">
        <v>43</v>
      </c>
      <c r="D441" t="s">
        <v>1813</v>
      </c>
      <c r="E441">
        <v>13</v>
      </c>
      <c r="F441">
        <v>21</v>
      </c>
      <c r="G441">
        <v>2</v>
      </c>
      <c r="H441">
        <v>44</v>
      </c>
      <c r="I441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4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44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442" spans="1:11" x14ac:dyDescent="0.35">
      <c r="A442">
        <v>169</v>
      </c>
      <c r="B442">
        <v>19</v>
      </c>
      <c r="C442" t="s">
        <v>37</v>
      </c>
      <c r="D442" t="s">
        <v>1810</v>
      </c>
      <c r="E442">
        <v>20</v>
      </c>
      <c r="F442">
        <v>34</v>
      </c>
      <c r="G442">
        <v>2</v>
      </c>
      <c r="H442">
        <v>59</v>
      </c>
      <c r="I442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4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44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443" spans="1:11" x14ac:dyDescent="0.35">
      <c r="A443">
        <v>169</v>
      </c>
      <c r="B443">
        <v>19</v>
      </c>
      <c r="C443" t="s">
        <v>35</v>
      </c>
      <c r="D443" t="s">
        <v>1809</v>
      </c>
      <c r="E443">
        <v>13</v>
      </c>
      <c r="F443">
        <v>22</v>
      </c>
      <c r="G443">
        <v>2</v>
      </c>
      <c r="H443">
        <v>7</v>
      </c>
      <c r="I443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4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44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444" spans="1:11" x14ac:dyDescent="0.35">
      <c r="A444">
        <v>170</v>
      </c>
      <c r="B444">
        <v>12</v>
      </c>
      <c r="C444" t="s">
        <v>21</v>
      </c>
      <c r="D444" t="s">
        <v>1801</v>
      </c>
      <c r="E444">
        <v>22</v>
      </c>
      <c r="F444">
        <v>36</v>
      </c>
      <c r="G444">
        <v>1</v>
      </c>
      <c r="H444">
        <v>33</v>
      </c>
      <c r="I444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4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444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445" spans="1:11" x14ac:dyDescent="0.35">
      <c r="A445">
        <v>170</v>
      </c>
      <c r="B445">
        <v>12</v>
      </c>
      <c r="C445" t="s">
        <v>12</v>
      </c>
      <c r="D445" t="s">
        <v>1797</v>
      </c>
      <c r="E445">
        <v>18</v>
      </c>
      <c r="F445">
        <v>30</v>
      </c>
      <c r="G445">
        <v>2</v>
      </c>
      <c r="H445">
        <v>8</v>
      </c>
      <c r="I44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4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4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46" spans="1:11" x14ac:dyDescent="0.35">
      <c r="A446">
        <v>170</v>
      </c>
      <c r="B446">
        <v>12</v>
      </c>
      <c r="C446" t="s">
        <v>39</v>
      </c>
      <c r="D446" t="s">
        <v>1812</v>
      </c>
      <c r="E446">
        <v>12</v>
      </c>
      <c r="F446">
        <v>20</v>
      </c>
      <c r="G446">
        <v>3</v>
      </c>
      <c r="H446">
        <v>16</v>
      </c>
      <c r="I446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4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4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47" spans="1:11" x14ac:dyDescent="0.35">
      <c r="A447">
        <v>170</v>
      </c>
      <c r="B447">
        <v>12</v>
      </c>
      <c r="C447" t="s">
        <v>23</v>
      </c>
      <c r="D447" t="s">
        <v>1803</v>
      </c>
      <c r="E447">
        <v>17</v>
      </c>
      <c r="F447">
        <v>29</v>
      </c>
      <c r="G447">
        <v>3</v>
      </c>
      <c r="H447">
        <v>16</v>
      </c>
      <c r="I447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4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4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448" spans="1:11" x14ac:dyDescent="0.35">
      <c r="A448">
        <v>171</v>
      </c>
      <c r="B448">
        <v>16</v>
      </c>
      <c r="C448" t="s">
        <v>47</v>
      </c>
      <c r="D448" t="s">
        <v>1815</v>
      </c>
      <c r="E448">
        <v>15</v>
      </c>
      <c r="F448">
        <v>26</v>
      </c>
      <c r="G448">
        <v>2</v>
      </c>
      <c r="H448">
        <v>29</v>
      </c>
      <c r="I448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4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448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449" spans="1:11" x14ac:dyDescent="0.35">
      <c r="A449">
        <v>171</v>
      </c>
      <c r="B449">
        <v>16</v>
      </c>
      <c r="C449" t="s">
        <v>23</v>
      </c>
      <c r="D449" t="s">
        <v>1803</v>
      </c>
      <c r="E449">
        <v>17</v>
      </c>
      <c r="F449">
        <v>29</v>
      </c>
      <c r="G449">
        <v>3</v>
      </c>
      <c r="H449">
        <v>22</v>
      </c>
      <c r="I449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4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49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450" spans="1:11" x14ac:dyDescent="0.35">
      <c r="A450">
        <v>172</v>
      </c>
      <c r="B450">
        <v>12</v>
      </c>
      <c r="C450" t="s">
        <v>37</v>
      </c>
      <c r="D450" t="s">
        <v>1810</v>
      </c>
      <c r="E450">
        <v>20</v>
      </c>
      <c r="F450">
        <v>34</v>
      </c>
      <c r="G450">
        <v>2</v>
      </c>
      <c r="H450">
        <v>27</v>
      </c>
      <c r="I450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4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45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451" spans="1:11" x14ac:dyDescent="0.35">
      <c r="A451">
        <v>173</v>
      </c>
      <c r="B451">
        <v>11</v>
      </c>
      <c r="C451" t="s">
        <v>33</v>
      </c>
      <c r="D451" t="s">
        <v>1808</v>
      </c>
      <c r="E451">
        <v>19</v>
      </c>
      <c r="F451">
        <v>32</v>
      </c>
      <c r="G451">
        <v>3</v>
      </c>
      <c r="H451">
        <v>52</v>
      </c>
      <c r="I451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4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45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452" spans="1:11" x14ac:dyDescent="0.35">
      <c r="A452">
        <v>173</v>
      </c>
      <c r="B452">
        <v>11</v>
      </c>
      <c r="C452" t="s">
        <v>17</v>
      </c>
      <c r="D452" t="s">
        <v>1800</v>
      </c>
      <c r="E452">
        <v>16</v>
      </c>
      <c r="F452">
        <v>27</v>
      </c>
      <c r="G452">
        <v>3</v>
      </c>
      <c r="H452">
        <v>15</v>
      </c>
      <c r="I452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4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45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453" spans="1:11" x14ac:dyDescent="0.35">
      <c r="A453">
        <v>174</v>
      </c>
      <c r="B453">
        <v>10</v>
      </c>
      <c r="C453" t="s">
        <v>12</v>
      </c>
      <c r="D453" t="s">
        <v>1797</v>
      </c>
      <c r="E453">
        <v>18</v>
      </c>
      <c r="F453">
        <v>30</v>
      </c>
      <c r="G453">
        <v>2</v>
      </c>
      <c r="H453">
        <v>12</v>
      </c>
      <c r="I45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4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5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54" spans="1:11" x14ac:dyDescent="0.35">
      <c r="A454">
        <v>175</v>
      </c>
      <c r="B454">
        <v>14</v>
      </c>
      <c r="C454" t="s">
        <v>33</v>
      </c>
      <c r="D454" t="s">
        <v>1808</v>
      </c>
      <c r="E454">
        <v>19</v>
      </c>
      <c r="F454">
        <v>32</v>
      </c>
      <c r="G454">
        <v>3</v>
      </c>
      <c r="H454">
        <v>9</v>
      </c>
      <c r="I454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4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45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455" spans="1:11" x14ac:dyDescent="0.35">
      <c r="A455">
        <v>175</v>
      </c>
      <c r="B455">
        <v>14</v>
      </c>
      <c r="C455" t="s">
        <v>9</v>
      </c>
      <c r="D455" t="s">
        <v>1798</v>
      </c>
      <c r="E455">
        <v>14</v>
      </c>
      <c r="F455">
        <v>24</v>
      </c>
      <c r="G455">
        <v>2</v>
      </c>
      <c r="H455">
        <v>38</v>
      </c>
      <c r="I455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4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455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456" spans="1:11" x14ac:dyDescent="0.35">
      <c r="A456">
        <v>176</v>
      </c>
      <c r="B456">
        <v>20</v>
      </c>
      <c r="C456" t="s">
        <v>43</v>
      </c>
      <c r="D456" t="s">
        <v>1813</v>
      </c>
      <c r="E456">
        <v>13</v>
      </c>
      <c r="F456">
        <v>21</v>
      </c>
      <c r="G456">
        <v>3</v>
      </c>
      <c r="H456">
        <v>48</v>
      </c>
      <c r="I456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4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5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457" spans="1:11" x14ac:dyDescent="0.35">
      <c r="A457">
        <v>177</v>
      </c>
      <c r="B457">
        <v>4</v>
      </c>
      <c r="C457" t="s">
        <v>47</v>
      </c>
      <c r="D457" t="s">
        <v>1815</v>
      </c>
      <c r="E457">
        <v>15</v>
      </c>
      <c r="F457">
        <v>26</v>
      </c>
      <c r="G457">
        <v>1</v>
      </c>
      <c r="H457">
        <v>40</v>
      </c>
      <c r="I457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4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45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458" spans="1:11" x14ac:dyDescent="0.35">
      <c r="A458">
        <v>177</v>
      </c>
      <c r="B458">
        <v>4</v>
      </c>
      <c r="C458" t="s">
        <v>29</v>
      </c>
      <c r="D458" t="s">
        <v>1806</v>
      </c>
      <c r="E458">
        <v>11</v>
      </c>
      <c r="F458">
        <v>19</v>
      </c>
      <c r="G458">
        <v>3</v>
      </c>
      <c r="H458">
        <v>47</v>
      </c>
      <c r="I458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4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5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459" spans="1:11" x14ac:dyDescent="0.35">
      <c r="A459">
        <v>177</v>
      </c>
      <c r="B459">
        <v>4</v>
      </c>
      <c r="C459" t="s">
        <v>43</v>
      </c>
      <c r="D459" t="s">
        <v>1813</v>
      </c>
      <c r="E459">
        <v>13</v>
      </c>
      <c r="F459">
        <v>21</v>
      </c>
      <c r="G459">
        <v>2</v>
      </c>
      <c r="H459">
        <v>45</v>
      </c>
      <c r="I459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4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459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460" spans="1:11" x14ac:dyDescent="0.35">
      <c r="A460">
        <v>177</v>
      </c>
      <c r="B460">
        <v>4</v>
      </c>
      <c r="C460" t="s">
        <v>9</v>
      </c>
      <c r="D460" t="s">
        <v>1798</v>
      </c>
      <c r="E460">
        <v>14</v>
      </c>
      <c r="F460">
        <v>24</v>
      </c>
      <c r="G460">
        <v>2</v>
      </c>
      <c r="H460">
        <v>10</v>
      </c>
      <c r="I460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4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460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461" spans="1:11" x14ac:dyDescent="0.35">
      <c r="A461">
        <v>178</v>
      </c>
      <c r="B461">
        <v>11</v>
      </c>
      <c r="C461" t="s">
        <v>25</v>
      </c>
      <c r="D461" t="s">
        <v>1804</v>
      </c>
      <c r="E461">
        <v>20</v>
      </c>
      <c r="F461">
        <v>33</v>
      </c>
      <c r="G461">
        <v>3</v>
      </c>
      <c r="H461">
        <v>55</v>
      </c>
      <c r="I461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4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46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462" spans="1:11" x14ac:dyDescent="0.35">
      <c r="A462">
        <v>178</v>
      </c>
      <c r="B462">
        <v>11</v>
      </c>
      <c r="C462" t="s">
        <v>12</v>
      </c>
      <c r="D462" t="s">
        <v>1797</v>
      </c>
      <c r="E462">
        <v>18</v>
      </c>
      <c r="F462">
        <v>30</v>
      </c>
      <c r="G462">
        <v>1</v>
      </c>
      <c r="H462">
        <v>55</v>
      </c>
      <c r="I462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4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6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63" spans="1:11" x14ac:dyDescent="0.35">
      <c r="A463">
        <v>178</v>
      </c>
      <c r="B463">
        <v>11</v>
      </c>
      <c r="C463" t="s">
        <v>35</v>
      </c>
      <c r="D463" t="s">
        <v>1809</v>
      </c>
      <c r="E463">
        <v>13</v>
      </c>
      <c r="F463">
        <v>22</v>
      </c>
      <c r="G463">
        <v>2</v>
      </c>
      <c r="H463">
        <v>20</v>
      </c>
      <c r="I463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4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46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464" spans="1:11" x14ac:dyDescent="0.35">
      <c r="A464">
        <v>178</v>
      </c>
      <c r="B464">
        <v>11</v>
      </c>
      <c r="C464" t="s">
        <v>31</v>
      </c>
      <c r="D464" t="s">
        <v>1807</v>
      </c>
      <c r="E464">
        <v>21</v>
      </c>
      <c r="F464">
        <v>35</v>
      </c>
      <c r="G464">
        <v>1</v>
      </c>
      <c r="H464">
        <v>16</v>
      </c>
      <c r="I464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4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46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65" spans="1:11" x14ac:dyDescent="0.35">
      <c r="A465">
        <v>179</v>
      </c>
      <c r="B465">
        <v>12</v>
      </c>
      <c r="C465" t="s">
        <v>15</v>
      </c>
      <c r="D465" t="s">
        <v>1799</v>
      </c>
      <c r="E465">
        <v>19</v>
      </c>
      <c r="F465">
        <v>31</v>
      </c>
      <c r="G465">
        <v>2</v>
      </c>
      <c r="H465">
        <v>26</v>
      </c>
      <c r="I465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4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6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466" spans="1:11" x14ac:dyDescent="0.35">
      <c r="A466">
        <v>180</v>
      </c>
      <c r="B466">
        <v>10</v>
      </c>
      <c r="C466" t="s">
        <v>12</v>
      </c>
      <c r="D466" t="s">
        <v>1797</v>
      </c>
      <c r="E466">
        <v>18</v>
      </c>
      <c r="F466">
        <v>30</v>
      </c>
      <c r="G466">
        <v>3</v>
      </c>
      <c r="H466">
        <v>20</v>
      </c>
      <c r="I466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4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6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67" spans="1:11" x14ac:dyDescent="0.35">
      <c r="A467">
        <v>180</v>
      </c>
      <c r="B467">
        <v>10</v>
      </c>
      <c r="C467" t="s">
        <v>39</v>
      </c>
      <c r="D467" t="s">
        <v>1812</v>
      </c>
      <c r="E467">
        <v>12</v>
      </c>
      <c r="F467">
        <v>20</v>
      </c>
      <c r="G467">
        <v>1</v>
      </c>
      <c r="H467">
        <v>50</v>
      </c>
      <c r="I467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4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46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68" spans="1:11" x14ac:dyDescent="0.35">
      <c r="A468">
        <v>180</v>
      </c>
      <c r="B468">
        <v>10</v>
      </c>
      <c r="C468" t="s">
        <v>17</v>
      </c>
      <c r="D468" t="s">
        <v>1800</v>
      </c>
      <c r="E468">
        <v>16</v>
      </c>
      <c r="F468">
        <v>27</v>
      </c>
      <c r="G468">
        <v>1</v>
      </c>
      <c r="H468">
        <v>56</v>
      </c>
      <c r="I468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4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468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469" spans="1:11" x14ac:dyDescent="0.35">
      <c r="A469">
        <v>180</v>
      </c>
      <c r="B469">
        <v>10</v>
      </c>
      <c r="C469" t="s">
        <v>23</v>
      </c>
      <c r="D469" t="s">
        <v>1803</v>
      </c>
      <c r="E469">
        <v>17</v>
      </c>
      <c r="F469">
        <v>29</v>
      </c>
      <c r="G469">
        <v>1</v>
      </c>
      <c r="H469">
        <v>35</v>
      </c>
      <c r="I469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4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69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470" spans="1:11" x14ac:dyDescent="0.35">
      <c r="A470">
        <v>181</v>
      </c>
      <c r="B470">
        <v>15</v>
      </c>
      <c r="C470" t="s">
        <v>17</v>
      </c>
      <c r="D470" t="s">
        <v>1800</v>
      </c>
      <c r="E470">
        <v>16</v>
      </c>
      <c r="F470">
        <v>27</v>
      </c>
      <c r="G470">
        <v>1</v>
      </c>
      <c r="H470">
        <v>55</v>
      </c>
      <c r="I470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4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47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471" spans="1:11" x14ac:dyDescent="0.35">
      <c r="A471">
        <v>182</v>
      </c>
      <c r="B471">
        <v>18</v>
      </c>
      <c r="C471" t="s">
        <v>29</v>
      </c>
      <c r="D471" t="s">
        <v>1806</v>
      </c>
      <c r="E471">
        <v>11</v>
      </c>
      <c r="F471">
        <v>19</v>
      </c>
      <c r="G471">
        <v>2</v>
      </c>
      <c r="H471">
        <v>11</v>
      </c>
      <c r="I471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4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471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472" spans="1:11" x14ac:dyDescent="0.35">
      <c r="A472">
        <v>183</v>
      </c>
      <c r="B472">
        <v>18</v>
      </c>
      <c r="C472" t="s">
        <v>47</v>
      </c>
      <c r="D472" t="s">
        <v>1815</v>
      </c>
      <c r="E472">
        <v>15</v>
      </c>
      <c r="F472">
        <v>26</v>
      </c>
      <c r="G472">
        <v>1</v>
      </c>
      <c r="H472">
        <v>10</v>
      </c>
      <c r="I472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4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47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473" spans="1:11" x14ac:dyDescent="0.35">
      <c r="A473">
        <v>183</v>
      </c>
      <c r="B473">
        <v>18</v>
      </c>
      <c r="C473" t="s">
        <v>33</v>
      </c>
      <c r="D473" t="s">
        <v>1808</v>
      </c>
      <c r="E473">
        <v>19</v>
      </c>
      <c r="F473">
        <v>32</v>
      </c>
      <c r="G473">
        <v>2</v>
      </c>
      <c r="H473">
        <v>52</v>
      </c>
      <c r="I473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4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47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474" spans="1:11" x14ac:dyDescent="0.35">
      <c r="A474">
        <v>183</v>
      </c>
      <c r="B474">
        <v>18</v>
      </c>
      <c r="C474" t="s">
        <v>39</v>
      </c>
      <c r="D474" t="s">
        <v>1812</v>
      </c>
      <c r="E474">
        <v>12</v>
      </c>
      <c r="F474">
        <v>20</v>
      </c>
      <c r="G474">
        <v>3</v>
      </c>
      <c r="H474">
        <v>58</v>
      </c>
      <c r="I474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4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7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75" spans="1:11" x14ac:dyDescent="0.35">
      <c r="A475">
        <v>183</v>
      </c>
      <c r="B475">
        <v>18</v>
      </c>
      <c r="C475" t="s">
        <v>31</v>
      </c>
      <c r="D475" t="s">
        <v>1807</v>
      </c>
      <c r="E475">
        <v>21</v>
      </c>
      <c r="F475">
        <v>35</v>
      </c>
      <c r="G475">
        <v>3</v>
      </c>
      <c r="H475">
        <v>46</v>
      </c>
      <c r="I475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4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47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76" spans="1:11" x14ac:dyDescent="0.35">
      <c r="A476">
        <v>184</v>
      </c>
      <c r="B476">
        <v>4</v>
      </c>
      <c r="C476" t="s">
        <v>27</v>
      </c>
      <c r="D476" t="s">
        <v>1805</v>
      </c>
      <c r="E476">
        <v>16</v>
      </c>
      <c r="F476">
        <v>28</v>
      </c>
      <c r="G476">
        <v>3</v>
      </c>
      <c r="H476">
        <v>6</v>
      </c>
      <c r="I476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4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7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477" spans="1:11" x14ac:dyDescent="0.35">
      <c r="A477">
        <v>184</v>
      </c>
      <c r="B477">
        <v>4</v>
      </c>
      <c r="C477" t="s">
        <v>39</v>
      </c>
      <c r="D477" t="s">
        <v>1812</v>
      </c>
      <c r="E477">
        <v>12</v>
      </c>
      <c r="F477">
        <v>20</v>
      </c>
      <c r="G477">
        <v>2</v>
      </c>
      <c r="H477">
        <v>13</v>
      </c>
      <c r="I477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4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47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78" spans="1:11" x14ac:dyDescent="0.35">
      <c r="A478">
        <v>184</v>
      </c>
      <c r="B478">
        <v>4</v>
      </c>
      <c r="C478" t="s">
        <v>17</v>
      </c>
      <c r="D478" t="s">
        <v>1800</v>
      </c>
      <c r="E478">
        <v>16</v>
      </c>
      <c r="F478">
        <v>27</v>
      </c>
      <c r="G478">
        <v>3</v>
      </c>
      <c r="H478">
        <v>10</v>
      </c>
      <c r="I478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4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478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479" spans="1:11" x14ac:dyDescent="0.35">
      <c r="A479">
        <v>185</v>
      </c>
      <c r="B479">
        <v>16</v>
      </c>
      <c r="C479" t="s">
        <v>43</v>
      </c>
      <c r="D479" t="s">
        <v>1813</v>
      </c>
      <c r="E479">
        <v>13</v>
      </c>
      <c r="F479">
        <v>21</v>
      </c>
      <c r="G479">
        <v>3</v>
      </c>
      <c r="H479">
        <v>34</v>
      </c>
      <c r="I479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4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479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480" spans="1:11" x14ac:dyDescent="0.35">
      <c r="A480">
        <v>185</v>
      </c>
      <c r="B480">
        <v>16</v>
      </c>
      <c r="C480" t="s">
        <v>27</v>
      </c>
      <c r="D480" t="s">
        <v>1805</v>
      </c>
      <c r="E480">
        <v>16</v>
      </c>
      <c r="F480">
        <v>28</v>
      </c>
      <c r="G480">
        <v>1</v>
      </c>
      <c r="H480">
        <v>6</v>
      </c>
      <c r="I480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4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8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481" spans="1:11" x14ac:dyDescent="0.35">
      <c r="A481">
        <v>186</v>
      </c>
      <c r="B481">
        <v>13</v>
      </c>
      <c r="C481" t="s">
        <v>33</v>
      </c>
      <c r="D481" t="s">
        <v>1808</v>
      </c>
      <c r="E481">
        <v>19</v>
      </c>
      <c r="F481">
        <v>32</v>
      </c>
      <c r="G481">
        <v>3</v>
      </c>
      <c r="H481">
        <v>23</v>
      </c>
      <c r="I481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4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48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482" spans="1:11" x14ac:dyDescent="0.35">
      <c r="A482">
        <v>186</v>
      </c>
      <c r="B482">
        <v>13</v>
      </c>
      <c r="C482" t="s">
        <v>15</v>
      </c>
      <c r="D482" t="s">
        <v>1799</v>
      </c>
      <c r="E482">
        <v>19</v>
      </c>
      <c r="F482">
        <v>31</v>
      </c>
      <c r="G482">
        <v>3</v>
      </c>
      <c r="H482">
        <v>54</v>
      </c>
      <c r="I482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4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8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483" spans="1:11" x14ac:dyDescent="0.35">
      <c r="A483">
        <v>186</v>
      </c>
      <c r="B483">
        <v>13</v>
      </c>
      <c r="C483" t="s">
        <v>17</v>
      </c>
      <c r="D483" t="s">
        <v>1800</v>
      </c>
      <c r="E483">
        <v>16</v>
      </c>
      <c r="F483">
        <v>27</v>
      </c>
      <c r="G483">
        <v>3</v>
      </c>
      <c r="H483">
        <v>16</v>
      </c>
      <c r="I483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4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483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484" spans="1:11" x14ac:dyDescent="0.35">
      <c r="A484">
        <v>187</v>
      </c>
      <c r="B484">
        <v>5</v>
      </c>
      <c r="C484" t="s">
        <v>47</v>
      </c>
      <c r="D484" t="s">
        <v>1815</v>
      </c>
      <c r="E484">
        <v>15</v>
      </c>
      <c r="F484">
        <v>26</v>
      </c>
      <c r="G484">
        <v>1</v>
      </c>
      <c r="H484">
        <v>51</v>
      </c>
      <c r="I484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4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48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485" spans="1:11" x14ac:dyDescent="0.35">
      <c r="A485">
        <v>187</v>
      </c>
      <c r="B485">
        <v>5</v>
      </c>
      <c r="C485" t="s">
        <v>37</v>
      </c>
      <c r="D485" t="s">
        <v>1810</v>
      </c>
      <c r="E485">
        <v>20</v>
      </c>
      <c r="F485">
        <v>34</v>
      </c>
      <c r="G485">
        <v>2</v>
      </c>
      <c r="H485">
        <v>28</v>
      </c>
      <c r="I485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4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48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486" spans="1:11" x14ac:dyDescent="0.35">
      <c r="A486">
        <v>187</v>
      </c>
      <c r="B486">
        <v>5</v>
      </c>
      <c r="C486" t="s">
        <v>17</v>
      </c>
      <c r="D486" t="s">
        <v>1800</v>
      </c>
      <c r="E486">
        <v>16</v>
      </c>
      <c r="F486">
        <v>27</v>
      </c>
      <c r="G486">
        <v>1</v>
      </c>
      <c r="H486">
        <v>36</v>
      </c>
      <c r="I486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4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486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487" spans="1:11" x14ac:dyDescent="0.35">
      <c r="A487">
        <v>187</v>
      </c>
      <c r="B487">
        <v>5</v>
      </c>
      <c r="C487" t="s">
        <v>23</v>
      </c>
      <c r="D487" t="s">
        <v>1803</v>
      </c>
      <c r="E487">
        <v>17</v>
      </c>
      <c r="F487">
        <v>29</v>
      </c>
      <c r="G487">
        <v>3</v>
      </c>
      <c r="H487">
        <v>11</v>
      </c>
      <c r="I487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4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8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488" spans="1:11" x14ac:dyDescent="0.35">
      <c r="A488">
        <v>188</v>
      </c>
      <c r="B488">
        <v>20</v>
      </c>
      <c r="C488" t="s">
        <v>47</v>
      </c>
      <c r="D488" t="s">
        <v>1815</v>
      </c>
      <c r="E488">
        <v>15</v>
      </c>
      <c r="F488">
        <v>26</v>
      </c>
      <c r="G488">
        <v>2</v>
      </c>
      <c r="H488">
        <v>47</v>
      </c>
      <c r="I488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4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488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489" spans="1:11" x14ac:dyDescent="0.35">
      <c r="A489">
        <v>188</v>
      </c>
      <c r="B489">
        <v>20</v>
      </c>
      <c r="C489" t="s">
        <v>15</v>
      </c>
      <c r="D489" t="s">
        <v>1799</v>
      </c>
      <c r="E489">
        <v>19</v>
      </c>
      <c r="F489">
        <v>31</v>
      </c>
      <c r="G489">
        <v>1</v>
      </c>
      <c r="H489">
        <v>58</v>
      </c>
      <c r="I489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4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48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490" spans="1:11" x14ac:dyDescent="0.35">
      <c r="A490">
        <v>189</v>
      </c>
      <c r="B490">
        <v>11</v>
      </c>
      <c r="C490" t="s">
        <v>47</v>
      </c>
      <c r="D490" t="s">
        <v>1815</v>
      </c>
      <c r="E490">
        <v>15</v>
      </c>
      <c r="F490">
        <v>26</v>
      </c>
      <c r="G490">
        <v>2</v>
      </c>
      <c r="H490">
        <v>22</v>
      </c>
      <c r="I490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4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490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491" spans="1:11" x14ac:dyDescent="0.35">
      <c r="A491">
        <v>189</v>
      </c>
      <c r="B491">
        <v>11</v>
      </c>
      <c r="C491" t="s">
        <v>37</v>
      </c>
      <c r="D491" t="s">
        <v>1810</v>
      </c>
      <c r="E491">
        <v>20</v>
      </c>
      <c r="F491">
        <v>34</v>
      </c>
      <c r="G491">
        <v>2</v>
      </c>
      <c r="H491">
        <v>42</v>
      </c>
      <c r="I491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4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49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492" spans="1:11" x14ac:dyDescent="0.35">
      <c r="A492">
        <v>189</v>
      </c>
      <c r="B492">
        <v>11</v>
      </c>
      <c r="C492" t="s">
        <v>9</v>
      </c>
      <c r="D492" t="s">
        <v>1798</v>
      </c>
      <c r="E492">
        <v>14</v>
      </c>
      <c r="F492">
        <v>24</v>
      </c>
      <c r="G492">
        <v>3</v>
      </c>
      <c r="H492">
        <v>53</v>
      </c>
      <c r="I492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4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49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493" spans="1:11" x14ac:dyDescent="0.35">
      <c r="A493">
        <v>190</v>
      </c>
      <c r="B493">
        <v>5</v>
      </c>
      <c r="C493" t="s">
        <v>41</v>
      </c>
      <c r="D493" t="s">
        <v>1811</v>
      </c>
      <c r="E493">
        <v>14</v>
      </c>
      <c r="F493">
        <v>23</v>
      </c>
      <c r="G493">
        <v>3</v>
      </c>
      <c r="H493">
        <v>7</v>
      </c>
      <c r="I493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4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493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494" spans="1:11" x14ac:dyDescent="0.35">
      <c r="A494">
        <v>190</v>
      </c>
      <c r="B494">
        <v>5</v>
      </c>
      <c r="C494" t="s">
        <v>19</v>
      </c>
      <c r="D494" t="s">
        <v>1802</v>
      </c>
      <c r="E494">
        <v>25</v>
      </c>
      <c r="F494">
        <v>40</v>
      </c>
      <c r="G494">
        <v>2</v>
      </c>
      <c r="H494">
        <v>45</v>
      </c>
      <c r="I494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4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49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495" spans="1:11" x14ac:dyDescent="0.35">
      <c r="A495">
        <v>190</v>
      </c>
      <c r="B495">
        <v>5</v>
      </c>
      <c r="C495" t="s">
        <v>45</v>
      </c>
      <c r="D495" t="s">
        <v>1814</v>
      </c>
      <c r="E495">
        <v>10</v>
      </c>
      <c r="F495">
        <v>18</v>
      </c>
      <c r="G495">
        <v>1</v>
      </c>
      <c r="H495">
        <v>39</v>
      </c>
      <c r="I495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4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495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496" spans="1:11" x14ac:dyDescent="0.35">
      <c r="A496">
        <v>190</v>
      </c>
      <c r="B496">
        <v>5</v>
      </c>
      <c r="C496" t="s">
        <v>31</v>
      </c>
      <c r="D496" t="s">
        <v>1807</v>
      </c>
      <c r="E496">
        <v>21</v>
      </c>
      <c r="F496">
        <v>35</v>
      </c>
      <c r="G496">
        <v>1</v>
      </c>
      <c r="H496">
        <v>11</v>
      </c>
      <c r="I496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4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49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97" spans="1:11" x14ac:dyDescent="0.35">
      <c r="A497">
        <v>191</v>
      </c>
      <c r="B497">
        <v>12</v>
      </c>
      <c r="C497" t="s">
        <v>49</v>
      </c>
      <c r="D497" t="s">
        <v>1816</v>
      </c>
      <c r="E497">
        <v>15</v>
      </c>
      <c r="F497">
        <v>25</v>
      </c>
      <c r="G497">
        <v>3</v>
      </c>
      <c r="H497">
        <v>32</v>
      </c>
      <c r="I497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4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49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498" spans="1:11" x14ac:dyDescent="0.35">
      <c r="A498">
        <v>191</v>
      </c>
      <c r="B498">
        <v>12</v>
      </c>
      <c r="C498" t="s">
        <v>23</v>
      </c>
      <c r="D498" t="s">
        <v>1803</v>
      </c>
      <c r="E498">
        <v>17</v>
      </c>
      <c r="F498">
        <v>29</v>
      </c>
      <c r="G498">
        <v>3</v>
      </c>
      <c r="H498">
        <v>55</v>
      </c>
      <c r="I498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4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498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499" spans="1:11" x14ac:dyDescent="0.35">
      <c r="A499">
        <v>192</v>
      </c>
      <c r="B499">
        <v>17</v>
      </c>
      <c r="C499" t="s">
        <v>49</v>
      </c>
      <c r="D499" t="s">
        <v>1816</v>
      </c>
      <c r="E499">
        <v>15</v>
      </c>
      <c r="F499">
        <v>25</v>
      </c>
      <c r="G499">
        <v>3</v>
      </c>
      <c r="H499">
        <v>26</v>
      </c>
      <c r="I499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4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49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00" spans="1:11" x14ac:dyDescent="0.35">
      <c r="A500">
        <v>193</v>
      </c>
      <c r="B500">
        <v>3</v>
      </c>
      <c r="C500" t="s">
        <v>47</v>
      </c>
      <c r="D500" t="s">
        <v>1815</v>
      </c>
      <c r="E500">
        <v>15</v>
      </c>
      <c r="F500">
        <v>26</v>
      </c>
      <c r="G500">
        <v>2</v>
      </c>
      <c r="H500">
        <v>57</v>
      </c>
      <c r="I500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5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500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501" spans="1:11" x14ac:dyDescent="0.35">
      <c r="A501">
        <v>193</v>
      </c>
      <c r="B501">
        <v>3</v>
      </c>
      <c r="C501" t="s">
        <v>41</v>
      </c>
      <c r="D501" t="s">
        <v>1811</v>
      </c>
      <c r="E501">
        <v>14</v>
      </c>
      <c r="F501">
        <v>23</v>
      </c>
      <c r="G501">
        <v>3</v>
      </c>
      <c r="H501">
        <v>24</v>
      </c>
      <c r="I501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5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501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502" spans="1:11" x14ac:dyDescent="0.35">
      <c r="A502">
        <v>193</v>
      </c>
      <c r="B502">
        <v>3</v>
      </c>
      <c r="C502" t="s">
        <v>21</v>
      </c>
      <c r="D502" t="s">
        <v>1801</v>
      </c>
      <c r="E502">
        <v>22</v>
      </c>
      <c r="F502">
        <v>36</v>
      </c>
      <c r="G502">
        <v>2</v>
      </c>
      <c r="H502">
        <v>59</v>
      </c>
      <c r="I502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5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50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503" spans="1:11" x14ac:dyDescent="0.35">
      <c r="A503">
        <v>193</v>
      </c>
      <c r="B503">
        <v>3</v>
      </c>
      <c r="C503" t="s">
        <v>17</v>
      </c>
      <c r="D503" t="s">
        <v>1800</v>
      </c>
      <c r="E503">
        <v>16</v>
      </c>
      <c r="F503">
        <v>27</v>
      </c>
      <c r="G503">
        <v>1</v>
      </c>
      <c r="H503">
        <v>31</v>
      </c>
      <c r="I503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5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503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504" spans="1:11" x14ac:dyDescent="0.35">
      <c r="A504">
        <v>194</v>
      </c>
      <c r="B504">
        <v>3</v>
      </c>
      <c r="C504" t="s">
        <v>25</v>
      </c>
      <c r="D504" t="s">
        <v>1804</v>
      </c>
      <c r="E504">
        <v>20</v>
      </c>
      <c r="F504">
        <v>33</v>
      </c>
      <c r="G504">
        <v>2</v>
      </c>
      <c r="H504">
        <v>18</v>
      </c>
      <c r="I504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5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504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505" spans="1:11" x14ac:dyDescent="0.35">
      <c r="A505">
        <v>194</v>
      </c>
      <c r="B505">
        <v>3</v>
      </c>
      <c r="C505" t="s">
        <v>12</v>
      </c>
      <c r="D505" t="s">
        <v>1797</v>
      </c>
      <c r="E505">
        <v>18</v>
      </c>
      <c r="F505">
        <v>30</v>
      </c>
      <c r="G505">
        <v>1</v>
      </c>
      <c r="H505">
        <v>50</v>
      </c>
      <c r="I505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5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0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06" spans="1:11" x14ac:dyDescent="0.35">
      <c r="A506">
        <v>195</v>
      </c>
      <c r="B506">
        <v>2</v>
      </c>
      <c r="C506" t="s">
        <v>49</v>
      </c>
      <c r="D506" t="s">
        <v>1816</v>
      </c>
      <c r="E506">
        <v>15</v>
      </c>
      <c r="F506">
        <v>25</v>
      </c>
      <c r="G506">
        <v>2</v>
      </c>
      <c r="H506">
        <v>51</v>
      </c>
      <c r="I506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5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50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07" spans="1:11" x14ac:dyDescent="0.35">
      <c r="A507">
        <v>196</v>
      </c>
      <c r="B507">
        <v>4</v>
      </c>
      <c r="C507" t="s">
        <v>41</v>
      </c>
      <c r="D507" t="s">
        <v>1811</v>
      </c>
      <c r="E507">
        <v>14</v>
      </c>
      <c r="F507">
        <v>23</v>
      </c>
      <c r="G507">
        <v>2</v>
      </c>
      <c r="H507">
        <v>51</v>
      </c>
      <c r="I507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5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50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508" spans="1:11" x14ac:dyDescent="0.35">
      <c r="A508">
        <v>196</v>
      </c>
      <c r="B508">
        <v>4</v>
      </c>
      <c r="C508" t="s">
        <v>27</v>
      </c>
      <c r="D508" t="s">
        <v>1805</v>
      </c>
      <c r="E508">
        <v>16</v>
      </c>
      <c r="F508">
        <v>28</v>
      </c>
      <c r="G508">
        <v>2</v>
      </c>
      <c r="H508">
        <v>44</v>
      </c>
      <c r="I508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5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08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509" spans="1:11" x14ac:dyDescent="0.35">
      <c r="A509">
        <v>196</v>
      </c>
      <c r="B509">
        <v>4</v>
      </c>
      <c r="C509" t="s">
        <v>39</v>
      </c>
      <c r="D509" t="s">
        <v>1812</v>
      </c>
      <c r="E509">
        <v>12</v>
      </c>
      <c r="F509">
        <v>20</v>
      </c>
      <c r="G509">
        <v>3</v>
      </c>
      <c r="H509">
        <v>34</v>
      </c>
      <c r="I50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5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0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10" spans="1:11" x14ac:dyDescent="0.35">
      <c r="A510">
        <v>196</v>
      </c>
      <c r="B510">
        <v>4</v>
      </c>
      <c r="C510" t="s">
        <v>23</v>
      </c>
      <c r="D510" t="s">
        <v>1803</v>
      </c>
      <c r="E510">
        <v>17</v>
      </c>
      <c r="F510">
        <v>29</v>
      </c>
      <c r="G510">
        <v>1</v>
      </c>
      <c r="H510">
        <v>47</v>
      </c>
      <c r="I510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5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1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511" spans="1:11" x14ac:dyDescent="0.35">
      <c r="A511">
        <v>197</v>
      </c>
      <c r="B511">
        <v>5</v>
      </c>
      <c r="C511" t="s">
        <v>37</v>
      </c>
      <c r="D511" t="s">
        <v>1810</v>
      </c>
      <c r="E511">
        <v>20</v>
      </c>
      <c r="F511">
        <v>34</v>
      </c>
      <c r="G511">
        <v>3</v>
      </c>
      <c r="H511">
        <v>22</v>
      </c>
      <c r="I511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5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51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512" spans="1:11" x14ac:dyDescent="0.35">
      <c r="A512">
        <v>197</v>
      </c>
      <c r="B512">
        <v>5</v>
      </c>
      <c r="C512" t="s">
        <v>17</v>
      </c>
      <c r="D512" t="s">
        <v>1800</v>
      </c>
      <c r="E512">
        <v>16</v>
      </c>
      <c r="F512">
        <v>27</v>
      </c>
      <c r="G512">
        <v>1</v>
      </c>
      <c r="H512">
        <v>50</v>
      </c>
      <c r="I512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5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51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513" spans="1:11" x14ac:dyDescent="0.35">
      <c r="A513">
        <v>198</v>
      </c>
      <c r="B513">
        <v>9</v>
      </c>
      <c r="C513" t="s">
        <v>17</v>
      </c>
      <c r="D513" t="s">
        <v>1800</v>
      </c>
      <c r="E513">
        <v>16</v>
      </c>
      <c r="F513">
        <v>27</v>
      </c>
      <c r="G513">
        <v>2</v>
      </c>
      <c r="H513">
        <v>33</v>
      </c>
      <c r="I513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5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513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514" spans="1:11" x14ac:dyDescent="0.35">
      <c r="A514">
        <v>199</v>
      </c>
      <c r="B514">
        <v>11</v>
      </c>
      <c r="C514" t="s">
        <v>43</v>
      </c>
      <c r="D514" t="s">
        <v>1813</v>
      </c>
      <c r="E514">
        <v>13</v>
      </c>
      <c r="F514">
        <v>21</v>
      </c>
      <c r="G514">
        <v>2</v>
      </c>
      <c r="H514">
        <v>18</v>
      </c>
      <c r="I514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5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51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515" spans="1:11" x14ac:dyDescent="0.35">
      <c r="A515">
        <v>199</v>
      </c>
      <c r="B515">
        <v>11</v>
      </c>
      <c r="C515" t="s">
        <v>17</v>
      </c>
      <c r="D515" t="s">
        <v>1800</v>
      </c>
      <c r="E515">
        <v>16</v>
      </c>
      <c r="F515">
        <v>27</v>
      </c>
      <c r="G515">
        <v>1</v>
      </c>
      <c r="H515">
        <v>52</v>
      </c>
      <c r="I515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5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515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516" spans="1:11" x14ac:dyDescent="0.35">
      <c r="A516">
        <v>199</v>
      </c>
      <c r="B516">
        <v>11</v>
      </c>
      <c r="C516" t="s">
        <v>31</v>
      </c>
      <c r="D516" t="s">
        <v>1807</v>
      </c>
      <c r="E516">
        <v>21</v>
      </c>
      <c r="F516">
        <v>35</v>
      </c>
      <c r="G516">
        <v>3</v>
      </c>
      <c r="H516">
        <v>41</v>
      </c>
      <c r="I516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5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51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17" spans="1:11" x14ac:dyDescent="0.35">
      <c r="A517">
        <v>199</v>
      </c>
      <c r="B517">
        <v>11</v>
      </c>
      <c r="C517" t="s">
        <v>23</v>
      </c>
      <c r="D517" t="s">
        <v>1803</v>
      </c>
      <c r="E517">
        <v>17</v>
      </c>
      <c r="F517">
        <v>29</v>
      </c>
      <c r="G517">
        <v>3</v>
      </c>
      <c r="H517">
        <v>31</v>
      </c>
      <c r="I517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5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51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518" spans="1:11" x14ac:dyDescent="0.35">
      <c r="A518">
        <v>200</v>
      </c>
      <c r="B518">
        <v>11</v>
      </c>
      <c r="C518" t="s">
        <v>49</v>
      </c>
      <c r="D518" t="s">
        <v>1816</v>
      </c>
      <c r="E518">
        <v>15</v>
      </c>
      <c r="F518">
        <v>25</v>
      </c>
      <c r="G518">
        <v>2</v>
      </c>
      <c r="H518">
        <v>28</v>
      </c>
      <c r="I518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5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51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19" spans="1:11" x14ac:dyDescent="0.35">
      <c r="A519">
        <v>200</v>
      </c>
      <c r="B519">
        <v>11</v>
      </c>
      <c r="C519" t="s">
        <v>29</v>
      </c>
      <c r="D519" t="s">
        <v>1806</v>
      </c>
      <c r="E519">
        <v>11</v>
      </c>
      <c r="F519">
        <v>19</v>
      </c>
      <c r="G519">
        <v>2</v>
      </c>
      <c r="H519">
        <v>39</v>
      </c>
      <c r="I519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5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519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520" spans="1:11" x14ac:dyDescent="0.35">
      <c r="A520">
        <v>201</v>
      </c>
      <c r="B520">
        <v>3</v>
      </c>
      <c r="C520" t="s">
        <v>9</v>
      </c>
      <c r="D520" t="s">
        <v>1798</v>
      </c>
      <c r="E520">
        <v>14</v>
      </c>
      <c r="F520">
        <v>24</v>
      </c>
      <c r="G520">
        <v>3</v>
      </c>
      <c r="H520">
        <v>58</v>
      </c>
      <c r="I520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5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520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521" spans="1:11" x14ac:dyDescent="0.35">
      <c r="A521">
        <v>202</v>
      </c>
      <c r="B521">
        <v>16</v>
      </c>
      <c r="C521" t="s">
        <v>21</v>
      </c>
      <c r="D521" t="s">
        <v>1801</v>
      </c>
      <c r="E521">
        <v>22</v>
      </c>
      <c r="F521">
        <v>36</v>
      </c>
      <c r="G521">
        <v>2</v>
      </c>
      <c r="H521">
        <v>46</v>
      </c>
      <c r="I521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5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521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522" spans="1:11" x14ac:dyDescent="0.35">
      <c r="A522">
        <v>202</v>
      </c>
      <c r="B522">
        <v>16</v>
      </c>
      <c r="C522" t="s">
        <v>12</v>
      </c>
      <c r="D522" t="s">
        <v>1797</v>
      </c>
      <c r="E522">
        <v>18</v>
      </c>
      <c r="F522">
        <v>30</v>
      </c>
      <c r="G522">
        <v>1</v>
      </c>
      <c r="H522">
        <v>58</v>
      </c>
      <c r="I522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5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2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23" spans="1:11" x14ac:dyDescent="0.35">
      <c r="A523">
        <v>202</v>
      </c>
      <c r="B523">
        <v>16</v>
      </c>
      <c r="C523" t="s">
        <v>19</v>
      </c>
      <c r="D523" t="s">
        <v>1802</v>
      </c>
      <c r="E523">
        <v>25</v>
      </c>
      <c r="F523">
        <v>40</v>
      </c>
      <c r="G523">
        <v>2</v>
      </c>
      <c r="H523">
        <v>47</v>
      </c>
      <c r="I523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5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52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524" spans="1:11" x14ac:dyDescent="0.35">
      <c r="A524">
        <v>202</v>
      </c>
      <c r="B524">
        <v>16</v>
      </c>
      <c r="C524" t="s">
        <v>9</v>
      </c>
      <c r="D524" t="s">
        <v>1798</v>
      </c>
      <c r="E524">
        <v>14</v>
      </c>
      <c r="F524">
        <v>24</v>
      </c>
      <c r="G524">
        <v>1</v>
      </c>
      <c r="H524">
        <v>5</v>
      </c>
      <c r="I524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5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52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525" spans="1:11" x14ac:dyDescent="0.35">
      <c r="A525">
        <v>203</v>
      </c>
      <c r="B525">
        <v>5</v>
      </c>
      <c r="C525" t="s">
        <v>43</v>
      </c>
      <c r="D525" t="s">
        <v>1813</v>
      </c>
      <c r="E525">
        <v>13</v>
      </c>
      <c r="F525">
        <v>21</v>
      </c>
      <c r="G525">
        <v>3</v>
      </c>
      <c r="H525">
        <v>34</v>
      </c>
      <c r="I525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5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25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526" spans="1:11" x14ac:dyDescent="0.35">
      <c r="A526">
        <v>203</v>
      </c>
      <c r="B526">
        <v>5</v>
      </c>
      <c r="C526" t="s">
        <v>15</v>
      </c>
      <c r="D526" t="s">
        <v>1799</v>
      </c>
      <c r="E526">
        <v>19</v>
      </c>
      <c r="F526">
        <v>31</v>
      </c>
      <c r="G526">
        <v>3</v>
      </c>
      <c r="H526">
        <v>51</v>
      </c>
      <c r="I526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5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52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527" spans="1:11" x14ac:dyDescent="0.35">
      <c r="A527">
        <v>204</v>
      </c>
      <c r="B527">
        <v>16</v>
      </c>
      <c r="C527" t="s">
        <v>9</v>
      </c>
      <c r="D527" t="s">
        <v>1798</v>
      </c>
      <c r="E527">
        <v>14</v>
      </c>
      <c r="F527">
        <v>24</v>
      </c>
      <c r="G527">
        <v>2</v>
      </c>
      <c r="H527">
        <v>21</v>
      </c>
      <c r="I527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5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527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528" spans="1:11" x14ac:dyDescent="0.35">
      <c r="A528">
        <v>205</v>
      </c>
      <c r="B528">
        <v>14</v>
      </c>
      <c r="C528" t="s">
        <v>33</v>
      </c>
      <c r="D528" t="s">
        <v>1808</v>
      </c>
      <c r="E528">
        <v>19</v>
      </c>
      <c r="F528">
        <v>32</v>
      </c>
      <c r="G528">
        <v>1</v>
      </c>
      <c r="H528">
        <v>34</v>
      </c>
      <c r="I528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5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52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529" spans="1:11" x14ac:dyDescent="0.35">
      <c r="A529">
        <v>205</v>
      </c>
      <c r="B529">
        <v>14</v>
      </c>
      <c r="C529" t="s">
        <v>23</v>
      </c>
      <c r="D529" t="s">
        <v>1803</v>
      </c>
      <c r="E529">
        <v>17</v>
      </c>
      <c r="F529">
        <v>29</v>
      </c>
      <c r="G529">
        <v>1</v>
      </c>
      <c r="H529">
        <v>52</v>
      </c>
      <c r="I529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5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29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530" spans="1:11" x14ac:dyDescent="0.35">
      <c r="A530">
        <v>206</v>
      </c>
      <c r="B530">
        <v>4</v>
      </c>
      <c r="C530" t="s">
        <v>12</v>
      </c>
      <c r="D530" t="s">
        <v>1797</v>
      </c>
      <c r="E530">
        <v>18</v>
      </c>
      <c r="F530">
        <v>30</v>
      </c>
      <c r="G530">
        <v>1</v>
      </c>
      <c r="H530">
        <v>58</v>
      </c>
      <c r="I530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5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3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31" spans="1:11" x14ac:dyDescent="0.35">
      <c r="A531">
        <v>207</v>
      </c>
      <c r="B531">
        <v>20</v>
      </c>
      <c r="C531" t="s">
        <v>47</v>
      </c>
      <c r="D531" t="s">
        <v>1815</v>
      </c>
      <c r="E531">
        <v>15</v>
      </c>
      <c r="F531">
        <v>26</v>
      </c>
      <c r="G531">
        <v>2</v>
      </c>
      <c r="H531">
        <v>37</v>
      </c>
      <c r="I531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5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53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532" spans="1:11" x14ac:dyDescent="0.35">
      <c r="A532">
        <v>207</v>
      </c>
      <c r="B532">
        <v>20</v>
      </c>
      <c r="C532" t="s">
        <v>15</v>
      </c>
      <c r="D532" t="s">
        <v>1799</v>
      </c>
      <c r="E532">
        <v>19</v>
      </c>
      <c r="F532">
        <v>31</v>
      </c>
      <c r="G532">
        <v>3</v>
      </c>
      <c r="H532">
        <v>19</v>
      </c>
      <c r="I532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5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53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533" spans="1:11" x14ac:dyDescent="0.35">
      <c r="A533">
        <v>207</v>
      </c>
      <c r="B533">
        <v>20</v>
      </c>
      <c r="C533" t="s">
        <v>31</v>
      </c>
      <c r="D533" t="s">
        <v>1807</v>
      </c>
      <c r="E533">
        <v>21</v>
      </c>
      <c r="F533">
        <v>35</v>
      </c>
      <c r="G533">
        <v>1</v>
      </c>
      <c r="H533">
        <v>55</v>
      </c>
      <c r="I533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5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53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34" spans="1:11" x14ac:dyDescent="0.35">
      <c r="A534">
        <v>208</v>
      </c>
      <c r="B534">
        <v>16</v>
      </c>
      <c r="C534" t="s">
        <v>33</v>
      </c>
      <c r="D534" t="s">
        <v>1808</v>
      </c>
      <c r="E534">
        <v>19</v>
      </c>
      <c r="F534">
        <v>32</v>
      </c>
      <c r="G534">
        <v>1</v>
      </c>
      <c r="H534">
        <v>18</v>
      </c>
      <c r="I534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5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53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535" spans="1:11" x14ac:dyDescent="0.35">
      <c r="A535">
        <v>208</v>
      </c>
      <c r="B535">
        <v>16</v>
      </c>
      <c r="C535" t="s">
        <v>21</v>
      </c>
      <c r="D535" t="s">
        <v>1801</v>
      </c>
      <c r="E535">
        <v>22</v>
      </c>
      <c r="F535">
        <v>36</v>
      </c>
      <c r="G535">
        <v>3</v>
      </c>
      <c r="H535">
        <v>29</v>
      </c>
      <c r="I535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5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53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536" spans="1:11" x14ac:dyDescent="0.35">
      <c r="A536">
        <v>208</v>
      </c>
      <c r="B536">
        <v>16</v>
      </c>
      <c r="C536" t="s">
        <v>39</v>
      </c>
      <c r="D536" t="s">
        <v>1812</v>
      </c>
      <c r="E536">
        <v>12</v>
      </c>
      <c r="F536">
        <v>20</v>
      </c>
      <c r="G536">
        <v>2</v>
      </c>
      <c r="H536">
        <v>53</v>
      </c>
      <c r="I536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5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53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37" spans="1:11" x14ac:dyDescent="0.35">
      <c r="A537">
        <v>209</v>
      </c>
      <c r="B537">
        <v>9</v>
      </c>
      <c r="C537" t="s">
        <v>49</v>
      </c>
      <c r="D537" t="s">
        <v>1816</v>
      </c>
      <c r="E537">
        <v>15</v>
      </c>
      <c r="F537">
        <v>25</v>
      </c>
      <c r="G537">
        <v>1</v>
      </c>
      <c r="H537">
        <v>42</v>
      </c>
      <c r="I537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5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53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38" spans="1:11" x14ac:dyDescent="0.35">
      <c r="A538">
        <v>209</v>
      </c>
      <c r="B538">
        <v>9</v>
      </c>
      <c r="C538" t="s">
        <v>47</v>
      </c>
      <c r="D538" t="s">
        <v>1815</v>
      </c>
      <c r="E538">
        <v>15</v>
      </c>
      <c r="F538">
        <v>26</v>
      </c>
      <c r="G538">
        <v>2</v>
      </c>
      <c r="H538">
        <v>54</v>
      </c>
      <c r="I538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5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538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539" spans="1:11" x14ac:dyDescent="0.35">
      <c r="A539">
        <v>209</v>
      </c>
      <c r="B539">
        <v>9</v>
      </c>
      <c r="C539" t="s">
        <v>41</v>
      </c>
      <c r="D539" t="s">
        <v>1811</v>
      </c>
      <c r="E539">
        <v>14</v>
      </c>
      <c r="F539">
        <v>23</v>
      </c>
      <c r="G539">
        <v>3</v>
      </c>
      <c r="H539">
        <v>35</v>
      </c>
      <c r="I539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5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53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540" spans="1:11" x14ac:dyDescent="0.35">
      <c r="A540">
        <v>209</v>
      </c>
      <c r="B540">
        <v>9</v>
      </c>
      <c r="C540" t="s">
        <v>37</v>
      </c>
      <c r="D540" t="s">
        <v>1810</v>
      </c>
      <c r="E540">
        <v>20</v>
      </c>
      <c r="F540">
        <v>34</v>
      </c>
      <c r="G540">
        <v>2</v>
      </c>
      <c r="H540">
        <v>40</v>
      </c>
      <c r="I540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5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54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541" spans="1:11" x14ac:dyDescent="0.35">
      <c r="A541">
        <v>210</v>
      </c>
      <c r="B541">
        <v>10</v>
      </c>
      <c r="C541" t="s">
        <v>43</v>
      </c>
      <c r="D541" t="s">
        <v>1813</v>
      </c>
      <c r="E541">
        <v>13</v>
      </c>
      <c r="F541">
        <v>21</v>
      </c>
      <c r="G541">
        <v>1</v>
      </c>
      <c r="H541">
        <v>28</v>
      </c>
      <c r="I541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5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54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542" spans="1:11" x14ac:dyDescent="0.35">
      <c r="A542">
        <v>210</v>
      </c>
      <c r="B542">
        <v>10</v>
      </c>
      <c r="C542" t="s">
        <v>12</v>
      </c>
      <c r="D542" t="s">
        <v>1797</v>
      </c>
      <c r="E542">
        <v>18</v>
      </c>
      <c r="F542">
        <v>30</v>
      </c>
      <c r="G542">
        <v>1</v>
      </c>
      <c r="H542">
        <v>50</v>
      </c>
      <c r="I542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5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4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43" spans="1:11" x14ac:dyDescent="0.35">
      <c r="A543">
        <v>210</v>
      </c>
      <c r="B543">
        <v>10</v>
      </c>
      <c r="C543" t="s">
        <v>19</v>
      </c>
      <c r="D543" t="s">
        <v>1802</v>
      </c>
      <c r="E543">
        <v>25</v>
      </c>
      <c r="F543">
        <v>40</v>
      </c>
      <c r="G543">
        <v>3</v>
      </c>
      <c r="H543">
        <v>46</v>
      </c>
      <c r="I543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5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54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544" spans="1:11" x14ac:dyDescent="0.35">
      <c r="A544">
        <v>210</v>
      </c>
      <c r="B544">
        <v>10</v>
      </c>
      <c r="C544" t="s">
        <v>9</v>
      </c>
      <c r="D544" t="s">
        <v>1798</v>
      </c>
      <c r="E544">
        <v>14</v>
      </c>
      <c r="F544">
        <v>24</v>
      </c>
      <c r="G544">
        <v>1</v>
      </c>
      <c r="H544">
        <v>34</v>
      </c>
      <c r="I544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5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54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545" spans="1:11" x14ac:dyDescent="0.35">
      <c r="A545">
        <v>211</v>
      </c>
      <c r="B545">
        <v>1</v>
      </c>
      <c r="C545" t="s">
        <v>49</v>
      </c>
      <c r="D545" t="s">
        <v>1816</v>
      </c>
      <c r="E545">
        <v>15</v>
      </c>
      <c r="F545">
        <v>25</v>
      </c>
      <c r="G545">
        <v>2</v>
      </c>
      <c r="H545">
        <v>9</v>
      </c>
      <c r="I545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5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54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46" spans="1:11" x14ac:dyDescent="0.35">
      <c r="A546">
        <v>211</v>
      </c>
      <c r="B546">
        <v>1</v>
      </c>
      <c r="C546" t="s">
        <v>43</v>
      </c>
      <c r="D546" t="s">
        <v>1813</v>
      </c>
      <c r="E546">
        <v>13</v>
      </c>
      <c r="F546">
        <v>21</v>
      </c>
      <c r="G546">
        <v>3</v>
      </c>
      <c r="H546">
        <v>54</v>
      </c>
      <c r="I546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5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4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547" spans="1:11" x14ac:dyDescent="0.35">
      <c r="A547">
        <v>211</v>
      </c>
      <c r="B547">
        <v>1</v>
      </c>
      <c r="C547" t="s">
        <v>39</v>
      </c>
      <c r="D547" t="s">
        <v>1812</v>
      </c>
      <c r="E547">
        <v>12</v>
      </c>
      <c r="F547">
        <v>20</v>
      </c>
      <c r="G547">
        <v>1</v>
      </c>
      <c r="H547">
        <v>27</v>
      </c>
      <c r="I547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5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54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48" spans="1:11" x14ac:dyDescent="0.35">
      <c r="A548">
        <v>211</v>
      </c>
      <c r="B548">
        <v>1</v>
      </c>
      <c r="C548" t="s">
        <v>45</v>
      </c>
      <c r="D548" t="s">
        <v>1814</v>
      </c>
      <c r="E548">
        <v>10</v>
      </c>
      <c r="F548">
        <v>18</v>
      </c>
      <c r="G548">
        <v>2</v>
      </c>
      <c r="H548">
        <v>45</v>
      </c>
      <c r="I548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5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548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549" spans="1:11" x14ac:dyDescent="0.35">
      <c r="A549">
        <v>212</v>
      </c>
      <c r="B549">
        <v>14</v>
      </c>
      <c r="C549" t="s">
        <v>47</v>
      </c>
      <c r="D549" t="s">
        <v>1815</v>
      </c>
      <c r="E549">
        <v>15</v>
      </c>
      <c r="F549">
        <v>26</v>
      </c>
      <c r="G549">
        <v>3</v>
      </c>
      <c r="H549">
        <v>43</v>
      </c>
      <c r="I549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5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54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550" spans="1:11" x14ac:dyDescent="0.35">
      <c r="A550">
        <v>212</v>
      </c>
      <c r="B550">
        <v>14</v>
      </c>
      <c r="C550" t="s">
        <v>43</v>
      </c>
      <c r="D550" t="s">
        <v>1813</v>
      </c>
      <c r="E550">
        <v>13</v>
      </c>
      <c r="F550">
        <v>21</v>
      </c>
      <c r="G550">
        <v>1</v>
      </c>
      <c r="H550">
        <v>31</v>
      </c>
      <c r="I550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5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550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551" spans="1:11" x14ac:dyDescent="0.35">
      <c r="A551">
        <v>212</v>
      </c>
      <c r="B551">
        <v>14</v>
      </c>
      <c r="C551" t="s">
        <v>27</v>
      </c>
      <c r="D551" t="s">
        <v>1805</v>
      </c>
      <c r="E551">
        <v>16</v>
      </c>
      <c r="F551">
        <v>28</v>
      </c>
      <c r="G551">
        <v>2</v>
      </c>
      <c r="H551">
        <v>55</v>
      </c>
      <c r="I551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5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51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552" spans="1:11" x14ac:dyDescent="0.35">
      <c r="A552">
        <v>212</v>
      </c>
      <c r="B552">
        <v>14</v>
      </c>
      <c r="C552" t="s">
        <v>12</v>
      </c>
      <c r="D552" t="s">
        <v>1797</v>
      </c>
      <c r="E552">
        <v>18</v>
      </c>
      <c r="F552">
        <v>30</v>
      </c>
      <c r="G552">
        <v>3</v>
      </c>
      <c r="H552">
        <v>35</v>
      </c>
      <c r="I552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5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55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53" spans="1:11" x14ac:dyDescent="0.35">
      <c r="A553">
        <v>213</v>
      </c>
      <c r="B553">
        <v>13</v>
      </c>
      <c r="C553" t="s">
        <v>12</v>
      </c>
      <c r="D553" t="s">
        <v>1797</v>
      </c>
      <c r="E553">
        <v>18</v>
      </c>
      <c r="F553">
        <v>30</v>
      </c>
      <c r="G553">
        <v>2</v>
      </c>
      <c r="H553">
        <v>47</v>
      </c>
      <c r="I55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5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5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54" spans="1:11" x14ac:dyDescent="0.35">
      <c r="A554">
        <v>213</v>
      </c>
      <c r="B554">
        <v>13</v>
      </c>
      <c r="C554" t="s">
        <v>17</v>
      </c>
      <c r="D554" t="s">
        <v>1800</v>
      </c>
      <c r="E554">
        <v>16</v>
      </c>
      <c r="F554">
        <v>27</v>
      </c>
      <c r="G554">
        <v>1</v>
      </c>
      <c r="H554">
        <v>53</v>
      </c>
      <c r="I554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5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554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555" spans="1:11" x14ac:dyDescent="0.35">
      <c r="A555">
        <v>214</v>
      </c>
      <c r="B555">
        <v>2</v>
      </c>
      <c r="C555" t="s">
        <v>37</v>
      </c>
      <c r="D555" t="s">
        <v>1810</v>
      </c>
      <c r="E555">
        <v>20</v>
      </c>
      <c r="F555">
        <v>34</v>
      </c>
      <c r="G555">
        <v>2</v>
      </c>
      <c r="H555">
        <v>14</v>
      </c>
      <c r="I555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5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55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556" spans="1:11" x14ac:dyDescent="0.35">
      <c r="A556">
        <v>214</v>
      </c>
      <c r="B556">
        <v>2</v>
      </c>
      <c r="C556" t="s">
        <v>19</v>
      </c>
      <c r="D556" t="s">
        <v>1802</v>
      </c>
      <c r="E556">
        <v>25</v>
      </c>
      <c r="F556">
        <v>40</v>
      </c>
      <c r="G556">
        <v>3</v>
      </c>
      <c r="H556">
        <v>12</v>
      </c>
      <c r="I556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5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556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557" spans="1:11" x14ac:dyDescent="0.35">
      <c r="A557">
        <v>214</v>
      </c>
      <c r="B557">
        <v>2</v>
      </c>
      <c r="C557" t="s">
        <v>39</v>
      </c>
      <c r="D557" t="s">
        <v>1812</v>
      </c>
      <c r="E557">
        <v>12</v>
      </c>
      <c r="F557">
        <v>20</v>
      </c>
      <c r="G557">
        <v>2</v>
      </c>
      <c r="H557">
        <v>12</v>
      </c>
      <c r="I557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5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55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58" spans="1:11" x14ac:dyDescent="0.35">
      <c r="A558">
        <v>215</v>
      </c>
      <c r="B558">
        <v>6</v>
      </c>
      <c r="C558" t="s">
        <v>37</v>
      </c>
      <c r="D558" t="s">
        <v>1810</v>
      </c>
      <c r="E558">
        <v>20</v>
      </c>
      <c r="F558">
        <v>34</v>
      </c>
      <c r="G558">
        <v>2</v>
      </c>
      <c r="H558">
        <v>12</v>
      </c>
      <c r="I558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5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55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559" spans="1:11" x14ac:dyDescent="0.35">
      <c r="A559">
        <v>215</v>
      </c>
      <c r="B559">
        <v>6</v>
      </c>
      <c r="C559" t="s">
        <v>12</v>
      </c>
      <c r="D559" t="s">
        <v>1797</v>
      </c>
      <c r="E559">
        <v>18</v>
      </c>
      <c r="F559">
        <v>30</v>
      </c>
      <c r="G559">
        <v>3</v>
      </c>
      <c r="H559">
        <v>34</v>
      </c>
      <c r="I559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5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55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60" spans="1:11" x14ac:dyDescent="0.35">
      <c r="A560">
        <v>216</v>
      </c>
      <c r="B560">
        <v>17</v>
      </c>
      <c r="C560" t="s">
        <v>49</v>
      </c>
      <c r="D560" t="s">
        <v>1816</v>
      </c>
      <c r="E560">
        <v>15</v>
      </c>
      <c r="F560">
        <v>25</v>
      </c>
      <c r="G560">
        <v>1</v>
      </c>
      <c r="H560">
        <v>42</v>
      </c>
      <c r="I560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5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56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61" spans="1:11" x14ac:dyDescent="0.35">
      <c r="A561">
        <v>216</v>
      </c>
      <c r="B561">
        <v>17</v>
      </c>
      <c r="C561" t="s">
        <v>43</v>
      </c>
      <c r="D561" t="s">
        <v>1813</v>
      </c>
      <c r="E561">
        <v>13</v>
      </c>
      <c r="F561">
        <v>21</v>
      </c>
      <c r="G561">
        <v>3</v>
      </c>
      <c r="H561">
        <v>36</v>
      </c>
      <c r="I561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5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6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562" spans="1:11" x14ac:dyDescent="0.35">
      <c r="A562">
        <v>216</v>
      </c>
      <c r="B562">
        <v>17</v>
      </c>
      <c r="C562" t="s">
        <v>17</v>
      </c>
      <c r="D562" t="s">
        <v>1800</v>
      </c>
      <c r="E562">
        <v>16</v>
      </c>
      <c r="F562">
        <v>27</v>
      </c>
      <c r="G562">
        <v>2</v>
      </c>
      <c r="H562">
        <v>42</v>
      </c>
      <c r="I562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5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56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563" spans="1:11" x14ac:dyDescent="0.35">
      <c r="A563">
        <v>217</v>
      </c>
      <c r="B563">
        <v>1</v>
      </c>
      <c r="C563" t="s">
        <v>33</v>
      </c>
      <c r="D563" t="s">
        <v>1808</v>
      </c>
      <c r="E563">
        <v>19</v>
      </c>
      <c r="F563">
        <v>32</v>
      </c>
      <c r="G563">
        <v>3</v>
      </c>
      <c r="H563">
        <v>13</v>
      </c>
      <c r="I563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5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56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564" spans="1:11" x14ac:dyDescent="0.35">
      <c r="A564">
        <v>218</v>
      </c>
      <c r="B564">
        <v>13</v>
      </c>
      <c r="C564" t="s">
        <v>29</v>
      </c>
      <c r="D564" t="s">
        <v>1806</v>
      </c>
      <c r="E564">
        <v>11</v>
      </c>
      <c r="F564">
        <v>19</v>
      </c>
      <c r="G564">
        <v>3</v>
      </c>
      <c r="H564">
        <v>24</v>
      </c>
      <c r="I564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5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64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565" spans="1:11" x14ac:dyDescent="0.35">
      <c r="A565">
        <v>218</v>
      </c>
      <c r="B565">
        <v>13</v>
      </c>
      <c r="C565" t="s">
        <v>41</v>
      </c>
      <c r="D565" t="s">
        <v>1811</v>
      </c>
      <c r="E565">
        <v>14</v>
      </c>
      <c r="F565">
        <v>23</v>
      </c>
      <c r="G565">
        <v>2</v>
      </c>
      <c r="H565">
        <v>6</v>
      </c>
      <c r="I565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5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565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566" spans="1:11" x14ac:dyDescent="0.35">
      <c r="A566">
        <v>218</v>
      </c>
      <c r="B566">
        <v>13</v>
      </c>
      <c r="C566" t="s">
        <v>17</v>
      </c>
      <c r="D566" t="s">
        <v>1800</v>
      </c>
      <c r="E566">
        <v>16</v>
      </c>
      <c r="F566">
        <v>27</v>
      </c>
      <c r="G566">
        <v>3</v>
      </c>
      <c r="H566">
        <v>16</v>
      </c>
      <c r="I566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5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566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567" spans="1:11" x14ac:dyDescent="0.35">
      <c r="A567">
        <v>219</v>
      </c>
      <c r="B567">
        <v>1</v>
      </c>
      <c r="C567" t="s">
        <v>41</v>
      </c>
      <c r="D567" t="s">
        <v>1811</v>
      </c>
      <c r="E567">
        <v>14</v>
      </c>
      <c r="F567">
        <v>23</v>
      </c>
      <c r="G567">
        <v>2</v>
      </c>
      <c r="H567">
        <v>12</v>
      </c>
      <c r="I567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5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56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568" spans="1:11" x14ac:dyDescent="0.35">
      <c r="A568">
        <v>219</v>
      </c>
      <c r="B568">
        <v>1</v>
      </c>
      <c r="C568" t="s">
        <v>15</v>
      </c>
      <c r="D568" t="s">
        <v>1799</v>
      </c>
      <c r="E568">
        <v>19</v>
      </c>
      <c r="F568">
        <v>31</v>
      </c>
      <c r="G568">
        <v>3</v>
      </c>
      <c r="H568">
        <v>11</v>
      </c>
      <c r="I568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5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56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569" spans="1:11" x14ac:dyDescent="0.35">
      <c r="A569">
        <v>220</v>
      </c>
      <c r="B569">
        <v>15</v>
      </c>
      <c r="C569" t="s">
        <v>9</v>
      </c>
      <c r="D569" t="s">
        <v>1798</v>
      </c>
      <c r="E569">
        <v>14</v>
      </c>
      <c r="F569">
        <v>24</v>
      </c>
      <c r="G569">
        <v>1</v>
      </c>
      <c r="H569">
        <v>13</v>
      </c>
      <c r="I569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5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56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570" spans="1:11" x14ac:dyDescent="0.35">
      <c r="A570">
        <v>221</v>
      </c>
      <c r="B570">
        <v>16</v>
      </c>
      <c r="C570" t="s">
        <v>33</v>
      </c>
      <c r="D570" t="s">
        <v>1808</v>
      </c>
      <c r="E570">
        <v>19</v>
      </c>
      <c r="F570">
        <v>32</v>
      </c>
      <c r="G570">
        <v>3</v>
      </c>
      <c r="H570">
        <v>29</v>
      </c>
      <c r="I570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5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57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571" spans="1:11" x14ac:dyDescent="0.35">
      <c r="A571">
        <v>221</v>
      </c>
      <c r="B571">
        <v>16</v>
      </c>
      <c r="C571" t="s">
        <v>37</v>
      </c>
      <c r="D571" t="s">
        <v>1810</v>
      </c>
      <c r="E571">
        <v>20</v>
      </c>
      <c r="F571">
        <v>34</v>
      </c>
      <c r="G571">
        <v>2</v>
      </c>
      <c r="H571">
        <v>54</v>
      </c>
      <c r="I571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5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57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572" spans="1:11" x14ac:dyDescent="0.35">
      <c r="A572">
        <v>221</v>
      </c>
      <c r="B572">
        <v>16</v>
      </c>
      <c r="C572" t="s">
        <v>23</v>
      </c>
      <c r="D572" t="s">
        <v>1803</v>
      </c>
      <c r="E572">
        <v>17</v>
      </c>
      <c r="F572">
        <v>29</v>
      </c>
      <c r="G572">
        <v>1</v>
      </c>
      <c r="H572">
        <v>25</v>
      </c>
      <c r="I572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5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7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573" spans="1:11" x14ac:dyDescent="0.35">
      <c r="A573">
        <v>222</v>
      </c>
      <c r="B573">
        <v>3</v>
      </c>
      <c r="C573" t="s">
        <v>41</v>
      </c>
      <c r="D573" t="s">
        <v>1811</v>
      </c>
      <c r="E573">
        <v>14</v>
      </c>
      <c r="F573">
        <v>23</v>
      </c>
      <c r="G573">
        <v>3</v>
      </c>
      <c r="H573">
        <v>29</v>
      </c>
      <c r="I573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5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573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574" spans="1:11" x14ac:dyDescent="0.35">
      <c r="A574">
        <v>222</v>
      </c>
      <c r="B574">
        <v>3</v>
      </c>
      <c r="C574" t="s">
        <v>27</v>
      </c>
      <c r="D574" t="s">
        <v>1805</v>
      </c>
      <c r="E574">
        <v>16</v>
      </c>
      <c r="F574">
        <v>28</v>
      </c>
      <c r="G574">
        <v>1</v>
      </c>
      <c r="H574">
        <v>56</v>
      </c>
      <c r="I574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5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7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575" spans="1:11" x14ac:dyDescent="0.35">
      <c r="A575">
        <v>223</v>
      </c>
      <c r="B575">
        <v>19</v>
      </c>
      <c r="C575" t="s">
        <v>33</v>
      </c>
      <c r="D575" t="s">
        <v>1808</v>
      </c>
      <c r="E575">
        <v>19</v>
      </c>
      <c r="F575">
        <v>32</v>
      </c>
      <c r="G575">
        <v>1</v>
      </c>
      <c r="H575">
        <v>53</v>
      </c>
      <c r="I575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5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575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576" spans="1:11" x14ac:dyDescent="0.35">
      <c r="A576">
        <v>224</v>
      </c>
      <c r="B576">
        <v>7</v>
      </c>
      <c r="C576" t="s">
        <v>47</v>
      </c>
      <c r="D576" t="s">
        <v>1815</v>
      </c>
      <c r="E576">
        <v>15</v>
      </c>
      <c r="F576">
        <v>26</v>
      </c>
      <c r="G576">
        <v>2</v>
      </c>
      <c r="H576">
        <v>20</v>
      </c>
      <c r="I576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5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576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577" spans="1:11" x14ac:dyDescent="0.35">
      <c r="A577">
        <v>225</v>
      </c>
      <c r="B577">
        <v>19</v>
      </c>
      <c r="C577" t="s">
        <v>25</v>
      </c>
      <c r="D577" t="s">
        <v>1804</v>
      </c>
      <c r="E577">
        <v>20</v>
      </c>
      <c r="F577">
        <v>33</v>
      </c>
      <c r="G577">
        <v>3</v>
      </c>
      <c r="H577">
        <v>56</v>
      </c>
      <c r="I577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5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577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578" spans="1:11" x14ac:dyDescent="0.35">
      <c r="A578">
        <v>225</v>
      </c>
      <c r="B578">
        <v>19</v>
      </c>
      <c r="C578" t="s">
        <v>41</v>
      </c>
      <c r="D578" t="s">
        <v>1811</v>
      </c>
      <c r="E578">
        <v>14</v>
      </c>
      <c r="F578">
        <v>23</v>
      </c>
      <c r="G578">
        <v>3</v>
      </c>
      <c r="H578">
        <v>38</v>
      </c>
      <c r="I578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5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57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579" spans="1:11" x14ac:dyDescent="0.35">
      <c r="A579">
        <v>226</v>
      </c>
      <c r="B579">
        <v>7</v>
      </c>
      <c r="C579" t="s">
        <v>43</v>
      </c>
      <c r="D579" t="s">
        <v>1813</v>
      </c>
      <c r="E579">
        <v>13</v>
      </c>
      <c r="F579">
        <v>21</v>
      </c>
      <c r="G579">
        <v>1</v>
      </c>
      <c r="H579">
        <v>29</v>
      </c>
      <c r="I579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5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579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580" spans="1:11" x14ac:dyDescent="0.35">
      <c r="A580">
        <v>226</v>
      </c>
      <c r="B580">
        <v>7</v>
      </c>
      <c r="C580" t="s">
        <v>39</v>
      </c>
      <c r="D580" t="s">
        <v>1812</v>
      </c>
      <c r="E580">
        <v>12</v>
      </c>
      <c r="F580">
        <v>20</v>
      </c>
      <c r="G580">
        <v>2</v>
      </c>
      <c r="H580">
        <v>7</v>
      </c>
      <c r="I580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5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58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81" spans="1:11" x14ac:dyDescent="0.35">
      <c r="A581">
        <v>226</v>
      </c>
      <c r="B581">
        <v>7</v>
      </c>
      <c r="C581" t="s">
        <v>17</v>
      </c>
      <c r="D581" t="s">
        <v>1800</v>
      </c>
      <c r="E581">
        <v>16</v>
      </c>
      <c r="F581">
        <v>27</v>
      </c>
      <c r="G581">
        <v>3</v>
      </c>
      <c r="H581">
        <v>56</v>
      </c>
      <c r="I581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5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581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582" spans="1:11" x14ac:dyDescent="0.35">
      <c r="A582">
        <v>226</v>
      </c>
      <c r="B582">
        <v>7</v>
      </c>
      <c r="C582" t="s">
        <v>23</v>
      </c>
      <c r="D582" t="s">
        <v>1803</v>
      </c>
      <c r="E582">
        <v>17</v>
      </c>
      <c r="F582">
        <v>29</v>
      </c>
      <c r="G582">
        <v>1</v>
      </c>
      <c r="H582">
        <v>54</v>
      </c>
      <c r="I582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5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8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583" spans="1:11" x14ac:dyDescent="0.35">
      <c r="A583">
        <v>227</v>
      </c>
      <c r="B583">
        <v>17</v>
      </c>
      <c r="C583" t="s">
        <v>25</v>
      </c>
      <c r="D583" t="s">
        <v>1804</v>
      </c>
      <c r="E583">
        <v>20</v>
      </c>
      <c r="F583">
        <v>33</v>
      </c>
      <c r="G583">
        <v>2</v>
      </c>
      <c r="H583">
        <v>33</v>
      </c>
      <c r="I583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5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58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584" spans="1:11" x14ac:dyDescent="0.35">
      <c r="A584">
        <v>227</v>
      </c>
      <c r="B584">
        <v>17</v>
      </c>
      <c r="C584" t="s">
        <v>27</v>
      </c>
      <c r="D584" t="s">
        <v>1805</v>
      </c>
      <c r="E584">
        <v>16</v>
      </c>
      <c r="F584">
        <v>28</v>
      </c>
      <c r="G584">
        <v>1</v>
      </c>
      <c r="H584">
        <v>13</v>
      </c>
      <c r="I584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5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8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585" spans="1:11" x14ac:dyDescent="0.35">
      <c r="A585">
        <v>227</v>
      </c>
      <c r="B585">
        <v>17</v>
      </c>
      <c r="C585" t="s">
        <v>15</v>
      </c>
      <c r="D585" t="s">
        <v>1799</v>
      </c>
      <c r="E585">
        <v>19</v>
      </c>
      <c r="F585">
        <v>31</v>
      </c>
      <c r="G585">
        <v>3</v>
      </c>
      <c r="H585">
        <v>15</v>
      </c>
      <c r="I585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5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58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586" spans="1:11" x14ac:dyDescent="0.35">
      <c r="A586">
        <v>227</v>
      </c>
      <c r="B586">
        <v>17</v>
      </c>
      <c r="C586" t="s">
        <v>9</v>
      </c>
      <c r="D586" t="s">
        <v>1798</v>
      </c>
      <c r="E586">
        <v>14</v>
      </c>
      <c r="F586">
        <v>24</v>
      </c>
      <c r="G586">
        <v>1</v>
      </c>
      <c r="H586">
        <v>58</v>
      </c>
      <c r="I586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5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58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587" spans="1:11" x14ac:dyDescent="0.35">
      <c r="A587">
        <v>228</v>
      </c>
      <c r="B587">
        <v>16</v>
      </c>
      <c r="C587" t="s">
        <v>41</v>
      </c>
      <c r="D587" t="s">
        <v>1811</v>
      </c>
      <c r="E587">
        <v>14</v>
      </c>
      <c r="F587">
        <v>23</v>
      </c>
      <c r="G587">
        <v>3</v>
      </c>
      <c r="H587">
        <v>35</v>
      </c>
      <c r="I587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5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58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588" spans="1:11" x14ac:dyDescent="0.35">
      <c r="A588">
        <v>229</v>
      </c>
      <c r="B588">
        <v>14</v>
      </c>
      <c r="C588" t="s">
        <v>49</v>
      </c>
      <c r="D588" t="s">
        <v>1816</v>
      </c>
      <c r="E588">
        <v>15</v>
      </c>
      <c r="F588">
        <v>25</v>
      </c>
      <c r="G588">
        <v>1</v>
      </c>
      <c r="H588">
        <v>28</v>
      </c>
      <c r="I588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5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58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89" spans="1:11" x14ac:dyDescent="0.35">
      <c r="A589">
        <v>229</v>
      </c>
      <c r="B589">
        <v>14</v>
      </c>
      <c r="C589" t="s">
        <v>27</v>
      </c>
      <c r="D589" t="s">
        <v>1805</v>
      </c>
      <c r="E589">
        <v>16</v>
      </c>
      <c r="F589">
        <v>28</v>
      </c>
      <c r="G589">
        <v>1</v>
      </c>
      <c r="H589">
        <v>27</v>
      </c>
      <c r="I589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5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89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590" spans="1:11" x14ac:dyDescent="0.35">
      <c r="A590">
        <v>229</v>
      </c>
      <c r="B590">
        <v>14</v>
      </c>
      <c r="C590" t="s">
        <v>21</v>
      </c>
      <c r="D590" t="s">
        <v>1801</v>
      </c>
      <c r="E590">
        <v>22</v>
      </c>
      <c r="F590">
        <v>36</v>
      </c>
      <c r="G590">
        <v>1</v>
      </c>
      <c r="H590">
        <v>19</v>
      </c>
      <c r="I590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5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59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591" spans="1:11" x14ac:dyDescent="0.35">
      <c r="A591">
        <v>229</v>
      </c>
      <c r="B591">
        <v>14</v>
      </c>
      <c r="C591" t="s">
        <v>31</v>
      </c>
      <c r="D591" t="s">
        <v>1807</v>
      </c>
      <c r="E591">
        <v>21</v>
      </c>
      <c r="F591">
        <v>35</v>
      </c>
      <c r="G591">
        <v>1</v>
      </c>
      <c r="H591">
        <v>43</v>
      </c>
      <c r="I591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5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59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592" spans="1:11" x14ac:dyDescent="0.35">
      <c r="A592">
        <v>230</v>
      </c>
      <c r="B592">
        <v>5</v>
      </c>
      <c r="C592" t="s">
        <v>33</v>
      </c>
      <c r="D592" t="s">
        <v>1808</v>
      </c>
      <c r="E592">
        <v>19</v>
      </c>
      <c r="F592">
        <v>32</v>
      </c>
      <c r="G592">
        <v>3</v>
      </c>
      <c r="H592">
        <v>10</v>
      </c>
      <c r="I592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5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592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593" spans="1:11" x14ac:dyDescent="0.35">
      <c r="A593">
        <v>230</v>
      </c>
      <c r="B593">
        <v>5</v>
      </c>
      <c r="C593" t="s">
        <v>27</v>
      </c>
      <c r="D593" t="s">
        <v>1805</v>
      </c>
      <c r="E593">
        <v>16</v>
      </c>
      <c r="F593">
        <v>28</v>
      </c>
      <c r="G593">
        <v>2</v>
      </c>
      <c r="H593">
        <v>24</v>
      </c>
      <c r="I593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5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93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594" spans="1:11" x14ac:dyDescent="0.35">
      <c r="A594">
        <v>230</v>
      </c>
      <c r="B594">
        <v>5</v>
      </c>
      <c r="C594" t="s">
        <v>15</v>
      </c>
      <c r="D594" t="s">
        <v>1799</v>
      </c>
      <c r="E594">
        <v>19</v>
      </c>
      <c r="F594">
        <v>31</v>
      </c>
      <c r="G594">
        <v>2</v>
      </c>
      <c r="H594">
        <v>57</v>
      </c>
      <c r="I594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5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59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595" spans="1:11" x14ac:dyDescent="0.35">
      <c r="A595">
        <v>231</v>
      </c>
      <c r="B595">
        <v>8</v>
      </c>
      <c r="C595" t="s">
        <v>25</v>
      </c>
      <c r="D595" t="s">
        <v>1804</v>
      </c>
      <c r="E595">
        <v>20</v>
      </c>
      <c r="F595">
        <v>33</v>
      </c>
      <c r="G595">
        <v>1</v>
      </c>
      <c r="H595">
        <v>51</v>
      </c>
      <c r="I595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5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59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596" spans="1:11" x14ac:dyDescent="0.35">
      <c r="A596">
        <v>231</v>
      </c>
      <c r="B596">
        <v>8</v>
      </c>
      <c r="C596" t="s">
        <v>43</v>
      </c>
      <c r="D596" t="s">
        <v>1813</v>
      </c>
      <c r="E596">
        <v>13</v>
      </c>
      <c r="F596">
        <v>21</v>
      </c>
      <c r="G596">
        <v>2</v>
      </c>
      <c r="H596">
        <v>29</v>
      </c>
      <c r="I596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5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59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597" spans="1:11" x14ac:dyDescent="0.35">
      <c r="A597">
        <v>231</v>
      </c>
      <c r="B597">
        <v>8</v>
      </c>
      <c r="C597" t="s">
        <v>15</v>
      </c>
      <c r="D597" t="s">
        <v>1799</v>
      </c>
      <c r="E597">
        <v>19</v>
      </c>
      <c r="F597">
        <v>31</v>
      </c>
      <c r="G597">
        <v>1</v>
      </c>
      <c r="H597">
        <v>53</v>
      </c>
      <c r="I597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5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59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598" spans="1:11" x14ac:dyDescent="0.35">
      <c r="A598">
        <v>231</v>
      </c>
      <c r="B598">
        <v>8</v>
      </c>
      <c r="C598" t="s">
        <v>37</v>
      </c>
      <c r="D598" t="s">
        <v>1810</v>
      </c>
      <c r="E598">
        <v>20</v>
      </c>
      <c r="F598">
        <v>34</v>
      </c>
      <c r="G598">
        <v>3</v>
      </c>
      <c r="H598">
        <v>17</v>
      </c>
      <c r="I598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5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59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599" spans="1:11" x14ac:dyDescent="0.35">
      <c r="A599">
        <v>232</v>
      </c>
      <c r="B599">
        <v>2</v>
      </c>
      <c r="C599" t="s">
        <v>47</v>
      </c>
      <c r="D599" t="s">
        <v>1815</v>
      </c>
      <c r="E599">
        <v>15</v>
      </c>
      <c r="F599">
        <v>26</v>
      </c>
      <c r="G599">
        <v>2</v>
      </c>
      <c r="H599">
        <v>19</v>
      </c>
      <c r="I599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5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59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600" spans="1:11" x14ac:dyDescent="0.35">
      <c r="A600">
        <v>232</v>
      </c>
      <c r="B600">
        <v>2</v>
      </c>
      <c r="C600" t="s">
        <v>12</v>
      </c>
      <c r="D600" t="s">
        <v>1797</v>
      </c>
      <c r="E600">
        <v>18</v>
      </c>
      <c r="F600">
        <v>30</v>
      </c>
      <c r="G600">
        <v>2</v>
      </c>
      <c r="H600">
        <v>40</v>
      </c>
      <c r="I600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6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60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01" spans="1:11" x14ac:dyDescent="0.35">
      <c r="A601">
        <v>232</v>
      </c>
      <c r="B601">
        <v>2</v>
      </c>
      <c r="C601" t="s">
        <v>17</v>
      </c>
      <c r="D601" t="s">
        <v>1800</v>
      </c>
      <c r="E601">
        <v>16</v>
      </c>
      <c r="F601">
        <v>27</v>
      </c>
      <c r="G601">
        <v>2</v>
      </c>
      <c r="H601">
        <v>30</v>
      </c>
      <c r="I601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6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601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602" spans="1:11" x14ac:dyDescent="0.35">
      <c r="A602">
        <v>232</v>
      </c>
      <c r="B602">
        <v>2</v>
      </c>
      <c r="C602" t="s">
        <v>9</v>
      </c>
      <c r="D602" t="s">
        <v>1798</v>
      </c>
      <c r="E602">
        <v>14</v>
      </c>
      <c r="F602">
        <v>24</v>
      </c>
      <c r="G602">
        <v>1</v>
      </c>
      <c r="H602">
        <v>50</v>
      </c>
      <c r="I602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6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60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603" spans="1:11" x14ac:dyDescent="0.35">
      <c r="A603">
        <v>233</v>
      </c>
      <c r="B603">
        <v>8</v>
      </c>
      <c r="C603" t="s">
        <v>29</v>
      </c>
      <c r="D603" t="s">
        <v>1806</v>
      </c>
      <c r="E603">
        <v>11</v>
      </c>
      <c r="F603">
        <v>19</v>
      </c>
      <c r="G603">
        <v>2</v>
      </c>
      <c r="H603">
        <v>31</v>
      </c>
      <c r="I603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6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603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604" spans="1:11" x14ac:dyDescent="0.35">
      <c r="A604">
        <v>234</v>
      </c>
      <c r="B604">
        <v>17</v>
      </c>
      <c r="C604" t="s">
        <v>15</v>
      </c>
      <c r="D604" t="s">
        <v>1799</v>
      </c>
      <c r="E604">
        <v>19</v>
      </c>
      <c r="F604">
        <v>31</v>
      </c>
      <c r="G604">
        <v>3</v>
      </c>
      <c r="H604">
        <v>23</v>
      </c>
      <c r="I604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6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60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605" spans="1:11" x14ac:dyDescent="0.35">
      <c r="A605">
        <v>234</v>
      </c>
      <c r="B605">
        <v>17</v>
      </c>
      <c r="C605" t="s">
        <v>12</v>
      </c>
      <c r="D605" t="s">
        <v>1797</v>
      </c>
      <c r="E605">
        <v>18</v>
      </c>
      <c r="F605">
        <v>30</v>
      </c>
      <c r="G605">
        <v>2</v>
      </c>
      <c r="H605">
        <v>41</v>
      </c>
      <c r="I60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6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60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06" spans="1:11" x14ac:dyDescent="0.35">
      <c r="A606">
        <v>234</v>
      </c>
      <c r="B606">
        <v>17</v>
      </c>
      <c r="C606" t="s">
        <v>9</v>
      </c>
      <c r="D606" t="s">
        <v>1798</v>
      </c>
      <c r="E606">
        <v>14</v>
      </c>
      <c r="F606">
        <v>24</v>
      </c>
      <c r="G606">
        <v>3</v>
      </c>
      <c r="H606">
        <v>35</v>
      </c>
      <c r="I606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6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60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607" spans="1:11" x14ac:dyDescent="0.35">
      <c r="A607">
        <v>235</v>
      </c>
      <c r="B607">
        <v>13</v>
      </c>
      <c r="C607" t="s">
        <v>25</v>
      </c>
      <c r="D607" t="s">
        <v>1804</v>
      </c>
      <c r="E607">
        <v>20</v>
      </c>
      <c r="F607">
        <v>33</v>
      </c>
      <c r="G607">
        <v>1</v>
      </c>
      <c r="H607">
        <v>25</v>
      </c>
      <c r="I607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6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607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608" spans="1:11" x14ac:dyDescent="0.35">
      <c r="A608">
        <v>236</v>
      </c>
      <c r="B608">
        <v>12</v>
      </c>
      <c r="C608" t="s">
        <v>25</v>
      </c>
      <c r="D608" t="s">
        <v>1804</v>
      </c>
      <c r="E608">
        <v>20</v>
      </c>
      <c r="F608">
        <v>33</v>
      </c>
      <c r="G608">
        <v>3</v>
      </c>
      <c r="H608">
        <v>21</v>
      </c>
      <c r="I608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6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608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609" spans="1:11" x14ac:dyDescent="0.35">
      <c r="A609">
        <v>236</v>
      </c>
      <c r="B609">
        <v>12</v>
      </c>
      <c r="C609" t="s">
        <v>33</v>
      </c>
      <c r="D609" t="s">
        <v>1808</v>
      </c>
      <c r="E609">
        <v>19</v>
      </c>
      <c r="F609">
        <v>32</v>
      </c>
      <c r="G609">
        <v>2</v>
      </c>
      <c r="H609">
        <v>30</v>
      </c>
      <c r="I609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6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60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610" spans="1:11" x14ac:dyDescent="0.35">
      <c r="A610">
        <v>236</v>
      </c>
      <c r="B610">
        <v>12</v>
      </c>
      <c r="C610" t="s">
        <v>35</v>
      </c>
      <c r="D610" t="s">
        <v>1809</v>
      </c>
      <c r="E610">
        <v>13</v>
      </c>
      <c r="F610">
        <v>22</v>
      </c>
      <c r="G610">
        <v>1</v>
      </c>
      <c r="H610">
        <v>7</v>
      </c>
      <c r="I610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6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61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611" spans="1:11" x14ac:dyDescent="0.35">
      <c r="A611">
        <v>236</v>
      </c>
      <c r="B611">
        <v>12</v>
      </c>
      <c r="C611" t="s">
        <v>31</v>
      </c>
      <c r="D611" t="s">
        <v>1807</v>
      </c>
      <c r="E611">
        <v>21</v>
      </c>
      <c r="F611">
        <v>35</v>
      </c>
      <c r="G611">
        <v>2</v>
      </c>
      <c r="H611">
        <v>43</v>
      </c>
      <c r="I611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6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61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12" spans="1:11" x14ac:dyDescent="0.35">
      <c r="A612">
        <v>237</v>
      </c>
      <c r="B612">
        <v>4</v>
      </c>
      <c r="C612" t="s">
        <v>41</v>
      </c>
      <c r="D612" t="s">
        <v>1811</v>
      </c>
      <c r="E612">
        <v>14</v>
      </c>
      <c r="F612">
        <v>23</v>
      </c>
      <c r="G612">
        <v>2</v>
      </c>
      <c r="H612">
        <v>12</v>
      </c>
      <c r="I612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6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612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613" spans="1:11" x14ac:dyDescent="0.35">
      <c r="A613">
        <v>237</v>
      </c>
      <c r="B613">
        <v>4</v>
      </c>
      <c r="C613" t="s">
        <v>12</v>
      </c>
      <c r="D613" t="s">
        <v>1797</v>
      </c>
      <c r="E613">
        <v>18</v>
      </c>
      <c r="F613">
        <v>30</v>
      </c>
      <c r="G613">
        <v>2</v>
      </c>
      <c r="H613">
        <v>25</v>
      </c>
      <c r="I61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6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61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14" spans="1:11" x14ac:dyDescent="0.35">
      <c r="A614">
        <v>238</v>
      </c>
      <c r="B614">
        <v>13</v>
      </c>
      <c r="C614" t="s">
        <v>21</v>
      </c>
      <c r="D614" t="s">
        <v>1801</v>
      </c>
      <c r="E614">
        <v>22</v>
      </c>
      <c r="F614">
        <v>36</v>
      </c>
      <c r="G614">
        <v>2</v>
      </c>
      <c r="H614">
        <v>45</v>
      </c>
      <c r="I614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6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614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615" spans="1:11" x14ac:dyDescent="0.35">
      <c r="A615">
        <v>239</v>
      </c>
      <c r="B615">
        <v>12</v>
      </c>
      <c r="C615" t="s">
        <v>47</v>
      </c>
      <c r="D615" t="s">
        <v>1815</v>
      </c>
      <c r="E615">
        <v>15</v>
      </c>
      <c r="F615">
        <v>26</v>
      </c>
      <c r="G615">
        <v>1</v>
      </c>
      <c r="H615">
        <v>36</v>
      </c>
      <c r="I615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6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61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616" spans="1:11" x14ac:dyDescent="0.35">
      <c r="A616">
        <v>239</v>
      </c>
      <c r="B616">
        <v>12</v>
      </c>
      <c r="C616" t="s">
        <v>9</v>
      </c>
      <c r="D616" t="s">
        <v>1798</v>
      </c>
      <c r="E616">
        <v>14</v>
      </c>
      <c r="F616">
        <v>24</v>
      </c>
      <c r="G616">
        <v>2</v>
      </c>
      <c r="H616">
        <v>37</v>
      </c>
      <c r="I616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6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61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617" spans="1:11" x14ac:dyDescent="0.35">
      <c r="A617">
        <v>240</v>
      </c>
      <c r="B617">
        <v>9</v>
      </c>
      <c r="C617" t="s">
        <v>41</v>
      </c>
      <c r="D617" t="s">
        <v>1811</v>
      </c>
      <c r="E617">
        <v>14</v>
      </c>
      <c r="F617">
        <v>23</v>
      </c>
      <c r="G617">
        <v>3</v>
      </c>
      <c r="H617">
        <v>32</v>
      </c>
      <c r="I617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6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61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618" spans="1:11" x14ac:dyDescent="0.35">
      <c r="A618">
        <v>240</v>
      </c>
      <c r="B618">
        <v>9</v>
      </c>
      <c r="C618" t="s">
        <v>33</v>
      </c>
      <c r="D618" t="s">
        <v>1808</v>
      </c>
      <c r="E618">
        <v>19</v>
      </c>
      <c r="F618">
        <v>32</v>
      </c>
      <c r="G618">
        <v>3</v>
      </c>
      <c r="H618">
        <v>19</v>
      </c>
      <c r="I618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6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61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619" spans="1:11" x14ac:dyDescent="0.35">
      <c r="A619">
        <v>240</v>
      </c>
      <c r="B619">
        <v>9</v>
      </c>
      <c r="C619" t="s">
        <v>15</v>
      </c>
      <c r="D619" t="s">
        <v>1799</v>
      </c>
      <c r="E619">
        <v>19</v>
      </c>
      <c r="F619">
        <v>31</v>
      </c>
      <c r="G619">
        <v>3</v>
      </c>
      <c r="H619">
        <v>32</v>
      </c>
      <c r="I619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6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61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620" spans="1:11" x14ac:dyDescent="0.35">
      <c r="A620">
        <v>240</v>
      </c>
      <c r="B620">
        <v>9</v>
      </c>
      <c r="C620" t="s">
        <v>45</v>
      </c>
      <c r="D620" t="s">
        <v>1814</v>
      </c>
      <c r="E620">
        <v>10</v>
      </c>
      <c r="F620">
        <v>18</v>
      </c>
      <c r="G620">
        <v>2</v>
      </c>
      <c r="H620">
        <v>46</v>
      </c>
      <c r="I620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6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620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621" spans="1:11" x14ac:dyDescent="0.35">
      <c r="A621">
        <v>241</v>
      </c>
      <c r="B621">
        <v>12</v>
      </c>
      <c r="C621" t="s">
        <v>45</v>
      </c>
      <c r="D621" t="s">
        <v>1814</v>
      </c>
      <c r="E621">
        <v>10</v>
      </c>
      <c r="F621">
        <v>18</v>
      </c>
      <c r="G621">
        <v>1</v>
      </c>
      <c r="H621">
        <v>11</v>
      </c>
      <c r="I621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6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62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622" spans="1:11" x14ac:dyDescent="0.35">
      <c r="A622">
        <v>242</v>
      </c>
      <c r="B622">
        <v>12</v>
      </c>
      <c r="C622" t="s">
        <v>49</v>
      </c>
      <c r="D622" t="s">
        <v>1816</v>
      </c>
      <c r="E622">
        <v>15</v>
      </c>
      <c r="F622">
        <v>25</v>
      </c>
      <c r="G622">
        <v>3</v>
      </c>
      <c r="H622">
        <v>40</v>
      </c>
      <c r="I622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6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62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23" spans="1:11" x14ac:dyDescent="0.35">
      <c r="A623">
        <v>242</v>
      </c>
      <c r="B623">
        <v>12</v>
      </c>
      <c r="C623" t="s">
        <v>47</v>
      </c>
      <c r="D623" t="s">
        <v>1815</v>
      </c>
      <c r="E623">
        <v>15</v>
      </c>
      <c r="F623">
        <v>26</v>
      </c>
      <c r="G623">
        <v>1</v>
      </c>
      <c r="H623">
        <v>54</v>
      </c>
      <c r="I623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6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62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624" spans="1:11" x14ac:dyDescent="0.35">
      <c r="A624">
        <v>242</v>
      </c>
      <c r="B624">
        <v>12</v>
      </c>
      <c r="C624" t="s">
        <v>25</v>
      </c>
      <c r="D624" t="s">
        <v>1804</v>
      </c>
      <c r="E624">
        <v>20</v>
      </c>
      <c r="F624">
        <v>33</v>
      </c>
      <c r="G624">
        <v>1</v>
      </c>
      <c r="H624">
        <v>5</v>
      </c>
      <c r="I624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6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624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625" spans="1:11" x14ac:dyDescent="0.35">
      <c r="A625">
        <v>243</v>
      </c>
      <c r="B625">
        <v>4</v>
      </c>
      <c r="C625" t="s">
        <v>19</v>
      </c>
      <c r="D625" t="s">
        <v>1802</v>
      </c>
      <c r="E625">
        <v>25</v>
      </c>
      <c r="F625">
        <v>40</v>
      </c>
      <c r="G625">
        <v>3</v>
      </c>
      <c r="H625">
        <v>22</v>
      </c>
      <c r="I625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6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62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626" spans="1:11" x14ac:dyDescent="0.35">
      <c r="A626">
        <v>244</v>
      </c>
      <c r="B626">
        <v>17</v>
      </c>
      <c r="C626" t="s">
        <v>29</v>
      </c>
      <c r="D626" t="s">
        <v>1806</v>
      </c>
      <c r="E626">
        <v>11</v>
      </c>
      <c r="F626">
        <v>19</v>
      </c>
      <c r="G626">
        <v>2</v>
      </c>
      <c r="H626">
        <v>59</v>
      </c>
      <c r="I626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6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626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627" spans="1:11" x14ac:dyDescent="0.35">
      <c r="A627">
        <v>244</v>
      </c>
      <c r="B627">
        <v>17</v>
      </c>
      <c r="C627" t="s">
        <v>19</v>
      </c>
      <c r="D627" t="s">
        <v>1802</v>
      </c>
      <c r="E627">
        <v>25</v>
      </c>
      <c r="F627">
        <v>40</v>
      </c>
      <c r="G627">
        <v>3</v>
      </c>
      <c r="H627">
        <v>30</v>
      </c>
      <c r="I627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6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627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628" spans="1:11" x14ac:dyDescent="0.35">
      <c r="A628">
        <v>245</v>
      </c>
      <c r="B628">
        <v>11</v>
      </c>
      <c r="C628" t="s">
        <v>15</v>
      </c>
      <c r="D628" t="s">
        <v>1799</v>
      </c>
      <c r="E628">
        <v>19</v>
      </c>
      <c r="F628">
        <v>31</v>
      </c>
      <c r="G628">
        <v>1</v>
      </c>
      <c r="H628">
        <v>23</v>
      </c>
      <c r="I628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6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62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629" spans="1:11" x14ac:dyDescent="0.35">
      <c r="A629">
        <v>245</v>
      </c>
      <c r="B629">
        <v>11</v>
      </c>
      <c r="C629" t="s">
        <v>21</v>
      </c>
      <c r="D629" t="s">
        <v>1801</v>
      </c>
      <c r="E629">
        <v>22</v>
      </c>
      <c r="F629">
        <v>36</v>
      </c>
      <c r="G629">
        <v>3</v>
      </c>
      <c r="H629">
        <v>25</v>
      </c>
      <c r="I629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6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629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630" spans="1:11" x14ac:dyDescent="0.35">
      <c r="A630">
        <v>245</v>
      </c>
      <c r="B630">
        <v>11</v>
      </c>
      <c r="C630" t="s">
        <v>19</v>
      </c>
      <c r="D630" t="s">
        <v>1802</v>
      </c>
      <c r="E630">
        <v>25</v>
      </c>
      <c r="F630">
        <v>40</v>
      </c>
      <c r="G630">
        <v>2</v>
      </c>
      <c r="H630">
        <v>23</v>
      </c>
      <c r="I630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6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630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631" spans="1:11" x14ac:dyDescent="0.35">
      <c r="A631">
        <v>245</v>
      </c>
      <c r="B631">
        <v>11</v>
      </c>
      <c r="C631" t="s">
        <v>45</v>
      </c>
      <c r="D631" t="s">
        <v>1814</v>
      </c>
      <c r="E631">
        <v>10</v>
      </c>
      <c r="F631">
        <v>18</v>
      </c>
      <c r="G631">
        <v>3</v>
      </c>
      <c r="H631">
        <v>45</v>
      </c>
      <c r="I631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6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63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632" spans="1:11" x14ac:dyDescent="0.35">
      <c r="A632">
        <v>246</v>
      </c>
      <c r="B632">
        <v>2</v>
      </c>
      <c r="C632" t="s">
        <v>15</v>
      </c>
      <c r="D632" t="s">
        <v>1799</v>
      </c>
      <c r="E632">
        <v>19</v>
      </c>
      <c r="F632">
        <v>31</v>
      </c>
      <c r="G632">
        <v>3</v>
      </c>
      <c r="H632">
        <v>52</v>
      </c>
      <c r="I632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6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63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633" spans="1:11" x14ac:dyDescent="0.35">
      <c r="A633">
        <v>246</v>
      </c>
      <c r="B633">
        <v>2</v>
      </c>
      <c r="C633" t="s">
        <v>17</v>
      </c>
      <c r="D633" t="s">
        <v>1800</v>
      </c>
      <c r="E633">
        <v>16</v>
      </c>
      <c r="F633">
        <v>27</v>
      </c>
      <c r="G633">
        <v>3</v>
      </c>
      <c r="H633">
        <v>36</v>
      </c>
      <c r="I633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6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633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634" spans="1:11" x14ac:dyDescent="0.35">
      <c r="A634">
        <v>246</v>
      </c>
      <c r="B634">
        <v>2</v>
      </c>
      <c r="C634" t="s">
        <v>9</v>
      </c>
      <c r="D634" t="s">
        <v>1798</v>
      </c>
      <c r="E634">
        <v>14</v>
      </c>
      <c r="F634">
        <v>24</v>
      </c>
      <c r="G634">
        <v>2</v>
      </c>
      <c r="H634">
        <v>10</v>
      </c>
      <c r="I634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6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63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635" spans="1:11" x14ac:dyDescent="0.35">
      <c r="A635">
        <v>246</v>
      </c>
      <c r="B635">
        <v>2</v>
      </c>
      <c r="C635" t="s">
        <v>31</v>
      </c>
      <c r="D635" t="s">
        <v>1807</v>
      </c>
      <c r="E635">
        <v>21</v>
      </c>
      <c r="F635">
        <v>35</v>
      </c>
      <c r="G635">
        <v>3</v>
      </c>
      <c r="H635">
        <v>48</v>
      </c>
      <c r="I635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6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63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36" spans="1:11" x14ac:dyDescent="0.35">
      <c r="A636">
        <v>247</v>
      </c>
      <c r="B636">
        <v>11</v>
      </c>
      <c r="C636" t="s">
        <v>25</v>
      </c>
      <c r="D636" t="s">
        <v>1804</v>
      </c>
      <c r="E636">
        <v>20</v>
      </c>
      <c r="F636">
        <v>33</v>
      </c>
      <c r="G636">
        <v>2</v>
      </c>
      <c r="H636">
        <v>59</v>
      </c>
      <c r="I636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6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636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637" spans="1:11" x14ac:dyDescent="0.35">
      <c r="A637">
        <v>248</v>
      </c>
      <c r="B637">
        <v>12</v>
      </c>
      <c r="C637" t="s">
        <v>49</v>
      </c>
      <c r="D637" t="s">
        <v>1816</v>
      </c>
      <c r="E637">
        <v>15</v>
      </c>
      <c r="F637">
        <v>25</v>
      </c>
      <c r="G637">
        <v>2</v>
      </c>
      <c r="H637">
        <v>31</v>
      </c>
      <c r="I637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6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63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38" spans="1:11" x14ac:dyDescent="0.35">
      <c r="A638">
        <v>248</v>
      </c>
      <c r="B638">
        <v>12</v>
      </c>
      <c r="C638" t="s">
        <v>37</v>
      </c>
      <c r="D638" t="s">
        <v>1810</v>
      </c>
      <c r="E638">
        <v>20</v>
      </c>
      <c r="F638">
        <v>34</v>
      </c>
      <c r="G638">
        <v>1</v>
      </c>
      <c r="H638">
        <v>32</v>
      </c>
      <c r="I638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6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63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639" spans="1:11" x14ac:dyDescent="0.35">
      <c r="A639">
        <v>248</v>
      </c>
      <c r="B639">
        <v>12</v>
      </c>
      <c r="C639" t="s">
        <v>17</v>
      </c>
      <c r="D639" t="s">
        <v>1800</v>
      </c>
      <c r="E639">
        <v>16</v>
      </c>
      <c r="F639">
        <v>27</v>
      </c>
      <c r="G639">
        <v>2</v>
      </c>
      <c r="H639">
        <v>6</v>
      </c>
      <c r="I639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6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639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640" spans="1:11" x14ac:dyDescent="0.35">
      <c r="A640">
        <v>248</v>
      </c>
      <c r="B640">
        <v>12</v>
      </c>
      <c r="C640" t="s">
        <v>23</v>
      </c>
      <c r="D640" t="s">
        <v>1803</v>
      </c>
      <c r="E640">
        <v>17</v>
      </c>
      <c r="F640">
        <v>29</v>
      </c>
      <c r="G640">
        <v>3</v>
      </c>
      <c r="H640">
        <v>51</v>
      </c>
      <c r="I640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6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64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641" spans="1:11" x14ac:dyDescent="0.35">
      <c r="A641">
        <v>249</v>
      </c>
      <c r="B641">
        <v>8</v>
      </c>
      <c r="C641" t="s">
        <v>45</v>
      </c>
      <c r="D641" t="s">
        <v>1814</v>
      </c>
      <c r="E641">
        <v>10</v>
      </c>
      <c r="F641">
        <v>18</v>
      </c>
      <c r="G641">
        <v>2</v>
      </c>
      <c r="H641">
        <v>58</v>
      </c>
      <c r="I641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6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64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642" spans="1:11" x14ac:dyDescent="0.35">
      <c r="A642">
        <v>249</v>
      </c>
      <c r="B642">
        <v>8</v>
      </c>
      <c r="C642" t="s">
        <v>35</v>
      </c>
      <c r="D642" t="s">
        <v>1809</v>
      </c>
      <c r="E642">
        <v>13</v>
      </c>
      <c r="F642">
        <v>22</v>
      </c>
      <c r="G642">
        <v>2</v>
      </c>
      <c r="H642">
        <v>51</v>
      </c>
      <c r="I642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6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64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643" spans="1:11" x14ac:dyDescent="0.35">
      <c r="A643">
        <v>250</v>
      </c>
      <c r="B643">
        <v>8</v>
      </c>
      <c r="C643" t="s">
        <v>39</v>
      </c>
      <c r="D643" t="s">
        <v>1812</v>
      </c>
      <c r="E643">
        <v>12</v>
      </c>
      <c r="F643">
        <v>20</v>
      </c>
      <c r="G643">
        <v>1</v>
      </c>
      <c r="H643">
        <v>29</v>
      </c>
      <c r="I643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6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64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44" spans="1:11" x14ac:dyDescent="0.35">
      <c r="A644">
        <v>251</v>
      </c>
      <c r="B644">
        <v>12</v>
      </c>
      <c r="C644" t="s">
        <v>47</v>
      </c>
      <c r="D644" t="s">
        <v>1815</v>
      </c>
      <c r="E644">
        <v>15</v>
      </c>
      <c r="F644">
        <v>26</v>
      </c>
      <c r="G644">
        <v>1</v>
      </c>
      <c r="H644">
        <v>25</v>
      </c>
      <c r="I644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6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64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645" spans="1:11" x14ac:dyDescent="0.35">
      <c r="A645">
        <v>251</v>
      </c>
      <c r="B645">
        <v>12</v>
      </c>
      <c r="C645" t="s">
        <v>29</v>
      </c>
      <c r="D645" t="s">
        <v>1806</v>
      </c>
      <c r="E645">
        <v>11</v>
      </c>
      <c r="F645">
        <v>19</v>
      </c>
      <c r="G645">
        <v>2</v>
      </c>
      <c r="H645">
        <v>40</v>
      </c>
      <c r="I645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6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64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646" spans="1:11" x14ac:dyDescent="0.35">
      <c r="A646">
        <v>251</v>
      </c>
      <c r="B646">
        <v>12</v>
      </c>
      <c r="C646" t="s">
        <v>41</v>
      </c>
      <c r="D646" t="s">
        <v>1811</v>
      </c>
      <c r="E646">
        <v>14</v>
      </c>
      <c r="F646">
        <v>23</v>
      </c>
      <c r="G646">
        <v>1</v>
      </c>
      <c r="H646">
        <v>23</v>
      </c>
      <c r="I646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6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64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647" spans="1:11" x14ac:dyDescent="0.35">
      <c r="A647">
        <v>251</v>
      </c>
      <c r="B647">
        <v>12</v>
      </c>
      <c r="C647" t="s">
        <v>35</v>
      </c>
      <c r="D647" t="s">
        <v>1809</v>
      </c>
      <c r="E647">
        <v>13</v>
      </c>
      <c r="F647">
        <v>22</v>
      </c>
      <c r="G647">
        <v>1</v>
      </c>
      <c r="H647">
        <v>34</v>
      </c>
      <c r="I647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6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64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648" spans="1:11" x14ac:dyDescent="0.35">
      <c r="A648">
        <v>252</v>
      </c>
      <c r="B648">
        <v>4</v>
      </c>
      <c r="C648" t="s">
        <v>49</v>
      </c>
      <c r="D648" t="s">
        <v>1816</v>
      </c>
      <c r="E648">
        <v>15</v>
      </c>
      <c r="F648">
        <v>25</v>
      </c>
      <c r="G648">
        <v>2</v>
      </c>
      <c r="H648">
        <v>53</v>
      </c>
      <c r="I648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6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64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49" spans="1:11" x14ac:dyDescent="0.35">
      <c r="A649">
        <v>252</v>
      </c>
      <c r="B649">
        <v>4</v>
      </c>
      <c r="C649" t="s">
        <v>47</v>
      </c>
      <c r="D649" t="s">
        <v>1815</v>
      </c>
      <c r="E649">
        <v>15</v>
      </c>
      <c r="F649">
        <v>26</v>
      </c>
      <c r="G649">
        <v>2</v>
      </c>
      <c r="H649">
        <v>31</v>
      </c>
      <c r="I649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6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64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650" spans="1:11" x14ac:dyDescent="0.35">
      <c r="A650">
        <v>253</v>
      </c>
      <c r="B650">
        <v>8</v>
      </c>
      <c r="C650" t="s">
        <v>49</v>
      </c>
      <c r="D650" t="s">
        <v>1816</v>
      </c>
      <c r="E650">
        <v>15</v>
      </c>
      <c r="F650">
        <v>25</v>
      </c>
      <c r="G650">
        <v>1</v>
      </c>
      <c r="H650">
        <v>18</v>
      </c>
      <c r="I650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6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65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51" spans="1:11" x14ac:dyDescent="0.35">
      <c r="A651">
        <v>253</v>
      </c>
      <c r="B651">
        <v>8</v>
      </c>
      <c r="C651" t="s">
        <v>43</v>
      </c>
      <c r="D651" t="s">
        <v>1813</v>
      </c>
      <c r="E651">
        <v>13</v>
      </c>
      <c r="F651">
        <v>21</v>
      </c>
      <c r="G651">
        <v>2</v>
      </c>
      <c r="H651">
        <v>8</v>
      </c>
      <c r="I651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6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65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652" spans="1:11" x14ac:dyDescent="0.35">
      <c r="A652">
        <v>253</v>
      </c>
      <c r="B652">
        <v>8</v>
      </c>
      <c r="C652" t="s">
        <v>23</v>
      </c>
      <c r="D652" t="s">
        <v>1803</v>
      </c>
      <c r="E652">
        <v>17</v>
      </c>
      <c r="F652">
        <v>29</v>
      </c>
      <c r="G652">
        <v>3</v>
      </c>
      <c r="H652">
        <v>29</v>
      </c>
      <c r="I652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6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65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653" spans="1:11" x14ac:dyDescent="0.35">
      <c r="A653">
        <v>254</v>
      </c>
      <c r="B653">
        <v>10</v>
      </c>
      <c r="C653" t="s">
        <v>47</v>
      </c>
      <c r="D653" t="s">
        <v>1815</v>
      </c>
      <c r="E653">
        <v>15</v>
      </c>
      <c r="F653">
        <v>26</v>
      </c>
      <c r="G653">
        <v>2</v>
      </c>
      <c r="H653">
        <v>10</v>
      </c>
      <c r="I653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6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65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654" spans="1:11" x14ac:dyDescent="0.35">
      <c r="A654">
        <v>254</v>
      </c>
      <c r="B654">
        <v>10</v>
      </c>
      <c r="C654" t="s">
        <v>27</v>
      </c>
      <c r="D654" t="s">
        <v>1805</v>
      </c>
      <c r="E654">
        <v>16</v>
      </c>
      <c r="F654">
        <v>28</v>
      </c>
      <c r="G654">
        <v>3</v>
      </c>
      <c r="H654">
        <v>42</v>
      </c>
      <c r="I654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6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65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655" spans="1:11" x14ac:dyDescent="0.35">
      <c r="A655">
        <v>254</v>
      </c>
      <c r="B655">
        <v>10</v>
      </c>
      <c r="C655" t="s">
        <v>15</v>
      </c>
      <c r="D655" t="s">
        <v>1799</v>
      </c>
      <c r="E655">
        <v>19</v>
      </c>
      <c r="F655">
        <v>31</v>
      </c>
      <c r="G655">
        <v>3</v>
      </c>
      <c r="H655">
        <v>33</v>
      </c>
      <c r="I655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6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65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656" spans="1:11" x14ac:dyDescent="0.35">
      <c r="A656">
        <v>254</v>
      </c>
      <c r="B656">
        <v>10</v>
      </c>
      <c r="C656" t="s">
        <v>37</v>
      </c>
      <c r="D656" t="s">
        <v>1810</v>
      </c>
      <c r="E656">
        <v>20</v>
      </c>
      <c r="F656">
        <v>34</v>
      </c>
      <c r="G656">
        <v>2</v>
      </c>
      <c r="H656">
        <v>56</v>
      </c>
      <c r="I656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6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656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657" spans="1:11" x14ac:dyDescent="0.35">
      <c r="A657">
        <v>255</v>
      </c>
      <c r="B657">
        <v>8</v>
      </c>
      <c r="C657" t="s">
        <v>49</v>
      </c>
      <c r="D657" t="s">
        <v>1816</v>
      </c>
      <c r="E657">
        <v>15</v>
      </c>
      <c r="F657">
        <v>25</v>
      </c>
      <c r="G657">
        <v>1</v>
      </c>
      <c r="H657">
        <v>37</v>
      </c>
      <c r="I657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6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65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58" spans="1:11" x14ac:dyDescent="0.35">
      <c r="A658">
        <v>256</v>
      </c>
      <c r="B658">
        <v>5</v>
      </c>
      <c r="C658" t="s">
        <v>43</v>
      </c>
      <c r="D658" t="s">
        <v>1813</v>
      </c>
      <c r="E658">
        <v>13</v>
      </c>
      <c r="F658">
        <v>21</v>
      </c>
      <c r="G658">
        <v>1</v>
      </c>
      <c r="H658">
        <v>16</v>
      </c>
      <c r="I658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6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658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659" spans="1:11" x14ac:dyDescent="0.35">
      <c r="A659">
        <v>257</v>
      </c>
      <c r="B659">
        <v>12</v>
      </c>
      <c r="C659" t="s">
        <v>41</v>
      </c>
      <c r="D659" t="s">
        <v>1811</v>
      </c>
      <c r="E659">
        <v>14</v>
      </c>
      <c r="F659">
        <v>23</v>
      </c>
      <c r="G659">
        <v>2</v>
      </c>
      <c r="H659">
        <v>28</v>
      </c>
      <c r="I659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6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65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660" spans="1:11" x14ac:dyDescent="0.35">
      <c r="A660">
        <v>258</v>
      </c>
      <c r="B660">
        <v>12</v>
      </c>
      <c r="C660" t="s">
        <v>49</v>
      </c>
      <c r="D660" t="s">
        <v>1816</v>
      </c>
      <c r="E660">
        <v>15</v>
      </c>
      <c r="F660">
        <v>25</v>
      </c>
      <c r="G660">
        <v>1</v>
      </c>
      <c r="H660">
        <v>59</v>
      </c>
      <c r="I660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6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66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61" spans="1:11" x14ac:dyDescent="0.35">
      <c r="A661">
        <v>258</v>
      </c>
      <c r="B661">
        <v>12</v>
      </c>
      <c r="C661" t="s">
        <v>33</v>
      </c>
      <c r="D661" t="s">
        <v>1808</v>
      </c>
      <c r="E661">
        <v>19</v>
      </c>
      <c r="F661">
        <v>32</v>
      </c>
      <c r="G661">
        <v>1</v>
      </c>
      <c r="H661">
        <v>5</v>
      </c>
      <c r="I661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6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66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662" spans="1:11" x14ac:dyDescent="0.35">
      <c r="A662">
        <v>258</v>
      </c>
      <c r="B662">
        <v>12</v>
      </c>
      <c r="C662" t="s">
        <v>19</v>
      </c>
      <c r="D662" t="s">
        <v>1802</v>
      </c>
      <c r="E662">
        <v>25</v>
      </c>
      <c r="F662">
        <v>40</v>
      </c>
      <c r="G662">
        <v>1</v>
      </c>
      <c r="H662">
        <v>10</v>
      </c>
      <c r="I662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6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66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663" spans="1:11" x14ac:dyDescent="0.35">
      <c r="A663">
        <v>258</v>
      </c>
      <c r="B663">
        <v>12</v>
      </c>
      <c r="C663" t="s">
        <v>39</v>
      </c>
      <c r="D663" t="s">
        <v>1812</v>
      </c>
      <c r="E663">
        <v>12</v>
      </c>
      <c r="F663">
        <v>20</v>
      </c>
      <c r="G663">
        <v>1</v>
      </c>
      <c r="H663">
        <v>31</v>
      </c>
      <c r="I663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6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66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64" spans="1:11" x14ac:dyDescent="0.35">
      <c r="A664">
        <v>259</v>
      </c>
      <c r="B664">
        <v>10</v>
      </c>
      <c r="C664" t="s">
        <v>17</v>
      </c>
      <c r="D664" t="s">
        <v>1800</v>
      </c>
      <c r="E664">
        <v>16</v>
      </c>
      <c r="F664">
        <v>27</v>
      </c>
      <c r="G664">
        <v>3</v>
      </c>
      <c r="H664">
        <v>11</v>
      </c>
      <c r="I664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6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664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665" spans="1:11" x14ac:dyDescent="0.35">
      <c r="A665">
        <v>260</v>
      </c>
      <c r="B665">
        <v>20</v>
      </c>
      <c r="C665" t="s">
        <v>41</v>
      </c>
      <c r="D665" t="s">
        <v>1811</v>
      </c>
      <c r="E665">
        <v>14</v>
      </c>
      <c r="F665">
        <v>23</v>
      </c>
      <c r="G665">
        <v>3</v>
      </c>
      <c r="H665">
        <v>49</v>
      </c>
      <c r="I665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6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665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666" spans="1:11" x14ac:dyDescent="0.35">
      <c r="A666">
        <v>261</v>
      </c>
      <c r="B666">
        <v>8</v>
      </c>
      <c r="C666" t="s">
        <v>33</v>
      </c>
      <c r="D666" t="s">
        <v>1808</v>
      </c>
      <c r="E666">
        <v>19</v>
      </c>
      <c r="F666">
        <v>32</v>
      </c>
      <c r="G666">
        <v>3</v>
      </c>
      <c r="H666">
        <v>19</v>
      </c>
      <c r="I666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6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66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667" spans="1:11" x14ac:dyDescent="0.35">
      <c r="A667">
        <v>261</v>
      </c>
      <c r="B667">
        <v>8</v>
      </c>
      <c r="C667" t="s">
        <v>23</v>
      </c>
      <c r="D667" t="s">
        <v>1803</v>
      </c>
      <c r="E667">
        <v>17</v>
      </c>
      <c r="F667">
        <v>29</v>
      </c>
      <c r="G667">
        <v>2</v>
      </c>
      <c r="H667">
        <v>36</v>
      </c>
      <c r="I667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6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66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668" spans="1:11" x14ac:dyDescent="0.35">
      <c r="A668">
        <v>262</v>
      </c>
      <c r="B668">
        <v>18</v>
      </c>
      <c r="C668" t="s">
        <v>15</v>
      </c>
      <c r="D668" t="s">
        <v>1799</v>
      </c>
      <c r="E668">
        <v>19</v>
      </c>
      <c r="F668">
        <v>31</v>
      </c>
      <c r="G668">
        <v>3</v>
      </c>
      <c r="H668">
        <v>20</v>
      </c>
      <c r="I668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6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66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669" spans="1:11" x14ac:dyDescent="0.35">
      <c r="A669">
        <v>262</v>
      </c>
      <c r="B669">
        <v>18</v>
      </c>
      <c r="C669" t="s">
        <v>35</v>
      </c>
      <c r="D669" t="s">
        <v>1809</v>
      </c>
      <c r="E669">
        <v>13</v>
      </c>
      <c r="F669">
        <v>22</v>
      </c>
      <c r="G669">
        <v>1</v>
      </c>
      <c r="H669">
        <v>28</v>
      </c>
      <c r="I669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6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66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670" spans="1:11" x14ac:dyDescent="0.35">
      <c r="A670">
        <v>263</v>
      </c>
      <c r="B670">
        <v>5</v>
      </c>
      <c r="C670" t="s">
        <v>33</v>
      </c>
      <c r="D670" t="s">
        <v>1808</v>
      </c>
      <c r="E670">
        <v>19</v>
      </c>
      <c r="F670">
        <v>32</v>
      </c>
      <c r="G670">
        <v>1</v>
      </c>
      <c r="H670">
        <v>37</v>
      </c>
      <c r="I670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6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67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671" spans="1:11" x14ac:dyDescent="0.35">
      <c r="A671">
        <v>263</v>
      </c>
      <c r="B671">
        <v>5</v>
      </c>
      <c r="C671" t="s">
        <v>12</v>
      </c>
      <c r="D671" t="s">
        <v>1797</v>
      </c>
      <c r="E671">
        <v>18</v>
      </c>
      <c r="F671">
        <v>30</v>
      </c>
      <c r="G671">
        <v>1</v>
      </c>
      <c r="H671">
        <v>42</v>
      </c>
      <c r="I671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6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67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72" spans="1:11" x14ac:dyDescent="0.35">
      <c r="A672">
        <v>263</v>
      </c>
      <c r="B672">
        <v>5</v>
      </c>
      <c r="C672" t="s">
        <v>9</v>
      </c>
      <c r="D672" t="s">
        <v>1798</v>
      </c>
      <c r="E672">
        <v>14</v>
      </c>
      <c r="F672">
        <v>24</v>
      </c>
      <c r="G672">
        <v>1</v>
      </c>
      <c r="H672">
        <v>40</v>
      </c>
      <c r="I672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6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67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673" spans="1:11" x14ac:dyDescent="0.35">
      <c r="A673">
        <v>263</v>
      </c>
      <c r="B673">
        <v>5</v>
      </c>
      <c r="C673" t="s">
        <v>31</v>
      </c>
      <c r="D673" t="s">
        <v>1807</v>
      </c>
      <c r="E673">
        <v>21</v>
      </c>
      <c r="F673">
        <v>35</v>
      </c>
      <c r="G673">
        <v>1</v>
      </c>
      <c r="H673">
        <v>30</v>
      </c>
      <c r="I673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6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67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74" spans="1:11" x14ac:dyDescent="0.35">
      <c r="A674">
        <v>264</v>
      </c>
      <c r="B674">
        <v>2</v>
      </c>
      <c r="C674" t="s">
        <v>49</v>
      </c>
      <c r="D674" t="s">
        <v>1816</v>
      </c>
      <c r="E674">
        <v>15</v>
      </c>
      <c r="F674">
        <v>25</v>
      </c>
      <c r="G674">
        <v>2</v>
      </c>
      <c r="H674">
        <v>14</v>
      </c>
      <c r="I674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6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67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75" spans="1:11" x14ac:dyDescent="0.35">
      <c r="A675">
        <v>264</v>
      </c>
      <c r="B675">
        <v>2</v>
      </c>
      <c r="C675" t="s">
        <v>33</v>
      </c>
      <c r="D675" t="s">
        <v>1808</v>
      </c>
      <c r="E675">
        <v>19</v>
      </c>
      <c r="F675">
        <v>32</v>
      </c>
      <c r="G675">
        <v>1</v>
      </c>
      <c r="H675">
        <v>27</v>
      </c>
      <c r="I675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6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675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676" spans="1:11" x14ac:dyDescent="0.35">
      <c r="A676">
        <v>264</v>
      </c>
      <c r="B676">
        <v>2</v>
      </c>
      <c r="C676" t="s">
        <v>12</v>
      </c>
      <c r="D676" t="s">
        <v>1797</v>
      </c>
      <c r="E676">
        <v>18</v>
      </c>
      <c r="F676">
        <v>30</v>
      </c>
      <c r="G676">
        <v>1</v>
      </c>
      <c r="H676">
        <v>37</v>
      </c>
      <c r="I676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6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67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77" spans="1:11" x14ac:dyDescent="0.35">
      <c r="A677">
        <v>264</v>
      </c>
      <c r="B677">
        <v>2</v>
      </c>
      <c r="C677" t="s">
        <v>31</v>
      </c>
      <c r="D677" t="s">
        <v>1807</v>
      </c>
      <c r="E677">
        <v>21</v>
      </c>
      <c r="F677">
        <v>35</v>
      </c>
      <c r="G677">
        <v>2</v>
      </c>
      <c r="H677">
        <v>39</v>
      </c>
      <c r="I677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6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67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78" spans="1:11" x14ac:dyDescent="0.35">
      <c r="A678">
        <v>265</v>
      </c>
      <c r="B678">
        <v>6</v>
      </c>
      <c r="C678" t="s">
        <v>41</v>
      </c>
      <c r="D678" t="s">
        <v>1811</v>
      </c>
      <c r="E678">
        <v>14</v>
      </c>
      <c r="F678">
        <v>23</v>
      </c>
      <c r="G678">
        <v>1</v>
      </c>
      <c r="H678">
        <v>12</v>
      </c>
      <c r="I678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6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67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679" spans="1:11" x14ac:dyDescent="0.35">
      <c r="A679">
        <v>265</v>
      </c>
      <c r="B679">
        <v>6</v>
      </c>
      <c r="C679" t="s">
        <v>15</v>
      </c>
      <c r="D679" t="s">
        <v>1799</v>
      </c>
      <c r="E679">
        <v>19</v>
      </c>
      <c r="F679">
        <v>31</v>
      </c>
      <c r="G679">
        <v>1</v>
      </c>
      <c r="H679">
        <v>17</v>
      </c>
      <c r="I679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6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67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680" spans="1:11" x14ac:dyDescent="0.35">
      <c r="A680">
        <v>265</v>
      </c>
      <c r="B680">
        <v>6</v>
      </c>
      <c r="C680" t="s">
        <v>12</v>
      </c>
      <c r="D680" t="s">
        <v>1797</v>
      </c>
      <c r="E680">
        <v>18</v>
      </c>
      <c r="F680">
        <v>30</v>
      </c>
      <c r="G680">
        <v>3</v>
      </c>
      <c r="H680">
        <v>50</v>
      </c>
      <c r="I680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6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68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81" spans="1:11" x14ac:dyDescent="0.35">
      <c r="A681">
        <v>265</v>
      </c>
      <c r="B681">
        <v>6</v>
      </c>
      <c r="C681" t="s">
        <v>17</v>
      </c>
      <c r="D681" t="s">
        <v>1800</v>
      </c>
      <c r="E681">
        <v>16</v>
      </c>
      <c r="F681">
        <v>27</v>
      </c>
      <c r="G681">
        <v>1</v>
      </c>
      <c r="H681">
        <v>56</v>
      </c>
      <c r="I681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6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681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682" spans="1:11" x14ac:dyDescent="0.35">
      <c r="A682">
        <v>266</v>
      </c>
      <c r="B682">
        <v>4</v>
      </c>
      <c r="C682" t="s">
        <v>49</v>
      </c>
      <c r="D682" t="s">
        <v>1816</v>
      </c>
      <c r="E682">
        <v>15</v>
      </c>
      <c r="F682">
        <v>25</v>
      </c>
      <c r="G682">
        <v>3</v>
      </c>
      <c r="H682">
        <v>53</v>
      </c>
      <c r="I682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6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68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83" spans="1:11" x14ac:dyDescent="0.35">
      <c r="A683">
        <v>266</v>
      </c>
      <c r="B683">
        <v>4</v>
      </c>
      <c r="C683" t="s">
        <v>9</v>
      </c>
      <c r="D683" t="s">
        <v>1798</v>
      </c>
      <c r="E683">
        <v>14</v>
      </c>
      <c r="F683">
        <v>24</v>
      </c>
      <c r="G683">
        <v>1</v>
      </c>
      <c r="H683">
        <v>53</v>
      </c>
      <c r="I683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6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68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684" spans="1:11" x14ac:dyDescent="0.35">
      <c r="A684">
        <v>267</v>
      </c>
      <c r="B684">
        <v>7</v>
      </c>
      <c r="C684" t="s">
        <v>33</v>
      </c>
      <c r="D684" t="s">
        <v>1808</v>
      </c>
      <c r="E684">
        <v>19</v>
      </c>
      <c r="F684">
        <v>32</v>
      </c>
      <c r="G684">
        <v>1</v>
      </c>
      <c r="H684">
        <v>45</v>
      </c>
      <c r="I684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6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68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685" spans="1:11" x14ac:dyDescent="0.35">
      <c r="A685">
        <v>267</v>
      </c>
      <c r="B685">
        <v>7</v>
      </c>
      <c r="C685" t="s">
        <v>27</v>
      </c>
      <c r="D685" t="s">
        <v>1805</v>
      </c>
      <c r="E685">
        <v>16</v>
      </c>
      <c r="F685">
        <v>28</v>
      </c>
      <c r="G685">
        <v>2</v>
      </c>
      <c r="H685">
        <v>23</v>
      </c>
      <c r="I685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6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685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686" spans="1:11" x14ac:dyDescent="0.35">
      <c r="A686">
        <v>267</v>
      </c>
      <c r="B686">
        <v>7</v>
      </c>
      <c r="C686" t="s">
        <v>12</v>
      </c>
      <c r="D686" t="s">
        <v>1797</v>
      </c>
      <c r="E686">
        <v>18</v>
      </c>
      <c r="F686">
        <v>30</v>
      </c>
      <c r="G686">
        <v>1</v>
      </c>
      <c r="H686">
        <v>28</v>
      </c>
      <c r="I686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6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68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87" spans="1:11" x14ac:dyDescent="0.35">
      <c r="A687">
        <v>268</v>
      </c>
      <c r="B687">
        <v>14</v>
      </c>
      <c r="C687" t="s">
        <v>35</v>
      </c>
      <c r="D687" t="s">
        <v>1809</v>
      </c>
      <c r="E687">
        <v>13</v>
      </c>
      <c r="F687">
        <v>22</v>
      </c>
      <c r="G687">
        <v>2</v>
      </c>
      <c r="H687">
        <v>44</v>
      </c>
      <c r="I687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6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68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688" spans="1:11" x14ac:dyDescent="0.35">
      <c r="A688">
        <v>268</v>
      </c>
      <c r="B688">
        <v>14</v>
      </c>
      <c r="C688" t="s">
        <v>9</v>
      </c>
      <c r="D688" t="s">
        <v>1798</v>
      </c>
      <c r="E688">
        <v>14</v>
      </c>
      <c r="F688">
        <v>24</v>
      </c>
      <c r="G688">
        <v>1</v>
      </c>
      <c r="H688">
        <v>39</v>
      </c>
      <c r="I688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6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68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689" spans="1:11" x14ac:dyDescent="0.35">
      <c r="A689">
        <v>269</v>
      </c>
      <c r="B689">
        <v>11</v>
      </c>
      <c r="C689" t="s">
        <v>37</v>
      </c>
      <c r="D689" t="s">
        <v>1810</v>
      </c>
      <c r="E689">
        <v>20</v>
      </c>
      <c r="F689">
        <v>34</v>
      </c>
      <c r="G689">
        <v>3</v>
      </c>
      <c r="H689">
        <v>30</v>
      </c>
      <c r="I689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6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689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690" spans="1:11" x14ac:dyDescent="0.35">
      <c r="A690">
        <v>269</v>
      </c>
      <c r="B690">
        <v>11</v>
      </c>
      <c r="C690" t="s">
        <v>21</v>
      </c>
      <c r="D690" t="s">
        <v>1801</v>
      </c>
      <c r="E690">
        <v>22</v>
      </c>
      <c r="F690">
        <v>36</v>
      </c>
      <c r="G690">
        <v>3</v>
      </c>
      <c r="H690">
        <v>13</v>
      </c>
      <c r="I690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6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69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691" spans="1:11" x14ac:dyDescent="0.35">
      <c r="A691">
        <v>269</v>
      </c>
      <c r="B691">
        <v>11</v>
      </c>
      <c r="C691" t="s">
        <v>19</v>
      </c>
      <c r="D691" t="s">
        <v>1802</v>
      </c>
      <c r="E691">
        <v>25</v>
      </c>
      <c r="F691">
        <v>40</v>
      </c>
      <c r="G691">
        <v>1</v>
      </c>
      <c r="H691">
        <v>58</v>
      </c>
      <c r="I691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6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691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692" spans="1:11" x14ac:dyDescent="0.35">
      <c r="A692">
        <v>270</v>
      </c>
      <c r="B692">
        <v>10</v>
      </c>
      <c r="C692" t="s">
        <v>37</v>
      </c>
      <c r="D692" t="s">
        <v>1810</v>
      </c>
      <c r="E692">
        <v>20</v>
      </c>
      <c r="F692">
        <v>34</v>
      </c>
      <c r="G692">
        <v>3</v>
      </c>
      <c r="H692">
        <v>26</v>
      </c>
      <c r="I692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6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69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693" spans="1:11" x14ac:dyDescent="0.35">
      <c r="A693">
        <v>271</v>
      </c>
      <c r="B693">
        <v>3</v>
      </c>
      <c r="C693" t="s">
        <v>35</v>
      </c>
      <c r="D693" t="s">
        <v>1809</v>
      </c>
      <c r="E693">
        <v>13</v>
      </c>
      <c r="F693">
        <v>22</v>
      </c>
      <c r="G693">
        <v>2</v>
      </c>
      <c r="H693">
        <v>55</v>
      </c>
      <c r="I693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6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69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694" spans="1:11" x14ac:dyDescent="0.35">
      <c r="A694">
        <v>272</v>
      </c>
      <c r="B694">
        <v>7</v>
      </c>
      <c r="C694" t="s">
        <v>9</v>
      </c>
      <c r="D694" t="s">
        <v>1798</v>
      </c>
      <c r="E694">
        <v>14</v>
      </c>
      <c r="F694">
        <v>24</v>
      </c>
      <c r="G694">
        <v>2</v>
      </c>
      <c r="H694">
        <v>36</v>
      </c>
      <c r="I694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6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69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695" spans="1:11" x14ac:dyDescent="0.35">
      <c r="A695">
        <v>272</v>
      </c>
      <c r="B695">
        <v>7</v>
      </c>
      <c r="C695" t="s">
        <v>31</v>
      </c>
      <c r="D695" t="s">
        <v>1807</v>
      </c>
      <c r="E695">
        <v>21</v>
      </c>
      <c r="F695">
        <v>35</v>
      </c>
      <c r="G695">
        <v>1</v>
      </c>
      <c r="H695">
        <v>47</v>
      </c>
      <c r="I695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6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69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96" spans="1:11" x14ac:dyDescent="0.35">
      <c r="A696">
        <v>273</v>
      </c>
      <c r="B696">
        <v>20</v>
      </c>
      <c r="C696" t="s">
        <v>49</v>
      </c>
      <c r="D696" t="s">
        <v>1816</v>
      </c>
      <c r="E696">
        <v>15</v>
      </c>
      <c r="F696">
        <v>25</v>
      </c>
      <c r="G696">
        <v>1</v>
      </c>
      <c r="H696">
        <v>5</v>
      </c>
      <c r="I696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6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69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697" spans="1:11" x14ac:dyDescent="0.35">
      <c r="A697">
        <v>273</v>
      </c>
      <c r="B697">
        <v>20</v>
      </c>
      <c r="C697" t="s">
        <v>33</v>
      </c>
      <c r="D697" t="s">
        <v>1808</v>
      </c>
      <c r="E697">
        <v>19</v>
      </c>
      <c r="F697">
        <v>32</v>
      </c>
      <c r="G697">
        <v>1</v>
      </c>
      <c r="H697">
        <v>22</v>
      </c>
      <c r="I697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6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69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698" spans="1:11" x14ac:dyDescent="0.35">
      <c r="A698">
        <v>273</v>
      </c>
      <c r="B698">
        <v>20</v>
      </c>
      <c r="C698" t="s">
        <v>35</v>
      </c>
      <c r="D698" t="s">
        <v>1809</v>
      </c>
      <c r="E698">
        <v>13</v>
      </c>
      <c r="F698">
        <v>22</v>
      </c>
      <c r="G698">
        <v>3</v>
      </c>
      <c r="H698">
        <v>40</v>
      </c>
      <c r="I698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6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698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699" spans="1:11" x14ac:dyDescent="0.35">
      <c r="A699">
        <v>274</v>
      </c>
      <c r="B699">
        <v>7</v>
      </c>
      <c r="C699" t="s">
        <v>47</v>
      </c>
      <c r="D699" t="s">
        <v>1815</v>
      </c>
      <c r="E699">
        <v>15</v>
      </c>
      <c r="F699">
        <v>26</v>
      </c>
      <c r="G699">
        <v>3</v>
      </c>
      <c r="H699">
        <v>33</v>
      </c>
      <c r="I699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6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69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00" spans="1:11" x14ac:dyDescent="0.35">
      <c r="A700">
        <v>274</v>
      </c>
      <c r="B700">
        <v>7</v>
      </c>
      <c r="C700" t="s">
        <v>29</v>
      </c>
      <c r="D700" t="s">
        <v>1806</v>
      </c>
      <c r="E700">
        <v>11</v>
      </c>
      <c r="F700">
        <v>19</v>
      </c>
      <c r="G700">
        <v>2</v>
      </c>
      <c r="H700">
        <v>42</v>
      </c>
      <c r="I700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7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00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701" spans="1:11" x14ac:dyDescent="0.35">
      <c r="A701">
        <v>275</v>
      </c>
      <c r="B701">
        <v>5</v>
      </c>
      <c r="C701" t="s">
        <v>47</v>
      </c>
      <c r="D701" t="s">
        <v>1815</v>
      </c>
      <c r="E701">
        <v>15</v>
      </c>
      <c r="F701">
        <v>26</v>
      </c>
      <c r="G701">
        <v>1</v>
      </c>
      <c r="H701">
        <v>58</v>
      </c>
      <c r="I701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7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70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02" spans="1:11" x14ac:dyDescent="0.35">
      <c r="A702">
        <v>275</v>
      </c>
      <c r="B702">
        <v>5</v>
      </c>
      <c r="C702" t="s">
        <v>25</v>
      </c>
      <c r="D702" t="s">
        <v>1804</v>
      </c>
      <c r="E702">
        <v>20</v>
      </c>
      <c r="F702">
        <v>33</v>
      </c>
      <c r="G702">
        <v>1</v>
      </c>
      <c r="H702">
        <v>32</v>
      </c>
      <c r="I702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7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702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703" spans="1:11" x14ac:dyDescent="0.35">
      <c r="A703">
        <v>275</v>
      </c>
      <c r="B703">
        <v>5</v>
      </c>
      <c r="C703" t="s">
        <v>15</v>
      </c>
      <c r="D703" t="s">
        <v>1799</v>
      </c>
      <c r="E703">
        <v>19</v>
      </c>
      <c r="F703">
        <v>31</v>
      </c>
      <c r="G703">
        <v>2</v>
      </c>
      <c r="H703">
        <v>32</v>
      </c>
      <c r="I703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7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03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04" spans="1:11" x14ac:dyDescent="0.35">
      <c r="A704">
        <v>276</v>
      </c>
      <c r="B704">
        <v>15</v>
      </c>
      <c r="C704" t="s">
        <v>47</v>
      </c>
      <c r="D704" t="s">
        <v>1815</v>
      </c>
      <c r="E704">
        <v>15</v>
      </c>
      <c r="F704">
        <v>26</v>
      </c>
      <c r="G704">
        <v>1</v>
      </c>
      <c r="H704">
        <v>36</v>
      </c>
      <c r="I704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7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70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05" spans="1:11" x14ac:dyDescent="0.35">
      <c r="A705">
        <v>276</v>
      </c>
      <c r="B705">
        <v>15</v>
      </c>
      <c r="C705" t="s">
        <v>35</v>
      </c>
      <c r="D705" t="s">
        <v>1809</v>
      </c>
      <c r="E705">
        <v>13</v>
      </c>
      <c r="F705">
        <v>22</v>
      </c>
      <c r="G705">
        <v>2</v>
      </c>
      <c r="H705">
        <v>49</v>
      </c>
      <c r="I705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7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705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706" spans="1:11" x14ac:dyDescent="0.35">
      <c r="A706">
        <v>277</v>
      </c>
      <c r="B706">
        <v>4</v>
      </c>
      <c r="C706" t="s">
        <v>15</v>
      </c>
      <c r="D706" t="s">
        <v>1799</v>
      </c>
      <c r="E706">
        <v>19</v>
      </c>
      <c r="F706">
        <v>31</v>
      </c>
      <c r="G706">
        <v>3</v>
      </c>
      <c r="H706">
        <v>29</v>
      </c>
      <c r="I706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7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70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07" spans="1:11" x14ac:dyDescent="0.35">
      <c r="A707">
        <v>278</v>
      </c>
      <c r="B707">
        <v>5</v>
      </c>
      <c r="C707" t="s">
        <v>15</v>
      </c>
      <c r="D707" t="s">
        <v>1799</v>
      </c>
      <c r="E707">
        <v>19</v>
      </c>
      <c r="F707">
        <v>31</v>
      </c>
      <c r="G707">
        <v>3</v>
      </c>
      <c r="H707">
        <v>33</v>
      </c>
      <c r="I707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7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70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08" spans="1:11" x14ac:dyDescent="0.35">
      <c r="A708">
        <v>278</v>
      </c>
      <c r="B708">
        <v>5</v>
      </c>
      <c r="C708" t="s">
        <v>9</v>
      </c>
      <c r="D708" t="s">
        <v>1798</v>
      </c>
      <c r="E708">
        <v>14</v>
      </c>
      <c r="F708">
        <v>24</v>
      </c>
      <c r="G708">
        <v>2</v>
      </c>
      <c r="H708">
        <v>28</v>
      </c>
      <c r="I708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7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70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709" spans="1:11" x14ac:dyDescent="0.35">
      <c r="A709">
        <v>279</v>
      </c>
      <c r="B709">
        <v>11</v>
      </c>
      <c r="C709" t="s">
        <v>27</v>
      </c>
      <c r="D709" t="s">
        <v>1805</v>
      </c>
      <c r="E709">
        <v>16</v>
      </c>
      <c r="F709">
        <v>28</v>
      </c>
      <c r="G709">
        <v>1</v>
      </c>
      <c r="H709">
        <v>8</v>
      </c>
      <c r="I709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7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709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710" spans="1:11" x14ac:dyDescent="0.35">
      <c r="A710">
        <v>279</v>
      </c>
      <c r="B710">
        <v>11</v>
      </c>
      <c r="C710" t="s">
        <v>19</v>
      </c>
      <c r="D710" t="s">
        <v>1802</v>
      </c>
      <c r="E710">
        <v>25</v>
      </c>
      <c r="F710">
        <v>40</v>
      </c>
      <c r="G710">
        <v>3</v>
      </c>
      <c r="H710">
        <v>48</v>
      </c>
      <c r="I710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7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710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711" spans="1:11" x14ac:dyDescent="0.35">
      <c r="A711">
        <v>279</v>
      </c>
      <c r="B711">
        <v>11</v>
      </c>
      <c r="C711" t="s">
        <v>45</v>
      </c>
      <c r="D711" t="s">
        <v>1814</v>
      </c>
      <c r="E711">
        <v>10</v>
      </c>
      <c r="F711">
        <v>18</v>
      </c>
      <c r="G711">
        <v>1</v>
      </c>
      <c r="H711">
        <v>58</v>
      </c>
      <c r="I711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7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71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712" spans="1:11" x14ac:dyDescent="0.35">
      <c r="A712">
        <v>279</v>
      </c>
      <c r="B712">
        <v>11</v>
      </c>
      <c r="C712" t="s">
        <v>31</v>
      </c>
      <c r="D712" t="s">
        <v>1807</v>
      </c>
      <c r="E712">
        <v>21</v>
      </c>
      <c r="F712">
        <v>35</v>
      </c>
      <c r="G712">
        <v>1</v>
      </c>
      <c r="H712">
        <v>28</v>
      </c>
      <c r="I712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7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71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13" spans="1:11" x14ac:dyDescent="0.35">
      <c r="A713">
        <v>280</v>
      </c>
      <c r="B713">
        <v>14</v>
      </c>
      <c r="C713" t="s">
        <v>41</v>
      </c>
      <c r="D713" t="s">
        <v>1811</v>
      </c>
      <c r="E713">
        <v>14</v>
      </c>
      <c r="F713">
        <v>23</v>
      </c>
      <c r="G713">
        <v>3</v>
      </c>
      <c r="H713">
        <v>34</v>
      </c>
      <c r="I713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7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713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714" spans="1:11" x14ac:dyDescent="0.35">
      <c r="A714">
        <v>280</v>
      </c>
      <c r="B714">
        <v>14</v>
      </c>
      <c r="C714" t="s">
        <v>9</v>
      </c>
      <c r="D714" t="s">
        <v>1798</v>
      </c>
      <c r="E714">
        <v>14</v>
      </c>
      <c r="F714">
        <v>24</v>
      </c>
      <c r="G714">
        <v>2</v>
      </c>
      <c r="H714">
        <v>52</v>
      </c>
      <c r="I714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7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71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715" spans="1:11" x14ac:dyDescent="0.35">
      <c r="A715">
        <v>281</v>
      </c>
      <c r="B715">
        <v>18</v>
      </c>
      <c r="C715" t="s">
        <v>25</v>
      </c>
      <c r="D715" t="s">
        <v>1804</v>
      </c>
      <c r="E715">
        <v>20</v>
      </c>
      <c r="F715">
        <v>33</v>
      </c>
      <c r="G715">
        <v>2</v>
      </c>
      <c r="H715">
        <v>9</v>
      </c>
      <c r="I715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7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71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716" spans="1:11" x14ac:dyDescent="0.35">
      <c r="A716">
        <v>282</v>
      </c>
      <c r="B716">
        <v>6</v>
      </c>
      <c r="C716" t="s">
        <v>39</v>
      </c>
      <c r="D716" t="s">
        <v>1812</v>
      </c>
      <c r="E716">
        <v>12</v>
      </c>
      <c r="F716">
        <v>20</v>
      </c>
      <c r="G716">
        <v>1</v>
      </c>
      <c r="H716">
        <v>57</v>
      </c>
      <c r="I716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7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71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17" spans="1:11" x14ac:dyDescent="0.35">
      <c r="A717">
        <v>282</v>
      </c>
      <c r="B717">
        <v>6</v>
      </c>
      <c r="C717" t="s">
        <v>45</v>
      </c>
      <c r="D717" t="s">
        <v>1814</v>
      </c>
      <c r="E717">
        <v>10</v>
      </c>
      <c r="F717">
        <v>18</v>
      </c>
      <c r="G717">
        <v>3</v>
      </c>
      <c r="H717">
        <v>57</v>
      </c>
      <c r="I71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7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17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718" spans="1:11" x14ac:dyDescent="0.35">
      <c r="A718">
        <v>283</v>
      </c>
      <c r="B718">
        <v>19</v>
      </c>
      <c r="C718" t="s">
        <v>47</v>
      </c>
      <c r="D718" t="s">
        <v>1815</v>
      </c>
      <c r="E718">
        <v>15</v>
      </c>
      <c r="F718">
        <v>26</v>
      </c>
      <c r="G718">
        <v>3</v>
      </c>
      <c r="H718">
        <v>6</v>
      </c>
      <c r="I718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7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718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19" spans="1:11" x14ac:dyDescent="0.35">
      <c r="A719">
        <v>284</v>
      </c>
      <c r="B719">
        <v>11</v>
      </c>
      <c r="C719" t="s">
        <v>25</v>
      </c>
      <c r="D719" t="s">
        <v>1804</v>
      </c>
      <c r="E719">
        <v>20</v>
      </c>
      <c r="F719">
        <v>33</v>
      </c>
      <c r="G719">
        <v>1</v>
      </c>
      <c r="H719">
        <v>50</v>
      </c>
      <c r="I719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7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71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720" spans="1:11" x14ac:dyDescent="0.35">
      <c r="A720">
        <v>284</v>
      </c>
      <c r="B720">
        <v>11</v>
      </c>
      <c r="C720" t="s">
        <v>29</v>
      </c>
      <c r="D720" t="s">
        <v>1806</v>
      </c>
      <c r="E720">
        <v>11</v>
      </c>
      <c r="F720">
        <v>19</v>
      </c>
      <c r="G720">
        <v>2</v>
      </c>
      <c r="H720">
        <v>41</v>
      </c>
      <c r="I720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7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20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721" spans="1:11" x14ac:dyDescent="0.35">
      <c r="A721">
        <v>284</v>
      </c>
      <c r="B721">
        <v>11</v>
      </c>
      <c r="C721" t="s">
        <v>39</v>
      </c>
      <c r="D721" t="s">
        <v>1812</v>
      </c>
      <c r="E721">
        <v>12</v>
      </c>
      <c r="F721">
        <v>20</v>
      </c>
      <c r="G721">
        <v>3</v>
      </c>
      <c r="H721">
        <v>45</v>
      </c>
      <c r="I721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7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2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22" spans="1:11" x14ac:dyDescent="0.35">
      <c r="A722">
        <v>284</v>
      </c>
      <c r="B722">
        <v>11</v>
      </c>
      <c r="C722" t="s">
        <v>17</v>
      </c>
      <c r="D722" t="s">
        <v>1800</v>
      </c>
      <c r="E722">
        <v>16</v>
      </c>
      <c r="F722">
        <v>27</v>
      </c>
      <c r="G722">
        <v>1</v>
      </c>
      <c r="H722">
        <v>59</v>
      </c>
      <c r="I722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7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72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723" spans="1:11" x14ac:dyDescent="0.35">
      <c r="A723">
        <v>285</v>
      </c>
      <c r="B723">
        <v>18</v>
      </c>
      <c r="C723" t="s">
        <v>43</v>
      </c>
      <c r="D723" t="s">
        <v>1813</v>
      </c>
      <c r="E723">
        <v>13</v>
      </c>
      <c r="F723">
        <v>21</v>
      </c>
      <c r="G723">
        <v>2</v>
      </c>
      <c r="H723">
        <v>12</v>
      </c>
      <c r="I723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7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2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724" spans="1:11" x14ac:dyDescent="0.35">
      <c r="A724">
        <v>286</v>
      </c>
      <c r="B724">
        <v>15</v>
      </c>
      <c r="C724" t="s">
        <v>37</v>
      </c>
      <c r="D724" t="s">
        <v>1810</v>
      </c>
      <c r="E724">
        <v>20</v>
      </c>
      <c r="F724">
        <v>34</v>
      </c>
      <c r="G724">
        <v>2</v>
      </c>
      <c r="H724">
        <v>25</v>
      </c>
      <c r="I724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7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72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725" spans="1:11" x14ac:dyDescent="0.35">
      <c r="A725">
        <v>287</v>
      </c>
      <c r="B725">
        <v>20</v>
      </c>
      <c r="C725" t="s">
        <v>41</v>
      </c>
      <c r="D725" t="s">
        <v>1811</v>
      </c>
      <c r="E725">
        <v>14</v>
      </c>
      <c r="F725">
        <v>23</v>
      </c>
      <c r="G725">
        <v>2</v>
      </c>
      <c r="H725">
        <v>58</v>
      </c>
      <c r="I725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7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725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726" spans="1:11" x14ac:dyDescent="0.35">
      <c r="A726">
        <v>287</v>
      </c>
      <c r="B726">
        <v>20</v>
      </c>
      <c r="C726" t="s">
        <v>33</v>
      </c>
      <c r="D726" t="s">
        <v>1808</v>
      </c>
      <c r="E726">
        <v>19</v>
      </c>
      <c r="F726">
        <v>32</v>
      </c>
      <c r="G726">
        <v>3</v>
      </c>
      <c r="H726">
        <v>46</v>
      </c>
      <c r="I726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7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72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727" spans="1:11" x14ac:dyDescent="0.35">
      <c r="A727">
        <v>287</v>
      </c>
      <c r="B727">
        <v>20</v>
      </c>
      <c r="C727" t="s">
        <v>12</v>
      </c>
      <c r="D727" t="s">
        <v>1797</v>
      </c>
      <c r="E727">
        <v>18</v>
      </c>
      <c r="F727">
        <v>30</v>
      </c>
      <c r="G727">
        <v>2</v>
      </c>
      <c r="H727">
        <v>17</v>
      </c>
      <c r="I727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7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2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28" spans="1:11" x14ac:dyDescent="0.35">
      <c r="A728">
        <v>288</v>
      </c>
      <c r="B728">
        <v>15</v>
      </c>
      <c r="C728" t="s">
        <v>29</v>
      </c>
      <c r="D728" t="s">
        <v>1806</v>
      </c>
      <c r="E728">
        <v>11</v>
      </c>
      <c r="F728">
        <v>19</v>
      </c>
      <c r="G728">
        <v>2</v>
      </c>
      <c r="H728">
        <v>32</v>
      </c>
      <c r="I728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7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2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729" spans="1:11" x14ac:dyDescent="0.35">
      <c r="A729">
        <v>288</v>
      </c>
      <c r="B729">
        <v>15</v>
      </c>
      <c r="C729" t="s">
        <v>9</v>
      </c>
      <c r="D729" t="s">
        <v>1798</v>
      </c>
      <c r="E729">
        <v>14</v>
      </c>
      <c r="F729">
        <v>24</v>
      </c>
      <c r="G729">
        <v>2</v>
      </c>
      <c r="H729">
        <v>6</v>
      </c>
      <c r="I729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7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72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730" spans="1:11" x14ac:dyDescent="0.35">
      <c r="A730">
        <v>289</v>
      </c>
      <c r="B730">
        <v>15</v>
      </c>
      <c r="C730" t="s">
        <v>47</v>
      </c>
      <c r="D730" t="s">
        <v>1815</v>
      </c>
      <c r="E730">
        <v>15</v>
      </c>
      <c r="F730">
        <v>26</v>
      </c>
      <c r="G730">
        <v>3</v>
      </c>
      <c r="H730">
        <v>48</v>
      </c>
      <c r="I730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7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730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31" spans="1:11" x14ac:dyDescent="0.35">
      <c r="A731">
        <v>289</v>
      </c>
      <c r="B731">
        <v>15</v>
      </c>
      <c r="C731" t="s">
        <v>39</v>
      </c>
      <c r="D731" t="s">
        <v>1812</v>
      </c>
      <c r="E731">
        <v>12</v>
      </c>
      <c r="F731">
        <v>20</v>
      </c>
      <c r="G731">
        <v>3</v>
      </c>
      <c r="H731">
        <v>20</v>
      </c>
      <c r="I731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7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3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32" spans="1:11" x14ac:dyDescent="0.35">
      <c r="A732">
        <v>290</v>
      </c>
      <c r="B732">
        <v>19</v>
      </c>
      <c r="C732" t="s">
        <v>19</v>
      </c>
      <c r="D732" t="s">
        <v>1802</v>
      </c>
      <c r="E732">
        <v>25</v>
      </c>
      <c r="F732">
        <v>40</v>
      </c>
      <c r="G732">
        <v>1</v>
      </c>
      <c r="H732">
        <v>57</v>
      </c>
      <c r="I732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7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73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733" spans="1:11" x14ac:dyDescent="0.35">
      <c r="A733">
        <v>291</v>
      </c>
      <c r="B733">
        <v>2</v>
      </c>
      <c r="C733" t="s">
        <v>49</v>
      </c>
      <c r="D733" t="s">
        <v>1816</v>
      </c>
      <c r="E733">
        <v>15</v>
      </c>
      <c r="F733">
        <v>25</v>
      </c>
      <c r="G733">
        <v>1</v>
      </c>
      <c r="H733">
        <v>41</v>
      </c>
      <c r="I733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7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73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34" spans="1:11" x14ac:dyDescent="0.35">
      <c r="A734">
        <v>291</v>
      </c>
      <c r="B734">
        <v>2</v>
      </c>
      <c r="C734" t="s">
        <v>15</v>
      </c>
      <c r="D734" t="s">
        <v>1799</v>
      </c>
      <c r="E734">
        <v>19</v>
      </c>
      <c r="F734">
        <v>31</v>
      </c>
      <c r="G734">
        <v>2</v>
      </c>
      <c r="H734">
        <v>14</v>
      </c>
      <c r="I734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7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3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35" spans="1:11" x14ac:dyDescent="0.35">
      <c r="A735">
        <v>291</v>
      </c>
      <c r="B735">
        <v>2</v>
      </c>
      <c r="C735" t="s">
        <v>37</v>
      </c>
      <c r="D735" t="s">
        <v>1810</v>
      </c>
      <c r="E735">
        <v>20</v>
      </c>
      <c r="F735">
        <v>34</v>
      </c>
      <c r="G735">
        <v>2</v>
      </c>
      <c r="H735">
        <v>28</v>
      </c>
      <c r="I735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7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73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736" spans="1:11" x14ac:dyDescent="0.35">
      <c r="A736">
        <v>291</v>
      </c>
      <c r="B736">
        <v>2</v>
      </c>
      <c r="C736" t="s">
        <v>31</v>
      </c>
      <c r="D736" t="s">
        <v>1807</v>
      </c>
      <c r="E736">
        <v>21</v>
      </c>
      <c r="F736">
        <v>35</v>
      </c>
      <c r="G736">
        <v>3</v>
      </c>
      <c r="H736">
        <v>12</v>
      </c>
      <c r="I736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7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73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37" spans="1:11" x14ac:dyDescent="0.35">
      <c r="A737">
        <v>292</v>
      </c>
      <c r="B737">
        <v>10</v>
      </c>
      <c r="C737" t="s">
        <v>27</v>
      </c>
      <c r="D737" t="s">
        <v>1805</v>
      </c>
      <c r="E737">
        <v>16</v>
      </c>
      <c r="F737">
        <v>28</v>
      </c>
      <c r="G737">
        <v>3</v>
      </c>
      <c r="H737">
        <v>23</v>
      </c>
      <c r="I737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7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737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738" spans="1:11" x14ac:dyDescent="0.35">
      <c r="A738">
        <v>293</v>
      </c>
      <c r="B738">
        <v>16</v>
      </c>
      <c r="C738" t="s">
        <v>27</v>
      </c>
      <c r="D738" t="s">
        <v>1805</v>
      </c>
      <c r="E738">
        <v>16</v>
      </c>
      <c r="F738">
        <v>28</v>
      </c>
      <c r="G738">
        <v>3</v>
      </c>
      <c r="H738">
        <v>44</v>
      </c>
      <c r="I738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7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738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739" spans="1:11" x14ac:dyDescent="0.35">
      <c r="A739">
        <v>293</v>
      </c>
      <c r="B739">
        <v>16</v>
      </c>
      <c r="C739" t="s">
        <v>21</v>
      </c>
      <c r="D739" t="s">
        <v>1801</v>
      </c>
      <c r="E739">
        <v>22</v>
      </c>
      <c r="F739">
        <v>36</v>
      </c>
      <c r="G739">
        <v>2</v>
      </c>
      <c r="H739">
        <v>47</v>
      </c>
      <c r="I739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7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739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740" spans="1:11" x14ac:dyDescent="0.35">
      <c r="A740">
        <v>293</v>
      </c>
      <c r="B740">
        <v>16</v>
      </c>
      <c r="C740" t="s">
        <v>12</v>
      </c>
      <c r="D740" t="s">
        <v>1797</v>
      </c>
      <c r="E740">
        <v>18</v>
      </c>
      <c r="F740">
        <v>30</v>
      </c>
      <c r="G740">
        <v>2</v>
      </c>
      <c r="H740">
        <v>29</v>
      </c>
      <c r="I740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7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4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41" spans="1:11" x14ac:dyDescent="0.35">
      <c r="A741">
        <v>294</v>
      </c>
      <c r="B741">
        <v>17</v>
      </c>
      <c r="C741" t="s">
        <v>15</v>
      </c>
      <c r="D741" t="s">
        <v>1799</v>
      </c>
      <c r="E741">
        <v>19</v>
      </c>
      <c r="F741">
        <v>31</v>
      </c>
      <c r="G741">
        <v>2</v>
      </c>
      <c r="H741">
        <v>31</v>
      </c>
      <c r="I741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7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41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42" spans="1:11" x14ac:dyDescent="0.35">
      <c r="A742">
        <v>294</v>
      </c>
      <c r="B742">
        <v>17</v>
      </c>
      <c r="C742" t="s">
        <v>37</v>
      </c>
      <c r="D742" t="s">
        <v>1810</v>
      </c>
      <c r="E742">
        <v>20</v>
      </c>
      <c r="F742">
        <v>34</v>
      </c>
      <c r="G742">
        <v>3</v>
      </c>
      <c r="H742">
        <v>9</v>
      </c>
      <c r="I742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7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74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743" spans="1:11" x14ac:dyDescent="0.35">
      <c r="A743">
        <v>294</v>
      </c>
      <c r="B743">
        <v>17</v>
      </c>
      <c r="C743" t="s">
        <v>21</v>
      </c>
      <c r="D743" t="s">
        <v>1801</v>
      </c>
      <c r="E743">
        <v>22</v>
      </c>
      <c r="F743">
        <v>36</v>
      </c>
      <c r="G743">
        <v>3</v>
      </c>
      <c r="H743">
        <v>13</v>
      </c>
      <c r="I743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7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743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744" spans="1:11" x14ac:dyDescent="0.35">
      <c r="A744">
        <v>294</v>
      </c>
      <c r="B744">
        <v>17</v>
      </c>
      <c r="C744" t="s">
        <v>45</v>
      </c>
      <c r="D744" t="s">
        <v>1814</v>
      </c>
      <c r="E744">
        <v>10</v>
      </c>
      <c r="F744">
        <v>18</v>
      </c>
      <c r="G744">
        <v>3</v>
      </c>
      <c r="H744">
        <v>33</v>
      </c>
      <c r="I744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7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4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745" spans="1:11" x14ac:dyDescent="0.35">
      <c r="A745">
        <v>295</v>
      </c>
      <c r="B745">
        <v>3</v>
      </c>
      <c r="C745" t="s">
        <v>43</v>
      </c>
      <c r="D745" t="s">
        <v>1813</v>
      </c>
      <c r="E745">
        <v>13</v>
      </c>
      <c r="F745">
        <v>21</v>
      </c>
      <c r="G745">
        <v>3</v>
      </c>
      <c r="H745">
        <v>59</v>
      </c>
      <c r="I745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7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45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746" spans="1:11" x14ac:dyDescent="0.35">
      <c r="A746">
        <v>295</v>
      </c>
      <c r="B746">
        <v>3</v>
      </c>
      <c r="C746" t="s">
        <v>33</v>
      </c>
      <c r="D746" t="s">
        <v>1808</v>
      </c>
      <c r="E746">
        <v>19</v>
      </c>
      <c r="F746">
        <v>32</v>
      </c>
      <c r="G746">
        <v>1</v>
      </c>
      <c r="H746">
        <v>44</v>
      </c>
      <c r="I746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7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74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747" spans="1:11" x14ac:dyDescent="0.35">
      <c r="A747">
        <v>295</v>
      </c>
      <c r="B747">
        <v>3</v>
      </c>
      <c r="C747" t="s">
        <v>15</v>
      </c>
      <c r="D747" t="s">
        <v>1799</v>
      </c>
      <c r="E747">
        <v>19</v>
      </c>
      <c r="F747">
        <v>31</v>
      </c>
      <c r="G747">
        <v>2</v>
      </c>
      <c r="H747">
        <v>39</v>
      </c>
      <c r="I747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7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4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48" spans="1:11" x14ac:dyDescent="0.35">
      <c r="A748">
        <v>295</v>
      </c>
      <c r="B748">
        <v>3</v>
      </c>
      <c r="C748" t="s">
        <v>12</v>
      </c>
      <c r="D748" t="s">
        <v>1797</v>
      </c>
      <c r="E748">
        <v>18</v>
      </c>
      <c r="F748">
        <v>30</v>
      </c>
      <c r="G748">
        <v>3</v>
      </c>
      <c r="H748">
        <v>35</v>
      </c>
      <c r="I748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7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74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49" spans="1:11" x14ac:dyDescent="0.35">
      <c r="A749">
        <v>296</v>
      </c>
      <c r="B749">
        <v>14</v>
      </c>
      <c r="C749" t="s">
        <v>41</v>
      </c>
      <c r="D749" t="s">
        <v>1811</v>
      </c>
      <c r="E749">
        <v>14</v>
      </c>
      <c r="F749">
        <v>23</v>
      </c>
      <c r="G749">
        <v>1</v>
      </c>
      <c r="H749">
        <v>20</v>
      </c>
      <c r="I749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7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74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750" spans="1:11" x14ac:dyDescent="0.35">
      <c r="A750">
        <v>296</v>
      </c>
      <c r="B750">
        <v>14</v>
      </c>
      <c r="C750" t="s">
        <v>21</v>
      </c>
      <c r="D750" t="s">
        <v>1801</v>
      </c>
      <c r="E750">
        <v>22</v>
      </c>
      <c r="F750">
        <v>36</v>
      </c>
      <c r="G750">
        <v>1</v>
      </c>
      <c r="H750">
        <v>26</v>
      </c>
      <c r="I750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7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75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751" spans="1:11" x14ac:dyDescent="0.35">
      <c r="A751">
        <v>297</v>
      </c>
      <c r="B751">
        <v>4</v>
      </c>
      <c r="C751" t="s">
        <v>43</v>
      </c>
      <c r="D751" t="s">
        <v>1813</v>
      </c>
      <c r="E751">
        <v>13</v>
      </c>
      <c r="F751">
        <v>21</v>
      </c>
      <c r="G751">
        <v>3</v>
      </c>
      <c r="H751">
        <v>40</v>
      </c>
      <c r="I751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7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5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752" spans="1:11" x14ac:dyDescent="0.35">
      <c r="A752">
        <v>297</v>
      </c>
      <c r="B752">
        <v>4</v>
      </c>
      <c r="C752" t="s">
        <v>45</v>
      </c>
      <c r="D752" t="s">
        <v>1814</v>
      </c>
      <c r="E752">
        <v>10</v>
      </c>
      <c r="F752">
        <v>18</v>
      </c>
      <c r="G752">
        <v>3</v>
      </c>
      <c r="H752">
        <v>13</v>
      </c>
      <c r="I752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7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5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753" spans="1:11" x14ac:dyDescent="0.35">
      <c r="A753">
        <v>297</v>
      </c>
      <c r="B753">
        <v>4</v>
      </c>
      <c r="C753" t="s">
        <v>23</v>
      </c>
      <c r="D753" t="s">
        <v>1803</v>
      </c>
      <c r="E753">
        <v>17</v>
      </c>
      <c r="F753">
        <v>29</v>
      </c>
      <c r="G753">
        <v>2</v>
      </c>
      <c r="H753">
        <v>59</v>
      </c>
      <c r="I753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7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53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754" spans="1:11" x14ac:dyDescent="0.35">
      <c r="A754">
        <v>298</v>
      </c>
      <c r="B754">
        <v>11</v>
      </c>
      <c r="C754" t="s">
        <v>21</v>
      </c>
      <c r="D754" t="s">
        <v>1801</v>
      </c>
      <c r="E754">
        <v>22</v>
      </c>
      <c r="F754">
        <v>36</v>
      </c>
      <c r="G754">
        <v>3</v>
      </c>
      <c r="H754">
        <v>49</v>
      </c>
      <c r="I754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7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754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755" spans="1:11" x14ac:dyDescent="0.35">
      <c r="A755">
        <v>298</v>
      </c>
      <c r="B755">
        <v>11</v>
      </c>
      <c r="C755" t="s">
        <v>35</v>
      </c>
      <c r="D755" t="s">
        <v>1809</v>
      </c>
      <c r="E755">
        <v>13</v>
      </c>
      <c r="F755">
        <v>22</v>
      </c>
      <c r="G755">
        <v>3</v>
      </c>
      <c r="H755">
        <v>46</v>
      </c>
      <c r="I755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7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755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756" spans="1:11" x14ac:dyDescent="0.35">
      <c r="A756">
        <v>298</v>
      </c>
      <c r="B756">
        <v>11</v>
      </c>
      <c r="C756" t="s">
        <v>17</v>
      </c>
      <c r="D756" t="s">
        <v>1800</v>
      </c>
      <c r="E756">
        <v>16</v>
      </c>
      <c r="F756">
        <v>27</v>
      </c>
      <c r="G756">
        <v>3</v>
      </c>
      <c r="H756">
        <v>46</v>
      </c>
      <c r="I756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7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756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757" spans="1:11" x14ac:dyDescent="0.35">
      <c r="A757">
        <v>299</v>
      </c>
      <c r="B757">
        <v>6</v>
      </c>
      <c r="C757" t="s">
        <v>21</v>
      </c>
      <c r="D757" t="s">
        <v>1801</v>
      </c>
      <c r="E757">
        <v>22</v>
      </c>
      <c r="F757">
        <v>36</v>
      </c>
      <c r="G757">
        <v>2</v>
      </c>
      <c r="H757">
        <v>55</v>
      </c>
      <c r="I757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7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757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758" spans="1:11" x14ac:dyDescent="0.35">
      <c r="A758">
        <v>299</v>
      </c>
      <c r="B758">
        <v>6</v>
      </c>
      <c r="C758" t="s">
        <v>39</v>
      </c>
      <c r="D758" t="s">
        <v>1812</v>
      </c>
      <c r="E758">
        <v>12</v>
      </c>
      <c r="F758">
        <v>20</v>
      </c>
      <c r="G758">
        <v>1</v>
      </c>
      <c r="H758">
        <v>17</v>
      </c>
      <c r="I758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7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75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59" spans="1:11" x14ac:dyDescent="0.35">
      <c r="A759">
        <v>299</v>
      </c>
      <c r="B759">
        <v>6</v>
      </c>
      <c r="C759" t="s">
        <v>45</v>
      </c>
      <c r="D759" t="s">
        <v>1814</v>
      </c>
      <c r="E759">
        <v>10</v>
      </c>
      <c r="F759">
        <v>18</v>
      </c>
      <c r="G759">
        <v>1</v>
      </c>
      <c r="H759">
        <v>26</v>
      </c>
      <c r="I759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7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75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760" spans="1:11" x14ac:dyDescent="0.35">
      <c r="A760">
        <v>299</v>
      </c>
      <c r="B760">
        <v>6</v>
      </c>
      <c r="C760" t="s">
        <v>9</v>
      </c>
      <c r="D760" t="s">
        <v>1798</v>
      </c>
      <c r="E760">
        <v>14</v>
      </c>
      <c r="F760">
        <v>24</v>
      </c>
      <c r="G760">
        <v>3</v>
      </c>
      <c r="H760">
        <v>15</v>
      </c>
      <c r="I760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7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760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761" spans="1:11" x14ac:dyDescent="0.35">
      <c r="A761">
        <v>300</v>
      </c>
      <c r="B761">
        <v>18</v>
      </c>
      <c r="C761" t="s">
        <v>47</v>
      </c>
      <c r="D761" t="s">
        <v>1815</v>
      </c>
      <c r="E761">
        <v>15</v>
      </c>
      <c r="F761">
        <v>26</v>
      </c>
      <c r="G761">
        <v>1</v>
      </c>
      <c r="H761">
        <v>22</v>
      </c>
      <c r="I761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7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76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62" spans="1:11" x14ac:dyDescent="0.35">
      <c r="A762">
        <v>300</v>
      </c>
      <c r="B762">
        <v>18</v>
      </c>
      <c r="C762" t="s">
        <v>12</v>
      </c>
      <c r="D762" t="s">
        <v>1797</v>
      </c>
      <c r="E762">
        <v>18</v>
      </c>
      <c r="F762">
        <v>30</v>
      </c>
      <c r="G762">
        <v>3</v>
      </c>
      <c r="H762">
        <v>28</v>
      </c>
      <c r="I762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7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76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63" spans="1:11" x14ac:dyDescent="0.35">
      <c r="A763">
        <v>300</v>
      </c>
      <c r="B763">
        <v>18</v>
      </c>
      <c r="C763" t="s">
        <v>19</v>
      </c>
      <c r="D763" t="s">
        <v>1802</v>
      </c>
      <c r="E763">
        <v>25</v>
      </c>
      <c r="F763">
        <v>40</v>
      </c>
      <c r="G763">
        <v>3</v>
      </c>
      <c r="H763">
        <v>54</v>
      </c>
      <c r="I763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7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76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764" spans="1:11" x14ac:dyDescent="0.35">
      <c r="A764">
        <v>300</v>
      </c>
      <c r="B764">
        <v>18</v>
      </c>
      <c r="C764" t="s">
        <v>45</v>
      </c>
      <c r="D764" t="s">
        <v>1814</v>
      </c>
      <c r="E764">
        <v>10</v>
      </c>
      <c r="F764">
        <v>18</v>
      </c>
      <c r="G764">
        <v>3</v>
      </c>
      <c r="H764">
        <v>14</v>
      </c>
      <c r="I764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7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6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765" spans="1:11" x14ac:dyDescent="0.35">
      <c r="A765">
        <v>301</v>
      </c>
      <c r="B765">
        <v>8</v>
      </c>
      <c r="C765" t="s">
        <v>47</v>
      </c>
      <c r="D765" t="s">
        <v>1815</v>
      </c>
      <c r="E765">
        <v>15</v>
      </c>
      <c r="F765">
        <v>26</v>
      </c>
      <c r="G765">
        <v>2</v>
      </c>
      <c r="H765">
        <v>57</v>
      </c>
      <c r="I765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7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76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66" spans="1:11" x14ac:dyDescent="0.35">
      <c r="A766">
        <v>301</v>
      </c>
      <c r="B766">
        <v>8</v>
      </c>
      <c r="C766" t="s">
        <v>15</v>
      </c>
      <c r="D766" t="s">
        <v>1799</v>
      </c>
      <c r="E766">
        <v>19</v>
      </c>
      <c r="F766">
        <v>31</v>
      </c>
      <c r="G766">
        <v>3</v>
      </c>
      <c r="H766">
        <v>23</v>
      </c>
      <c r="I766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7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76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67" spans="1:11" x14ac:dyDescent="0.35">
      <c r="A767">
        <v>301</v>
      </c>
      <c r="B767">
        <v>8</v>
      </c>
      <c r="C767" t="s">
        <v>39</v>
      </c>
      <c r="D767" t="s">
        <v>1812</v>
      </c>
      <c r="E767">
        <v>12</v>
      </c>
      <c r="F767">
        <v>20</v>
      </c>
      <c r="G767">
        <v>1</v>
      </c>
      <c r="H767">
        <v>54</v>
      </c>
      <c r="I767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7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76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68" spans="1:11" x14ac:dyDescent="0.35">
      <c r="A768">
        <v>301</v>
      </c>
      <c r="B768">
        <v>8</v>
      </c>
      <c r="C768" t="s">
        <v>23</v>
      </c>
      <c r="D768" t="s">
        <v>1803</v>
      </c>
      <c r="E768">
        <v>17</v>
      </c>
      <c r="F768">
        <v>29</v>
      </c>
      <c r="G768">
        <v>2</v>
      </c>
      <c r="H768">
        <v>49</v>
      </c>
      <c r="I768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7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68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769" spans="1:11" x14ac:dyDescent="0.35">
      <c r="A769">
        <v>302</v>
      </c>
      <c r="B769">
        <v>5</v>
      </c>
      <c r="C769" t="s">
        <v>33</v>
      </c>
      <c r="D769" t="s">
        <v>1808</v>
      </c>
      <c r="E769">
        <v>19</v>
      </c>
      <c r="F769">
        <v>32</v>
      </c>
      <c r="G769">
        <v>3</v>
      </c>
      <c r="H769">
        <v>15</v>
      </c>
      <c r="I769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7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76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770" spans="1:11" x14ac:dyDescent="0.35">
      <c r="A770">
        <v>303</v>
      </c>
      <c r="B770">
        <v>14</v>
      </c>
      <c r="C770" t="s">
        <v>47</v>
      </c>
      <c r="D770" t="s">
        <v>1815</v>
      </c>
      <c r="E770">
        <v>15</v>
      </c>
      <c r="F770">
        <v>26</v>
      </c>
      <c r="G770">
        <v>1</v>
      </c>
      <c r="H770">
        <v>56</v>
      </c>
      <c r="I770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7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770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71" spans="1:11" x14ac:dyDescent="0.35">
      <c r="A771">
        <v>303</v>
      </c>
      <c r="B771">
        <v>14</v>
      </c>
      <c r="C771" t="s">
        <v>19</v>
      </c>
      <c r="D771" t="s">
        <v>1802</v>
      </c>
      <c r="E771">
        <v>25</v>
      </c>
      <c r="F771">
        <v>40</v>
      </c>
      <c r="G771">
        <v>3</v>
      </c>
      <c r="H771">
        <v>16</v>
      </c>
      <c r="I771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7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771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772" spans="1:11" x14ac:dyDescent="0.35">
      <c r="A772">
        <v>303</v>
      </c>
      <c r="B772">
        <v>14</v>
      </c>
      <c r="C772" t="s">
        <v>39</v>
      </c>
      <c r="D772" t="s">
        <v>1812</v>
      </c>
      <c r="E772">
        <v>12</v>
      </c>
      <c r="F772">
        <v>20</v>
      </c>
      <c r="G772">
        <v>2</v>
      </c>
      <c r="H772">
        <v>13</v>
      </c>
      <c r="I772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7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7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73" spans="1:11" x14ac:dyDescent="0.35">
      <c r="A773">
        <v>303</v>
      </c>
      <c r="B773">
        <v>14</v>
      </c>
      <c r="C773" t="s">
        <v>9</v>
      </c>
      <c r="D773" t="s">
        <v>1798</v>
      </c>
      <c r="E773">
        <v>14</v>
      </c>
      <c r="F773">
        <v>24</v>
      </c>
      <c r="G773">
        <v>1</v>
      </c>
      <c r="H773">
        <v>7</v>
      </c>
      <c r="I773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7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77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774" spans="1:11" x14ac:dyDescent="0.35">
      <c r="A774">
        <v>304</v>
      </c>
      <c r="B774">
        <v>6</v>
      </c>
      <c r="C774" t="s">
        <v>43</v>
      </c>
      <c r="D774" t="s">
        <v>1813</v>
      </c>
      <c r="E774">
        <v>13</v>
      </c>
      <c r="F774">
        <v>21</v>
      </c>
      <c r="G774">
        <v>2</v>
      </c>
      <c r="H774">
        <v>7</v>
      </c>
      <c r="I774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7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7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775" spans="1:11" x14ac:dyDescent="0.35">
      <c r="A775">
        <v>304</v>
      </c>
      <c r="B775">
        <v>6</v>
      </c>
      <c r="C775" t="s">
        <v>33</v>
      </c>
      <c r="D775" t="s">
        <v>1808</v>
      </c>
      <c r="E775">
        <v>19</v>
      </c>
      <c r="F775">
        <v>32</v>
      </c>
      <c r="G775">
        <v>2</v>
      </c>
      <c r="H775">
        <v>9</v>
      </c>
      <c r="I775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7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775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776" spans="1:11" x14ac:dyDescent="0.35">
      <c r="A776">
        <v>304</v>
      </c>
      <c r="B776">
        <v>6</v>
      </c>
      <c r="C776" t="s">
        <v>15</v>
      </c>
      <c r="D776" t="s">
        <v>1799</v>
      </c>
      <c r="E776">
        <v>19</v>
      </c>
      <c r="F776">
        <v>31</v>
      </c>
      <c r="G776">
        <v>3</v>
      </c>
      <c r="H776">
        <v>21</v>
      </c>
      <c r="I776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7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77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77" spans="1:11" x14ac:dyDescent="0.35">
      <c r="A777">
        <v>304</v>
      </c>
      <c r="B777">
        <v>6</v>
      </c>
      <c r="C777" t="s">
        <v>19</v>
      </c>
      <c r="D777" t="s">
        <v>1802</v>
      </c>
      <c r="E777">
        <v>25</v>
      </c>
      <c r="F777">
        <v>40</v>
      </c>
      <c r="G777">
        <v>2</v>
      </c>
      <c r="H777">
        <v>48</v>
      </c>
      <c r="I777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7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777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778" spans="1:11" x14ac:dyDescent="0.35">
      <c r="A778">
        <v>305</v>
      </c>
      <c r="B778">
        <v>1</v>
      </c>
      <c r="C778" t="s">
        <v>41</v>
      </c>
      <c r="D778" t="s">
        <v>1811</v>
      </c>
      <c r="E778">
        <v>14</v>
      </c>
      <c r="F778">
        <v>23</v>
      </c>
      <c r="G778">
        <v>1</v>
      </c>
      <c r="H778">
        <v>48</v>
      </c>
      <c r="I778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7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77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779" spans="1:11" x14ac:dyDescent="0.35">
      <c r="A779">
        <v>305</v>
      </c>
      <c r="B779">
        <v>1</v>
      </c>
      <c r="C779" t="s">
        <v>31</v>
      </c>
      <c r="D779" t="s">
        <v>1807</v>
      </c>
      <c r="E779">
        <v>21</v>
      </c>
      <c r="F779">
        <v>35</v>
      </c>
      <c r="G779">
        <v>3</v>
      </c>
      <c r="H779">
        <v>17</v>
      </c>
      <c r="I779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7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77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80" spans="1:11" x14ac:dyDescent="0.35">
      <c r="A780">
        <v>306</v>
      </c>
      <c r="B780">
        <v>7</v>
      </c>
      <c r="C780" t="s">
        <v>33</v>
      </c>
      <c r="D780" t="s">
        <v>1808</v>
      </c>
      <c r="E780">
        <v>19</v>
      </c>
      <c r="F780">
        <v>32</v>
      </c>
      <c r="G780">
        <v>1</v>
      </c>
      <c r="H780">
        <v>21</v>
      </c>
      <c r="I780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7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78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781" spans="1:11" x14ac:dyDescent="0.35">
      <c r="A781">
        <v>307</v>
      </c>
      <c r="B781">
        <v>20</v>
      </c>
      <c r="C781" t="s">
        <v>43</v>
      </c>
      <c r="D781" t="s">
        <v>1813</v>
      </c>
      <c r="E781">
        <v>13</v>
      </c>
      <c r="F781">
        <v>21</v>
      </c>
      <c r="G781">
        <v>3</v>
      </c>
      <c r="H781">
        <v>39</v>
      </c>
      <c r="I781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7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8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782" spans="1:11" x14ac:dyDescent="0.35">
      <c r="A782">
        <v>308</v>
      </c>
      <c r="B782">
        <v>14</v>
      </c>
      <c r="C782" t="s">
        <v>27</v>
      </c>
      <c r="D782" t="s">
        <v>1805</v>
      </c>
      <c r="E782">
        <v>16</v>
      </c>
      <c r="F782">
        <v>28</v>
      </c>
      <c r="G782">
        <v>2</v>
      </c>
      <c r="H782">
        <v>59</v>
      </c>
      <c r="I782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7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82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783" spans="1:11" x14ac:dyDescent="0.35">
      <c r="A783">
        <v>308</v>
      </c>
      <c r="B783">
        <v>14</v>
      </c>
      <c r="C783" t="s">
        <v>15</v>
      </c>
      <c r="D783" t="s">
        <v>1799</v>
      </c>
      <c r="E783">
        <v>19</v>
      </c>
      <c r="F783">
        <v>31</v>
      </c>
      <c r="G783">
        <v>2</v>
      </c>
      <c r="H783">
        <v>42</v>
      </c>
      <c r="I783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7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83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84" spans="1:11" x14ac:dyDescent="0.35">
      <c r="A784">
        <v>308</v>
      </c>
      <c r="B784">
        <v>14</v>
      </c>
      <c r="C784" t="s">
        <v>37</v>
      </c>
      <c r="D784" t="s">
        <v>1810</v>
      </c>
      <c r="E784">
        <v>20</v>
      </c>
      <c r="F784">
        <v>34</v>
      </c>
      <c r="G784">
        <v>1</v>
      </c>
      <c r="H784">
        <v>44</v>
      </c>
      <c r="I784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7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78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785" spans="1:11" x14ac:dyDescent="0.35">
      <c r="A785">
        <v>308</v>
      </c>
      <c r="B785">
        <v>14</v>
      </c>
      <c r="C785" t="s">
        <v>31</v>
      </c>
      <c r="D785" t="s">
        <v>1807</v>
      </c>
      <c r="E785">
        <v>21</v>
      </c>
      <c r="F785">
        <v>35</v>
      </c>
      <c r="G785">
        <v>2</v>
      </c>
      <c r="H785">
        <v>41</v>
      </c>
      <c r="I785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7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78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86" spans="1:11" x14ac:dyDescent="0.35">
      <c r="A786">
        <v>309</v>
      </c>
      <c r="B786">
        <v>9</v>
      </c>
      <c r="C786" t="s">
        <v>15</v>
      </c>
      <c r="D786" t="s">
        <v>1799</v>
      </c>
      <c r="E786">
        <v>19</v>
      </c>
      <c r="F786">
        <v>31</v>
      </c>
      <c r="G786">
        <v>2</v>
      </c>
      <c r="H786">
        <v>43</v>
      </c>
      <c r="I786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7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8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87" spans="1:11" x14ac:dyDescent="0.35">
      <c r="A787">
        <v>309</v>
      </c>
      <c r="B787">
        <v>9</v>
      </c>
      <c r="C787" t="s">
        <v>19</v>
      </c>
      <c r="D787" t="s">
        <v>1802</v>
      </c>
      <c r="E787">
        <v>25</v>
      </c>
      <c r="F787">
        <v>40</v>
      </c>
      <c r="G787">
        <v>1</v>
      </c>
      <c r="H787">
        <v>29</v>
      </c>
      <c r="I787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7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787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788" spans="1:11" x14ac:dyDescent="0.35">
      <c r="A788">
        <v>309</v>
      </c>
      <c r="B788">
        <v>9</v>
      </c>
      <c r="C788" t="s">
        <v>31</v>
      </c>
      <c r="D788" t="s">
        <v>1807</v>
      </c>
      <c r="E788">
        <v>21</v>
      </c>
      <c r="F788">
        <v>35</v>
      </c>
      <c r="G788">
        <v>2</v>
      </c>
      <c r="H788">
        <v>51</v>
      </c>
      <c r="I788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7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78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89" spans="1:11" x14ac:dyDescent="0.35">
      <c r="A789">
        <v>310</v>
      </c>
      <c r="B789">
        <v>17</v>
      </c>
      <c r="C789" t="s">
        <v>47</v>
      </c>
      <c r="D789" t="s">
        <v>1815</v>
      </c>
      <c r="E789">
        <v>15</v>
      </c>
      <c r="F789">
        <v>26</v>
      </c>
      <c r="G789">
        <v>3</v>
      </c>
      <c r="H789">
        <v>43</v>
      </c>
      <c r="I789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7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78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790" spans="1:11" x14ac:dyDescent="0.35">
      <c r="A790">
        <v>310</v>
      </c>
      <c r="B790">
        <v>17</v>
      </c>
      <c r="C790" t="s">
        <v>12</v>
      </c>
      <c r="D790" t="s">
        <v>1797</v>
      </c>
      <c r="E790">
        <v>18</v>
      </c>
      <c r="F790">
        <v>30</v>
      </c>
      <c r="G790">
        <v>2</v>
      </c>
      <c r="H790">
        <v>54</v>
      </c>
      <c r="I790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7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9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91" spans="1:11" x14ac:dyDescent="0.35">
      <c r="A791">
        <v>311</v>
      </c>
      <c r="B791">
        <v>6</v>
      </c>
      <c r="C791" t="s">
        <v>9</v>
      </c>
      <c r="D791" t="s">
        <v>1798</v>
      </c>
      <c r="E791">
        <v>14</v>
      </c>
      <c r="F791">
        <v>24</v>
      </c>
      <c r="G791">
        <v>1</v>
      </c>
      <c r="H791">
        <v>46</v>
      </c>
      <c r="I791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7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791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792" spans="1:11" x14ac:dyDescent="0.35">
      <c r="A792">
        <v>311</v>
      </c>
      <c r="B792">
        <v>6</v>
      </c>
      <c r="C792" t="s">
        <v>23</v>
      </c>
      <c r="D792" t="s">
        <v>1803</v>
      </c>
      <c r="E792">
        <v>17</v>
      </c>
      <c r="F792">
        <v>29</v>
      </c>
      <c r="G792">
        <v>1</v>
      </c>
      <c r="H792">
        <v>28</v>
      </c>
      <c r="I792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7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79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793" spans="1:11" x14ac:dyDescent="0.35">
      <c r="A793">
        <v>312</v>
      </c>
      <c r="B793">
        <v>2</v>
      </c>
      <c r="C793" t="s">
        <v>33</v>
      </c>
      <c r="D793" t="s">
        <v>1808</v>
      </c>
      <c r="E793">
        <v>19</v>
      </c>
      <c r="F793">
        <v>32</v>
      </c>
      <c r="G793">
        <v>2</v>
      </c>
      <c r="H793">
        <v>45</v>
      </c>
      <c r="I793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7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79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794" spans="1:11" x14ac:dyDescent="0.35">
      <c r="A794">
        <v>312</v>
      </c>
      <c r="B794">
        <v>2</v>
      </c>
      <c r="C794" t="s">
        <v>31</v>
      </c>
      <c r="D794" t="s">
        <v>1807</v>
      </c>
      <c r="E794">
        <v>21</v>
      </c>
      <c r="F794">
        <v>35</v>
      </c>
      <c r="G794">
        <v>2</v>
      </c>
      <c r="H794">
        <v>10</v>
      </c>
      <c r="I794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7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79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795" spans="1:11" x14ac:dyDescent="0.35">
      <c r="A795">
        <v>313</v>
      </c>
      <c r="B795">
        <v>10</v>
      </c>
      <c r="C795" t="s">
        <v>29</v>
      </c>
      <c r="D795" t="s">
        <v>1806</v>
      </c>
      <c r="E795">
        <v>11</v>
      </c>
      <c r="F795">
        <v>19</v>
      </c>
      <c r="G795">
        <v>2</v>
      </c>
      <c r="H795">
        <v>27</v>
      </c>
      <c r="I795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7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79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796" spans="1:11" x14ac:dyDescent="0.35">
      <c r="A796">
        <v>313</v>
      </c>
      <c r="B796">
        <v>10</v>
      </c>
      <c r="C796" t="s">
        <v>15</v>
      </c>
      <c r="D796" t="s">
        <v>1799</v>
      </c>
      <c r="E796">
        <v>19</v>
      </c>
      <c r="F796">
        <v>31</v>
      </c>
      <c r="G796">
        <v>2</v>
      </c>
      <c r="H796">
        <v>38</v>
      </c>
      <c r="I796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7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79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797" spans="1:11" x14ac:dyDescent="0.35">
      <c r="A797">
        <v>313</v>
      </c>
      <c r="B797">
        <v>10</v>
      </c>
      <c r="C797" t="s">
        <v>21</v>
      </c>
      <c r="D797" t="s">
        <v>1801</v>
      </c>
      <c r="E797">
        <v>22</v>
      </c>
      <c r="F797">
        <v>36</v>
      </c>
      <c r="G797">
        <v>3</v>
      </c>
      <c r="H797">
        <v>26</v>
      </c>
      <c r="I797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7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797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798" spans="1:11" x14ac:dyDescent="0.35">
      <c r="A798">
        <v>313</v>
      </c>
      <c r="B798">
        <v>10</v>
      </c>
      <c r="C798" t="s">
        <v>9</v>
      </c>
      <c r="D798" t="s">
        <v>1798</v>
      </c>
      <c r="E798">
        <v>14</v>
      </c>
      <c r="F798">
        <v>24</v>
      </c>
      <c r="G798">
        <v>1</v>
      </c>
      <c r="H798">
        <v>15</v>
      </c>
      <c r="I798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7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79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799" spans="1:11" x14ac:dyDescent="0.35">
      <c r="A799">
        <v>314</v>
      </c>
      <c r="B799">
        <v>20</v>
      </c>
      <c r="C799" t="s">
        <v>17</v>
      </c>
      <c r="D799" t="s">
        <v>1800</v>
      </c>
      <c r="E799">
        <v>16</v>
      </c>
      <c r="F799">
        <v>27</v>
      </c>
      <c r="G799">
        <v>1</v>
      </c>
      <c r="H799">
        <v>5</v>
      </c>
      <c r="I799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7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799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800" spans="1:11" x14ac:dyDescent="0.35">
      <c r="A800">
        <v>315</v>
      </c>
      <c r="B800">
        <v>14</v>
      </c>
      <c r="C800" t="s">
        <v>49</v>
      </c>
      <c r="D800" t="s">
        <v>1816</v>
      </c>
      <c r="E800">
        <v>15</v>
      </c>
      <c r="F800">
        <v>25</v>
      </c>
      <c r="G800">
        <v>1</v>
      </c>
      <c r="H800">
        <v>16</v>
      </c>
      <c r="I800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8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80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01" spans="1:11" x14ac:dyDescent="0.35">
      <c r="A801">
        <v>315</v>
      </c>
      <c r="B801">
        <v>14</v>
      </c>
      <c r="C801" t="s">
        <v>43</v>
      </c>
      <c r="D801" t="s">
        <v>1813</v>
      </c>
      <c r="E801">
        <v>13</v>
      </c>
      <c r="F801">
        <v>21</v>
      </c>
      <c r="G801">
        <v>1</v>
      </c>
      <c r="H801">
        <v>51</v>
      </c>
      <c r="I801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8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80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02" spans="1:11" x14ac:dyDescent="0.35">
      <c r="A802">
        <v>315</v>
      </c>
      <c r="B802">
        <v>14</v>
      </c>
      <c r="C802" t="s">
        <v>27</v>
      </c>
      <c r="D802" t="s">
        <v>1805</v>
      </c>
      <c r="E802">
        <v>16</v>
      </c>
      <c r="F802">
        <v>28</v>
      </c>
      <c r="G802">
        <v>1</v>
      </c>
      <c r="H802">
        <v>7</v>
      </c>
      <c r="I802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8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02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803" spans="1:11" x14ac:dyDescent="0.35">
      <c r="A803">
        <v>315</v>
      </c>
      <c r="B803">
        <v>14</v>
      </c>
      <c r="C803" t="s">
        <v>23</v>
      </c>
      <c r="D803" t="s">
        <v>1803</v>
      </c>
      <c r="E803">
        <v>17</v>
      </c>
      <c r="F803">
        <v>29</v>
      </c>
      <c r="G803">
        <v>3</v>
      </c>
      <c r="H803">
        <v>52</v>
      </c>
      <c r="I803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8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803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804" spans="1:11" x14ac:dyDescent="0.35">
      <c r="A804">
        <v>316</v>
      </c>
      <c r="B804">
        <v>2</v>
      </c>
      <c r="C804" t="s">
        <v>43</v>
      </c>
      <c r="D804" t="s">
        <v>1813</v>
      </c>
      <c r="E804">
        <v>13</v>
      </c>
      <c r="F804">
        <v>21</v>
      </c>
      <c r="G804">
        <v>1</v>
      </c>
      <c r="H804">
        <v>23</v>
      </c>
      <c r="I804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8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80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05" spans="1:11" x14ac:dyDescent="0.35">
      <c r="A805">
        <v>316</v>
      </c>
      <c r="B805">
        <v>2</v>
      </c>
      <c r="C805" t="s">
        <v>19</v>
      </c>
      <c r="D805" t="s">
        <v>1802</v>
      </c>
      <c r="E805">
        <v>25</v>
      </c>
      <c r="F805">
        <v>40</v>
      </c>
      <c r="G805">
        <v>1</v>
      </c>
      <c r="H805">
        <v>52</v>
      </c>
      <c r="I805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8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80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806" spans="1:11" x14ac:dyDescent="0.35">
      <c r="A806">
        <v>316</v>
      </c>
      <c r="B806">
        <v>2</v>
      </c>
      <c r="C806" t="s">
        <v>45</v>
      </c>
      <c r="D806" t="s">
        <v>1814</v>
      </c>
      <c r="E806">
        <v>10</v>
      </c>
      <c r="F806">
        <v>18</v>
      </c>
      <c r="G806">
        <v>1</v>
      </c>
      <c r="H806">
        <v>30</v>
      </c>
      <c r="I806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8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80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807" spans="1:11" x14ac:dyDescent="0.35">
      <c r="A807">
        <v>316</v>
      </c>
      <c r="B807">
        <v>2</v>
      </c>
      <c r="C807" t="s">
        <v>17</v>
      </c>
      <c r="D807" t="s">
        <v>1800</v>
      </c>
      <c r="E807">
        <v>16</v>
      </c>
      <c r="F807">
        <v>27</v>
      </c>
      <c r="G807">
        <v>3</v>
      </c>
      <c r="H807">
        <v>53</v>
      </c>
      <c r="I807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8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80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808" spans="1:11" x14ac:dyDescent="0.35">
      <c r="A808">
        <v>317</v>
      </c>
      <c r="B808">
        <v>17</v>
      </c>
      <c r="C808" t="s">
        <v>33</v>
      </c>
      <c r="D808" t="s">
        <v>1808</v>
      </c>
      <c r="E808">
        <v>19</v>
      </c>
      <c r="F808">
        <v>32</v>
      </c>
      <c r="G808">
        <v>1</v>
      </c>
      <c r="H808">
        <v>31</v>
      </c>
      <c r="I808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8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80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809" spans="1:11" x14ac:dyDescent="0.35">
      <c r="A809">
        <v>317</v>
      </c>
      <c r="B809">
        <v>17</v>
      </c>
      <c r="C809" t="s">
        <v>37</v>
      </c>
      <c r="D809" t="s">
        <v>1810</v>
      </c>
      <c r="E809">
        <v>20</v>
      </c>
      <c r="F809">
        <v>34</v>
      </c>
      <c r="G809">
        <v>3</v>
      </c>
      <c r="H809">
        <v>37</v>
      </c>
      <c r="I809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8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809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810" spans="1:11" x14ac:dyDescent="0.35">
      <c r="A810">
        <v>317</v>
      </c>
      <c r="B810">
        <v>17</v>
      </c>
      <c r="C810" t="s">
        <v>35</v>
      </c>
      <c r="D810" t="s">
        <v>1809</v>
      </c>
      <c r="E810">
        <v>13</v>
      </c>
      <c r="F810">
        <v>22</v>
      </c>
      <c r="G810">
        <v>2</v>
      </c>
      <c r="H810">
        <v>20</v>
      </c>
      <c r="I810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8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81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811" spans="1:11" x14ac:dyDescent="0.35">
      <c r="A811">
        <v>318</v>
      </c>
      <c r="B811">
        <v>13</v>
      </c>
      <c r="C811" t="s">
        <v>23</v>
      </c>
      <c r="D811" t="s">
        <v>1803</v>
      </c>
      <c r="E811">
        <v>17</v>
      </c>
      <c r="F811">
        <v>29</v>
      </c>
      <c r="G811">
        <v>1</v>
      </c>
      <c r="H811">
        <v>39</v>
      </c>
      <c r="I811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8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1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812" spans="1:11" x14ac:dyDescent="0.35">
      <c r="A812">
        <v>319</v>
      </c>
      <c r="B812">
        <v>1</v>
      </c>
      <c r="C812" t="s">
        <v>33</v>
      </c>
      <c r="D812" t="s">
        <v>1808</v>
      </c>
      <c r="E812">
        <v>19</v>
      </c>
      <c r="F812">
        <v>32</v>
      </c>
      <c r="G812">
        <v>3</v>
      </c>
      <c r="H812">
        <v>16</v>
      </c>
      <c r="I812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8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812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813" spans="1:11" x14ac:dyDescent="0.35">
      <c r="A813">
        <v>319</v>
      </c>
      <c r="B813">
        <v>1</v>
      </c>
      <c r="C813" t="s">
        <v>15</v>
      </c>
      <c r="D813" t="s">
        <v>1799</v>
      </c>
      <c r="E813">
        <v>19</v>
      </c>
      <c r="F813">
        <v>31</v>
      </c>
      <c r="G813">
        <v>2</v>
      </c>
      <c r="H813">
        <v>55</v>
      </c>
      <c r="I813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8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13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814" spans="1:11" x14ac:dyDescent="0.35">
      <c r="A814">
        <v>319</v>
      </c>
      <c r="B814">
        <v>1</v>
      </c>
      <c r="C814" t="s">
        <v>19</v>
      </c>
      <c r="D814" t="s">
        <v>1802</v>
      </c>
      <c r="E814">
        <v>25</v>
      </c>
      <c r="F814">
        <v>40</v>
      </c>
      <c r="G814">
        <v>1</v>
      </c>
      <c r="H814">
        <v>38</v>
      </c>
      <c r="I814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8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81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815" spans="1:11" x14ac:dyDescent="0.35">
      <c r="A815">
        <v>319</v>
      </c>
      <c r="B815">
        <v>1</v>
      </c>
      <c r="C815" t="s">
        <v>31</v>
      </c>
      <c r="D815" t="s">
        <v>1807</v>
      </c>
      <c r="E815">
        <v>21</v>
      </c>
      <c r="F815">
        <v>35</v>
      </c>
      <c r="G815">
        <v>2</v>
      </c>
      <c r="H815">
        <v>17</v>
      </c>
      <c r="I815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8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81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16" spans="1:11" x14ac:dyDescent="0.35">
      <c r="A816">
        <v>320</v>
      </c>
      <c r="B816">
        <v>9</v>
      </c>
      <c r="C816" t="s">
        <v>43</v>
      </c>
      <c r="D816" t="s">
        <v>1813</v>
      </c>
      <c r="E816">
        <v>13</v>
      </c>
      <c r="F816">
        <v>21</v>
      </c>
      <c r="G816">
        <v>2</v>
      </c>
      <c r="H816">
        <v>44</v>
      </c>
      <c r="I816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8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1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17" spans="1:11" x14ac:dyDescent="0.35">
      <c r="A817">
        <v>320</v>
      </c>
      <c r="B817">
        <v>9</v>
      </c>
      <c r="C817" t="s">
        <v>37</v>
      </c>
      <c r="D817" t="s">
        <v>1810</v>
      </c>
      <c r="E817">
        <v>20</v>
      </c>
      <c r="F817">
        <v>34</v>
      </c>
      <c r="G817">
        <v>1</v>
      </c>
      <c r="H817">
        <v>42</v>
      </c>
      <c r="I817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8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817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818" spans="1:11" x14ac:dyDescent="0.35">
      <c r="A818">
        <v>320</v>
      </c>
      <c r="B818">
        <v>9</v>
      </c>
      <c r="C818" t="s">
        <v>35</v>
      </c>
      <c r="D818" t="s">
        <v>1809</v>
      </c>
      <c r="E818">
        <v>13</v>
      </c>
      <c r="F818">
        <v>22</v>
      </c>
      <c r="G818">
        <v>1</v>
      </c>
      <c r="H818">
        <v>44</v>
      </c>
      <c r="I818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8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818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819" spans="1:11" x14ac:dyDescent="0.35">
      <c r="A819">
        <v>321</v>
      </c>
      <c r="B819">
        <v>18</v>
      </c>
      <c r="C819" t="s">
        <v>41</v>
      </c>
      <c r="D819" t="s">
        <v>1811</v>
      </c>
      <c r="E819">
        <v>14</v>
      </c>
      <c r="F819">
        <v>23</v>
      </c>
      <c r="G819">
        <v>3</v>
      </c>
      <c r="H819">
        <v>39</v>
      </c>
      <c r="I819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8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81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820" spans="1:11" x14ac:dyDescent="0.35">
      <c r="A820">
        <v>321</v>
      </c>
      <c r="B820">
        <v>18</v>
      </c>
      <c r="C820" t="s">
        <v>27</v>
      </c>
      <c r="D820" t="s">
        <v>1805</v>
      </c>
      <c r="E820">
        <v>16</v>
      </c>
      <c r="F820">
        <v>28</v>
      </c>
      <c r="G820">
        <v>1</v>
      </c>
      <c r="H820">
        <v>34</v>
      </c>
      <c r="I820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8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2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821" spans="1:11" x14ac:dyDescent="0.35">
      <c r="A821">
        <v>321</v>
      </c>
      <c r="B821">
        <v>18</v>
      </c>
      <c r="C821" t="s">
        <v>35</v>
      </c>
      <c r="D821" t="s">
        <v>1809</v>
      </c>
      <c r="E821">
        <v>13</v>
      </c>
      <c r="F821">
        <v>22</v>
      </c>
      <c r="G821">
        <v>2</v>
      </c>
      <c r="H821">
        <v>22</v>
      </c>
      <c r="I821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8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821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822" spans="1:11" x14ac:dyDescent="0.35">
      <c r="A822">
        <v>322</v>
      </c>
      <c r="B822">
        <v>12</v>
      </c>
      <c r="C822" t="s">
        <v>43</v>
      </c>
      <c r="D822" t="s">
        <v>1813</v>
      </c>
      <c r="E822">
        <v>13</v>
      </c>
      <c r="F822">
        <v>21</v>
      </c>
      <c r="G822">
        <v>1</v>
      </c>
      <c r="H822">
        <v>52</v>
      </c>
      <c r="I822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8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822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23" spans="1:11" x14ac:dyDescent="0.35">
      <c r="A823">
        <v>322</v>
      </c>
      <c r="B823">
        <v>12</v>
      </c>
      <c r="C823" t="s">
        <v>33</v>
      </c>
      <c r="D823" t="s">
        <v>1808</v>
      </c>
      <c r="E823">
        <v>19</v>
      </c>
      <c r="F823">
        <v>32</v>
      </c>
      <c r="G823">
        <v>2</v>
      </c>
      <c r="H823">
        <v>8</v>
      </c>
      <c r="I823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8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82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824" spans="1:11" x14ac:dyDescent="0.35">
      <c r="A824">
        <v>323</v>
      </c>
      <c r="B824">
        <v>8</v>
      </c>
      <c r="C824" t="s">
        <v>45</v>
      </c>
      <c r="D824" t="s">
        <v>1814</v>
      </c>
      <c r="E824">
        <v>10</v>
      </c>
      <c r="F824">
        <v>18</v>
      </c>
      <c r="G824">
        <v>2</v>
      </c>
      <c r="H824">
        <v>22</v>
      </c>
      <c r="I824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8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2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825" spans="1:11" x14ac:dyDescent="0.35">
      <c r="A825">
        <v>323</v>
      </c>
      <c r="B825">
        <v>8</v>
      </c>
      <c r="C825" t="s">
        <v>35</v>
      </c>
      <c r="D825" t="s">
        <v>1809</v>
      </c>
      <c r="E825">
        <v>13</v>
      </c>
      <c r="F825">
        <v>22</v>
      </c>
      <c r="G825">
        <v>3</v>
      </c>
      <c r="H825">
        <v>37</v>
      </c>
      <c r="I825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8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825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826" spans="1:11" x14ac:dyDescent="0.35">
      <c r="A826">
        <v>323</v>
      </c>
      <c r="B826">
        <v>8</v>
      </c>
      <c r="C826" t="s">
        <v>9</v>
      </c>
      <c r="D826" t="s">
        <v>1798</v>
      </c>
      <c r="E826">
        <v>14</v>
      </c>
      <c r="F826">
        <v>24</v>
      </c>
      <c r="G826">
        <v>2</v>
      </c>
      <c r="H826">
        <v>30</v>
      </c>
      <c r="I826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8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82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827" spans="1:11" x14ac:dyDescent="0.35">
      <c r="A827">
        <v>323</v>
      </c>
      <c r="B827">
        <v>8</v>
      </c>
      <c r="C827" t="s">
        <v>23</v>
      </c>
      <c r="D827" t="s">
        <v>1803</v>
      </c>
      <c r="E827">
        <v>17</v>
      </c>
      <c r="F827">
        <v>29</v>
      </c>
      <c r="G827">
        <v>2</v>
      </c>
      <c r="H827">
        <v>33</v>
      </c>
      <c r="I827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8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2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828" spans="1:11" x14ac:dyDescent="0.35">
      <c r="A828">
        <v>324</v>
      </c>
      <c r="B828">
        <v>9</v>
      </c>
      <c r="C828" t="s">
        <v>47</v>
      </c>
      <c r="D828" t="s">
        <v>1815</v>
      </c>
      <c r="E828">
        <v>15</v>
      </c>
      <c r="F828">
        <v>26</v>
      </c>
      <c r="G828">
        <v>1</v>
      </c>
      <c r="H828">
        <v>17</v>
      </c>
      <c r="I828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8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828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829" spans="1:11" x14ac:dyDescent="0.35">
      <c r="A829">
        <v>324</v>
      </c>
      <c r="B829">
        <v>9</v>
      </c>
      <c r="C829" t="s">
        <v>12</v>
      </c>
      <c r="D829" t="s">
        <v>1797</v>
      </c>
      <c r="E829">
        <v>18</v>
      </c>
      <c r="F829">
        <v>30</v>
      </c>
      <c r="G829">
        <v>1</v>
      </c>
      <c r="H829">
        <v>15</v>
      </c>
      <c r="I829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8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2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30" spans="1:11" x14ac:dyDescent="0.35">
      <c r="A830">
        <v>324</v>
      </c>
      <c r="B830">
        <v>9</v>
      </c>
      <c r="C830" t="s">
        <v>17</v>
      </c>
      <c r="D830" t="s">
        <v>1800</v>
      </c>
      <c r="E830">
        <v>16</v>
      </c>
      <c r="F830">
        <v>27</v>
      </c>
      <c r="G830">
        <v>3</v>
      </c>
      <c r="H830">
        <v>58</v>
      </c>
      <c r="I830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8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83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831" spans="1:11" x14ac:dyDescent="0.35">
      <c r="A831">
        <v>325</v>
      </c>
      <c r="B831">
        <v>18</v>
      </c>
      <c r="C831" t="s">
        <v>43</v>
      </c>
      <c r="D831" t="s">
        <v>1813</v>
      </c>
      <c r="E831">
        <v>13</v>
      </c>
      <c r="F831">
        <v>21</v>
      </c>
      <c r="G831">
        <v>1</v>
      </c>
      <c r="H831">
        <v>26</v>
      </c>
      <c r="I831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8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83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32" spans="1:11" x14ac:dyDescent="0.35">
      <c r="A832">
        <v>325</v>
      </c>
      <c r="B832">
        <v>18</v>
      </c>
      <c r="C832" t="s">
        <v>33</v>
      </c>
      <c r="D832" t="s">
        <v>1808</v>
      </c>
      <c r="E832">
        <v>19</v>
      </c>
      <c r="F832">
        <v>32</v>
      </c>
      <c r="G832">
        <v>1</v>
      </c>
      <c r="H832">
        <v>27</v>
      </c>
      <c r="I832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8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832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833" spans="1:11" x14ac:dyDescent="0.35">
      <c r="A833">
        <v>325</v>
      </c>
      <c r="B833">
        <v>18</v>
      </c>
      <c r="C833" t="s">
        <v>15</v>
      </c>
      <c r="D833" t="s">
        <v>1799</v>
      </c>
      <c r="E833">
        <v>19</v>
      </c>
      <c r="F833">
        <v>31</v>
      </c>
      <c r="G833">
        <v>1</v>
      </c>
      <c r="H833">
        <v>5</v>
      </c>
      <c r="I833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8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33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834" spans="1:11" x14ac:dyDescent="0.35">
      <c r="A834">
        <v>325</v>
      </c>
      <c r="B834">
        <v>18</v>
      </c>
      <c r="C834" t="s">
        <v>31</v>
      </c>
      <c r="D834" t="s">
        <v>1807</v>
      </c>
      <c r="E834">
        <v>21</v>
      </c>
      <c r="F834">
        <v>35</v>
      </c>
      <c r="G834">
        <v>2</v>
      </c>
      <c r="H834">
        <v>13</v>
      </c>
      <c r="I834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8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83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35" spans="1:11" x14ac:dyDescent="0.35">
      <c r="A835">
        <v>326</v>
      </c>
      <c r="B835">
        <v>14</v>
      </c>
      <c r="C835" t="s">
        <v>27</v>
      </c>
      <c r="D835" t="s">
        <v>1805</v>
      </c>
      <c r="E835">
        <v>16</v>
      </c>
      <c r="F835">
        <v>28</v>
      </c>
      <c r="G835">
        <v>1</v>
      </c>
      <c r="H835">
        <v>49</v>
      </c>
      <c r="I835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8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35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836" spans="1:11" x14ac:dyDescent="0.35">
      <c r="A836">
        <v>326</v>
      </c>
      <c r="B836">
        <v>14</v>
      </c>
      <c r="C836" t="s">
        <v>45</v>
      </c>
      <c r="D836" t="s">
        <v>1814</v>
      </c>
      <c r="E836">
        <v>10</v>
      </c>
      <c r="F836">
        <v>18</v>
      </c>
      <c r="G836">
        <v>1</v>
      </c>
      <c r="H836">
        <v>28</v>
      </c>
      <c r="I836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8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83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837" spans="1:11" x14ac:dyDescent="0.35">
      <c r="A837">
        <v>326</v>
      </c>
      <c r="B837">
        <v>14</v>
      </c>
      <c r="C837" t="s">
        <v>31</v>
      </c>
      <c r="D837" t="s">
        <v>1807</v>
      </c>
      <c r="E837">
        <v>21</v>
      </c>
      <c r="F837">
        <v>35</v>
      </c>
      <c r="G837">
        <v>1</v>
      </c>
      <c r="H837">
        <v>14</v>
      </c>
      <c r="I837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8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83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38" spans="1:11" x14ac:dyDescent="0.35">
      <c r="A838">
        <v>327</v>
      </c>
      <c r="B838">
        <v>12</v>
      </c>
      <c r="C838" t="s">
        <v>37</v>
      </c>
      <c r="D838" t="s">
        <v>1810</v>
      </c>
      <c r="E838">
        <v>20</v>
      </c>
      <c r="F838">
        <v>34</v>
      </c>
      <c r="G838">
        <v>3</v>
      </c>
      <c r="H838">
        <v>33</v>
      </c>
      <c r="I838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8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83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839" spans="1:11" x14ac:dyDescent="0.35">
      <c r="A839">
        <v>327</v>
      </c>
      <c r="B839">
        <v>12</v>
      </c>
      <c r="C839" t="s">
        <v>45</v>
      </c>
      <c r="D839" t="s">
        <v>1814</v>
      </c>
      <c r="E839">
        <v>10</v>
      </c>
      <c r="F839">
        <v>18</v>
      </c>
      <c r="G839">
        <v>1</v>
      </c>
      <c r="H839">
        <v>7</v>
      </c>
      <c r="I839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8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83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840" spans="1:11" x14ac:dyDescent="0.35">
      <c r="A840">
        <v>327</v>
      </c>
      <c r="B840">
        <v>12</v>
      </c>
      <c r="C840" t="s">
        <v>17</v>
      </c>
      <c r="D840" t="s">
        <v>1800</v>
      </c>
      <c r="E840">
        <v>16</v>
      </c>
      <c r="F840">
        <v>27</v>
      </c>
      <c r="G840">
        <v>1</v>
      </c>
      <c r="H840">
        <v>34</v>
      </c>
      <c r="I840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8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84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841" spans="1:11" x14ac:dyDescent="0.35">
      <c r="A841">
        <v>328</v>
      </c>
      <c r="B841">
        <v>4</v>
      </c>
      <c r="C841" t="s">
        <v>31</v>
      </c>
      <c r="D841" t="s">
        <v>1807</v>
      </c>
      <c r="E841">
        <v>21</v>
      </c>
      <c r="F841">
        <v>35</v>
      </c>
      <c r="G841">
        <v>1</v>
      </c>
      <c r="H841">
        <v>21</v>
      </c>
      <c r="I841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8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84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42" spans="1:11" x14ac:dyDescent="0.35">
      <c r="A842">
        <v>329</v>
      </c>
      <c r="B842">
        <v>13</v>
      </c>
      <c r="C842" t="s">
        <v>43</v>
      </c>
      <c r="D842" t="s">
        <v>1813</v>
      </c>
      <c r="E842">
        <v>13</v>
      </c>
      <c r="F842">
        <v>21</v>
      </c>
      <c r="G842">
        <v>2</v>
      </c>
      <c r="H842">
        <v>56</v>
      </c>
      <c r="I842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8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42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43" spans="1:11" x14ac:dyDescent="0.35">
      <c r="A843">
        <v>329</v>
      </c>
      <c r="B843">
        <v>13</v>
      </c>
      <c r="C843" t="s">
        <v>41</v>
      </c>
      <c r="D843" t="s">
        <v>1811</v>
      </c>
      <c r="E843">
        <v>14</v>
      </c>
      <c r="F843">
        <v>23</v>
      </c>
      <c r="G843">
        <v>1</v>
      </c>
      <c r="H843">
        <v>8</v>
      </c>
      <c r="I843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8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843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844" spans="1:11" x14ac:dyDescent="0.35">
      <c r="A844">
        <v>329</v>
      </c>
      <c r="B844">
        <v>13</v>
      </c>
      <c r="C844" t="s">
        <v>15</v>
      </c>
      <c r="D844" t="s">
        <v>1799</v>
      </c>
      <c r="E844">
        <v>19</v>
      </c>
      <c r="F844">
        <v>31</v>
      </c>
      <c r="G844">
        <v>2</v>
      </c>
      <c r="H844">
        <v>58</v>
      </c>
      <c r="I844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8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4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845" spans="1:11" x14ac:dyDescent="0.35">
      <c r="A845">
        <v>329</v>
      </c>
      <c r="B845">
        <v>13</v>
      </c>
      <c r="C845" t="s">
        <v>19</v>
      </c>
      <c r="D845" t="s">
        <v>1802</v>
      </c>
      <c r="E845">
        <v>25</v>
      </c>
      <c r="F845">
        <v>40</v>
      </c>
      <c r="G845">
        <v>2</v>
      </c>
      <c r="H845">
        <v>17</v>
      </c>
      <c r="I845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8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84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846" spans="1:11" x14ac:dyDescent="0.35">
      <c r="A846">
        <v>330</v>
      </c>
      <c r="B846">
        <v>10</v>
      </c>
      <c r="C846" t="s">
        <v>49</v>
      </c>
      <c r="D846" t="s">
        <v>1816</v>
      </c>
      <c r="E846">
        <v>15</v>
      </c>
      <c r="F846">
        <v>25</v>
      </c>
      <c r="G846">
        <v>2</v>
      </c>
      <c r="H846">
        <v>25</v>
      </c>
      <c r="I846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8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84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47" spans="1:11" x14ac:dyDescent="0.35">
      <c r="A847">
        <v>330</v>
      </c>
      <c r="B847">
        <v>10</v>
      </c>
      <c r="C847" t="s">
        <v>43</v>
      </c>
      <c r="D847" t="s">
        <v>1813</v>
      </c>
      <c r="E847">
        <v>13</v>
      </c>
      <c r="F847">
        <v>21</v>
      </c>
      <c r="G847">
        <v>2</v>
      </c>
      <c r="H847">
        <v>51</v>
      </c>
      <c r="I847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8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4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48" spans="1:11" x14ac:dyDescent="0.35">
      <c r="A848">
        <v>330</v>
      </c>
      <c r="B848">
        <v>10</v>
      </c>
      <c r="C848" t="s">
        <v>41</v>
      </c>
      <c r="D848" t="s">
        <v>1811</v>
      </c>
      <c r="E848">
        <v>14</v>
      </c>
      <c r="F848">
        <v>23</v>
      </c>
      <c r="G848">
        <v>3</v>
      </c>
      <c r="H848">
        <v>21</v>
      </c>
      <c r="I848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8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84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849" spans="1:11" x14ac:dyDescent="0.35">
      <c r="A849">
        <v>330</v>
      </c>
      <c r="B849">
        <v>10</v>
      </c>
      <c r="C849" t="s">
        <v>27</v>
      </c>
      <c r="D849" t="s">
        <v>1805</v>
      </c>
      <c r="E849">
        <v>16</v>
      </c>
      <c r="F849">
        <v>28</v>
      </c>
      <c r="G849">
        <v>2</v>
      </c>
      <c r="H849">
        <v>43</v>
      </c>
      <c r="I849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8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49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850" spans="1:11" x14ac:dyDescent="0.35">
      <c r="A850">
        <v>331</v>
      </c>
      <c r="B850">
        <v>20</v>
      </c>
      <c r="C850" t="s">
        <v>49</v>
      </c>
      <c r="D850" t="s">
        <v>1816</v>
      </c>
      <c r="E850">
        <v>15</v>
      </c>
      <c r="F850">
        <v>25</v>
      </c>
      <c r="G850">
        <v>1</v>
      </c>
      <c r="H850">
        <v>35</v>
      </c>
      <c r="I850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8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85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51" spans="1:11" x14ac:dyDescent="0.35">
      <c r="A851">
        <v>331</v>
      </c>
      <c r="B851">
        <v>20</v>
      </c>
      <c r="C851" t="s">
        <v>29</v>
      </c>
      <c r="D851" t="s">
        <v>1806</v>
      </c>
      <c r="E851">
        <v>11</v>
      </c>
      <c r="F851">
        <v>19</v>
      </c>
      <c r="G851">
        <v>1</v>
      </c>
      <c r="H851">
        <v>5</v>
      </c>
      <c r="I851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8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851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852" spans="1:11" x14ac:dyDescent="0.35">
      <c r="A852">
        <v>331</v>
      </c>
      <c r="B852">
        <v>20</v>
      </c>
      <c r="C852" t="s">
        <v>9</v>
      </c>
      <c r="D852" t="s">
        <v>1798</v>
      </c>
      <c r="E852">
        <v>14</v>
      </c>
      <c r="F852">
        <v>24</v>
      </c>
      <c r="G852">
        <v>1</v>
      </c>
      <c r="H852">
        <v>55</v>
      </c>
      <c r="I852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8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85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853" spans="1:11" x14ac:dyDescent="0.35">
      <c r="A853">
        <v>331</v>
      </c>
      <c r="B853">
        <v>20</v>
      </c>
      <c r="C853" t="s">
        <v>31</v>
      </c>
      <c r="D853" t="s">
        <v>1807</v>
      </c>
      <c r="E853">
        <v>21</v>
      </c>
      <c r="F853">
        <v>35</v>
      </c>
      <c r="G853">
        <v>3</v>
      </c>
      <c r="H853">
        <v>26</v>
      </c>
      <c r="I853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8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85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54" spans="1:11" x14ac:dyDescent="0.35">
      <c r="A854">
        <v>332</v>
      </c>
      <c r="B854">
        <v>6</v>
      </c>
      <c r="C854" t="s">
        <v>19</v>
      </c>
      <c r="D854" t="s">
        <v>1802</v>
      </c>
      <c r="E854">
        <v>25</v>
      </c>
      <c r="F854">
        <v>40</v>
      </c>
      <c r="G854">
        <v>3</v>
      </c>
      <c r="H854">
        <v>17</v>
      </c>
      <c r="I854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8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85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855" spans="1:11" x14ac:dyDescent="0.35">
      <c r="A855">
        <v>333</v>
      </c>
      <c r="B855">
        <v>6</v>
      </c>
      <c r="C855" t="s">
        <v>21</v>
      </c>
      <c r="D855" t="s">
        <v>1801</v>
      </c>
      <c r="E855">
        <v>22</v>
      </c>
      <c r="F855">
        <v>36</v>
      </c>
      <c r="G855">
        <v>1</v>
      </c>
      <c r="H855">
        <v>38</v>
      </c>
      <c r="I85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8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85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856" spans="1:11" x14ac:dyDescent="0.35">
      <c r="A856">
        <v>333</v>
      </c>
      <c r="B856">
        <v>6</v>
      </c>
      <c r="C856" t="s">
        <v>45</v>
      </c>
      <c r="D856" t="s">
        <v>1814</v>
      </c>
      <c r="E856">
        <v>10</v>
      </c>
      <c r="F856">
        <v>18</v>
      </c>
      <c r="G856">
        <v>2</v>
      </c>
      <c r="H856">
        <v>23</v>
      </c>
      <c r="I856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8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5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857" spans="1:11" x14ac:dyDescent="0.35">
      <c r="A857">
        <v>334</v>
      </c>
      <c r="B857">
        <v>12</v>
      </c>
      <c r="C857" t="s">
        <v>43</v>
      </c>
      <c r="D857" t="s">
        <v>1813</v>
      </c>
      <c r="E857">
        <v>13</v>
      </c>
      <c r="F857">
        <v>21</v>
      </c>
      <c r="G857">
        <v>2</v>
      </c>
      <c r="H857">
        <v>36</v>
      </c>
      <c r="I857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8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5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58" spans="1:11" x14ac:dyDescent="0.35">
      <c r="A858">
        <v>334</v>
      </c>
      <c r="B858">
        <v>12</v>
      </c>
      <c r="C858" t="s">
        <v>41</v>
      </c>
      <c r="D858" t="s">
        <v>1811</v>
      </c>
      <c r="E858">
        <v>14</v>
      </c>
      <c r="F858">
        <v>23</v>
      </c>
      <c r="G858">
        <v>1</v>
      </c>
      <c r="H858">
        <v>58</v>
      </c>
      <c r="I858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8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85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859" spans="1:11" x14ac:dyDescent="0.35">
      <c r="A859">
        <v>334</v>
      </c>
      <c r="B859">
        <v>12</v>
      </c>
      <c r="C859" t="s">
        <v>12</v>
      </c>
      <c r="D859" t="s">
        <v>1797</v>
      </c>
      <c r="E859">
        <v>18</v>
      </c>
      <c r="F859">
        <v>30</v>
      </c>
      <c r="G859">
        <v>2</v>
      </c>
      <c r="H859">
        <v>31</v>
      </c>
      <c r="I85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8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5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60" spans="1:11" x14ac:dyDescent="0.35">
      <c r="A860">
        <v>334</v>
      </c>
      <c r="B860">
        <v>12</v>
      </c>
      <c r="C860" t="s">
        <v>9</v>
      </c>
      <c r="D860" t="s">
        <v>1798</v>
      </c>
      <c r="E860">
        <v>14</v>
      </c>
      <c r="F860">
        <v>24</v>
      </c>
      <c r="G860">
        <v>2</v>
      </c>
      <c r="H860">
        <v>31</v>
      </c>
      <c r="I860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8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860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861" spans="1:11" x14ac:dyDescent="0.35">
      <c r="A861">
        <v>335</v>
      </c>
      <c r="B861">
        <v>14</v>
      </c>
      <c r="C861" t="s">
        <v>27</v>
      </c>
      <c r="D861" t="s">
        <v>1805</v>
      </c>
      <c r="E861">
        <v>16</v>
      </c>
      <c r="F861">
        <v>28</v>
      </c>
      <c r="G861">
        <v>3</v>
      </c>
      <c r="H861">
        <v>36</v>
      </c>
      <c r="I861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8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861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862" spans="1:11" x14ac:dyDescent="0.35">
      <c r="A862">
        <v>335</v>
      </c>
      <c r="B862">
        <v>14</v>
      </c>
      <c r="C862" t="s">
        <v>12</v>
      </c>
      <c r="D862" t="s">
        <v>1797</v>
      </c>
      <c r="E862">
        <v>18</v>
      </c>
      <c r="F862">
        <v>30</v>
      </c>
      <c r="G862">
        <v>1</v>
      </c>
      <c r="H862">
        <v>33</v>
      </c>
      <c r="I862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8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6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63" spans="1:11" x14ac:dyDescent="0.35">
      <c r="A863">
        <v>336</v>
      </c>
      <c r="B863">
        <v>4</v>
      </c>
      <c r="C863" t="s">
        <v>47</v>
      </c>
      <c r="D863" t="s">
        <v>1815</v>
      </c>
      <c r="E863">
        <v>15</v>
      </c>
      <c r="F863">
        <v>26</v>
      </c>
      <c r="G863">
        <v>3</v>
      </c>
      <c r="H863">
        <v>20</v>
      </c>
      <c r="I863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8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86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864" spans="1:11" x14ac:dyDescent="0.35">
      <c r="A864">
        <v>336</v>
      </c>
      <c r="B864">
        <v>4</v>
      </c>
      <c r="C864" t="s">
        <v>29</v>
      </c>
      <c r="D864" t="s">
        <v>1806</v>
      </c>
      <c r="E864">
        <v>11</v>
      </c>
      <c r="F864">
        <v>19</v>
      </c>
      <c r="G864">
        <v>2</v>
      </c>
      <c r="H864">
        <v>33</v>
      </c>
      <c r="I864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8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64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865" spans="1:11" x14ac:dyDescent="0.35">
      <c r="A865">
        <v>336</v>
      </c>
      <c r="B865">
        <v>4</v>
      </c>
      <c r="C865" t="s">
        <v>43</v>
      </c>
      <c r="D865" t="s">
        <v>1813</v>
      </c>
      <c r="E865">
        <v>13</v>
      </c>
      <c r="F865">
        <v>21</v>
      </c>
      <c r="G865">
        <v>2</v>
      </c>
      <c r="H865">
        <v>12</v>
      </c>
      <c r="I865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8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65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66" spans="1:11" x14ac:dyDescent="0.35">
      <c r="A866">
        <v>337</v>
      </c>
      <c r="B866">
        <v>11</v>
      </c>
      <c r="C866" t="s">
        <v>27</v>
      </c>
      <c r="D866" t="s">
        <v>1805</v>
      </c>
      <c r="E866">
        <v>16</v>
      </c>
      <c r="F866">
        <v>28</v>
      </c>
      <c r="G866">
        <v>1</v>
      </c>
      <c r="H866">
        <v>5</v>
      </c>
      <c r="I866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8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6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867" spans="1:11" x14ac:dyDescent="0.35">
      <c r="A867">
        <v>337</v>
      </c>
      <c r="B867">
        <v>11</v>
      </c>
      <c r="C867" t="s">
        <v>9</v>
      </c>
      <c r="D867" t="s">
        <v>1798</v>
      </c>
      <c r="E867">
        <v>14</v>
      </c>
      <c r="F867">
        <v>24</v>
      </c>
      <c r="G867">
        <v>3</v>
      </c>
      <c r="H867">
        <v>53</v>
      </c>
      <c r="I867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8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867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868" spans="1:11" x14ac:dyDescent="0.35">
      <c r="A868">
        <v>338</v>
      </c>
      <c r="B868">
        <v>18</v>
      </c>
      <c r="C868" t="s">
        <v>43</v>
      </c>
      <c r="D868" t="s">
        <v>1813</v>
      </c>
      <c r="E868">
        <v>13</v>
      </c>
      <c r="F868">
        <v>21</v>
      </c>
      <c r="G868">
        <v>1</v>
      </c>
      <c r="H868">
        <v>10</v>
      </c>
      <c r="I868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8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868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869" spans="1:11" x14ac:dyDescent="0.35">
      <c r="A869">
        <v>338</v>
      </c>
      <c r="B869">
        <v>18</v>
      </c>
      <c r="C869" t="s">
        <v>33</v>
      </c>
      <c r="D869" t="s">
        <v>1808</v>
      </c>
      <c r="E869">
        <v>19</v>
      </c>
      <c r="F869">
        <v>32</v>
      </c>
      <c r="G869">
        <v>3</v>
      </c>
      <c r="H869">
        <v>30</v>
      </c>
      <c r="I869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8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86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870" spans="1:11" x14ac:dyDescent="0.35">
      <c r="A870">
        <v>338</v>
      </c>
      <c r="B870">
        <v>18</v>
      </c>
      <c r="C870" t="s">
        <v>37</v>
      </c>
      <c r="D870" t="s">
        <v>1810</v>
      </c>
      <c r="E870">
        <v>20</v>
      </c>
      <c r="F870">
        <v>34</v>
      </c>
      <c r="G870">
        <v>3</v>
      </c>
      <c r="H870">
        <v>44</v>
      </c>
      <c r="I870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8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87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871" spans="1:11" x14ac:dyDescent="0.35">
      <c r="A871">
        <v>338</v>
      </c>
      <c r="B871">
        <v>18</v>
      </c>
      <c r="C871" t="s">
        <v>39</v>
      </c>
      <c r="D871" t="s">
        <v>1812</v>
      </c>
      <c r="E871">
        <v>12</v>
      </c>
      <c r="F871">
        <v>20</v>
      </c>
      <c r="G871">
        <v>3</v>
      </c>
      <c r="H871">
        <v>59</v>
      </c>
      <c r="I871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8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7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72" spans="1:11" x14ac:dyDescent="0.35">
      <c r="A872">
        <v>339</v>
      </c>
      <c r="B872">
        <v>13</v>
      </c>
      <c r="C872" t="s">
        <v>41</v>
      </c>
      <c r="D872" t="s">
        <v>1811</v>
      </c>
      <c r="E872">
        <v>14</v>
      </c>
      <c r="F872">
        <v>23</v>
      </c>
      <c r="G872">
        <v>2</v>
      </c>
      <c r="H872">
        <v>40</v>
      </c>
      <c r="I872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8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872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873" spans="1:11" x14ac:dyDescent="0.35">
      <c r="A873">
        <v>339</v>
      </c>
      <c r="B873">
        <v>13</v>
      </c>
      <c r="C873" t="s">
        <v>23</v>
      </c>
      <c r="D873" t="s">
        <v>1803</v>
      </c>
      <c r="E873">
        <v>17</v>
      </c>
      <c r="F873">
        <v>29</v>
      </c>
      <c r="G873">
        <v>2</v>
      </c>
      <c r="H873">
        <v>6</v>
      </c>
      <c r="I873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8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73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874" spans="1:11" x14ac:dyDescent="0.35">
      <c r="A874">
        <v>340</v>
      </c>
      <c r="B874">
        <v>15</v>
      </c>
      <c r="C874" t="s">
        <v>27</v>
      </c>
      <c r="D874" t="s">
        <v>1805</v>
      </c>
      <c r="E874">
        <v>16</v>
      </c>
      <c r="F874">
        <v>28</v>
      </c>
      <c r="G874">
        <v>3</v>
      </c>
      <c r="H874">
        <v>56</v>
      </c>
      <c r="I874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8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87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875" spans="1:11" x14ac:dyDescent="0.35">
      <c r="A875">
        <v>340</v>
      </c>
      <c r="B875">
        <v>15</v>
      </c>
      <c r="C875" t="s">
        <v>19</v>
      </c>
      <c r="D875" t="s">
        <v>1802</v>
      </c>
      <c r="E875">
        <v>25</v>
      </c>
      <c r="F875">
        <v>40</v>
      </c>
      <c r="G875">
        <v>2</v>
      </c>
      <c r="H875">
        <v>35</v>
      </c>
      <c r="I875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8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87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876" spans="1:11" x14ac:dyDescent="0.35">
      <c r="A876">
        <v>341</v>
      </c>
      <c r="B876">
        <v>14</v>
      </c>
      <c r="C876" t="s">
        <v>27</v>
      </c>
      <c r="D876" t="s">
        <v>1805</v>
      </c>
      <c r="E876">
        <v>16</v>
      </c>
      <c r="F876">
        <v>28</v>
      </c>
      <c r="G876">
        <v>1</v>
      </c>
      <c r="H876">
        <v>46</v>
      </c>
      <c r="I876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8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87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877" spans="1:11" x14ac:dyDescent="0.35">
      <c r="A877">
        <v>341</v>
      </c>
      <c r="B877">
        <v>14</v>
      </c>
      <c r="C877" t="s">
        <v>35</v>
      </c>
      <c r="D877" t="s">
        <v>1809</v>
      </c>
      <c r="E877">
        <v>13</v>
      </c>
      <c r="F877">
        <v>22</v>
      </c>
      <c r="G877">
        <v>2</v>
      </c>
      <c r="H877">
        <v>34</v>
      </c>
      <c r="I877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8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87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878" spans="1:11" x14ac:dyDescent="0.35">
      <c r="A878">
        <v>341</v>
      </c>
      <c r="B878">
        <v>14</v>
      </c>
      <c r="C878" t="s">
        <v>31</v>
      </c>
      <c r="D878" t="s">
        <v>1807</v>
      </c>
      <c r="E878">
        <v>21</v>
      </c>
      <c r="F878">
        <v>35</v>
      </c>
      <c r="G878">
        <v>3</v>
      </c>
      <c r="H878">
        <v>8</v>
      </c>
      <c r="I878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8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87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79" spans="1:11" x14ac:dyDescent="0.35">
      <c r="A879">
        <v>342</v>
      </c>
      <c r="B879">
        <v>19</v>
      </c>
      <c r="C879" t="s">
        <v>41</v>
      </c>
      <c r="D879" t="s">
        <v>1811</v>
      </c>
      <c r="E879">
        <v>14</v>
      </c>
      <c r="F879">
        <v>23</v>
      </c>
      <c r="G879">
        <v>2</v>
      </c>
      <c r="H879">
        <v>23</v>
      </c>
      <c r="I879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8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87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880" spans="1:11" x14ac:dyDescent="0.35">
      <c r="A880">
        <v>342</v>
      </c>
      <c r="B880">
        <v>19</v>
      </c>
      <c r="C880" t="s">
        <v>27</v>
      </c>
      <c r="D880" t="s">
        <v>1805</v>
      </c>
      <c r="E880">
        <v>16</v>
      </c>
      <c r="F880">
        <v>28</v>
      </c>
      <c r="G880">
        <v>2</v>
      </c>
      <c r="H880">
        <v>31</v>
      </c>
      <c r="I880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8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8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881" spans="1:11" x14ac:dyDescent="0.35">
      <c r="A881">
        <v>343</v>
      </c>
      <c r="B881">
        <v>12</v>
      </c>
      <c r="C881" t="s">
        <v>41</v>
      </c>
      <c r="D881" t="s">
        <v>1811</v>
      </c>
      <c r="E881">
        <v>14</v>
      </c>
      <c r="F881">
        <v>23</v>
      </c>
      <c r="G881">
        <v>3</v>
      </c>
      <c r="H881">
        <v>43</v>
      </c>
      <c r="I881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8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881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882" spans="1:11" x14ac:dyDescent="0.35">
      <c r="A882">
        <v>343</v>
      </c>
      <c r="B882">
        <v>12</v>
      </c>
      <c r="C882" t="s">
        <v>37</v>
      </c>
      <c r="D882" t="s">
        <v>1810</v>
      </c>
      <c r="E882">
        <v>20</v>
      </c>
      <c r="F882">
        <v>34</v>
      </c>
      <c r="G882">
        <v>2</v>
      </c>
      <c r="H882">
        <v>58</v>
      </c>
      <c r="I882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8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88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883" spans="1:11" x14ac:dyDescent="0.35">
      <c r="A883">
        <v>344</v>
      </c>
      <c r="B883">
        <v>15</v>
      </c>
      <c r="C883" t="s">
        <v>33</v>
      </c>
      <c r="D883" t="s">
        <v>1808</v>
      </c>
      <c r="E883">
        <v>19</v>
      </c>
      <c r="F883">
        <v>32</v>
      </c>
      <c r="G883">
        <v>2</v>
      </c>
      <c r="H883">
        <v>19</v>
      </c>
      <c r="I883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8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88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884" spans="1:11" x14ac:dyDescent="0.35">
      <c r="A884">
        <v>344</v>
      </c>
      <c r="B884">
        <v>15</v>
      </c>
      <c r="C884" t="s">
        <v>15</v>
      </c>
      <c r="D884" t="s">
        <v>1799</v>
      </c>
      <c r="E884">
        <v>19</v>
      </c>
      <c r="F884">
        <v>31</v>
      </c>
      <c r="G884">
        <v>2</v>
      </c>
      <c r="H884">
        <v>28</v>
      </c>
      <c r="I884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8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8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885" spans="1:11" x14ac:dyDescent="0.35">
      <c r="A885">
        <v>344</v>
      </c>
      <c r="B885">
        <v>15</v>
      </c>
      <c r="C885" t="s">
        <v>35</v>
      </c>
      <c r="D885" t="s">
        <v>1809</v>
      </c>
      <c r="E885">
        <v>13</v>
      </c>
      <c r="F885">
        <v>22</v>
      </c>
      <c r="G885">
        <v>1</v>
      </c>
      <c r="H885">
        <v>28</v>
      </c>
      <c r="I885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8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885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886" spans="1:11" x14ac:dyDescent="0.35">
      <c r="A886">
        <v>344</v>
      </c>
      <c r="B886">
        <v>15</v>
      </c>
      <c r="C886" t="s">
        <v>31</v>
      </c>
      <c r="D886" t="s">
        <v>1807</v>
      </c>
      <c r="E886">
        <v>21</v>
      </c>
      <c r="F886">
        <v>35</v>
      </c>
      <c r="G886">
        <v>1</v>
      </c>
      <c r="H886">
        <v>11</v>
      </c>
      <c r="I886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8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88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87" spans="1:11" x14ac:dyDescent="0.35">
      <c r="A887">
        <v>345</v>
      </c>
      <c r="B887">
        <v>16</v>
      </c>
      <c r="C887" t="s">
        <v>29</v>
      </c>
      <c r="D887" t="s">
        <v>1806</v>
      </c>
      <c r="E887">
        <v>11</v>
      </c>
      <c r="F887">
        <v>19</v>
      </c>
      <c r="G887">
        <v>2</v>
      </c>
      <c r="H887">
        <v>18</v>
      </c>
      <c r="I887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8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887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888" spans="1:11" x14ac:dyDescent="0.35">
      <c r="A888">
        <v>346</v>
      </c>
      <c r="B888">
        <v>1</v>
      </c>
      <c r="C888" t="s">
        <v>21</v>
      </c>
      <c r="D888" t="s">
        <v>1801</v>
      </c>
      <c r="E888">
        <v>22</v>
      </c>
      <c r="F888">
        <v>36</v>
      </c>
      <c r="G888">
        <v>2</v>
      </c>
      <c r="H888">
        <v>22</v>
      </c>
      <c r="I88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8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88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889" spans="1:11" x14ac:dyDescent="0.35">
      <c r="A889">
        <v>347</v>
      </c>
      <c r="B889">
        <v>7</v>
      </c>
      <c r="C889" t="s">
        <v>31</v>
      </c>
      <c r="D889" t="s">
        <v>1807</v>
      </c>
      <c r="E889">
        <v>21</v>
      </c>
      <c r="F889">
        <v>35</v>
      </c>
      <c r="G889">
        <v>2</v>
      </c>
      <c r="H889">
        <v>44</v>
      </c>
      <c r="I889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8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88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90" spans="1:11" x14ac:dyDescent="0.35">
      <c r="A890">
        <v>348</v>
      </c>
      <c r="B890">
        <v>16</v>
      </c>
      <c r="C890" t="s">
        <v>47</v>
      </c>
      <c r="D890" t="s">
        <v>1815</v>
      </c>
      <c r="E890">
        <v>15</v>
      </c>
      <c r="F890">
        <v>26</v>
      </c>
      <c r="G890">
        <v>1</v>
      </c>
      <c r="H890">
        <v>31</v>
      </c>
      <c r="I890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8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890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891" spans="1:11" x14ac:dyDescent="0.35">
      <c r="A891">
        <v>348</v>
      </c>
      <c r="B891">
        <v>16</v>
      </c>
      <c r="C891" t="s">
        <v>39</v>
      </c>
      <c r="D891" t="s">
        <v>1812</v>
      </c>
      <c r="E891">
        <v>12</v>
      </c>
      <c r="F891">
        <v>20</v>
      </c>
      <c r="G891">
        <v>3</v>
      </c>
      <c r="H891">
        <v>57</v>
      </c>
      <c r="I891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8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9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92" spans="1:11" x14ac:dyDescent="0.35">
      <c r="A892">
        <v>349</v>
      </c>
      <c r="B892">
        <v>13</v>
      </c>
      <c r="C892" t="s">
        <v>29</v>
      </c>
      <c r="D892" t="s">
        <v>1806</v>
      </c>
      <c r="E892">
        <v>11</v>
      </c>
      <c r="F892">
        <v>19</v>
      </c>
      <c r="G892">
        <v>3</v>
      </c>
      <c r="H892">
        <v>7</v>
      </c>
      <c r="I892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8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9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893" spans="1:11" x14ac:dyDescent="0.35">
      <c r="A893">
        <v>349</v>
      </c>
      <c r="B893">
        <v>13</v>
      </c>
      <c r="C893" t="s">
        <v>12</v>
      </c>
      <c r="D893" t="s">
        <v>1797</v>
      </c>
      <c r="E893">
        <v>18</v>
      </c>
      <c r="F893">
        <v>30</v>
      </c>
      <c r="G893">
        <v>2</v>
      </c>
      <c r="H893">
        <v>25</v>
      </c>
      <c r="I89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8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9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94" spans="1:11" x14ac:dyDescent="0.35">
      <c r="A894">
        <v>349</v>
      </c>
      <c r="B894">
        <v>13</v>
      </c>
      <c r="C894" t="s">
        <v>31</v>
      </c>
      <c r="D894" t="s">
        <v>1807</v>
      </c>
      <c r="E894">
        <v>21</v>
      </c>
      <c r="F894">
        <v>35</v>
      </c>
      <c r="G894">
        <v>1</v>
      </c>
      <c r="H894">
        <v>53</v>
      </c>
      <c r="I894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8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89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95" spans="1:11" x14ac:dyDescent="0.35">
      <c r="A895">
        <v>350</v>
      </c>
      <c r="B895">
        <v>2</v>
      </c>
      <c r="C895" t="s">
        <v>15</v>
      </c>
      <c r="D895" t="s">
        <v>1799</v>
      </c>
      <c r="E895">
        <v>19</v>
      </c>
      <c r="F895">
        <v>31</v>
      </c>
      <c r="G895">
        <v>2</v>
      </c>
      <c r="H895">
        <v>52</v>
      </c>
      <c r="I895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8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89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896" spans="1:11" x14ac:dyDescent="0.35">
      <c r="A896">
        <v>350</v>
      </c>
      <c r="B896">
        <v>2</v>
      </c>
      <c r="C896" t="s">
        <v>17</v>
      </c>
      <c r="D896" t="s">
        <v>1800</v>
      </c>
      <c r="E896">
        <v>16</v>
      </c>
      <c r="F896">
        <v>27</v>
      </c>
      <c r="G896">
        <v>3</v>
      </c>
      <c r="H896">
        <v>57</v>
      </c>
      <c r="I896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8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896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897" spans="1:11" x14ac:dyDescent="0.35">
      <c r="A897">
        <v>351</v>
      </c>
      <c r="B897">
        <v>1</v>
      </c>
      <c r="C897" t="s">
        <v>33</v>
      </c>
      <c r="D897" t="s">
        <v>1808</v>
      </c>
      <c r="E897">
        <v>19</v>
      </c>
      <c r="F897">
        <v>32</v>
      </c>
      <c r="G897">
        <v>3</v>
      </c>
      <c r="H897">
        <v>18</v>
      </c>
      <c r="I897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8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89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898" spans="1:11" x14ac:dyDescent="0.35">
      <c r="A898">
        <v>351</v>
      </c>
      <c r="B898">
        <v>1</v>
      </c>
      <c r="C898" t="s">
        <v>31</v>
      </c>
      <c r="D898" t="s">
        <v>1807</v>
      </c>
      <c r="E898">
        <v>21</v>
      </c>
      <c r="F898">
        <v>35</v>
      </c>
      <c r="G898">
        <v>3</v>
      </c>
      <c r="H898">
        <v>7</v>
      </c>
      <c r="I898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8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89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899" spans="1:11" x14ac:dyDescent="0.35">
      <c r="A899">
        <v>352</v>
      </c>
      <c r="B899">
        <v>1</v>
      </c>
      <c r="C899" t="s">
        <v>25</v>
      </c>
      <c r="D899" t="s">
        <v>1804</v>
      </c>
      <c r="E899">
        <v>20</v>
      </c>
      <c r="F899">
        <v>33</v>
      </c>
      <c r="G899">
        <v>3</v>
      </c>
      <c r="H899">
        <v>7</v>
      </c>
      <c r="I899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8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89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900" spans="1:11" x14ac:dyDescent="0.35">
      <c r="A900">
        <v>353</v>
      </c>
      <c r="B900">
        <v>7</v>
      </c>
      <c r="C900" t="s">
        <v>37</v>
      </c>
      <c r="D900" t="s">
        <v>1810</v>
      </c>
      <c r="E900">
        <v>20</v>
      </c>
      <c r="F900">
        <v>34</v>
      </c>
      <c r="G900">
        <v>2</v>
      </c>
      <c r="H900">
        <v>25</v>
      </c>
      <c r="I900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9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90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901" spans="1:11" x14ac:dyDescent="0.35">
      <c r="A901">
        <v>353</v>
      </c>
      <c r="B901">
        <v>7</v>
      </c>
      <c r="C901" t="s">
        <v>12</v>
      </c>
      <c r="D901" t="s">
        <v>1797</v>
      </c>
      <c r="E901">
        <v>18</v>
      </c>
      <c r="F901">
        <v>30</v>
      </c>
      <c r="G901">
        <v>1</v>
      </c>
      <c r="H901">
        <v>16</v>
      </c>
      <c r="I901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9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90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02" spans="1:11" x14ac:dyDescent="0.35">
      <c r="A902">
        <v>353</v>
      </c>
      <c r="B902">
        <v>7</v>
      </c>
      <c r="C902" t="s">
        <v>35</v>
      </c>
      <c r="D902" t="s">
        <v>1809</v>
      </c>
      <c r="E902">
        <v>13</v>
      </c>
      <c r="F902">
        <v>22</v>
      </c>
      <c r="G902">
        <v>2</v>
      </c>
      <c r="H902">
        <v>50</v>
      </c>
      <c r="I902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9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90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903" spans="1:11" x14ac:dyDescent="0.35">
      <c r="A903">
        <v>353</v>
      </c>
      <c r="B903">
        <v>7</v>
      </c>
      <c r="C903" t="s">
        <v>31</v>
      </c>
      <c r="D903" t="s">
        <v>1807</v>
      </c>
      <c r="E903">
        <v>21</v>
      </c>
      <c r="F903">
        <v>35</v>
      </c>
      <c r="G903">
        <v>2</v>
      </c>
      <c r="H903">
        <v>37</v>
      </c>
      <c r="I903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9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90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04" spans="1:11" x14ac:dyDescent="0.35">
      <c r="A904">
        <v>354</v>
      </c>
      <c r="B904">
        <v>12</v>
      </c>
      <c r="C904" t="s">
        <v>29</v>
      </c>
      <c r="D904" t="s">
        <v>1806</v>
      </c>
      <c r="E904">
        <v>11</v>
      </c>
      <c r="F904">
        <v>19</v>
      </c>
      <c r="G904">
        <v>3</v>
      </c>
      <c r="H904">
        <v>32</v>
      </c>
      <c r="I904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9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04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905" spans="1:11" x14ac:dyDescent="0.35">
      <c r="A905">
        <v>354</v>
      </c>
      <c r="B905">
        <v>12</v>
      </c>
      <c r="C905" t="s">
        <v>33</v>
      </c>
      <c r="D905" t="s">
        <v>1808</v>
      </c>
      <c r="E905">
        <v>19</v>
      </c>
      <c r="F905">
        <v>32</v>
      </c>
      <c r="G905">
        <v>2</v>
      </c>
      <c r="H905">
        <v>49</v>
      </c>
      <c r="I905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9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905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906" spans="1:11" x14ac:dyDescent="0.35">
      <c r="A906">
        <v>354</v>
      </c>
      <c r="B906">
        <v>12</v>
      </c>
      <c r="C906" t="s">
        <v>45</v>
      </c>
      <c r="D906" t="s">
        <v>1814</v>
      </c>
      <c r="E906">
        <v>10</v>
      </c>
      <c r="F906">
        <v>18</v>
      </c>
      <c r="G906">
        <v>2</v>
      </c>
      <c r="H906">
        <v>7</v>
      </c>
      <c r="I906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9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90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907" spans="1:11" x14ac:dyDescent="0.35">
      <c r="A907">
        <v>354</v>
      </c>
      <c r="B907">
        <v>12</v>
      </c>
      <c r="C907" t="s">
        <v>9</v>
      </c>
      <c r="D907" t="s">
        <v>1798</v>
      </c>
      <c r="E907">
        <v>14</v>
      </c>
      <c r="F907">
        <v>24</v>
      </c>
      <c r="G907">
        <v>1</v>
      </c>
      <c r="H907">
        <v>49</v>
      </c>
      <c r="I907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9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907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908" spans="1:11" x14ac:dyDescent="0.35">
      <c r="A908">
        <v>355</v>
      </c>
      <c r="B908">
        <v>4</v>
      </c>
      <c r="C908" t="s">
        <v>47</v>
      </c>
      <c r="D908" t="s">
        <v>1815</v>
      </c>
      <c r="E908">
        <v>15</v>
      </c>
      <c r="F908">
        <v>26</v>
      </c>
      <c r="G908">
        <v>1</v>
      </c>
      <c r="H908">
        <v>7</v>
      </c>
      <c r="I908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9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908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909" spans="1:11" x14ac:dyDescent="0.35">
      <c r="A909">
        <v>356</v>
      </c>
      <c r="B909">
        <v>1</v>
      </c>
      <c r="C909" t="s">
        <v>45</v>
      </c>
      <c r="D909" t="s">
        <v>1814</v>
      </c>
      <c r="E909">
        <v>10</v>
      </c>
      <c r="F909">
        <v>18</v>
      </c>
      <c r="G909">
        <v>2</v>
      </c>
      <c r="H909">
        <v>7</v>
      </c>
      <c r="I909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9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90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910" spans="1:11" x14ac:dyDescent="0.35">
      <c r="A910">
        <v>357</v>
      </c>
      <c r="B910">
        <v>17</v>
      </c>
      <c r="C910" t="s">
        <v>49</v>
      </c>
      <c r="D910" t="s">
        <v>1816</v>
      </c>
      <c r="E910">
        <v>15</v>
      </c>
      <c r="F910">
        <v>25</v>
      </c>
      <c r="G910">
        <v>1</v>
      </c>
      <c r="H910">
        <v>12</v>
      </c>
      <c r="I910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9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91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11" spans="1:11" x14ac:dyDescent="0.35">
      <c r="A911">
        <v>357</v>
      </c>
      <c r="B911">
        <v>17</v>
      </c>
      <c r="C911" t="s">
        <v>39</v>
      </c>
      <c r="D911" t="s">
        <v>1812</v>
      </c>
      <c r="E911">
        <v>12</v>
      </c>
      <c r="F911">
        <v>20</v>
      </c>
      <c r="G911">
        <v>2</v>
      </c>
      <c r="H911">
        <v>5</v>
      </c>
      <c r="I911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9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91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12" spans="1:11" x14ac:dyDescent="0.35">
      <c r="A912">
        <v>357</v>
      </c>
      <c r="B912">
        <v>17</v>
      </c>
      <c r="C912" t="s">
        <v>35</v>
      </c>
      <c r="D912" t="s">
        <v>1809</v>
      </c>
      <c r="E912">
        <v>13</v>
      </c>
      <c r="F912">
        <v>22</v>
      </c>
      <c r="G912">
        <v>1</v>
      </c>
      <c r="H912">
        <v>48</v>
      </c>
      <c r="I912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9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91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913" spans="1:11" x14ac:dyDescent="0.35">
      <c r="A913">
        <v>357</v>
      </c>
      <c r="B913">
        <v>17</v>
      </c>
      <c r="C913" t="s">
        <v>17</v>
      </c>
      <c r="D913" t="s">
        <v>1800</v>
      </c>
      <c r="E913">
        <v>16</v>
      </c>
      <c r="F913">
        <v>27</v>
      </c>
      <c r="G913">
        <v>3</v>
      </c>
      <c r="H913">
        <v>31</v>
      </c>
      <c r="I913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9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913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914" spans="1:11" x14ac:dyDescent="0.35">
      <c r="A914">
        <v>358</v>
      </c>
      <c r="B914">
        <v>13</v>
      </c>
      <c r="C914" t="s">
        <v>47</v>
      </c>
      <c r="D914" t="s">
        <v>1815</v>
      </c>
      <c r="E914">
        <v>15</v>
      </c>
      <c r="F914">
        <v>26</v>
      </c>
      <c r="G914">
        <v>2</v>
      </c>
      <c r="H914">
        <v>50</v>
      </c>
      <c r="I914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9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91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915" spans="1:11" x14ac:dyDescent="0.35">
      <c r="A915">
        <v>358</v>
      </c>
      <c r="B915">
        <v>13</v>
      </c>
      <c r="C915" t="s">
        <v>39</v>
      </c>
      <c r="D915" t="s">
        <v>1812</v>
      </c>
      <c r="E915">
        <v>12</v>
      </c>
      <c r="F915">
        <v>20</v>
      </c>
      <c r="G915">
        <v>3</v>
      </c>
      <c r="H915">
        <v>52</v>
      </c>
      <c r="I91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9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1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16" spans="1:11" x14ac:dyDescent="0.35">
      <c r="A916">
        <v>358</v>
      </c>
      <c r="B916">
        <v>13</v>
      </c>
      <c r="C916" t="s">
        <v>45</v>
      </c>
      <c r="D916" t="s">
        <v>1814</v>
      </c>
      <c r="E916">
        <v>10</v>
      </c>
      <c r="F916">
        <v>18</v>
      </c>
      <c r="G916">
        <v>3</v>
      </c>
      <c r="H916">
        <v>50</v>
      </c>
      <c r="I916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9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1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917" spans="1:11" x14ac:dyDescent="0.35">
      <c r="A917">
        <v>359</v>
      </c>
      <c r="B917">
        <v>11</v>
      </c>
      <c r="C917" t="s">
        <v>47</v>
      </c>
      <c r="D917" t="s">
        <v>1815</v>
      </c>
      <c r="E917">
        <v>15</v>
      </c>
      <c r="F917">
        <v>26</v>
      </c>
      <c r="G917">
        <v>1</v>
      </c>
      <c r="H917">
        <v>50</v>
      </c>
      <c r="I917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9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91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918" spans="1:11" x14ac:dyDescent="0.35">
      <c r="A918">
        <v>359</v>
      </c>
      <c r="B918">
        <v>11</v>
      </c>
      <c r="C918" t="s">
        <v>27</v>
      </c>
      <c r="D918" t="s">
        <v>1805</v>
      </c>
      <c r="E918">
        <v>16</v>
      </c>
      <c r="F918">
        <v>28</v>
      </c>
      <c r="G918">
        <v>3</v>
      </c>
      <c r="H918">
        <v>57</v>
      </c>
      <c r="I918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9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918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919" spans="1:11" x14ac:dyDescent="0.35">
      <c r="A919">
        <v>359</v>
      </c>
      <c r="B919">
        <v>11</v>
      </c>
      <c r="C919" t="s">
        <v>35</v>
      </c>
      <c r="D919" t="s">
        <v>1809</v>
      </c>
      <c r="E919">
        <v>13</v>
      </c>
      <c r="F919">
        <v>22</v>
      </c>
      <c r="G919">
        <v>1</v>
      </c>
      <c r="H919">
        <v>26</v>
      </c>
      <c r="I919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9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91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920" spans="1:11" x14ac:dyDescent="0.35">
      <c r="A920">
        <v>359</v>
      </c>
      <c r="B920">
        <v>11</v>
      </c>
      <c r="C920" t="s">
        <v>23</v>
      </c>
      <c r="D920" t="s">
        <v>1803</v>
      </c>
      <c r="E920">
        <v>17</v>
      </c>
      <c r="F920">
        <v>29</v>
      </c>
      <c r="G920">
        <v>2</v>
      </c>
      <c r="H920">
        <v>12</v>
      </c>
      <c r="I920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9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2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921" spans="1:11" x14ac:dyDescent="0.35">
      <c r="A921">
        <v>360</v>
      </c>
      <c r="B921">
        <v>16</v>
      </c>
      <c r="C921" t="s">
        <v>47</v>
      </c>
      <c r="D921" t="s">
        <v>1815</v>
      </c>
      <c r="E921">
        <v>15</v>
      </c>
      <c r="F921">
        <v>26</v>
      </c>
      <c r="G921">
        <v>1</v>
      </c>
      <c r="H921">
        <v>51</v>
      </c>
      <c r="I921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9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92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922" spans="1:11" x14ac:dyDescent="0.35">
      <c r="A922">
        <v>360</v>
      </c>
      <c r="B922">
        <v>16</v>
      </c>
      <c r="C922" t="s">
        <v>43</v>
      </c>
      <c r="D922" t="s">
        <v>1813</v>
      </c>
      <c r="E922">
        <v>13</v>
      </c>
      <c r="F922">
        <v>21</v>
      </c>
      <c r="G922">
        <v>1</v>
      </c>
      <c r="H922">
        <v>42</v>
      </c>
      <c r="I922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9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922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923" spans="1:11" x14ac:dyDescent="0.35">
      <c r="A923">
        <v>360</v>
      </c>
      <c r="B923">
        <v>16</v>
      </c>
      <c r="C923" t="s">
        <v>33</v>
      </c>
      <c r="D923" t="s">
        <v>1808</v>
      </c>
      <c r="E923">
        <v>19</v>
      </c>
      <c r="F923">
        <v>32</v>
      </c>
      <c r="G923">
        <v>3</v>
      </c>
      <c r="H923">
        <v>30</v>
      </c>
      <c r="I923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9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92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924" spans="1:11" x14ac:dyDescent="0.35">
      <c r="A924">
        <v>360</v>
      </c>
      <c r="B924">
        <v>16</v>
      </c>
      <c r="C924" t="s">
        <v>12</v>
      </c>
      <c r="D924" t="s">
        <v>1797</v>
      </c>
      <c r="E924">
        <v>18</v>
      </c>
      <c r="F924">
        <v>30</v>
      </c>
      <c r="G924">
        <v>3</v>
      </c>
      <c r="H924">
        <v>36</v>
      </c>
      <c r="I924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9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92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25" spans="1:11" x14ac:dyDescent="0.35">
      <c r="A925">
        <v>361</v>
      </c>
      <c r="B925">
        <v>16</v>
      </c>
      <c r="C925" t="s">
        <v>9</v>
      </c>
      <c r="D925" t="s">
        <v>1798</v>
      </c>
      <c r="E925">
        <v>14</v>
      </c>
      <c r="F925">
        <v>24</v>
      </c>
      <c r="G925">
        <v>3</v>
      </c>
      <c r="H925">
        <v>54</v>
      </c>
      <c r="I925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9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925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926" spans="1:11" x14ac:dyDescent="0.35">
      <c r="A926">
        <v>361</v>
      </c>
      <c r="B926">
        <v>16</v>
      </c>
      <c r="C926" t="s">
        <v>23</v>
      </c>
      <c r="D926" t="s">
        <v>1803</v>
      </c>
      <c r="E926">
        <v>17</v>
      </c>
      <c r="F926">
        <v>29</v>
      </c>
      <c r="G926">
        <v>1</v>
      </c>
      <c r="H926">
        <v>58</v>
      </c>
      <c r="I926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9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92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927" spans="1:11" x14ac:dyDescent="0.35">
      <c r="A927">
        <v>362</v>
      </c>
      <c r="B927">
        <v>15</v>
      </c>
      <c r="C927" t="s">
        <v>39</v>
      </c>
      <c r="D927" t="s">
        <v>1812</v>
      </c>
      <c r="E927">
        <v>12</v>
      </c>
      <c r="F927">
        <v>20</v>
      </c>
      <c r="G927">
        <v>1</v>
      </c>
      <c r="H927">
        <v>41</v>
      </c>
      <c r="I927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9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92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28" spans="1:11" x14ac:dyDescent="0.35">
      <c r="A928">
        <v>362</v>
      </c>
      <c r="B928">
        <v>15</v>
      </c>
      <c r="C928" t="s">
        <v>45</v>
      </c>
      <c r="D928" t="s">
        <v>1814</v>
      </c>
      <c r="E928">
        <v>10</v>
      </c>
      <c r="F928">
        <v>18</v>
      </c>
      <c r="G928">
        <v>1</v>
      </c>
      <c r="H928">
        <v>24</v>
      </c>
      <c r="I928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9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928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929" spans="1:11" x14ac:dyDescent="0.35">
      <c r="A929">
        <v>362</v>
      </c>
      <c r="B929">
        <v>15</v>
      </c>
      <c r="C929" t="s">
        <v>9</v>
      </c>
      <c r="D929" t="s">
        <v>1798</v>
      </c>
      <c r="E929">
        <v>14</v>
      </c>
      <c r="F929">
        <v>24</v>
      </c>
      <c r="G929">
        <v>1</v>
      </c>
      <c r="H929">
        <v>58</v>
      </c>
      <c r="I929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9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92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930" spans="1:11" x14ac:dyDescent="0.35">
      <c r="A930">
        <v>363</v>
      </c>
      <c r="B930">
        <v>5</v>
      </c>
      <c r="C930" t="s">
        <v>25</v>
      </c>
      <c r="D930" t="s">
        <v>1804</v>
      </c>
      <c r="E930">
        <v>20</v>
      </c>
      <c r="F930">
        <v>33</v>
      </c>
      <c r="G930">
        <v>2</v>
      </c>
      <c r="H930">
        <v>18</v>
      </c>
      <c r="I930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9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93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931" spans="1:11" x14ac:dyDescent="0.35">
      <c r="A931">
        <v>363</v>
      </c>
      <c r="B931">
        <v>5</v>
      </c>
      <c r="C931" t="s">
        <v>21</v>
      </c>
      <c r="D931" t="s">
        <v>1801</v>
      </c>
      <c r="E931">
        <v>22</v>
      </c>
      <c r="F931">
        <v>36</v>
      </c>
      <c r="G931">
        <v>2</v>
      </c>
      <c r="H931">
        <v>42</v>
      </c>
      <c r="I931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9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931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932" spans="1:11" x14ac:dyDescent="0.35">
      <c r="A932">
        <v>363</v>
      </c>
      <c r="B932">
        <v>5</v>
      </c>
      <c r="C932" t="s">
        <v>12</v>
      </c>
      <c r="D932" t="s">
        <v>1797</v>
      </c>
      <c r="E932">
        <v>18</v>
      </c>
      <c r="F932">
        <v>30</v>
      </c>
      <c r="G932">
        <v>1</v>
      </c>
      <c r="H932">
        <v>48</v>
      </c>
      <c r="I932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9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93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33" spans="1:11" x14ac:dyDescent="0.35">
      <c r="A933">
        <v>363</v>
      </c>
      <c r="B933">
        <v>5</v>
      </c>
      <c r="C933" t="s">
        <v>9</v>
      </c>
      <c r="D933" t="s">
        <v>1798</v>
      </c>
      <c r="E933">
        <v>14</v>
      </c>
      <c r="F933">
        <v>24</v>
      </c>
      <c r="G933">
        <v>3</v>
      </c>
      <c r="H933">
        <v>41</v>
      </c>
      <c r="I933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9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93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934" spans="1:11" x14ac:dyDescent="0.35">
      <c r="A934">
        <v>364</v>
      </c>
      <c r="B934">
        <v>15</v>
      </c>
      <c r="C934" t="s">
        <v>49</v>
      </c>
      <c r="D934" t="s">
        <v>1816</v>
      </c>
      <c r="E934">
        <v>15</v>
      </c>
      <c r="F934">
        <v>25</v>
      </c>
      <c r="G934">
        <v>2</v>
      </c>
      <c r="H934">
        <v>14</v>
      </c>
      <c r="I934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9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93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35" spans="1:11" x14ac:dyDescent="0.35">
      <c r="A935">
        <v>364</v>
      </c>
      <c r="B935">
        <v>15</v>
      </c>
      <c r="C935" t="s">
        <v>27</v>
      </c>
      <c r="D935" t="s">
        <v>1805</v>
      </c>
      <c r="E935">
        <v>16</v>
      </c>
      <c r="F935">
        <v>28</v>
      </c>
      <c r="G935">
        <v>2</v>
      </c>
      <c r="H935">
        <v>52</v>
      </c>
      <c r="I935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9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35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936" spans="1:11" x14ac:dyDescent="0.35">
      <c r="A936">
        <v>364</v>
      </c>
      <c r="B936">
        <v>15</v>
      </c>
      <c r="C936" t="s">
        <v>35</v>
      </c>
      <c r="D936" t="s">
        <v>1809</v>
      </c>
      <c r="E936">
        <v>13</v>
      </c>
      <c r="F936">
        <v>22</v>
      </c>
      <c r="G936">
        <v>1</v>
      </c>
      <c r="H936">
        <v>20</v>
      </c>
      <c r="I936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9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936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937" spans="1:11" x14ac:dyDescent="0.35">
      <c r="A937">
        <v>364</v>
      </c>
      <c r="B937">
        <v>15</v>
      </c>
      <c r="C937" t="s">
        <v>23</v>
      </c>
      <c r="D937" t="s">
        <v>1803</v>
      </c>
      <c r="E937">
        <v>17</v>
      </c>
      <c r="F937">
        <v>29</v>
      </c>
      <c r="G937">
        <v>1</v>
      </c>
      <c r="H937">
        <v>26</v>
      </c>
      <c r="I937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9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93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938" spans="1:11" x14ac:dyDescent="0.35">
      <c r="A938">
        <v>365</v>
      </c>
      <c r="B938">
        <v>4</v>
      </c>
      <c r="C938" t="s">
        <v>21</v>
      </c>
      <c r="D938" t="s">
        <v>1801</v>
      </c>
      <c r="E938">
        <v>22</v>
      </c>
      <c r="F938">
        <v>36</v>
      </c>
      <c r="G938">
        <v>3</v>
      </c>
      <c r="H938">
        <v>25</v>
      </c>
      <c r="I938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9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93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939" spans="1:11" x14ac:dyDescent="0.35">
      <c r="A939">
        <v>366</v>
      </c>
      <c r="B939">
        <v>17</v>
      </c>
      <c r="C939" t="s">
        <v>19</v>
      </c>
      <c r="D939" t="s">
        <v>1802</v>
      </c>
      <c r="E939">
        <v>25</v>
      </c>
      <c r="F939">
        <v>40</v>
      </c>
      <c r="G939">
        <v>2</v>
      </c>
      <c r="H939">
        <v>9</v>
      </c>
      <c r="I939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9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939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940" spans="1:11" x14ac:dyDescent="0.35">
      <c r="A940">
        <v>366</v>
      </c>
      <c r="B940">
        <v>17</v>
      </c>
      <c r="C940" t="s">
        <v>17</v>
      </c>
      <c r="D940" t="s">
        <v>1800</v>
      </c>
      <c r="E940">
        <v>16</v>
      </c>
      <c r="F940">
        <v>27</v>
      </c>
      <c r="G940">
        <v>2</v>
      </c>
      <c r="H940">
        <v>30</v>
      </c>
      <c r="I94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9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94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941" spans="1:11" x14ac:dyDescent="0.35">
      <c r="A941">
        <v>366</v>
      </c>
      <c r="B941">
        <v>17</v>
      </c>
      <c r="C941" t="s">
        <v>31</v>
      </c>
      <c r="D941" t="s">
        <v>1807</v>
      </c>
      <c r="E941">
        <v>21</v>
      </c>
      <c r="F941">
        <v>35</v>
      </c>
      <c r="G941">
        <v>3</v>
      </c>
      <c r="H941">
        <v>51</v>
      </c>
      <c r="I941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9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94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42" spans="1:11" x14ac:dyDescent="0.35">
      <c r="A942">
        <v>367</v>
      </c>
      <c r="B942">
        <v>12</v>
      </c>
      <c r="C942" t="s">
        <v>47</v>
      </c>
      <c r="D942" t="s">
        <v>1815</v>
      </c>
      <c r="E942">
        <v>15</v>
      </c>
      <c r="F942">
        <v>26</v>
      </c>
      <c r="G942">
        <v>2</v>
      </c>
      <c r="H942">
        <v>34</v>
      </c>
      <c r="I942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9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94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943" spans="1:11" x14ac:dyDescent="0.35">
      <c r="A943">
        <v>367</v>
      </c>
      <c r="B943">
        <v>12</v>
      </c>
      <c r="C943" t="s">
        <v>39</v>
      </c>
      <c r="D943" t="s">
        <v>1812</v>
      </c>
      <c r="E943">
        <v>12</v>
      </c>
      <c r="F943">
        <v>20</v>
      </c>
      <c r="G943">
        <v>1</v>
      </c>
      <c r="H943">
        <v>13</v>
      </c>
      <c r="I943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9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94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44" spans="1:11" x14ac:dyDescent="0.35">
      <c r="A944">
        <v>367</v>
      </c>
      <c r="B944">
        <v>12</v>
      </c>
      <c r="C944" t="s">
        <v>23</v>
      </c>
      <c r="D944" t="s">
        <v>1803</v>
      </c>
      <c r="E944">
        <v>17</v>
      </c>
      <c r="F944">
        <v>29</v>
      </c>
      <c r="G944">
        <v>1</v>
      </c>
      <c r="H944">
        <v>26</v>
      </c>
      <c r="I944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9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944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945" spans="1:11" x14ac:dyDescent="0.35">
      <c r="A945">
        <v>368</v>
      </c>
      <c r="B945">
        <v>13</v>
      </c>
      <c r="C945" t="s">
        <v>25</v>
      </c>
      <c r="D945" t="s">
        <v>1804</v>
      </c>
      <c r="E945">
        <v>20</v>
      </c>
      <c r="F945">
        <v>33</v>
      </c>
      <c r="G945">
        <v>3</v>
      </c>
      <c r="H945">
        <v>45</v>
      </c>
      <c r="I945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9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94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946" spans="1:11" x14ac:dyDescent="0.35">
      <c r="A946">
        <v>368</v>
      </c>
      <c r="B946">
        <v>13</v>
      </c>
      <c r="C946" t="s">
        <v>9</v>
      </c>
      <c r="D946" t="s">
        <v>1798</v>
      </c>
      <c r="E946">
        <v>14</v>
      </c>
      <c r="F946">
        <v>24</v>
      </c>
      <c r="G946">
        <v>1</v>
      </c>
      <c r="H946">
        <v>40</v>
      </c>
      <c r="I946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9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94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947" spans="1:11" x14ac:dyDescent="0.35">
      <c r="A947">
        <v>369</v>
      </c>
      <c r="B947">
        <v>20</v>
      </c>
      <c r="C947" t="s">
        <v>47</v>
      </c>
      <c r="D947" t="s">
        <v>1815</v>
      </c>
      <c r="E947">
        <v>15</v>
      </c>
      <c r="F947">
        <v>26</v>
      </c>
      <c r="G947">
        <v>3</v>
      </c>
      <c r="H947">
        <v>20</v>
      </c>
      <c r="I947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9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94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948" spans="1:11" x14ac:dyDescent="0.35">
      <c r="A948">
        <v>369</v>
      </c>
      <c r="B948">
        <v>20</v>
      </c>
      <c r="C948" t="s">
        <v>41</v>
      </c>
      <c r="D948" t="s">
        <v>1811</v>
      </c>
      <c r="E948">
        <v>14</v>
      </c>
      <c r="F948">
        <v>23</v>
      </c>
      <c r="G948">
        <v>2</v>
      </c>
      <c r="H948">
        <v>7</v>
      </c>
      <c r="I948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9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94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949" spans="1:11" x14ac:dyDescent="0.35">
      <c r="A949">
        <v>369</v>
      </c>
      <c r="B949">
        <v>20</v>
      </c>
      <c r="C949" t="s">
        <v>27</v>
      </c>
      <c r="D949" t="s">
        <v>1805</v>
      </c>
      <c r="E949">
        <v>16</v>
      </c>
      <c r="F949">
        <v>28</v>
      </c>
      <c r="G949">
        <v>2</v>
      </c>
      <c r="H949">
        <v>8</v>
      </c>
      <c r="I949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9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49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950" spans="1:11" x14ac:dyDescent="0.35">
      <c r="A950">
        <v>369</v>
      </c>
      <c r="B950">
        <v>20</v>
      </c>
      <c r="C950" t="s">
        <v>15</v>
      </c>
      <c r="D950" t="s">
        <v>1799</v>
      </c>
      <c r="E950">
        <v>19</v>
      </c>
      <c r="F950">
        <v>31</v>
      </c>
      <c r="G950">
        <v>2</v>
      </c>
      <c r="H950">
        <v>7</v>
      </c>
      <c r="I950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9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5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951" spans="1:11" x14ac:dyDescent="0.35">
      <c r="A951">
        <v>370</v>
      </c>
      <c r="B951">
        <v>13</v>
      </c>
      <c r="C951" t="s">
        <v>21</v>
      </c>
      <c r="D951" t="s">
        <v>1801</v>
      </c>
      <c r="E951">
        <v>22</v>
      </c>
      <c r="F951">
        <v>36</v>
      </c>
      <c r="G951">
        <v>2</v>
      </c>
      <c r="H951">
        <v>33</v>
      </c>
      <c r="I951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9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951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952" spans="1:11" x14ac:dyDescent="0.35">
      <c r="A952">
        <v>371</v>
      </c>
      <c r="B952">
        <v>4</v>
      </c>
      <c r="C952" t="s">
        <v>41</v>
      </c>
      <c r="D952" t="s">
        <v>1811</v>
      </c>
      <c r="E952">
        <v>14</v>
      </c>
      <c r="F952">
        <v>23</v>
      </c>
      <c r="G952">
        <v>2</v>
      </c>
      <c r="H952">
        <v>14</v>
      </c>
      <c r="I952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9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952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953" spans="1:11" x14ac:dyDescent="0.35">
      <c r="A953">
        <v>371</v>
      </c>
      <c r="B953">
        <v>4</v>
      </c>
      <c r="C953" t="s">
        <v>27</v>
      </c>
      <c r="D953" t="s">
        <v>1805</v>
      </c>
      <c r="E953">
        <v>16</v>
      </c>
      <c r="F953">
        <v>28</v>
      </c>
      <c r="G953">
        <v>2</v>
      </c>
      <c r="H953">
        <v>11</v>
      </c>
      <c r="I953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9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53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954" spans="1:11" x14ac:dyDescent="0.35">
      <c r="A954">
        <v>371</v>
      </c>
      <c r="B954">
        <v>4</v>
      </c>
      <c r="C954" t="s">
        <v>15</v>
      </c>
      <c r="D954" t="s">
        <v>1799</v>
      </c>
      <c r="E954">
        <v>19</v>
      </c>
      <c r="F954">
        <v>31</v>
      </c>
      <c r="G954">
        <v>2</v>
      </c>
      <c r="H954">
        <v>11</v>
      </c>
      <c r="I954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9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5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955" spans="1:11" x14ac:dyDescent="0.35">
      <c r="A955">
        <v>371</v>
      </c>
      <c r="B955">
        <v>4</v>
      </c>
      <c r="C955" t="s">
        <v>21</v>
      </c>
      <c r="D955" t="s">
        <v>1801</v>
      </c>
      <c r="E955">
        <v>22</v>
      </c>
      <c r="F955">
        <v>36</v>
      </c>
      <c r="G955">
        <v>1</v>
      </c>
      <c r="H955">
        <v>13</v>
      </c>
      <c r="I95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9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95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956" spans="1:11" x14ac:dyDescent="0.35">
      <c r="A956">
        <v>372</v>
      </c>
      <c r="B956">
        <v>14</v>
      </c>
      <c r="C956" t="s">
        <v>45</v>
      </c>
      <c r="D956" t="s">
        <v>1814</v>
      </c>
      <c r="E956">
        <v>10</v>
      </c>
      <c r="F956">
        <v>18</v>
      </c>
      <c r="G956">
        <v>2</v>
      </c>
      <c r="H956">
        <v>22</v>
      </c>
      <c r="I956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9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95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957" spans="1:11" x14ac:dyDescent="0.35">
      <c r="A957">
        <v>373</v>
      </c>
      <c r="B957">
        <v>19</v>
      </c>
      <c r="C957" t="s">
        <v>43</v>
      </c>
      <c r="D957" t="s">
        <v>1813</v>
      </c>
      <c r="E957">
        <v>13</v>
      </c>
      <c r="F957">
        <v>21</v>
      </c>
      <c r="G957">
        <v>1</v>
      </c>
      <c r="H957">
        <v>41</v>
      </c>
      <c r="I957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9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95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958" spans="1:11" x14ac:dyDescent="0.35">
      <c r="A958">
        <v>373</v>
      </c>
      <c r="B958">
        <v>19</v>
      </c>
      <c r="C958" t="s">
        <v>39</v>
      </c>
      <c r="D958" t="s">
        <v>1812</v>
      </c>
      <c r="E958">
        <v>12</v>
      </c>
      <c r="F958">
        <v>20</v>
      </c>
      <c r="G958">
        <v>3</v>
      </c>
      <c r="H958">
        <v>9</v>
      </c>
      <c r="I958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9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5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59" spans="1:11" x14ac:dyDescent="0.35">
      <c r="A959">
        <v>373</v>
      </c>
      <c r="B959">
        <v>19</v>
      </c>
      <c r="C959" t="s">
        <v>35</v>
      </c>
      <c r="D959" t="s">
        <v>1809</v>
      </c>
      <c r="E959">
        <v>13</v>
      </c>
      <c r="F959">
        <v>22</v>
      </c>
      <c r="G959">
        <v>2</v>
      </c>
      <c r="H959">
        <v>17</v>
      </c>
      <c r="I959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9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95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960" spans="1:11" x14ac:dyDescent="0.35">
      <c r="A960">
        <v>373</v>
      </c>
      <c r="B960">
        <v>19</v>
      </c>
      <c r="C960" t="s">
        <v>31</v>
      </c>
      <c r="D960" t="s">
        <v>1807</v>
      </c>
      <c r="E960">
        <v>21</v>
      </c>
      <c r="F960">
        <v>35</v>
      </c>
      <c r="G960">
        <v>1</v>
      </c>
      <c r="H960">
        <v>49</v>
      </c>
      <c r="I960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9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96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61" spans="1:11" x14ac:dyDescent="0.35">
      <c r="A961">
        <v>374</v>
      </c>
      <c r="B961">
        <v>18</v>
      </c>
      <c r="C961" t="s">
        <v>31</v>
      </c>
      <c r="D961" t="s">
        <v>1807</v>
      </c>
      <c r="E961">
        <v>21</v>
      </c>
      <c r="F961">
        <v>35</v>
      </c>
      <c r="G961">
        <v>1</v>
      </c>
      <c r="H961">
        <v>9</v>
      </c>
      <c r="I961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9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96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62" spans="1:11" x14ac:dyDescent="0.35">
      <c r="A962">
        <v>375</v>
      </c>
      <c r="B962">
        <v>18</v>
      </c>
      <c r="C962" t="s">
        <v>15</v>
      </c>
      <c r="D962" t="s">
        <v>1799</v>
      </c>
      <c r="E962">
        <v>19</v>
      </c>
      <c r="F962">
        <v>31</v>
      </c>
      <c r="G962">
        <v>3</v>
      </c>
      <c r="H962">
        <v>27</v>
      </c>
      <c r="I962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9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96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963" spans="1:11" x14ac:dyDescent="0.35">
      <c r="A963">
        <v>376</v>
      </c>
      <c r="B963">
        <v>16</v>
      </c>
      <c r="C963" t="s">
        <v>41</v>
      </c>
      <c r="D963" t="s">
        <v>1811</v>
      </c>
      <c r="E963">
        <v>14</v>
      </c>
      <c r="F963">
        <v>23</v>
      </c>
      <c r="G963">
        <v>2</v>
      </c>
      <c r="H963">
        <v>5</v>
      </c>
      <c r="I963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9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963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964" spans="1:11" x14ac:dyDescent="0.35">
      <c r="A964">
        <v>377</v>
      </c>
      <c r="B964">
        <v>5</v>
      </c>
      <c r="C964" t="s">
        <v>33</v>
      </c>
      <c r="D964" t="s">
        <v>1808</v>
      </c>
      <c r="E964">
        <v>19</v>
      </c>
      <c r="F964">
        <v>32</v>
      </c>
      <c r="G964">
        <v>1</v>
      </c>
      <c r="H964">
        <v>33</v>
      </c>
      <c r="I964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9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96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965" spans="1:11" x14ac:dyDescent="0.35">
      <c r="A965">
        <v>377</v>
      </c>
      <c r="B965">
        <v>5</v>
      </c>
      <c r="C965" t="s">
        <v>37</v>
      </c>
      <c r="D965" t="s">
        <v>1810</v>
      </c>
      <c r="E965">
        <v>20</v>
      </c>
      <c r="F965">
        <v>34</v>
      </c>
      <c r="G965">
        <v>2</v>
      </c>
      <c r="H965">
        <v>13</v>
      </c>
      <c r="I965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9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96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966" spans="1:11" x14ac:dyDescent="0.35">
      <c r="A966">
        <v>378</v>
      </c>
      <c r="B966">
        <v>3</v>
      </c>
      <c r="C966" t="s">
        <v>29</v>
      </c>
      <c r="D966" t="s">
        <v>1806</v>
      </c>
      <c r="E966">
        <v>11</v>
      </c>
      <c r="F966">
        <v>19</v>
      </c>
      <c r="G966">
        <v>1</v>
      </c>
      <c r="H966">
        <v>7</v>
      </c>
      <c r="I966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9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966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967" spans="1:11" x14ac:dyDescent="0.35">
      <c r="A967">
        <v>378</v>
      </c>
      <c r="B967">
        <v>3</v>
      </c>
      <c r="C967" t="s">
        <v>12</v>
      </c>
      <c r="D967" t="s">
        <v>1797</v>
      </c>
      <c r="E967">
        <v>18</v>
      </c>
      <c r="F967">
        <v>30</v>
      </c>
      <c r="G967">
        <v>1</v>
      </c>
      <c r="H967">
        <v>14</v>
      </c>
      <c r="I967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9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96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68" spans="1:11" x14ac:dyDescent="0.35">
      <c r="A968">
        <v>379</v>
      </c>
      <c r="B968">
        <v>4</v>
      </c>
      <c r="C968" t="s">
        <v>31</v>
      </c>
      <c r="D968" t="s">
        <v>1807</v>
      </c>
      <c r="E968">
        <v>21</v>
      </c>
      <c r="F968">
        <v>35</v>
      </c>
      <c r="G968">
        <v>2</v>
      </c>
      <c r="H968">
        <v>6</v>
      </c>
      <c r="I968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9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96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69" spans="1:11" x14ac:dyDescent="0.35">
      <c r="A969">
        <v>380</v>
      </c>
      <c r="B969">
        <v>5</v>
      </c>
      <c r="C969" t="s">
        <v>25</v>
      </c>
      <c r="D969" t="s">
        <v>1804</v>
      </c>
      <c r="E969">
        <v>20</v>
      </c>
      <c r="F969">
        <v>33</v>
      </c>
      <c r="G969">
        <v>3</v>
      </c>
      <c r="H969">
        <v>58</v>
      </c>
      <c r="I969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9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96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970" spans="1:11" x14ac:dyDescent="0.35">
      <c r="A970">
        <v>380</v>
      </c>
      <c r="B970">
        <v>5</v>
      </c>
      <c r="C970" t="s">
        <v>29</v>
      </c>
      <c r="D970" t="s">
        <v>1806</v>
      </c>
      <c r="E970">
        <v>11</v>
      </c>
      <c r="F970">
        <v>19</v>
      </c>
      <c r="G970">
        <v>2</v>
      </c>
      <c r="H970">
        <v>35</v>
      </c>
      <c r="I970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9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970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971" spans="1:11" x14ac:dyDescent="0.35">
      <c r="A971">
        <v>381</v>
      </c>
      <c r="B971">
        <v>4</v>
      </c>
      <c r="C971" t="s">
        <v>47</v>
      </c>
      <c r="D971" t="s">
        <v>1815</v>
      </c>
      <c r="E971">
        <v>15</v>
      </c>
      <c r="F971">
        <v>26</v>
      </c>
      <c r="G971">
        <v>3</v>
      </c>
      <c r="H971">
        <v>35</v>
      </c>
      <c r="I971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9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97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972" spans="1:11" x14ac:dyDescent="0.35">
      <c r="A972">
        <v>381</v>
      </c>
      <c r="B972">
        <v>4</v>
      </c>
      <c r="C972" t="s">
        <v>25</v>
      </c>
      <c r="D972" t="s">
        <v>1804</v>
      </c>
      <c r="E972">
        <v>20</v>
      </c>
      <c r="F972">
        <v>33</v>
      </c>
      <c r="G972">
        <v>2</v>
      </c>
      <c r="H972">
        <v>12</v>
      </c>
      <c r="I972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9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972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973" spans="1:11" x14ac:dyDescent="0.35">
      <c r="A973">
        <v>382</v>
      </c>
      <c r="B973">
        <v>20</v>
      </c>
      <c r="C973" t="s">
        <v>23</v>
      </c>
      <c r="D973" t="s">
        <v>1803</v>
      </c>
      <c r="E973">
        <v>17</v>
      </c>
      <c r="F973">
        <v>29</v>
      </c>
      <c r="G973">
        <v>3</v>
      </c>
      <c r="H973">
        <v>54</v>
      </c>
      <c r="I973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9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973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974" spans="1:11" x14ac:dyDescent="0.35">
      <c r="A974">
        <v>383</v>
      </c>
      <c r="B974">
        <v>6</v>
      </c>
      <c r="C974" t="s">
        <v>21</v>
      </c>
      <c r="D974" t="s">
        <v>1801</v>
      </c>
      <c r="E974">
        <v>22</v>
      </c>
      <c r="F974">
        <v>36</v>
      </c>
      <c r="G974">
        <v>3</v>
      </c>
      <c r="H974">
        <v>9</v>
      </c>
      <c r="I974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9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974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975" spans="1:11" x14ac:dyDescent="0.35">
      <c r="A975">
        <v>384</v>
      </c>
      <c r="B975">
        <v>1</v>
      </c>
      <c r="C975" t="s">
        <v>29</v>
      </c>
      <c r="D975" t="s">
        <v>1806</v>
      </c>
      <c r="E975">
        <v>11</v>
      </c>
      <c r="F975">
        <v>19</v>
      </c>
      <c r="G975">
        <v>3</v>
      </c>
      <c r="H975">
        <v>35</v>
      </c>
      <c r="I975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9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7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976" spans="1:11" x14ac:dyDescent="0.35">
      <c r="A976">
        <v>384</v>
      </c>
      <c r="B976">
        <v>1</v>
      </c>
      <c r="C976" t="s">
        <v>45</v>
      </c>
      <c r="D976" t="s">
        <v>1814</v>
      </c>
      <c r="E976">
        <v>10</v>
      </c>
      <c r="F976">
        <v>18</v>
      </c>
      <c r="G976">
        <v>2</v>
      </c>
      <c r="H976">
        <v>26</v>
      </c>
      <c r="I976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9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97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977" spans="1:11" x14ac:dyDescent="0.35">
      <c r="A977">
        <v>384</v>
      </c>
      <c r="B977">
        <v>1</v>
      </c>
      <c r="C977" t="s">
        <v>17</v>
      </c>
      <c r="D977" t="s">
        <v>1800</v>
      </c>
      <c r="E977">
        <v>16</v>
      </c>
      <c r="F977">
        <v>27</v>
      </c>
      <c r="G977">
        <v>1</v>
      </c>
      <c r="H977">
        <v>49</v>
      </c>
      <c r="I977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9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97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978" spans="1:11" x14ac:dyDescent="0.35">
      <c r="A978">
        <v>385</v>
      </c>
      <c r="B978">
        <v>6</v>
      </c>
      <c r="C978" t="s">
        <v>12</v>
      </c>
      <c r="D978" t="s">
        <v>1797</v>
      </c>
      <c r="E978">
        <v>18</v>
      </c>
      <c r="F978">
        <v>30</v>
      </c>
      <c r="G978">
        <v>2</v>
      </c>
      <c r="H978">
        <v>22</v>
      </c>
      <c r="I978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9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7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79" spans="1:11" x14ac:dyDescent="0.35">
      <c r="A979">
        <v>386</v>
      </c>
      <c r="B979">
        <v>5</v>
      </c>
      <c r="C979" t="s">
        <v>25</v>
      </c>
      <c r="D979" t="s">
        <v>1804</v>
      </c>
      <c r="E979">
        <v>20</v>
      </c>
      <c r="F979">
        <v>33</v>
      </c>
      <c r="G979">
        <v>3</v>
      </c>
      <c r="H979">
        <v>40</v>
      </c>
      <c r="I979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9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97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980" spans="1:11" x14ac:dyDescent="0.35">
      <c r="A980">
        <v>387</v>
      </c>
      <c r="B980">
        <v>6</v>
      </c>
      <c r="C980" t="s">
        <v>15</v>
      </c>
      <c r="D980" t="s">
        <v>1799</v>
      </c>
      <c r="E980">
        <v>19</v>
      </c>
      <c r="F980">
        <v>31</v>
      </c>
      <c r="G980">
        <v>3</v>
      </c>
      <c r="H980">
        <v>18</v>
      </c>
      <c r="I980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9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98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981" spans="1:11" x14ac:dyDescent="0.35">
      <c r="A981">
        <v>388</v>
      </c>
      <c r="B981">
        <v>18</v>
      </c>
      <c r="C981" t="s">
        <v>25</v>
      </c>
      <c r="D981" t="s">
        <v>1804</v>
      </c>
      <c r="E981">
        <v>20</v>
      </c>
      <c r="F981">
        <v>33</v>
      </c>
      <c r="G981">
        <v>3</v>
      </c>
      <c r="H981">
        <v>51</v>
      </c>
      <c r="I981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9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98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982" spans="1:11" x14ac:dyDescent="0.35">
      <c r="A982">
        <v>388</v>
      </c>
      <c r="B982">
        <v>18</v>
      </c>
      <c r="C982" t="s">
        <v>15</v>
      </c>
      <c r="D982" t="s">
        <v>1799</v>
      </c>
      <c r="E982">
        <v>19</v>
      </c>
      <c r="F982">
        <v>31</v>
      </c>
      <c r="G982">
        <v>2</v>
      </c>
      <c r="H982">
        <v>52</v>
      </c>
      <c r="I982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9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8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983" spans="1:11" x14ac:dyDescent="0.35">
      <c r="A983">
        <v>388</v>
      </c>
      <c r="B983">
        <v>18</v>
      </c>
      <c r="C983" t="s">
        <v>21</v>
      </c>
      <c r="D983" t="s">
        <v>1801</v>
      </c>
      <c r="E983">
        <v>22</v>
      </c>
      <c r="F983">
        <v>36</v>
      </c>
      <c r="G983">
        <v>2</v>
      </c>
      <c r="H983">
        <v>37</v>
      </c>
      <c r="I983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9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983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984" spans="1:11" x14ac:dyDescent="0.35">
      <c r="A984">
        <v>388</v>
      </c>
      <c r="B984">
        <v>18</v>
      </c>
      <c r="C984" t="s">
        <v>23</v>
      </c>
      <c r="D984" t="s">
        <v>1803</v>
      </c>
      <c r="E984">
        <v>17</v>
      </c>
      <c r="F984">
        <v>29</v>
      </c>
      <c r="G984">
        <v>2</v>
      </c>
      <c r="H984">
        <v>31</v>
      </c>
      <c r="I984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9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84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985" spans="1:11" x14ac:dyDescent="0.35">
      <c r="A985">
        <v>389</v>
      </c>
      <c r="B985">
        <v>19</v>
      </c>
      <c r="C985" t="s">
        <v>25</v>
      </c>
      <c r="D985" t="s">
        <v>1804</v>
      </c>
      <c r="E985">
        <v>20</v>
      </c>
      <c r="F985">
        <v>33</v>
      </c>
      <c r="G985">
        <v>1</v>
      </c>
      <c r="H985">
        <v>24</v>
      </c>
      <c r="I985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9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98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986" spans="1:11" x14ac:dyDescent="0.35">
      <c r="A986">
        <v>390</v>
      </c>
      <c r="B986">
        <v>9</v>
      </c>
      <c r="C986" t="s">
        <v>47</v>
      </c>
      <c r="D986" t="s">
        <v>1815</v>
      </c>
      <c r="E986">
        <v>15</v>
      </c>
      <c r="F986">
        <v>26</v>
      </c>
      <c r="G986">
        <v>3</v>
      </c>
      <c r="H986">
        <v>13</v>
      </c>
      <c r="I986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9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986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987" spans="1:11" x14ac:dyDescent="0.35">
      <c r="A987">
        <v>390</v>
      </c>
      <c r="B987">
        <v>9</v>
      </c>
      <c r="C987" t="s">
        <v>43</v>
      </c>
      <c r="D987" t="s">
        <v>1813</v>
      </c>
      <c r="E987">
        <v>13</v>
      </c>
      <c r="F987">
        <v>21</v>
      </c>
      <c r="G987">
        <v>1</v>
      </c>
      <c r="H987">
        <v>28</v>
      </c>
      <c r="I987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9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98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988" spans="1:11" x14ac:dyDescent="0.35">
      <c r="A988">
        <v>390</v>
      </c>
      <c r="B988">
        <v>9</v>
      </c>
      <c r="C988" t="s">
        <v>35</v>
      </c>
      <c r="D988" t="s">
        <v>1809</v>
      </c>
      <c r="E988">
        <v>13</v>
      </c>
      <c r="F988">
        <v>22</v>
      </c>
      <c r="G988">
        <v>2</v>
      </c>
      <c r="H988">
        <v>52</v>
      </c>
      <c r="I988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9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988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989" spans="1:11" x14ac:dyDescent="0.35">
      <c r="A989">
        <v>391</v>
      </c>
      <c r="B989">
        <v>15</v>
      </c>
      <c r="C989" t="s">
        <v>35</v>
      </c>
      <c r="D989" t="s">
        <v>1809</v>
      </c>
      <c r="E989">
        <v>13</v>
      </c>
      <c r="F989">
        <v>22</v>
      </c>
      <c r="G989">
        <v>1</v>
      </c>
      <c r="H989">
        <v>35</v>
      </c>
      <c r="I989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9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98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990" spans="1:11" x14ac:dyDescent="0.35">
      <c r="A990">
        <v>392</v>
      </c>
      <c r="B990">
        <v>14</v>
      </c>
      <c r="C990" t="s">
        <v>33</v>
      </c>
      <c r="D990" t="s">
        <v>1808</v>
      </c>
      <c r="E990">
        <v>19</v>
      </c>
      <c r="F990">
        <v>32</v>
      </c>
      <c r="G990">
        <v>3</v>
      </c>
      <c r="H990">
        <v>17</v>
      </c>
      <c r="I990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9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99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991" spans="1:11" x14ac:dyDescent="0.35">
      <c r="A991">
        <v>392</v>
      </c>
      <c r="B991">
        <v>14</v>
      </c>
      <c r="C991" t="s">
        <v>9</v>
      </c>
      <c r="D991" t="s">
        <v>1798</v>
      </c>
      <c r="E991">
        <v>14</v>
      </c>
      <c r="F991">
        <v>24</v>
      </c>
      <c r="G991">
        <v>1</v>
      </c>
      <c r="H991">
        <v>37</v>
      </c>
      <c r="I991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9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991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992" spans="1:11" x14ac:dyDescent="0.35">
      <c r="A992">
        <v>393</v>
      </c>
      <c r="B992">
        <v>13</v>
      </c>
      <c r="C992" t="s">
        <v>29</v>
      </c>
      <c r="D992" t="s">
        <v>1806</v>
      </c>
      <c r="E992">
        <v>11</v>
      </c>
      <c r="F992">
        <v>19</v>
      </c>
      <c r="G992">
        <v>2</v>
      </c>
      <c r="H992">
        <v>40</v>
      </c>
      <c r="I992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9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99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993" spans="1:11" x14ac:dyDescent="0.35">
      <c r="A993">
        <v>393</v>
      </c>
      <c r="B993">
        <v>13</v>
      </c>
      <c r="C993" t="s">
        <v>43</v>
      </c>
      <c r="D993" t="s">
        <v>1813</v>
      </c>
      <c r="E993">
        <v>13</v>
      </c>
      <c r="F993">
        <v>21</v>
      </c>
      <c r="G993">
        <v>1</v>
      </c>
      <c r="H993">
        <v>20</v>
      </c>
      <c r="I993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9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99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994" spans="1:11" x14ac:dyDescent="0.35">
      <c r="A994">
        <v>393</v>
      </c>
      <c r="B994">
        <v>13</v>
      </c>
      <c r="C994" t="s">
        <v>35</v>
      </c>
      <c r="D994" t="s">
        <v>1809</v>
      </c>
      <c r="E994">
        <v>13</v>
      </c>
      <c r="F994">
        <v>22</v>
      </c>
      <c r="G994">
        <v>2</v>
      </c>
      <c r="H994">
        <v>26</v>
      </c>
      <c r="I994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9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994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995" spans="1:11" x14ac:dyDescent="0.35">
      <c r="A995">
        <v>393</v>
      </c>
      <c r="B995">
        <v>13</v>
      </c>
      <c r="C995" t="s">
        <v>31</v>
      </c>
      <c r="D995" t="s">
        <v>1807</v>
      </c>
      <c r="E995">
        <v>21</v>
      </c>
      <c r="F995">
        <v>35</v>
      </c>
      <c r="G995">
        <v>3</v>
      </c>
      <c r="H995">
        <v>23</v>
      </c>
      <c r="I995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9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99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996" spans="1:11" x14ac:dyDescent="0.35">
      <c r="A996">
        <v>394</v>
      </c>
      <c r="B996">
        <v>17</v>
      </c>
      <c r="C996" t="s">
        <v>9</v>
      </c>
      <c r="D996" t="s">
        <v>1798</v>
      </c>
      <c r="E996">
        <v>14</v>
      </c>
      <c r="F996">
        <v>24</v>
      </c>
      <c r="G996">
        <v>2</v>
      </c>
      <c r="H996">
        <v>5</v>
      </c>
      <c r="I996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9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99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997" spans="1:11" x14ac:dyDescent="0.35">
      <c r="A997">
        <v>394</v>
      </c>
      <c r="B997">
        <v>17</v>
      </c>
      <c r="C997" t="s">
        <v>23</v>
      </c>
      <c r="D997" t="s">
        <v>1803</v>
      </c>
      <c r="E997">
        <v>17</v>
      </c>
      <c r="F997">
        <v>29</v>
      </c>
      <c r="G997">
        <v>1</v>
      </c>
      <c r="H997">
        <v>42</v>
      </c>
      <c r="I997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9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99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998" spans="1:11" x14ac:dyDescent="0.35">
      <c r="A998">
        <v>395</v>
      </c>
      <c r="B998">
        <v>2</v>
      </c>
      <c r="C998" t="s">
        <v>29</v>
      </c>
      <c r="D998" t="s">
        <v>1806</v>
      </c>
      <c r="E998">
        <v>11</v>
      </c>
      <c r="F998">
        <v>19</v>
      </c>
      <c r="G998">
        <v>2</v>
      </c>
      <c r="H998">
        <v>8</v>
      </c>
      <c r="I998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9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99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999" spans="1:11" x14ac:dyDescent="0.35">
      <c r="A999">
        <v>396</v>
      </c>
      <c r="B999">
        <v>11</v>
      </c>
      <c r="C999" t="s">
        <v>43</v>
      </c>
      <c r="D999" t="s">
        <v>1813</v>
      </c>
      <c r="E999">
        <v>13</v>
      </c>
      <c r="F999">
        <v>21</v>
      </c>
      <c r="G999">
        <v>3</v>
      </c>
      <c r="H999">
        <v>26</v>
      </c>
      <c r="I999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9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999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000" spans="1:11" x14ac:dyDescent="0.35">
      <c r="A1000">
        <v>396</v>
      </c>
      <c r="B1000">
        <v>11</v>
      </c>
      <c r="C1000" t="s">
        <v>39</v>
      </c>
      <c r="D1000" t="s">
        <v>1812</v>
      </c>
      <c r="E1000">
        <v>12</v>
      </c>
      <c r="F1000">
        <v>20</v>
      </c>
      <c r="G1000">
        <v>1</v>
      </c>
      <c r="H1000">
        <v>31</v>
      </c>
      <c r="I1000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0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00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01" spans="1:11" x14ac:dyDescent="0.35">
      <c r="A1001">
        <v>397</v>
      </c>
      <c r="B1001">
        <v>4</v>
      </c>
      <c r="C1001" t="s">
        <v>15</v>
      </c>
      <c r="D1001" t="s">
        <v>1799</v>
      </c>
      <c r="E1001">
        <v>19</v>
      </c>
      <c r="F1001">
        <v>31</v>
      </c>
      <c r="G1001">
        <v>3</v>
      </c>
      <c r="H1001">
        <v>59</v>
      </c>
      <c r="I1001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0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001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002" spans="1:11" x14ac:dyDescent="0.35">
      <c r="A1002">
        <v>397</v>
      </c>
      <c r="B1002">
        <v>4</v>
      </c>
      <c r="C1002" t="s">
        <v>17</v>
      </c>
      <c r="D1002" t="s">
        <v>1800</v>
      </c>
      <c r="E1002">
        <v>16</v>
      </c>
      <c r="F1002">
        <v>27</v>
      </c>
      <c r="G1002">
        <v>2</v>
      </c>
      <c r="H1002">
        <v>10</v>
      </c>
      <c r="I1002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0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00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003" spans="1:11" x14ac:dyDescent="0.35">
      <c r="A1003">
        <v>398</v>
      </c>
      <c r="B1003">
        <v>9</v>
      </c>
      <c r="C1003" t="s">
        <v>25</v>
      </c>
      <c r="D1003" t="s">
        <v>1804</v>
      </c>
      <c r="E1003">
        <v>20</v>
      </c>
      <c r="F1003">
        <v>33</v>
      </c>
      <c r="G1003">
        <v>2</v>
      </c>
      <c r="H1003">
        <v>21</v>
      </c>
      <c r="I1003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0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00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004" spans="1:11" x14ac:dyDescent="0.35">
      <c r="A1004">
        <v>398</v>
      </c>
      <c r="B1004">
        <v>9</v>
      </c>
      <c r="C1004" t="s">
        <v>27</v>
      </c>
      <c r="D1004" t="s">
        <v>1805</v>
      </c>
      <c r="E1004">
        <v>16</v>
      </c>
      <c r="F1004">
        <v>28</v>
      </c>
      <c r="G1004">
        <v>2</v>
      </c>
      <c r="H1004">
        <v>50</v>
      </c>
      <c r="I1004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0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0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005" spans="1:11" x14ac:dyDescent="0.35">
      <c r="A1005">
        <v>399</v>
      </c>
      <c r="B1005">
        <v>7</v>
      </c>
      <c r="C1005" t="s">
        <v>25</v>
      </c>
      <c r="D1005" t="s">
        <v>1804</v>
      </c>
      <c r="E1005">
        <v>20</v>
      </c>
      <c r="F1005">
        <v>33</v>
      </c>
      <c r="G1005">
        <v>3</v>
      </c>
      <c r="H1005">
        <v>45</v>
      </c>
      <c r="I1005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0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00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006" spans="1:11" x14ac:dyDescent="0.35">
      <c r="A1006">
        <v>399</v>
      </c>
      <c r="B1006">
        <v>7</v>
      </c>
      <c r="C1006" t="s">
        <v>21</v>
      </c>
      <c r="D1006" t="s">
        <v>1801</v>
      </c>
      <c r="E1006">
        <v>22</v>
      </c>
      <c r="F1006">
        <v>36</v>
      </c>
      <c r="G1006">
        <v>3</v>
      </c>
      <c r="H1006">
        <v>46</v>
      </c>
      <c r="I1006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0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006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007" spans="1:11" x14ac:dyDescent="0.35">
      <c r="A1007">
        <v>400</v>
      </c>
      <c r="B1007">
        <v>9</v>
      </c>
      <c r="C1007" t="s">
        <v>27</v>
      </c>
      <c r="D1007" t="s">
        <v>1805</v>
      </c>
      <c r="E1007">
        <v>16</v>
      </c>
      <c r="F1007">
        <v>28</v>
      </c>
      <c r="G1007">
        <v>2</v>
      </c>
      <c r="H1007">
        <v>13</v>
      </c>
      <c r="I1007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0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07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008" spans="1:11" x14ac:dyDescent="0.35">
      <c r="A1008">
        <v>400</v>
      </c>
      <c r="B1008">
        <v>9</v>
      </c>
      <c r="C1008" t="s">
        <v>15</v>
      </c>
      <c r="D1008" t="s">
        <v>1799</v>
      </c>
      <c r="E1008">
        <v>19</v>
      </c>
      <c r="F1008">
        <v>31</v>
      </c>
      <c r="G1008">
        <v>2</v>
      </c>
      <c r="H1008">
        <v>38</v>
      </c>
      <c r="I1008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0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0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009" spans="1:11" x14ac:dyDescent="0.35">
      <c r="A1009">
        <v>400</v>
      </c>
      <c r="B1009">
        <v>9</v>
      </c>
      <c r="C1009" t="s">
        <v>19</v>
      </c>
      <c r="D1009" t="s">
        <v>1802</v>
      </c>
      <c r="E1009">
        <v>25</v>
      </c>
      <c r="F1009">
        <v>40</v>
      </c>
      <c r="G1009">
        <v>2</v>
      </c>
      <c r="H1009">
        <v>28</v>
      </c>
      <c r="I1009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0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009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010" spans="1:11" x14ac:dyDescent="0.35">
      <c r="A1010">
        <v>401</v>
      </c>
      <c r="B1010">
        <v>16</v>
      </c>
      <c r="C1010" t="s">
        <v>43</v>
      </c>
      <c r="D1010" t="s">
        <v>1813</v>
      </c>
      <c r="E1010">
        <v>13</v>
      </c>
      <c r="F1010">
        <v>21</v>
      </c>
      <c r="G1010">
        <v>2</v>
      </c>
      <c r="H1010">
        <v>20</v>
      </c>
      <c r="I1010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0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010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011" spans="1:11" x14ac:dyDescent="0.35">
      <c r="A1011">
        <v>402</v>
      </c>
      <c r="B1011">
        <v>18</v>
      </c>
      <c r="C1011" t="s">
        <v>49</v>
      </c>
      <c r="D1011" t="s">
        <v>1816</v>
      </c>
      <c r="E1011">
        <v>15</v>
      </c>
      <c r="F1011">
        <v>25</v>
      </c>
      <c r="G1011">
        <v>2</v>
      </c>
      <c r="H1011">
        <v>16</v>
      </c>
      <c r="I1011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0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01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12" spans="1:11" x14ac:dyDescent="0.35">
      <c r="A1012">
        <v>402</v>
      </c>
      <c r="B1012">
        <v>18</v>
      </c>
      <c r="C1012" t="s">
        <v>29</v>
      </c>
      <c r="D1012" t="s">
        <v>1806</v>
      </c>
      <c r="E1012">
        <v>11</v>
      </c>
      <c r="F1012">
        <v>19</v>
      </c>
      <c r="G1012">
        <v>3</v>
      </c>
      <c r="H1012">
        <v>29</v>
      </c>
      <c r="I1012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0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1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013" spans="1:11" x14ac:dyDescent="0.35">
      <c r="A1013">
        <v>402</v>
      </c>
      <c r="B1013">
        <v>18</v>
      </c>
      <c r="C1013" t="s">
        <v>35</v>
      </c>
      <c r="D1013" t="s">
        <v>1809</v>
      </c>
      <c r="E1013">
        <v>13</v>
      </c>
      <c r="F1013">
        <v>22</v>
      </c>
      <c r="G1013">
        <v>2</v>
      </c>
      <c r="H1013">
        <v>21</v>
      </c>
      <c r="I1013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0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01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014" spans="1:11" x14ac:dyDescent="0.35">
      <c r="A1014">
        <v>403</v>
      </c>
      <c r="B1014">
        <v>14</v>
      </c>
      <c r="C1014" t="s">
        <v>33</v>
      </c>
      <c r="D1014" t="s">
        <v>1808</v>
      </c>
      <c r="E1014">
        <v>19</v>
      </c>
      <c r="F1014">
        <v>32</v>
      </c>
      <c r="G1014">
        <v>2</v>
      </c>
      <c r="H1014">
        <v>8</v>
      </c>
      <c r="I1014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0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01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015" spans="1:11" x14ac:dyDescent="0.35">
      <c r="A1015">
        <v>403</v>
      </c>
      <c r="B1015">
        <v>14</v>
      </c>
      <c r="C1015" t="s">
        <v>45</v>
      </c>
      <c r="D1015" t="s">
        <v>1814</v>
      </c>
      <c r="E1015">
        <v>10</v>
      </c>
      <c r="F1015">
        <v>18</v>
      </c>
      <c r="G1015">
        <v>2</v>
      </c>
      <c r="H1015">
        <v>5</v>
      </c>
      <c r="I101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0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015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016" spans="1:11" x14ac:dyDescent="0.35">
      <c r="A1016">
        <v>403</v>
      </c>
      <c r="B1016">
        <v>14</v>
      </c>
      <c r="C1016" t="s">
        <v>35</v>
      </c>
      <c r="D1016" t="s">
        <v>1809</v>
      </c>
      <c r="E1016">
        <v>13</v>
      </c>
      <c r="F1016">
        <v>22</v>
      </c>
      <c r="G1016">
        <v>3</v>
      </c>
      <c r="H1016">
        <v>17</v>
      </c>
      <c r="I1016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0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016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017" spans="1:11" x14ac:dyDescent="0.35">
      <c r="A1017">
        <v>403</v>
      </c>
      <c r="B1017">
        <v>14</v>
      </c>
      <c r="C1017" t="s">
        <v>9</v>
      </c>
      <c r="D1017" t="s">
        <v>1798</v>
      </c>
      <c r="E1017">
        <v>14</v>
      </c>
      <c r="F1017">
        <v>24</v>
      </c>
      <c r="G1017">
        <v>1</v>
      </c>
      <c r="H1017">
        <v>55</v>
      </c>
      <c r="I1017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0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017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018" spans="1:11" x14ac:dyDescent="0.35">
      <c r="A1018">
        <v>404</v>
      </c>
      <c r="B1018">
        <v>17</v>
      </c>
      <c r="C1018" t="s">
        <v>43</v>
      </c>
      <c r="D1018" t="s">
        <v>1813</v>
      </c>
      <c r="E1018">
        <v>13</v>
      </c>
      <c r="F1018">
        <v>21</v>
      </c>
      <c r="G1018">
        <v>2</v>
      </c>
      <c r="H1018">
        <v>20</v>
      </c>
      <c r="I1018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0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018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019" spans="1:11" x14ac:dyDescent="0.35">
      <c r="A1019">
        <v>404</v>
      </c>
      <c r="B1019">
        <v>17</v>
      </c>
      <c r="C1019" t="s">
        <v>19</v>
      </c>
      <c r="D1019" t="s">
        <v>1802</v>
      </c>
      <c r="E1019">
        <v>25</v>
      </c>
      <c r="F1019">
        <v>40</v>
      </c>
      <c r="G1019">
        <v>3</v>
      </c>
      <c r="H1019">
        <v>29</v>
      </c>
      <c r="I1019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0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019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020" spans="1:11" x14ac:dyDescent="0.35">
      <c r="A1020">
        <v>404</v>
      </c>
      <c r="B1020">
        <v>17</v>
      </c>
      <c r="C1020" t="s">
        <v>39</v>
      </c>
      <c r="D1020" t="s">
        <v>1812</v>
      </c>
      <c r="E1020">
        <v>12</v>
      </c>
      <c r="F1020">
        <v>20</v>
      </c>
      <c r="G1020">
        <v>1</v>
      </c>
      <c r="H1020">
        <v>53</v>
      </c>
      <c r="I1020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0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02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21" spans="1:11" x14ac:dyDescent="0.35">
      <c r="A1021">
        <v>405</v>
      </c>
      <c r="B1021">
        <v>5</v>
      </c>
      <c r="C1021" t="s">
        <v>47</v>
      </c>
      <c r="D1021" t="s">
        <v>1815</v>
      </c>
      <c r="E1021">
        <v>15</v>
      </c>
      <c r="F1021">
        <v>26</v>
      </c>
      <c r="G1021">
        <v>1</v>
      </c>
      <c r="H1021">
        <v>41</v>
      </c>
      <c r="I1021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0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02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022" spans="1:11" x14ac:dyDescent="0.35">
      <c r="A1022">
        <v>405</v>
      </c>
      <c r="B1022">
        <v>5</v>
      </c>
      <c r="C1022" t="s">
        <v>19</v>
      </c>
      <c r="D1022" t="s">
        <v>1802</v>
      </c>
      <c r="E1022">
        <v>25</v>
      </c>
      <c r="F1022">
        <v>40</v>
      </c>
      <c r="G1022">
        <v>1</v>
      </c>
      <c r="H1022">
        <v>44</v>
      </c>
      <c r="I1022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0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02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023" spans="1:11" x14ac:dyDescent="0.35">
      <c r="A1023">
        <v>405</v>
      </c>
      <c r="B1023">
        <v>5</v>
      </c>
      <c r="C1023" t="s">
        <v>39</v>
      </c>
      <c r="D1023" t="s">
        <v>1812</v>
      </c>
      <c r="E1023">
        <v>12</v>
      </c>
      <c r="F1023">
        <v>20</v>
      </c>
      <c r="G1023">
        <v>2</v>
      </c>
      <c r="H1023">
        <v>13</v>
      </c>
      <c r="I1023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0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02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24" spans="1:11" x14ac:dyDescent="0.35">
      <c r="A1024">
        <v>406</v>
      </c>
      <c r="B1024">
        <v>14</v>
      </c>
      <c r="C1024" t="s">
        <v>49</v>
      </c>
      <c r="D1024" t="s">
        <v>1816</v>
      </c>
      <c r="E1024">
        <v>15</v>
      </c>
      <c r="F1024">
        <v>25</v>
      </c>
      <c r="G1024">
        <v>1</v>
      </c>
      <c r="H1024">
        <v>55</v>
      </c>
      <c r="I1024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0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02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25" spans="1:11" x14ac:dyDescent="0.35">
      <c r="A1025">
        <v>406</v>
      </c>
      <c r="B1025">
        <v>14</v>
      </c>
      <c r="C1025" t="s">
        <v>39</v>
      </c>
      <c r="D1025" t="s">
        <v>1812</v>
      </c>
      <c r="E1025">
        <v>12</v>
      </c>
      <c r="F1025">
        <v>20</v>
      </c>
      <c r="G1025">
        <v>3</v>
      </c>
      <c r="H1025">
        <v>6</v>
      </c>
      <c r="I102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0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2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26" spans="1:11" x14ac:dyDescent="0.35">
      <c r="A1026">
        <v>406</v>
      </c>
      <c r="B1026">
        <v>14</v>
      </c>
      <c r="C1026" t="s">
        <v>31</v>
      </c>
      <c r="D1026" t="s">
        <v>1807</v>
      </c>
      <c r="E1026">
        <v>21</v>
      </c>
      <c r="F1026">
        <v>35</v>
      </c>
      <c r="G1026">
        <v>2</v>
      </c>
      <c r="H1026">
        <v>56</v>
      </c>
      <c r="I1026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0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02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27" spans="1:11" x14ac:dyDescent="0.35">
      <c r="A1027">
        <v>407</v>
      </c>
      <c r="B1027">
        <v>4</v>
      </c>
      <c r="C1027" t="s">
        <v>39</v>
      </c>
      <c r="D1027" t="s">
        <v>1812</v>
      </c>
      <c r="E1027">
        <v>12</v>
      </c>
      <c r="F1027">
        <v>20</v>
      </c>
      <c r="G1027">
        <v>3</v>
      </c>
      <c r="H1027">
        <v>32</v>
      </c>
      <c r="I1027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0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2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28" spans="1:11" x14ac:dyDescent="0.35">
      <c r="A1028">
        <v>407</v>
      </c>
      <c r="B1028">
        <v>4</v>
      </c>
      <c r="C1028" t="s">
        <v>31</v>
      </c>
      <c r="D1028" t="s">
        <v>1807</v>
      </c>
      <c r="E1028">
        <v>21</v>
      </c>
      <c r="F1028">
        <v>35</v>
      </c>
      <c r="G1028">
        <v>1</v>
      </c>
      <c r="H1028">
        <v>18</v>
      </c>
      <c r="I1028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0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02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29" spans="1:11" x14ac:dyDescent="0.35">
      <c r="A1029">
        <v>408</v>
      </c>
      <c r="B1029">
        <v>17</v>
      </c>
      <c r="C1029" t="s">
        <v>49</v>
      </c>
      <c r="D1029" t="s">
        <v>1816</v>
      </c>
      <c r="E1029">
        <v>15</v>
      </c>
      <c r="F1029">
        <v>25</v>
      </c>
      <c r="G1029">
        <v>1</v>
      </c>
      <c r="H1029">
        <v>58</v>
      </c>
      <c r="I1029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0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02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30" spans="1:11" x14ac:dyDescent="0.35">
      <c r="A1030">
        <v>408</v>
      </c>
      <c r="B1030">
        <v>17</v>
      </c>
      <c r="C1030" t="s">
        <v>37</v>
      </c>
      <c r="D1030" t="s">
        <v>1810</v>
      </c>
      <c r="E1030">
        <v>20</v>
      </c>
      <c r="F1030">
        <v>34</v>
      </c>
      <c r="G1030">
        <v>1</v>
      </c>
      <c r="H1030">
        <v>37</v>
      </c>
      <c r="I1030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0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03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031" spans="1:11" x14ac:dyDescent="0.35">
      <c r="A1031">
        <v>408</v>
      </c>
      <c r="B1031">
        <v>17</v>
      </c>
      <c r="C1031" t="s">
        <v>9</v>
      </c>
      <c r="D1031" t="s">
        <v>1798</v>
      </c>
      <c r="E1031">
        <v>14</v>
      </c>
      <c r="F1031">
        <v>24</v>
      </c>
      <c r="G1031">
        <v>3</v>
      </c>
      <c r="H1031">
        <v>11</v>
      </c>
      <c r="I1031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0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031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032" spans="1:11" x14ac:dyDescent="0.35">
      <c r="A1032">
        <v>409</v>
      </c>
      <c r="B1032">
        <v>15</v>
      </c>
      <c r="C1032" t="s">
        <v>43</v>
      </c>
      <c r="D1032" t="s">
        <v>1813</v>
      </c>
      <c r="E1032">
        <v>13</v>
      </c>
      <c r="F1032">
        <v>21</v>
      </c>
      <c r="G1032">
        <v>3</v>
      </c>
      <c r="H1032">
        <v>44</v>
      </c>
      <c r="I1032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0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32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033" spans="1:11" x14ac:dyDescent="0.35">
      <c r="A1033">
        <v>409</v>
      </c>
      <c r="B1033">
        <v>15</v>
      </c>
      <c r="C1033" t="s">
        <v>27</v>
      </c>
      <c r="D1033" t="s">
        <v>1805</v>
      </c>
      <c r="E1033">
        <v>16</v>
      </c>
      <c r="F1033">
        <v>28</v>
      </c>
      <c r="G1033">
        <v>1</v>
      </c>
      <c r="H1033">
        <v>47</v>
      </c>
      <c r="I1033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0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033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034" spans="1:11" x14ac:dyDescent="0.35">
      <c r="A1034">
        <v>409</v>
      </c>
      <c r="B1034">
        <v>15</v>
      </c>
      <c r="C1034" t="s">
        <v>19</v>
      </c>
      <c r="D1034" t="s">
        <v>1802</v>
      </c>
      <c r="E1034">
        <v>25</v>
      </c>
      <c r="F1034">
        <v>40</v>
      </c>
      <c r="G1034">
        <v>1</v>
      </c>
      <c r="H1034">
        <v>43</v>
      </c>
      <c r="I1034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0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03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035" spans="1:11" x14ac:dyDescent="0.35">
      <c r="A1035">
        <v>409</v>
      </c>
      <c r="B1035">
        <v>15</v>
      </c>
      <c r="C1035" t="s">
        <v>9</v>
      </c>
      <c r="D1035" t="s">
        <v>1798</v>
      </c>
      <c r="E1035">
        <v>14</v>
      </c>
      <c r="F1035">
        <v>24</v>
      </c>
      <c r="G1035">
        <v>3</v>
      </c>
      <c r="H1035">
        <v>29</v>
      </c>
      <c r="I1035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0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035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036" spans="1:11" x14ac:dyDescent="0.35">
      <c r="A1036">
        <v>410</v>
      </c>
      <c r="B1036">
        <v>1</v>
      </c>
      <c r="C1036" t="s">
        <v>21</v>
      </c>
      <c r="D1036" t="s">
        <v>1801</v>
      </c>
      <c r="E1036">
        <v>22</v>
      </c>
      <c r="F1036">
        <v>36</v>
      </c>
      <c r="G1036">
        <v>1</v>
      </c>
      <c r="H1036">
        <v>41</v>
      </c>
      <c r="I1036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0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036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037" spans="1:11" x14ac:dyDescent="0.35">
      <c r="A1037">
        <v>410</v>
      </c>
      <c r="B1037">
        <v>1</v>
      </c>
      <c r="C1037" t="s">
        <v>39</v>
      </c>
      <c r="D1037" t="s">
        <v>1812</v>
      </c>
      <c r="E1037">
        <v>12</v>
      </c>
      <c r="F1037">
        <v>20</v>
      </c>
      <c r="G1037">
        <v>1</v>
      </c>
      <c r="H1037">
        <v>50</v>
      </c>
      <c r="I1037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0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03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38" spans="1:11" x14ac:dyDescent="0.35">
      <c r="A1038">
        <v>411</v>
      </c>
      <c r="B1038">
        <v>3</v>
      </c>
      <c r="C1038" t="s">
        <v>19</v>
      </c>
      <c r="D1038" t="s">
        <v>1802</v>
      </c>
      <c r="E1038">
        <v>25</v>
      </c>
      <c r="F1038">
        <v>40</v>
      </c>
      <c r="G1038">
        <v>3</v>
      </c>
      <c r="H1038">
        <v>36</v>
      </c>
      <c r="I1038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0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038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039" spans="1:11" x14ac:dyDescent="0.35">
      <c r="A1039">
        <v>411</v>
      </c>
      <c r="B1039">
        <v>3</v>
      </c>
      <c r="C1039" t="s">
        <v>45</v>
      </c>
      <c r="D1039" t="s">
        <v>1814</v>
      </c>
      <c r="E1039">
        <v>10</v>
      </c>
      <c r="F1039">
        <v>18</v>
      </c>
      <c r="G1039">
        <v>1</v>
      </c>
      <c r="H1039">
        <v>33</v>
      </c>
      <c r="I1039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0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03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040" spans="1:11" x14ac:dyDescent="0.35">
      <c r="A1040">
        <v>411</v>
      </c>
      <c r="B1040">
        <v>3</v>
      </c>
      <c r="C1040" t="s">
        <v>17</v>
      </c>
      <c r="D1040" t="s">
        <v>1800</v>
      </c>
      <c r="E1040">
        <v>16</v>
      </c>
      <c r="F1040">
        <v>27</v>
      </c>
      <c r="G1040">
        <v>3</v>
      </c>
      <c r="H1040">
        <v>9</v>
      </c>
      <c r="I1040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0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04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041" spans="1:11" x14ac:dyDescent="0.35">
      <c r="A1041">
        <v>412</v>
      </c>
      <c r="B1041">
        <v>11</v>
      </c>
      <c r="C1041" t="s">
        <v>15</v>
      </c>
      <c r="D1041" t="s">
        <v>1799</v>
      </c>
      <c r="E1041">
        <v>19</v>
      </c>
      <c r="F1041">
        <v>31</v>
      </c>
      <c r="G1041">
        <v>3</v>
      </c>
      <c r="H1041">
        <v>57</v>
      </c>
      <c r="I1041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0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041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042" spans="1:11" x14ac:dyDescent="0.35">
      <c r="A1042">
        <v>413</v>
      </c>
      <c r="B1042">
        <v>13</v>
      </c>
      <c r="C1042" t="s">
        <v>31</v>
      </c>
      <c r="D1042" t="s">
        <v>1807</v>
      </c>
      <c r="E1042">
        <v>21</v>
      </c>
      <c r="F1042">
        <v>35</v>
      </c>
      <c r="G1042">
        <v>1</v>
      </c>
      <c r="H1042">
        <v>12</v>
      </c>
      <c r="I1042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0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04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43" spans="1:11" x14ac:dyDescent="0.35">
      <c r="A1043">
        <v>414</v>
      </c>
      <c r="B1043">
        <v>14</v>
      </c>
      <c r="C1043" t="s">
        <v>25</v>
      </c>
      <c r="D1043" t="s">
        <v>1804</v>
      </c>
      <c r="E1043">
        <v>20</v>
      </c>
      <c r="F1043">
        <v>33</v>
      </c>
      <c r="G1043">
        <v>1</v>
      </c>
      <c r="H1043">
        <v>38</v>
      </c>
      <c r="I1043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0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04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044" spans="1:11" x14ac:dyDescent="0.35">
      <c r="A1044">
        <v>415</v>
      </c>
      <c r="B1044">
        <v>14</v>
      </c>
      <c r="C1044" t="s">
        <v>37</v>
      </c>
      <c r="D1044" t="s">
        <v>1810</v>
      </c>
      <c r="E1044">
        <v>20</v>
      </c>
      <c r="F1044">
        <v>34</v>
      </c>
      <c r="G1044">
        <v>2</v>
      </c>
      <c r="H1044">
        <v>16</v>
      </c>
      <c r="I1044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0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04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045" spans="1:11" x14ac:dyDescent="0.35">
      <c r="A1045">
        <v>415</v>
      </c>
      <c r="B1045">
        <v>14</v>
      </c>
      <c r="C1045" t="s">
        <v>21</v>
      </c>
      <c r="D1045" t="s">
        <v>1801</v>
      </c>
      <c r="E1045">
        <v>22</v>
      </c>
      <c r="F1045">
        <v>36</v>
      </c>
      <c r="G1045">
        <v>1</v>
      </c>
      <c r="H1045">
        <v>39</v>
      </c>
      <c r="I104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0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04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046" spans="1:11" x14ac:dyDescent="0.35">
      <c r="A1046">
        <v>415</v>
      </c>
      <c r="B1046">
        <v>14</v>
      </c>
      <c r="C1046" t="s">
        <v>17</v>
      </c>
      <c r="D1046" t="s">
        <v>1800</v>
      </c>
      <c r="E1046">
        <v>16</v>
      </c>
      <c r="F1046">
        <v>27</v>
      </c>
      <c r="G1046">
        <v>2</v>
      </c>
      <c r="H1046">
        <v>32</v>
      </c>
      <c r="I1046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0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046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047" spans="1:11" x14ac:dyDescent="0.35">
      <c r="A1047">
        <v>416</v>
      </c>
      <c r="B1047">
        <v>20</v>
      </c>
      <c r="C1047" t="s">
        <v>49</v>
      </c>
      <c r="D1047" t="s">
        <v>1816</v>
      </c>
      <c r="E1047">
        <v>15</v>
      </c>
      <c r="F1047">
        <v>25</v>
      </c>
      <c r="G1047">
        <v>1</v>
      </c>
      <c r="H1047">
        <v>9</v>
      </c>
      <c r="I1047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0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04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48" spans="1:11" x14ac:dyDescent="0.35">
      <c r="A1048">
        <v>417</v>
      </c>
      <c r="B1048">
        <v>7</v>
      </c>
      <c r="C1048" t="s">
        <v>29</v>
      </c>
      <c r="D1048" t="s">
        <v>1806</v>
      </c>
      <c r="E1048">
        <v>11</v>
      </c>
      <c r="F1048">
        <v>19</v>
      </c>
      <c r="G1048">
        <v>1</v>
      </c>
      <c r="H1048">
        <v>16</v>
      </c>
      <c r="I1048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0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04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049" spans="1:11" x14ac:dyDescent="0.35">
      <c r="A1049">
        <v>417</v>
      </c>
      <c r="B1049">
        <v>7</v>
      </c>
      <c r="C1049" t="s">
        <v>19</v>
      </c>
      <c r="D1049" t="s">
        <v>1802</v>
      </c>
      <c r="E1049">
        <v>25</v>
      </c>
      <c r="F1049">
        <v>40</v>
      </c>
      <c r="G1049">
        <v>1</v>
      </c>
      <c r="H1049">
        <v>17</v>
      </c>
      <c r="I1049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0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049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050" spans="1:11" x14ac:dyDescent="0.35">
      <c r="A1050">
        <v>417</v>
      </c>
      <c r="B1050">
        <v>7</v>
      </c>
      <c r="C1050" t="s">
        <v>17</v>
      </c>
      <c r="D1050" t="s">
        <v>1800</v>
      </c>
      <c r="E1050">
        <v>16</v>
      </c>
      <c r="F1050">
        <v>27</v>
      </c>
      <c r="G1050">
        <v>2</v>
      </c>
      <c r="H1050">
        <v>34</v>
      </c>
      <c r="I105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0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05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051" spans="1:11" x14ac:dyDescent="0.35">
      <c r="A1051">
        <v>417</v>
      </c>
      <c r="B1051">
        <v>7</v>
      </c>
      <c r="C1051" t="s">
        <v>23</v>
      </c>
      <c r="D1051" t="s">
        <v>1803</v>
      </c>
      <c r="E1051">
        <v>17</v>
      </c>
      <c r="F1051">
        <v>29</v>
      </c>
      <c r="G1051">
        <v>1</v>
      </c>
      <c r="H1051">
        <v>23</v>
      </c>
      <c r="I1051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0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05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052" spans="1:11" x14ac:dyDescent="0.35">
      <c r="A1052">
        <v>418</v>
      </c>
      <c r="B1052">
        <v>17</v>
      </c>
      <c r="C1052" t="s">
        <v>49</v>
      </c>
      <c r="D1052" t="s">
        <v>1816</v>
      </c>
      <c r="E1052">
        <v>15</v>
      </c>
      <c r="F1052">
        <v>25</v>
      </c>
      <c r="G1052">
        <v>1</v>
      </c>
      <c r="H1052">
        <v>45</v>
      </c>
      <c r="I1052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0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05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53" spans="1:11" x14ac:dyDescent="0.35">
      <c r="A1053">
        <v>418</v>
      </c>
      <c r="B1053">
        <v>17</v>
      </c>
      <c r="C1053" t="s">
        <v>15</v>
      </c>
      <c r="D1053" t="s">
        <v>1799</v>
      </c>
      <c r="E1053">
        <v>19</v>
      </c>
      <c r="F1053">
        <v>31</v>
      </c>
      <c r="G1053">
        <v>3</v>
      </c>
      <c r="H1053">
        <v>55</v>
      </c>
      <c r="I1053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0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053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054" spans="1:11" x14ac:dyDescent="0.35">
      <c r="A1054">
        <v>419</v>
      </c>
      <c r="B1054">
        <v>11</v>
      </c>
      <c r="C1054" t="s">
        <v>25</v>
      </c>
      <c r="D1054" t="s">
        <v>1804</v>
      </c>
      <c r="E1054">
        <v>20</v>
      </c>
      <c r="F1054">
        <v>33</v>
      </c>
      <c r="G1054">
        <v>1</v>
      </c>
      <c r="H1054">
        <v>57</v>
      </c>
      <c r="I1054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0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054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055" spans="1:11" x14ac:dyDescent="0.35">
      <c r="A1055">
        <v>419</v>
      </c>
      <c r="B1055">
        <v>11</v>
      </c>
      <c r="C1055" t="s">
        <v>37</v>
      </c>
      <c r="D1055" t="s">
        <v>1810</v>
      </c>
      <c r="E1055">
        <v>20</v>
      </c>
      <c r="F1055">
        <v>34</v>
      </c>
      <c r="G1055">
        <v>1</v>
      </c>
      <c r="H1055">
        <v>7</v>
      </c>
      <c r="I1055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0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05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056" spans="1:11" x14ac:dyDescent="0.35">
      <c r="A1056">
        <v>420</v>
      </c>
      <c r="B1056">
        <v>18</v>
      </c>
      <c r="C1056" t="s">
        <v>49</v>
      </c>
      <c r="D1056" t="s">
        <v>1816</v>
      </c>
      <c r="E1056">
        <v>15</v>
      </c>
      <c r="F1056">
        <v>25</v>
      </c>
      <c r="G1056">
        <v>2</v>
      </c>
      <c r="H1056">
        <v>28</v>
      </c>
      <c r="I1056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0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05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57" spans="1:11" x14ac:dyDescent="0.35">
      <c r="A1057">
        <v>420</v>
      </c>
      <c r="B1057">
        <v>18</v>
      </c>
      <c r="C1057" t="s">
        <v>33</v>
      </c>
      <c r="D1057" t="s">
        <v>1808</v>
      </c>
      <c r="E1057">
        <v>19</v>
      </c>
      <c r="F1057">
        <v>32</v>
      </c>
      <c r="G1057">
        <v>2</v>
      </c>
      <c r="H1057">
        <v>34</v>
      </c>
      <c r="I1057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0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05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058" spans="1:11" x14ac:dyDescent="0.35">
      <c r="A1058">
        <v>420</v>
      </c>
      <c r="B1058">
        <v>18</v>
      </c>
      <c r="C1058" t="s">
        <v>37</v>
      </c>
      <c r="D1058" t="s">
        <v>1810</v>
      </c>
      <c r="E1058">
        <v>20</v>
      </c>
      <c r="F1058">
        <v>34</v>
      </c>
      <c r="G1058">
        <v>2</v>
      </c>
      <c r="H1058">
        <v>33</v>
      </c>
      <c r="I1058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0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05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059" spans="1:11" x14ac:dyDescent="0.35">
      <c r="A1059">
        <v>420</v>
      </c>
      <c r="B1059">
        <v>18</v>
      </c>
      <c r="C1059" t="s">
        <v>39</v>
      </c>
      <c r="D1059" t="s">
        <v>1812</v>
      </c>
      <c r="E1059">
        <v>12</v>
      </c>
      <c r="F1059">
        <v>20</v>
      </c>
      <c r="G1059">
        <v>3</v>
      </c>
      <c r="H1059">
        <v>10</v>
      </c>
      <c r="I105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0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5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60" spans="1:11" x14ac:dyDescent="0.35">
      <c r="A1060">
        <v>421</v>
      </c>
      <c r="B1060">
        <v>10</v>
      </c>
      <c r="C1060" t="s">
        <v>15</v>
      </c>
      <c r="D1060" t="s">
        <v>1799</v>
      </c>
      <c r="E1060">
        <v>19</v>
      </c>
      <c r="F1060">
        <v>31</v>
      </c>
      <c r="G1060">
        <v>1</v>
      </c>
      <c r="H1060">
        <v>18</v>
      </c>
      <c r="I1060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0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06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061" spans="1:11" x14ac:dyDescent="0.35">
      <c r="A1061">
        <v>421</v>
      </c>
      <c r="B1061">
        <v>10</v>
      </c>
      <c r="C1061" t="s">
        <v>45</v>
      </c>
      <c r="D1061" t="s">
        <v>1814</v>
      </c>
      <c r="E1061">
        <v>10</v>
      </c>
      <c r="F1061">
        <v>18</v>
      </c>
      <c r="G1061">
        <v>3</v>
      </c>
      <c r="H1061">
        <v>53</v>
      </c>
      <c r="I1061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0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6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062" spans="1:11" x14ac:dyDescent="0.35">
      <c r="A1062">
        <v>422</v>
      </c>
      <c r="B1062">
        <v>12</v>
      </c>
      <c r="C1062" t="s">
        <v>47</v>
      </c>
      <c r="D1062" t="s">
        <v>1815</v>
      </c>
      <c r="E1062">
        <v>15</v>
      </c>
      <c r="F1062">
        <v>26</v>
      </c>
      <c r="G1062">
        <v>2</v>
      </c>
      <c r="H1062">
        <v>7</v>
      </c>
      <c r="I1062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0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06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063" spans="1:11" x14ac:dyDescent="0.35">
      <c r="A1063">
        <v>422</v>
      </c>
      <c r="B1063">
        <v>12</v>
      </c>
      <c r="C1063" t="s">
        <v>21</v>
      </c>
      <c r="D1063" t="s">
        <v>1801</v>
      </c>
      <c r="E1063">
        <v>22</v>
      </c>
      <c r="F1063">
        <v>36</v>
      </c>
      <c r="G1063">
        <v>1</v>
      </c>
      <c r="H1063">
        <v>27</v>
      </c>
      <c r="I1063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0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063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064" spans="1:11" x14ac:dyDescent="0.35">
      <c r="A1064">
        <v>423</v>
      </c>
      <c r="B1064">
        <v>4</v>
      </c>
      <c r="C1064" t="s">
        <v>33</v>
      </c>
      <c r="D1064" t="s">
        <v>1808</v>
      </c>
      <c r="E1064">
        <v>19</v>
      </c>
      <c r="F1064">
        <v>32</v>
      </c>
      <c r="G1064">
        <v>3</v>
      </c>
      <c r="H1064">
        <v>7</v>
      </c>
      <c r="I1064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0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06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065" spans="1:11" x14ac:dyDescent="0.35">
      <c r="A1065">
        <v>423</v>
      </c>
      <c r="B1065">
        <v>4</v>
      </c>
      <c r="C1065" t="s">
        <v>27</v>
      </c>
      <c r="D1065" t="s">
        <v>1805</v>
      </c>
      <c r="E1065">
        <v>16</v>
      </c>
      <c r="F1065">
        <v>28</v>
      </c>
      <c r="G1065">
        <v>2</v>
      </c>
      <c r="H1065">
        <v>24</v>
      </c>
      <c r="I1065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0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65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066" spans="1:11" x14ac:dyDescent="0.35">
      <c r="A1066">
        <v>424</v>
      </c>
      <c r="B1066">
        <v>13</v>
      </c>
      <c r="C1066" t="s">
        <v>35</v>
      </c>
      <c r="D1066" t="s">
        <v>1809</v>
      </c>
      <c r="E1066">
        <v>13</v>
      </c>
      <c r="F1066">
        <v>22</v>
      </c>
      <c r="G1066">
        <v>3</v>
      </c>
      <c r="H1066">
        <v>43</v>
      </c>
      <c r="I1066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0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066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067" spans="1:11" x14ac:dyDescent="0.35">
      <c r="A1067">
        <v>424</v>
      </c>
      <c r="B1067">
        <v>13</v>
      </c>
      <c r="C1067" t="s">
        <v>17</v>
      </c>
      <c r="D1067" t="s">
        <v>1800</v>
      </c>
      <c r="E1067">
        <v>16</v>
      </c>
      <c r="F1067">
        <v>27</v>
      </c>
      <c r="G1067">
        <v>3</v>
      </c>
      <c r="H1067">
        <v>45</v>
      </c>
      <c r="I1067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0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06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068" spans="1:11" x14ac:dyDescent="0.35">
      <c r="A1068">
        <v>425</v>
      </c>
      <c r="B1068">
        <v>18</v>
      </c>
      <c r="C1068" t="s">
        <v>29</v>
      </c>
      <c r="D1068" t="s">
        <v>1806</v>
      </c>
      <c r="E1068">
        <v>11</v>
      </c>
      <c r="F1068">
        <v>19</v>
      </c>
      <c r="G1068">
        <v>1</v>
      </c>
      <c r="H1068">
        <v>28</v>
      </c>
      <c r="I1068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0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06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069" spans="1:11" x14ac:dyDescent="0.35">
      <c r="A1069">
        <v>426</v>
      </c>
      <c r="B1069">
        <v>5</v>
      </c>
      <c r="C1069" t="s">
        <v>49</v>
      </c>
      <c r="D1069" t="s">
        <v>1816</v>
      </c>
      <c r="E1069">
        <v>15</v>
      </c>
      <c r="F1069">
        <v>25</v>
      </c>
      <c r="G1069">
        <v>2</v>
      </c>
      <c r="H1069">
        <v>23</v>
      </c>
      <c r="I1069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0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06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70" spans="1:11" x14ac:dyDescent="0.35">
      <c r="A1070">
        <v>426</v>
      </c>
      <c r="B1070">
        <v>5</v>
      </c>
      <c r="C1070" t="s">
        <v>25</v>
      </c>
      <c r="D1070" t="s">
        <v>1804</v>
      </c>
      <c r="E1070">
        <v>20</v>
      </c>
      <c r="F1070">
        <v>33</v>
      </c>
      <c r="G1070">
        <v>1</v>
      </c>
      <c r="H1070">
        <v>8</v>
      </c>
      <c r="I1070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0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07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071" spans="1:11" x14ac:dyDescent="0.35">
      <c r="A1071">
        <v>426</v>
      </c>
      <c r="B1071">
        <v>5</v>
      </c>
      <c r="C1071" t="s">
        <v>27</v>
      </c>
      <c r="D1071" t="s">
        <v>1805</v>
      </c>
      <c r="E1071">
        <v>16</v>
      </c>
      <c r="F1071">
        <v>28</v>
      </c>
      <c r="G1071">
        <v>2</v>
      </c>
      <c r="H1071">
        <v>38</v>
      </c>
      <c r="I1071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0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71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072" spans="1:11" x14ac:dyDescent="0.35">
      <c r="A1072">
        <v>426</v>
      </c>
      <c r="B1072">
        <v>5</v>
      </c>
      <c r="C1072" t="s">
        <v>21</v>
      </c>
      <c r="D1072" t="s">
        <v>1801</v>
      </c>
      <c r="E1072">
        <v>22</v>
      </c>
      <c r="F1072">
        <v>36</v>
      </c>
      <c r="G1072">
        <v>3</v>
      </c>
      <c r="H1072">
        <v>47</v>
      </c>
      <c r="I1072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0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07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073" spans="1:11" x14ac:dyDescent="0.35">
      <c r="A1073">
        <v>427</v>
      </c>
      <c r="B1073">
        <v>2</v>
      </c>
      <c r="C1073" t="s">
        <v>49</v>
      </c>
      <c r="D1073" t="s">
        <v>1816</v>
      </c>
      <c r="E1073">
        <v>15</v>
      </c>
      <c r="F1073">
        <v>25</v>
      </c>
      <c r="G1073">
        <v>3</v>
      </c>
      <c r="H1073">
        <v>34</v>
      </c>
      <c r="I1073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0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07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74" spans="1:11" x14ac:dyDescent="0.35">
      <c r="A1074">
        <v>427</v>
      </c>
      <c r="B1074">
        <v>2</v>
      </c>
      <c r="C1074" t="s">
        <v>29</v>
      </c>
      <c r="D1074" t="s">
        <v>1806</v>
      </c>
      <c r="E1074">
        <v>11</v>
      </c>
      <c r="F1074">
        <v>19</v>
      </c>
      <c r="G1074">
        <v>2</v>
      </c>
      <c r="H1074">
        <v>56</v>
      </c>
      <c r="I1074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0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074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075" spans="1:11" x14ac:dyDescent="0.35">
      <c r="A1075">
        <v>427</v>
      </c>
      <c r="B1075">
        <v>2</v>
      </c>
      <c r="C1075" t="s">
        <v>41</v>
      </c>
      <c r="D1075" t="s">
        <v>1811</v>
      </c>
      <c r="E1075">
        <v>14</v>
      </c>
      <c r="F1075">
        <v>23</v>
      </c>
      <c r="G1075">
        <v>1</v>
      </c>
      <c r="H1075">
        <v>24</v>
      </c>
      <c r="I1075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0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075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076" spans="1:11" x14ac:dyDescent="0.35">
      <c r="A1076">
        <v>427</v>
      </c>
      <c r="B1076">
        <v>2</v>
      </c>
      <c r="C1076" t="s">
        <v>31</v>
      </c>
      <c r="D1076" t="s">
        <v>1807</v>
      </c>
      <c r="E1076">
        <v>21</v>
      </c>
      <c r="F1076">
        <v>35</v>
      </c>
      <c r="G1076">
        <v>2</v>
      </c>
      <c r="H1076">
        <v>52</v>
      </c>
      <c r="I1076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0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07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77" spans="1:11" x14ac:dyDescent="0.35">
      <c r="A1077">
        <v>428</v>
      </c>
      <c r="B1077">
        <v>7</v>
      </c>
      <c r="C1077" t="s">
        <v>49</v>
      </c>
      <c r="D1077" t="s">
        <v>1816</v>
      </c>
      <c r="E1077">
        <v>15</v>
      </c>
      <c r="F1077">
        <v>25</v>
      </c>
      <c r="G1077">
        <v>2</v>
      </c>
      <c r="H1077">
        <v>48</v>
      </c>
      <c r="I1077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0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07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78" spans="1:11" x14ac:dyDescent="0.35">
      <c r="A1078">
        <v>428</v>
      </c>
      <c r="B1078">
        <v>7</v>
      </c>
      <c r="C1078" t="s">
        <v>41</v>
      </c>
      <c r="D1078" t="s">
        <v>1811</v>
      </c>
      <c r="E1078">
        <v>14</v>
      </c>
      <c r="F1078">
        <v>23</v>
      </c>
      <c r="G1078">
        <v>1</v>
      </c>
      <c r="H1078">
        <v>46</v>
      </c>
      <c r="I1078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0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07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079" spans="1:11" x14ac:dyDescent="0.35">
      <c r="A1079">
        <v>428</v>
      </c>
      <c r="B1079">
        <v>7</v>
      </c>
      <c r="C1079" t="s">
        <v>15</v>
      </c>
      <c r="D1079" t="s">
        <v>1799</v>
      </c>
      <c r="E1079">
        <v>19</v>
      </c>
      <c r="F1079">
        <v>31</v>
      </c>
      <c r="G1079">
        <v>2</v>
      </c>
      <c r="H1079">
        <v>47</v>
      </c>
      <c r="I1079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0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7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080" spans="1:11" x14ac:dyDescent="0.35">
      <c r="A1080">
        <v>428</v>
      </c>
      <c r="B1080">
        <v>7</v>
      </c>
      <c r="C1080" t="s">
        <v>19</v>
      </c>
      <c r="D1080" t="s">
        <v>1802</v>
      </c>
      <c r="E1080">
        <v>25</v>
      </c>
      <c r="F1080">
        <v>40</v>
      </c>
      <c r="G1080">
        <v>1</v>
      </c>
      <c r="H1080">
        <v>38</v>
      </c>
      <c r="I1080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0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080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081" spans="1:11" x14ac:dyDescent="0.35">
      <c r="A1081">
        <v>429</v>
      </c>
      <c r="B1081">
        <v>8</v>
      </c>
      <c r="C1081" t="s">
        <v>47</v>
      </c>
      <c r="D1081" t="s">
        <v>1815</v>
      </c>
      <c r="E1081">
        <v>15</v>
      </c>
      <c r="F1081">
        <v>26</v>
      </c>
      <c r="G1081">
        <v>3</v>
      </c>
      <c r="H1081">
        <v>27</v>
      </c>
      <c r="I1081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0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08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082" spans="1:11" x14ac:dyDescent="0.35">
      <c r="A1082">
        <v>430</v>
      </c>
      <c r="B1082">
        <v>7</v>
      </c>
      <c r="C1082" t="s">
        <v>49</v>
      </c>
      <c r="D1082" t="s">
        <v>1816</v>
      </c>
      <c r="E1082">
        <v>15</v>
      </c>
      <c r="F1082">
        <v>25</v>
      </c>
      <c r="G1082">
        <v>1</v>
      </c>
      <c r="H1082">
        <v>49</v>
      </c>
      <c r="I1082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0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08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83" spans="1:11" x14ac:dyDescent="0.35">
      <c r="A1083">
        <v>431</v>
      </c>
      <c r="B1083">
        <v>15</v>
      </c>
      <c r="C1083" t="s">
        <v>12</v>
      </c>
      <c r="D1083" t="s">
        <v>1797</v>
      </c>
      <c r="E1083">
        <v>18</v>
      </c>
      <c r="F1083">
        <v>30</v>
      </c>
      <c r="G1083">
        <v>2</v>
      </c>
      <c r="H1083">
        <v>20</v>
      </c>
      <c r="I108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0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8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84" spans="1:11" x14ac:dyDescent="0.35">
      <c r="A1084">
        <v>432</v>
      </c>
      <c r="B1084">
        <v>10</v>
      </c>
      <c r="C1084" t="s">
        <v>43</v>
      </c>
      <c r="D1084" t="s">
        <v>1813</v>
      </c>
      <c r="E1084">
        <v>13</v>
      </c>
      <c r="F1084">
        <v>21</v>
      </c>
      <c r="G1084">
        <v>1</v>
      </c>
      <c r="H1084">
        <v>27</v>
      </c>
      <c r="I1084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0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08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085" spans="1:11" x14ac:dyDescent="0.35">
      <c r="A1085">
        <v>432</v>
      </c>
      <c r="B1085">
        <v>10</v>
      </c>
      <c r="C1085" t="s">
        <v>27</v>
      </c>
      <c r="D1085" t="s">
        <v>1805</v>
      </c>
      <c r="E1085">
        <v>16</v>
      </c>
      <c r="F1085">
        <v>28</v>
      </c>
      <c r="G1085">
        <v>1</v>
      </c>
      <c r="H1085">
        <v>31</v>
      </c>
      <c r="I1085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0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085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086" spans="1:11" x14ac:dyDescent="0.35">
      <c r="A1086">
        <v>432</v>
      </c>
      <c r="B1086">
        <v>10</v>
      </c>
      <c r="C1086" t="s">
        <v>39</v>
      </c>
      <c r="D1086" t="s">
        <v>1812</v>
      </c>
      <c r="E1086">
        <v>12</v>
      </c>
      <c r="F1086">
        <v>20</v>
      </c>
      <c r="G1086">
        <v>3</v>
      </c>
      <c r="H1086">
        <v>16</v>
      </c>
      <c r="I1086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0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8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87" spans="1:11" x14ac:dyDescent="0.35">
      <c r="A1087">
        <v>433</v>
      </c>
      <c r="B1087">
        <v>10</v>
      </c>
      <c r="C1087" t="s">
        <v>12</v>
      </c>
      <c r="D1087" t="s">
        <v>1797</v>
      </c>
      <c r="E1087">
        <v>18</v>
      </c>
      <c r="F1087">
        <v>30</v>
      </c>
      <c r="G1087">
        <v>1</v>
      </c>
      <c r="H1087">
        <v>56</v>
      </c>
      <c r="I1087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0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08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88" spans="1:11" x14ac:dyDescent="0.35">
      <c r="A1088">
        <v>433</v>
      </c>
      <c r="B1088">
        <v>10</v>
      </c>
      <c r="C1088" t="s">
        <v>9</v>
      </c>
      <c r="D1088" t="s">
        <v>1798</v>
      </c>
      <c r="E1088">
        <v>14</v>
      </c>
      <c r="F1088">
        <v>24</v>
      </c>
      <c r="G1088">
        <v>3</v>
      </c>
      <c r="H1088">
        <v>18</v>
      </c>
      <c r="I108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0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08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089" spans="1:11" x14ac:dyDescent="0.35">
      <c r="A1089">
        <v>434</v>
      </c>
      <c r="B1089">
        <v>15</v>
      </c>
      <c r="C1089" t="s">
        <v>47</v>
      </c>
      <c r="D1089" t="s">
        <v>1815</v>
      </c>
      <c r="E1089">
        <v>15</v>
      </c>
      <c r="F1089">
        <v>26</v>
      </c>
      <c r="G1089">
        <v>2</v>
      </c>
      <c r="H1089">
        <v>26</v>
      </c>
      <c r="I1089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0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08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090" spans="1:11" x14ac:dyDescent="0.35">
      <c r="A1090">
        <v>434</v>
      </c>
      <c r="B1090">
        <v>15</v>
      </c>
      <c r="C1090" t="s">
        <v>35</v>
      </c>
      <c r="D1090" t="s">
        <v>1809</v>
      </c>
      <c r="E1090">
        <v>13</v>
      </c>
      <c r="F1090">
        <v>22</v>
      </c>
      <c r="G1090">
        <v>2</v>
      </c>
      <c r="H1090">
        <v>32</v>
      </c>
      <c r="I1090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0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09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091" spans="1:11" x14ac:dyDescent="0.35">
      <c r="A1091">
        <v>435</v>
      </c>
      <c r="B1091">
        <v>17</v>
      </c>
      <c r="C1091" t="s">
        <v>47</v>
      </c>
      <c r="D1091" t="s">
        <v>1815</v>
      </c>
      <c r="E1091">
        <v>15</v>
      </c>
      <c r="F1091">
        <v>26</v>
      </c>
      <c r="G1091">
        <v>2</v>
      </c>
      <c r="H1091">
        <v>14</v>
      </c>
      <c r="I1091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0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09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092" spans="1:11" x14ac:dyDescent="0.35">
      <c r="A1092">
        <v>435</v>
      </c>
      <c r="B1092">
        <v>17</v>
      </c>
      <c r="C1092" t="s">
        <v>43</v>
      </c>
      <c r="D1092" t="s">
        <v>1813</v>
      </c>
      <c r="E1092">
        <v>13</v>
      </c>
      <c r="F1092">
        <v>21</v>
      </c>
      <c r="G1092">
        <v>2</v>
      </c>
      <c r="H1092">
        <v>42</v>
      </c>
      <c r="I1092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0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092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093" spans="1:11" x14ac:dyDescent="0.35">
      <c r="A1093">
        <v>435</v>
      </c>
      <c r="B1093">
        <v>17</v>
      </c>
      <c r="C1093" t="s">
        <v>12</v>
      </c>
      <c r="D1093" t="s">
        <v>1797</v>
      </c>
      <c r="E1093">
        <v>18</v>
      </c>
      <c r="F1093">
        <v>30</v>
      </c>
      <c r="G1093">
        <v>2</v>
      </c>
      <c r="H1093">
        <v>55</v>
      </c>
      <c r="I109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0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9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94" spans="1:11" x14ac:dyDescent="0.35">
      <c r="A1094">
        <v>436</v>
      </c>
      <c r="B1094">
        <v>10</v>
      </c>
      <c r="C1094" t="s">
        <v>27</v>
      </c>
      <c r="D1094" t="s">
        <v>1805</v>
      </c>
      <c r="E1094">
        <v>16</v>
      </c>
      <c r="F1094">
        <v>28</v>
      </c>
      <c r="G1094">
        <v>2</v>
      </c>
      <c r="H1094">
        <v>45</v>
      </c>
      <c r="I1094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0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09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095" spans="1:11" x14ac:dyDescent="0.35">
      <c r="A1095">
        <v>437</v>
      </c>
      <c r="B1095">
        <v>16</v>
      </c>
      <c r="C1095" t="s">
        <v>31</v>
      </c>
      <c r="D1095" t="s">
        <v>1807</v>
      </c>
      <c r="E1095">
        <v>21</v>
      </c>
      <c r="F1095">
        <v>35</v>
      </c>
      <c r="G1095">
        <v>2</v>
      </c>
      <c r="H1095">
        <v>51</v>
      </c>
      <c r="I1095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0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09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096" spans="1:11" x14ac:dyDescent="0.35">
      <c r="A1096">
        <v>438</v>
      </c>
      <c r="B1096">
        <v>2</v>
      </c>
      <c r="C1096" t="s">
        <v>25</v>
      </c>
      <c r="D1096" t="s">
        <v>1804</v>
      </c>
      <c r="E1096">
        <v>20</v>
      </c>
      <c r="F1096">
        <v>33</v>
      </c>
      <c r="G1096">
        <v>1</v>
      </c>
      <c r="H1096">
        <v>51</v>
      </c>
      <c r="I1096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0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096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097" spans="1:11" x14ac:dyDescent="0.35">
      <c r="A1097">
        <v>439</v>
      </c>
      <c r="B1097">
        <v>15</v>
      </c>
      <c r="C1097" t="s">
        <v>47</v>
      </c>
      <c r="D1097" t="s">
        <v>1815</v>
      </c>
      <c r="E1097">
        <v>15</v>
      </c>
      <c r="F1097">
        <v>26</v>
      </c>
      <c r="G1097">
        <v>3</v>
      </c>
      <c r="H1097">
        <v>29</v>
      </c>
      <c r="I1097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0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09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098" spans="1:11" x14ac:dyDescent="0.35">
      <c r="A1098">
        <v>439</v>
      </c>
      <c r="B1098">
        <v>15</v>
      </c>
      <c r="C1098" t="s">
        <v>25</v>
      </c>
      <c r="D1098" t="s">
        <v>1804</v>
      </c>
      <c r="E1098">
        <v>20</v>
      </c>
      <c r="F1098">
        <v>33</v>
      </c>
      <c r="G1098">
        <v>3</v>
      </c>
      <c r="H1098">
        <v>35</v>
      </c>
      <c r="I1098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0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098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099" spans="1:11" x14ac:dyDescent="0.35">
      <c r="A1099">
        <v>440</v>
      </c>
      <c r="B1099">
        <v>13</v>
      </c>
      <c r="C1099" t="s">
        <v>29</v>
      </c>
      <c r="D1099" t="s">
        <v>1806</v>
      </c>
      <c r="E1099">
        <v>11</v>
      </c>
      <c r="F1099">
        <v>19</v>
      </c>
      <c r="G1099">
        <v>2</v>
      </c>
      <c r="H1099">
        <v>9</v>
      </c>
      <c r="I1099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0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099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100" spans="1:11" x14ac:dyDescent="0.35">
      <c r="A1100">
        <v>440</v>
      </c>
      <c r="B1100">
        <v>13</v>
      </c>
      <c r="C1100" t="s">
        <v>41</v>
      </c>
      <c r="D1100" t="s">
        <v>1811</v>
      </c>
      <c r="E1100">
        <v>14</v>
      </c>
      <c r="F1100">
        <v>23</v>
      </c>
      <c r="G1100">
        <v>2</v>
      </c>
      <c r="H1100">
        <v>36</v>
      </c>
      <c r="I1100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1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100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101" spans="1:11" x14ac:dyDescent="0.35">
      <c r="A1101">
        <v>441</v>
      </c>
      <c r="B1101">
        <v>13</v>
      </c>
      <c r="C1101" t="s">
        <v>47</v>
      </c>
      <c r="D1101" t="s">
        <v>1815</v>
      </c>
      <c r="E1101">
        <v>15</v>
      </c>
      <c r="F1101">
        <v>26</v>
      </c>
      <c r="G1101">
        <v>3</v>
      </c>
      <c r="H1101">
        <v>36</v>
      </c>
      <c r="I1101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1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10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102" spans="1:11" x14ac:dyDescent="0.35">
      <c r="A1102">
        <v>441</v>
      </c>
      <c r="B1102">
        <v>13</v>
      </c>
      <c r="C1102" t="s">
        <v>31</v>
      </c>
      <c r="D1102" t="s">
        <v>1807</v>
      </c>
      <c r="E1102">
        <v>21</v>
      </c>
      <c r="F1102">
        <v>35</v>
      </c>
      <c r="G1102">
        <v>3</v>
      </c>
      <c r="H1102">
        <v>54</v>
      </c>
      <c r="I1102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1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10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03" spans="1:11" x14ac:dyDescent="0.35">
      <c r="A1103">
        <v>442</v>
      </c>
      <c r="B1103">
        <v>15</v>
      </c>
      <c r="C1103" t="s">
        <v>49</v>
      </c>
      <c r="D1103" t="s">
        <v>1816</v>
      </c>
      <c r="E1103">
        <v>15</v>
      </c>
      <c r="F1103">
        <v>25</v>
      </c>
      <c r="G1103">
        <v>1</v>
      </c>
      <c r="H1103">
        <v>57</v>
      </c>
      <c r="I1103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1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10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04" spans="1:11" x14ac:dyDescent="0.35">
      <c r="A1104">
        <v>442</v>
      </c>
      <c r="B1104">
        <v>15</v>
      </c>
      <c r="C1104" t="s">
        <v>37</v>
      </c>
      <c r="D1104" t="s">
        <v>1810</v>
      </c>
      <c r="E1104">
        <v>20</v>
      </c>
      <c r="F1104">
        <v>34</v>
      </c>
      <c r="G1104">
        <v>3</v>
      </c>
      <c r="H1104">
        <v>29</v>
      </c>
      <c r="I1104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1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10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05" spans="1:11" x14ac:dyDescent="0.35">
      <c r="A1105">
        <v>442</v>
      </c>
      <c r="B1105">
        <v>15</v>
      </c>
      <c r="C1105" t="s">
        <v>21</v>
      </c>
      <c r="D1105" t="s">
        <v>1801</v>
      </c>
      <c r="E1105">
        <v>22</v>
      </c>
      <c r="F1105">
        <v>36</v>
      </c>
      <c r="G1105">
        <v>3</v>
      </c>
      <c r="H1105">
        <v>45</v>
      </c>
      <c r="I1105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1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10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106" spans="1:11" x14ac:dyDescent="0.35">
      <c r="A1106">
        <v>443</v>
      </c>
      <c r="B1106">
        <v>4</v>
      </c>
      <c r="C1106" t="s">
        <v>47</v>
      </c>
      <c r="D1106" t="s">
        <v>1815</v>
      </c>
      <c r="E1106">
        <v>15</v>
      </c>
      <c r="F1106">
        <v>26</v>
      </c>
      <c r="G1106">
        <v>3</v>
      </c>
      <c r="H1106">
        <v>55</v>
      </c>
      <c r="I1106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1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106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107" spans="1:11" x14ac:dyDescent="0.35">
      <c r="A1107">
        <v>443</v>
      </c>
      <c r="B1107">
        <v>4</v>
      </c>
      <c r="C1107" t="s">
        <v>41</v>
      </c>
      <c r="D1107" t="s">
        <v>1811</v>
      </c>
      <c r="E1107">
        <v>14</v>
      </c>
      <c r="F1107">
        <v>23</v>
      </c>
      <c r="G1107">
        <v>1</v>
      </c>
      <c r="H1107">
        <v>30</v>
      </c>
      <c r="I1107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1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10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108" spans="1:11" x14ac:dyDescent="0.35">
      <c r="A1108">
        <v>443</v>
      </c>
      <c r="B1108">
        <v>4</v>
      </c>
      <c r="C1108" t="s">
        <v>33</v>
      </c>
      <c r="D1108" t="s">
        <v>1808</v>
      </c>
      <c r="E1108">
        <v>19</v>
      </c>
      <c r="F1108">
        <v>32</v>
      </c>
      <c r="G1108">
        <v>1</v>
      </c>
      <c r="H1108">
        <v>52</v>
      </c>
      <c r="I1108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1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10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109" spans="1:11" x14ac:dyDescent="0.35">
      <c r="A1109">
        <v>443</v>
      </c>
      <c r="B1109">
        <v>4</v>
      </c>
      <c r="C1109" t="s">
        <v>27</v>
      </c>
      <c r="D1109" t="s">
        <v>1805</v>
      </c>
      <c r="E1109">
        <v>16</v>
      </c>
      <c r="F1109">
        <v>28</v>
      </c>
      <c r="G1109">
        <v>3</v>
      </c>
      <c r="H1109">
        <v>18</v>
      </c>
      <c r="I1109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1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109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110" spans="1:11" x14ac:dyDescent="0.35">
      <c r="A1110">
        <v>444</v>
      </c>
      <c r="B1110">
        <v>8</v>
      </c>
      <c r="C1110" t="s">
        <v>41</v>
      </c>
      <c r="D1110" t="s">
        <v>1811</v>
      </c>
      <c r="E1110">
        <v>14</v>
      </c>
      <c r="F1110">
        <v>23</v>
      </c>
      <c r="G1110">
        <v>1</v>
      </c>
      <c r="H1110">
        <v>32</v>
      </c>
      <c r="I1110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1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110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111" spans="1:11" x14ac:dyDescent="0.35">
      <c r="A1111">
        <v>444</v>
      </c>
      <c r="B1111">
        <v>8</v>
      </c>
      <c r="C1111" t="s">
        <v>9</v>
      </c>
      <c r="D1111" t="s">
        <v>1798</v>
      </c>
      <c r="E1111">
        <v>14</v>
      </c>
      <c r="F1111">
        <v>24</v>
      </c>
      <c r="G1111">
        <v>3</v>
      </c>
      <c r="H1111">
        <v>49</v>
      </c>
      <c r="I1111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1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111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112" spans="1:11" x14ac:dyDescent="0.35">
      <c r="A1112">
        <v>445</v>
      </c>
      <c r="B1112">
        <v>6</v>
      </c>
      <c r="C1112" t="s">
        <v>17</v>
      </c>
      <c r="D1112" t="s">
        <v>1800</v>
      </c>
      <c r="E1112">
        <v>16</v>
      </c>
      <c r="F1112">
        <v>27</v>
      </c>
      <c r="G1112">
        <v>3</v>
      </c>
      <c r="H1112">
        <v>26</v>
      </c>
      <c r="I1112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1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11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113" spans="1:11" x14ac:dyDescent="0.35">
      <c r="A1113">
        <v>446</v>
      </c>
      <c r="B1113">
        <v>12</v>
      </c>
      <c r="C1113" t="s">
        <v>43</v>
      </c>
      <c r="D1113" t="s">
        <v>1813</v>
      </c>
      <c r="E1113">
        <v>13</v>
      </c>
      <c r="F1113">
        <v>21</v>
      </c>
      <c r="G1113">
        <v>1</v>
      </c>
      <c r="H1113">
        <v>8</v>
      </c>
      <c r="I1113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1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11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114" spans="1:11" x14ac:dyDescent="0.35">
      <c r="A1114">
        <v>447</v>
      </c>
      <c r="B1114">
        <v>8</v>
      </c>
      <c r="C1114" t="s">
        <v>29</v>
      </c>
      <c r="D1114" t="s">
        <v>1806</v>
      </c>
      <c r="E1114">
        <v>11</v>
      </c>
      <c r="F1114">
        <v>19</v>
      </c>
      <c r="G1114">
        <v>3</v>
      </c>
      <c r="H1114">
        <v>50</v>
      </c>
      <c r="I1114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1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114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115" spans="1:11" x14ac:dyDescent="0.35">
      <c r="A1115">
        <v>447</v>
      </c>
      <c r="B1115">
        <v>8</v>
      </c>
      <c r="C1115" t="s">
        <v>27</v>
      </c>
      <c r="D1115" t="s">
        <v>1805</v>
      </c>
      <c r="E1115">
        <v>16</v>
      </c>
      <c r="F1115">
        <v>28</v>
      </c>
      <c r="G1115">
        <v>3</v>
      </c>
      <c r="H1115">
        <v>7</v>
      </c>
      <c r="I1115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1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115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116" spans="1:11" x14ac:dyDescent="0.35">
      <c r="A1116">
        <v>447</v>
      </c>
      <c r="B1116">
        <v>8</v>
      </c>
      <c r="C1116" t="s">
        <v>39</v>
      </c>
      <c r="D1116" t="s">
        <v>1812</v>
      </c>
      <c r="E1116">
        <v>12</v>
      </c>
      <c r="F1116">
        <v>20</v>
      </c>
      <c r="G1116">
        <v>2</v>
      </c>
      <c r="H1116">
        <v>29</v>
      </c>
      <c r="I1116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1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11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17" spans="1:11" x14ac:dyDescent="0.35">
      <c r="A1117">
        <v>448</v>
      </c>
      <c r="B1117">
        <v>4</v>
      </c>
      <c r="C1117" t="s">
        <v>25</v>
      </c>
      <c r="D1117" t="s">
        <v>1804</v>
      </c>
      <c r="E1117">
        <v>20</v>
      </c>
      <c r="F1117">
        <v>33</v>
      </c>
      <c r="G1117">
        <v>3</v>
      </c>
      <c r="H1117">
        <v>40</v>
      </c>
      <c r="I1117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1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117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118" spans="1:11" x14ac:dyDescent="0.35">
      <c r="A1118">
        <v>448</v>
      </c>
      <c r="B1118">
        <v>4</v>
      </c>
      <c r="C1118" t="s">
        <v>29</v>
      </c>
      <c r="D1118" t="s">
        <v>1806</v>
      </c>
      <c r="E1118">
        <v>11</v>
      </c>
      <c r="F1118">
        <v>19</v>
      </c>
      <c r="G1118">
        <v>2</v>
      </c>
      <c r="H1118">
        <v>26</v>
      </c>
      <c r="I1118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1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11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119" spans="1:11" x14ac:dyDescent="0.35">
      <c r="A1119">
        <v>449</v>
      </c>
      <c r="B1119">
        <v>3</v>
      </c>
      <c r="C1119" t="s">
        <v>33</v>
      </c>
      <c r="D1119" t="s">
        <v>1808</v>
      </c>
      <c r="E1119">
        <v>19</v>
      </c>
      <c r="F1119">
        <v>32</v>
      </c>
      <c r="G1119">
        <v>2</v>
      </c>
      <c r="H1119">
        <v>33</v>
      </c>
      <c r="I1119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1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11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120" spans="1:11" x14ac:dyDescent="0.35">
      <c r="A1120">
        <v>450</v>
      </c>
      <c r="B1120">
        <v>9</v>
      </c>
      <c r="C1120" t="s">
        <v>21</v>
      </c>
      <c r="D1120" t="s">
        <v>1801</v>
      </c>
      <c r="E1120">
        <v>22</v>
      </c>
      <c r="F1120">
        <v>36</v>
      </c>
      <c r="G1120">
        <v>1</v>
      </c>
      <c r="H1120">
        <v>21</v>
      </c>
      <c r="I1120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1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12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121" spans="1:11" x14ac:dyDescent="0.35">
      <c r="A1121">
        <v>450</v>
      </c>
      <c r="B1121">
        <v>9</v>
      </c>
      <c r="C1121" t="s">
        <v>45</v>
      </c>
      <c r="D1121" t="s">
        <v>1814</v>
      </c>
      <c r="E1121">
        <v>10</v>
      </c>
      <c r="F1121">
        <v>18</v>
      </c>
      <c r="G1121">
        <v>2</v>
      </c>
      <c r="H1121">
        <v>13</v>
      </c>
      <c r="I1121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1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12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122" spans="1:11" x14ac:dyDescent="0.35">
      <c r="A1122">
        <v>451</v>
      </c>
      <c r="B1122">
        <v>3</v>
      </c>
      <c r="C1122" t="s">
        <v>41</v>
      </c>
      <c r="D1122" t="s">
        <v>1811</v>
      </c>
      <c r="E1122">
        <v>14</v>
      </c>
      <c r="F1122">
        <v>23</v>
      </c>
      <c r="G1122">
        <v>1</v>
      </c>
      <c r="H1122">
        <v>41</v>
      </c>
      <c r="I1122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1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122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123" spans="1:11" x14ac:dyDescent="0.35">
      <c r="A1123">
        <v>451</v>
      </c>
      <c r="B1123">
        <v>3</v>
      </c>
      <c r="C1123" t="s">
        <v>37</v>
      </c>
      <c r="D1123" t="s">
        <v>1810</v>
      </c>
      <c r="E1123">
        <v>20</v>
      </c>
      <c r="F1123">
        <v>34</v>
      </c>
      <c r="G1123">
        <v>1</v>
      </c>
      <c r="H1123">
        <v>39</v>
      </c>
      <c r="I1123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1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123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24" spans="1:11" x14ac:dyDescent="0.35">
      <c r="A1124">
        <v>451</v>
      </c>
      <c r="B1124">
        <v>3</v>
      </c>
      <c r="C1124" t="s">
        <v>31</v>
      </c>
      <c r="D1124" t="s">
        <v>1807</v>
      </c>
      <c r="E1124">
        <v>21</v>
      </c>
      <c r="F1124">
        <v>35</v>
      </c>
      <c r="G1124">
        <v>1</v>
      </c>
      <c r="H1124">
        <v>23</v>
      </c>
      <c r="I1124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1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12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25" spans="1:11" x14ac:dyDescent="0.35">
      <c r="A1125">
        <v>452</v>
      </c>
      <c r="B1125">
        <v>9</v>
      </c>
      <c r="C1125" t="s">
        <v>43</v>
      </c>
      <c r="D1125" t="s">
        <v>1813</v>
      </c>
      <c r="E1125">
        <v>13</v>
      </c>
      <c r="F1125">
        <v>21</v>
      </c>
      <c r="G1125">
        <v>1</v>
      </c>
      <c r="H1125">
        <v>42</v>
      </c>
      <c r="I1125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1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125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126" spans="1:11" x14ac:dyDescent="0.35">
      <c r="A1126">
        <v>452</v>
      </c>
      <c r="B1126">
        <v>9</v>
      </c>
      <c r="C1126" t="s">
        <v>15</v>
      </c>
      <c r="D1126" t="s">
        <v>1799</v>
      </c>
      <c r="E1126">
        <v>19</v>
      </c>
      <c r="F1126">
        <v>31</v>
      </c>
      <c r="G1126">
        <v>3</v>
      </c>
      <c r="H1126">
        <v>53</v>
      </c>
      <c r="I1126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1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12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127" spans="1:11" x14ac:dyDescent="0.35">
      <c r="A1127">
        <v>452</v>
      </c>
      <c r="B1127">
        <v>9</v>
      </c>
      <c r="C1127" t="s">
        <v>35</v>
      </c>
      <c r="D1127" t="s">
        <v>1809</v>
      </c>
      <c r="E1127">
        <v>13</v>
      </c>
      <c r="F1127">
        <v>22</v>
      </c>
      <c r="G1127">
        <v>2</v>
      </c>
      <c r="H1127">
        <v>28</v>
      </c>
      <c r="I1127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1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12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128" spans="1:11" x14ac:dyDescent="0.35">
      <c r="A1128">
        <v>453</v>
      </c>
      <c r="B1128">
        <v>6</v>
      </c>
      <c r="C1128" t="s">
        <v>33</v>
      </c>
      <c r="D1128" t="s">
        <v>1808</v>
      </c>
      <c r="E1128">
        <v>19</v>
      </c>
      <c r="F1128">
        <v>32</v>
      </c>
      <c r="G1128">
        <v>3</v>
      </c>
      <c r="H1128">
        <v>58</v>
      </c>
      <c r="I1128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1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12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129" spans="1:11" x14ac:dyDescent="0.35">
      <c r="A1129">
        <v>453</v>
      </c>
      <c r="B1129">
        <v>6</v>
      </c>
      <c r="C1129" t="s">
        <v>37</v>
      </c>
      <c r="D1129" t="s">
        <v>1810</v>
      </c>
      <c r="E1129">
        <v>20</v>
      </c>
      <c r="F1129">
        <v>34</v>
      </c>
      <c r="G1129">
        <v>1</v>
      </c>
      <c r="H1129">
        <v>42</v>
      </c>
      <c r="I1129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1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129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30" spans="1:11" x14ac:dyDescent="0.35">
      <c r="A1130">
        <v>454</v>
      </c>
      <c r="B1130">
        <v>1</v>
      </c>
      <c r="C1130" t="s">
        <v>49</v>
      </c>
      <c r="D1130" t="s">
        <v>1816</v>
      </c>
      <c r="E1130">
        <v>15</v>
      </c>
      <c r="F1130">
        <v>25</v>
      </c>
      <c r="G1130">
        <v>2</v>
      </c>
      <c r="H1130">
        <v>44</v>
      </c>
      <c r="I1130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1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13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31" spans="1:11" x14ac:dyDescent="0.35">
      <c r="A1131">
        <v>454</v>
      </c>
      <c r="B1131">
        <v>1</v>
      </c>
      <c r="C1131" t="s">
        <v>29</v>
      </c>
      <c r="D1131" t="s">
        <v>1806</v>
      </c>
      <c r="E1131">
        <v>11</v>
      </c>
      <c r="F1131">
        <v>19</v>
      </c>
      <c r="G1131">
        <v>3</v>
      </c>
      <c r="H1131">
        <v>18</v>
      </c>
      <c r="I1131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1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131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132" spans="1:11" x14ac:dyDescent="0.35">
      <c r="A1132">
        <v>454</v>
      </c>
      <c r="B1132">
        <v>1</v>
      </c>
      <c r="C1132" t="s">
        <v>21</v>
      </c>
      <c r="D1132" t="s">
        <v>1801</v>
      </c>
      <c r="E1132">
        <v>22</v>
      </c>
      <c r="F1132">
        <v>36</v>
      </c>
      <c r="G1132">
        <v>2</v>
      </c>
      <c r="H1132">
        <v>42</v>
      </c>
      <c r="I1132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1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13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133" spans="1:11" x14ac:dyDescent="0.35">
      <c r="A1133">
        <v>454</v>
      </c>
      <c r="B1133">
        <v>1</v>
      </c>
      <c r="C1133" t="s">
        <v>17</v>
      </c>
      <c r="D1133" t="s">
        <v>1800</v>
      </c>
      <c r="E1133">
        <v>16</v>
      </c>
      <c r="F1133">
        <v>27</v>
      </c>
      <c r="G1133">
        <v>2</v>
      </c>
      <c r="H1133">
        <v>49</v>
      </c>
      <c r="I1133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1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133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134" spans="1:11" x14ac:dyDescent="0.35">
      <c r="A1134">
        <v>455</v>
      </c>
      <c r="B1134">
        <v>12</v>
      </c>
      <c r="C1134" t="s">
        <v>9</v>
      </c>
      <c r="D1134" t="s">
        <v>1798</v>
      </c>
      <c r="E1134">
        <v>14</v>
      </c>
      <c r="F1134">
        <v>24</v>
      </c>
      <c r="G1134">
        <v>2</v>
      </c>
      <c r="H1134">
        <v>11</v>
      </c>
      <c r="I1134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1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13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135" spans="1:11" x14ac:dyDescent="0.35">
      <c r="A1135">
        <v>456</v>
      </c>
      <c r="B1135">
        <v>13</v>
      </c>
      <c r="C1135" t="s">
        <v>37</v>
      </c>
      <c r="D1135" t="s">
        <v>1810</v>
      </c>
      <c r="E1135">
        <v>20</v>
      </c>
      <c r="F1135">
        <v>34</v>
      </c>
      <c r="G1135">
        <v>2</v>
      </c>
      <c r="H1135">
        <v>24</v>
      </c>
      <c r="I1135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1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13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36" spans="1:11" x14ac:dyDescent="0.35">
      <c r="A1136">
        <v>456</v>
      </c>
      <c r="B1136">
        <v>13</v>
      </c>
      <c r="C1136" t="s">
        <v>19</v>
      </c>
      <c r="D1136" t="s">
        <v>1802</v>
      </c>
      <c r="E1136">
        <v>25</v>
      </c>
      <c r="F1136">
        <v>40</v>
      </c>
      <c r="G1136">
        <v>2</v>
      </c>
      <c r="H1136">
        <v>47</v>
      </c>
      <c r="I1136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1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136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137" spans="1:11" x14ac:dyDescent="0.35">
      <c r="A1137">
        <v>457</v>
      </c>
      <c r="B1137">
        <v>18</v>
      </c>
      <c r="C1137" t="s">
        <v>25</v>
      </c>
      <c r="D1137" t="s">
        <v>1804</v>
      </c>
      <c r="E1137">
        <v>20</v>
      </c>
      <c r="F1137">
        <v>33</v>
      </c>
      <c r="G1137">
        <v>3</v>
      </c>
      <c r="H1137">
        <v>43</v>
      </c>
      <c r="I1137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1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137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138" spans="1:11" x14ac:dyDescent="0.35">
      <c r="A1138">
        <v>457</v>
      </c>
      <c r="B1138">
        <v>18</v>
      </c>
      <c r="C1138" t="s">
        <v>29</v>
      </c>
      <c r="D1138" t="s">
        <v>1806</v>
      </c>
      <c r="E1138">
        <v>11</v>
      </c>
      <c r="F1138">
        <v>19</v>
      </c>
      <c r="G1138">
        <v>2</v>
      </c>
      <c r="H1138">
        <v>15</v>
      </c>
      <c r="I1138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1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13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139" spans="1:11" x14ac:dyDescent="0.35">
      <c r="A1139">
        <v>458</v>
      </c>
      <c r="B1139">
        <v>4</v>
      </c>
      <c r="C1139" t="s">
        <v>25</v>
      </c>
      <c r="D1139" t="s">
        <v>1804</v>
      </c>
      <c r="E1139">
        <v>20</v>
      </c>
      <c r="F1139">
        <v>33</v>
      </c>
      <c r="G1139">
        <v>2</v>
      </c>
      <c r="H1139">
        <v>6</v>
      </c>
      <c r="I1139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1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13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140" spans="1:11" x14ac:dyDescent="0.35">
      <c r="A1140">
        <v>458</v>
      </c>
      <c r="B1140">
        <v>4</v>
      </c>
      <c r="C1140" t="s">
        <v>27</v>
      </c>
      <c r="D1140" t="s">
        <v>1805</v>
      </c>
      <c r="E1140">
        <v>16</v>
      </c>
      <c r="F1140">
        <v>28</v>
      </c>
      <c r="G1140">
        <v>2</v>
      </c>
      <c r="H1140">
        <v>11</v>
      </c>
      <c r="I1140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1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14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141" spans="1:11" x14ac:dyDescent="0.35">
      <c r="A1141">
        <v>458</v>
      </c>
      <c r="B1141">
        <v>4</v>
      </c>
      <c r="C1141" t="s">
        <v>37</v>
      </c>
      <c r="D1141" t="s">
        <v>1810</v>
      </c>
      <c r="E1141">
        <v>20</v>
      </c>
      <c r="F1141">
        <v>34</v>
      </c>
      <c r="G1141">
        <v>3</v>
      </c>
      <c r="H1141">
        <v>28</v>
      </c>
      <c r="I1141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1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14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42" spans="1:11" x14ac:dyDescent="0.35">
      <c r="A1142">
        <v>458</v>
      </c>
      <c r="B1142">
        <v>4</v>
      </c>
      <c r="C1142" t="s">
        <v>35</v>
      </c>
      <c r="D1142" t="s">
        <v>1809</v>
      </c>
      <c r="E1142">
        <v>13</v>
      </c>
      <c r="F1142">
        <v>22</v>
      </c>
      <c r="G1142">
        <v>2</v>
      </c>
      <c r="H1142">
        <v>44</v>
      </c>
      <c r="I1142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1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14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143" spans="1:11" x14ac:dyDescent="0.35">
      <c r="A1143">
        <v>459</v>
      </c>
      <c r="B1143">
        <v>20</v>
      </c>
      <c r="C1143" t="s">
        <v>27</v>
      </c>
      <c r="D1143" t="s">
        <v>1805</v>
      </c>
      <c r="E1143">
        <v>16</v>
      </c>
      <c r="F1143">
        <v>28</v>
      </c>
      <c r="G1143">
        <v>3</v>
      </c>
      <c r="H1143">
        <v>30</v>
      </c>
      <c r="I1143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1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143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144" spans="1:11" x14ac:dyDescent="0.35">
      <c r="A1144">
        <v>460</v>
      </c>
      <c r="B1144">
        <v>19</v>
      </c>
      <c r="C1144" t="s">
        <v>49</v>
      </c>
      <c r="D1144" t="s">
        <v>1816</v>
      </c>
      <c r="E1144">
        <v>15</v>
      </c>
      <c r="F1144">
        <v>25</v>
      </c>
      <c r="G1144">
        <v>2</v>
      </c>
      <c r="H1144">
        <v>43</v>
      </c>
      <c r="I1144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1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14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45" spans="1:11" x14ac:dyDescent="0.35">
      <c r="A1145">
        <v>460</v>
      </c>
      <c r="B1145">
        <v>19</v>
      </c>
      <c r="C1145" t="s">
        <v>47</v>
      </c>
      <c r="D1145" t="s">
        <v>1815</v>
      </c>
      <c r="E1145">
        <v>15</v>
      </c>
      <c r="F1145">
        <v>26</v>
      </c>
      <c r="G1145">
        <v>1</v>
      </c>
      <c r="H1145">
        <v>8</v>
      </c>
      <c r="I1145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1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14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146" spans="1:11" x14ac:dyDescent="0.35">
      <c r="A1146">
        <v>460</v>
      </c>
      <c r="B1146">
        <v>19</v>
      </c>
      <c r="C1146" t="s">
        <v>27</v>
      </c>
      <c r="D1146" t="s">
        <v>1805</v>
      </c>
      <c r="E1146">
        <v>16</v>
      </c>
      <c r="F1146">
        <v>28</v>
      </c>
      <c r="G1146">
        <v>1</v>
      </c>
      <c r="H1146">
        <v>40</v>
      </c>
      <c r="I1146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1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14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147" spans="1:11" x14ac:dyDescent="0.35">
      <c r="A1147">
        <v>460</v>
      </c>
      <c r="B1147">
        <v>19</v>
      </c>
      <c r="C1147" t="s">
        <v>9</v>
      </c>
      <c r="D1147" t="s">
        <v>1798</v>
      </c>
      <c r="E1147">
        <v>14</v>
      </c>
      <c r="F1147">
        <v>24</v>
      </c>
      <c r="G1147">
        <v>3</v>
      </c>
      <c r="H1147">
        <v>33</v>
      </c>
      <c r="I1147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1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147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148" spans="1:11" x14ac:dyDescent="0.35">
      <c r="A1148">
        <v>461</v>
      </c>
      <c r="B1148">
        <v>4</v>
      </c>
      <c r="C1148" t="s">
        <v>31</v>
      </c>
      <c r="D1148" t="s">
        <v>1807</v>
      </c>
      <c r="E1148">
        <v>21</v>
      </c>
      <c r="F1148">
        <v>35</v>
      </c>
      <c r="G1148">
        <v>2</v>
      </c>
      <c r="H1148">
        <v>38</v>
      </c>
      <c r="I1148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1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14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49" spans="1:11" x14ac:dyDescent="0.35">
      <c r="A1149">
        <v>461</v>
      </c>
      <c r="B1149">
        <v>4</v>
      </c>
      <c r="C1149" t="s">
        <v>23</v>
      </c>
      <c r="D1149" t="s">
        <v>1803</v>
      </c>
      <c r="E1149">
        <v>17</v>
      </c>
      <c r="F1149">
        <v>29</v>
      </c>
      <c r="G1149">
        <v>1</v>
      </c>
      <c r="H1149">
        <v>28</v>
      </c>
      <c r="I1149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1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149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150" spans="1:11" x14ac:dyDescent="0.35">
      <c r="A1150">
        <v>462</v>
      </c>
      <c r="B1150">
        <v>9</v>
      </c>
      <c r="C1150" t="s">
        <v>25</v>
      </c>
      <c r="D1150" t="s">
        <v>1804</v>
      </c>
      <c r="E1150">
        <v>20</v>
      </c>
      <c r="F1150">
        <v>33</v>
      </c>
      <c r="G1150">
        <v>3</v>
      </c>
      <c r="H1150">
        <v>11</v>
      </c>
      <c r="I1150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1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15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151" spans="1:11" x14ac:dyDescent="0.35">
      <c r="A1151">
        <v>463</v>
      </c>
      <c r="B1151">
        <v>7</v>
      </c>
      <c r="C1151" t="s">
        <v>15</v>
      </c>
      <c r="D1151" t="s">
        <v>1799</v>
      </c>
      <c r="E1151">
        <v>19</v>
      </c>
      <c r="F1151">
        <v>31</v>
      </c>
      <c r="G1151">
        <v>3</v>
      </c>
      <c r="H1151">
        <v>14</v>
      </c>
      <c r="I1151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1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151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152" spans="1:11" x14ac:dyDescent="0.35">
      <c r="A1152">
        <v>464</v>
      </c>
      <c r="B1152">
        <v>16</v>
      </c>
      <c r="C1152" t="s">
        <v>47</v>
      </c>
      <c r="D1152" t="s">
        <v>1815</v>
      </c>
      <c r="E1152">
        <v>15</v>
      </c>
      <c r="F1152">
        <v>26</v>
      </c>
      <c r="G1152">
        <v>3</v>
      </c>
      <c r="H1152">
        <v>50</v>
      </c>
      <c r="I1152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1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15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153" spans="1:11" x14ac:dyDescent="0.35">
      <c r="A1153">
        <v>464</v>
      </c>
      <c r="B1153">
        <v>16</v>
      </c>
      <c r="C1153" t="s">
        <v>35</v>
      </c>
      <c r="D1153" t="s">
        <v>1809</v>
      </c>
      <c r="E1153">
        <v>13</v>
      </c>
      <c r="F1153">
        <v>22</v>
      </c>
      <c r="G1153">
        <v>1</v>
      </c>
      <c r="H1153">
        <v>10</v>
      </c>
      <c r="I1153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1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15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154" spans="1:11" x14ac:dyDescent="0.35">
      <c r="A1154">
        <v>464</v>
      </c>
      <c r="B1154">
        <v>16</v>
      </c>
      <c r="C1154" t="s">
        <v>17</v>
      </c>
      <c r="D1154" t="s">
        <v>1800</v>
      </c>
      <c r="E1154">
        <v>16</v>
      </c>
      <c r="F1154">
        <v>27</v>
      </c>
      <c r="G1154">
        <v>2</v>
      </c>
      <c r="H1154">
        <v>24</v>
      </c>
      <c r="I1154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1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154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155" spans="1:11" x14ac:dyDescent="0.35">
      <c r="A1155">
        <v>465</v>
      </c>
      <c r="B1155">
        <v>4</v>
      </c>
      <c r="C1155" t="s">
        <v>49</v>
      </c>
      <c r="D1155" t="s">
        <v>1816</v>
      </c>
      <c r="E1155">
        <v>15</v>
      </c>
      <c r="F1155">
        <v>25</v>
      </c>
      <c r="G1155">
        <v>3</v>
      </c>
      <c r="H1155">
        <v>37</v>
      </c>
      <c r="I1155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1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15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56" spans="1:11" x14ac:dyDescent="0.35">
      <c r="A1156">
        <v>465</v>
      </c>
      <c r="B1156">
        <v>4</v>
      </c>
      <c r="C1156" t="s">
        <v>41</v>
      </c>
      <c r="D1156" t="s">
        <v>1811</v>
      </c>
      <c r="E1156">
        <v>14</v>
      </c>
      <c r="F1156">
        <v>23</v>
      </c>
      <c r="G1156">
        <v>2</v>
      </c>
      <c r="H1156">
        <v>23</v>
      </c>
      <c r="I1156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1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15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157" spans="1:11" x14ac:dyDescent="0.35">
      <c r="A1157">
        <v>466</v>
      </c>
      <c r="B1157">
        <v>4</v>
      </c>
      <c r="C1157" t="s">
        <v>27</v>
      </c>
      <c r="D1157" t="s">
        <v>1805</v>
      </c>
      <c r="E1157">
        <v>16</v>
      </c>
      <c r="F1157">
        <v>28</v>
      </c>
      <c r="G1157">
        <v>1</v>
      </c>
      <c r="H1157">
        <v>43</v>
      </c>
      <c r="I1157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1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157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158" spans="1:11" x14ac:dyDescent="0.35">
      <c r="A1158">
        <v>466</v>
      </c>
      <c r="B1158">
        <v>4</v>
      </c>
      <c r="C1158" t="s">
        <v>12</v>
      </c>
      <c r="D1158" t="s">
        <v>1797</v>
      </c>
      <c r="E1158">
        <v>18</v>
      </c>
      <c r="F1158">
        <v>30</v>
      </c>
      <c r="G1158">
        <v>3</v>
      </c>
      <c r="H1158">
        <v>52</v>
      </c>
      <c r="I1158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1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15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59" spans="1:11" x14ac:dyDescent="0.35">
      <c r="A1159">
        <v>466</v>
      </c>
      <c r="B1159">
        <v>4</v>
      </c>
      <c r="C1159" t="s">
        <v>35</v>
      </c>
      <c r="D1159" t="s">
        <v>1809</v>
      </c>
      <c r="E1159">
        <v>13</v>
      </c>
      <c r="F1159">
        <v>22</v>
      </c>
      <c r="G1159">
        <v>1</v>
      </c>
      <c r="H1159">
        <v>50</v>
      </c>
      <c r="I1159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1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15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160" spans="1:11" x14ac:dyDescent="0.35">
      <c r="A1160">
        <v>467</v>
      </c>
      <c r="B1160">
        <v>15</v>
      </c>
      <c r="C1160" t="s">
        <v>25</v>
      </c>
      <c r="D1160" t="s">
        <v>1804</v>
      </c>
      <c r="E1160">
        <v>20</v>
      </c>
      <c r="F1160">
        <v>33</v>
      </c>
      <c r="G1160">
        <v>3</v>
      </c>
      <c r="H1160">
        <v>13</v>
      </c>
      <c r="I1160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1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16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161" spans="1:11" x14ac:dyDescent="0.35">
      <c r="A1161">
        <v>467</v>
      </c>
      <c r="B1161">
        <v>15</v>
      </c>
      <c r="C1161" t="s">
        <v>35</v>
      </c>
      <c r="D1161" t="s">
        <v>1809</v>
      </c>
      <c r="E1161">
        <v>13</v>
      </c>
      <c r="F1161">
        <v>22</v>
      </c>
      <c r="G1161">
        <v>2</v>
      </c>
      <c r="H1161">
        <v>59</v>
      </c>
      <c r="I1161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1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161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162" spans="1:11" x14ac:dyDescent="0.35">
      <c r="A1162">
        <v>468</v>
      </c>
      <c r="B1162">
        <v>14</v>
      </c>
      <c r="C1162" t="s">
        <v>29</v>
      </c>
      <c r="D1162" t="s">
        <v>1806</v>
      </c>
      <c r="E1162">
        <v>11</v>
      </c>
      <c r="F1162">
        <v>19</v>
      </c>
      <c r="G1162">
        <v>2</v>
      </c>
      <c r="H1162">
        <v>38</v>
      </c>
      <c r="I1162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1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16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163" spans="1:11" x14ac:dyDescent="0.35">
      <c r="A1163">
        <v>468</v>
      </c>
      <c r="B1163">
        <v>14</v>
      </c>
      <c r="C1163" t="s">
        <v>27</v>
      </c>
      <c r="D1163" t="s">
        <v>1805</v>
      </c>
      <c r="E1163">
        <v>16</v>
      </c>
      <c r="F1163">
        <v>28</v>
      </c>
      <c r="G1163">
        <v>1</v>
      </c>
      <c r="H1163">
        <v>9</v>
      </c>
      <c r="I1163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1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163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164" spans="1:11" x14ac:dyDescent="0.35">
      <c r="A1164">
        <v>468</v>
      </c>
      <c r="B1164">
        <v>14</v>
      </c>
      <c r="C1164" t="s">
        <v>39</v>
      </c>
      <c r="D1164" t="s">
        <v>1812</v>
      </c>
      <c r="E1164">
        <v>12</v>
      </c>
      <c r="F1164">
        <v>20</v>
      </c>
      <c r="G1164">
        <v>2</v>
      </c>
      <c r="H1164">
        <v>16</v>
      </c>
      <c r="I1164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1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16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65" spans="1:11" x14ac:dyDescent="0.35">
      <c r="A1165">
        <v>469</v>
      </c>
      <c r="B1165">
        <v>1</v>
      </c>
      <c r="C1165" t="s">
        <v>33</v>
      </c>
      <c r="D1165" t="s">
        <v>1808</v>
      </c>
      <c r="E1165">
        <v>19</v>
      </c>
      <c r="F1165">
        <v>32</v>
      </c>
      <c r="G1165">
        <v>1</v>
      </c>
      <c r="H1165">
        <v>44</v>
      </c>
      <c r="I1165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1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165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166" spans="1:11" x14ac:dyDescent="0.35">
      <c r="A1166">
        <v>469</v>
      </c>
      <c r="B1166">
        <v>1</v>
      </c>
      <c r="C1166" t="s">
        <v>31</v>
      </c>
      <c r="D1166" t="s">
        <v>1807</v>
      </c>
      <c r="E1166">
        <v>21</v>
      </c>
      <c r="F1166">
        <v>35</v>
      </c>
      <c r="G1166">
        <v>3</v>
      </c>
      <c r="H1166">
        <v>22</v>
      </c>
      <c r="I1166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1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16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67" spans="1:11" x14ac:dyDescent="0.35">
      <c r="A1167">
        <v>470</v>
      </c>
      <c r="B1167">
        <v>17</v>
      </c>
      <c r="C1167" t="s">
        <v>45</v>
      </c>
      <c r="D1167" t="s">
        <v>1814</v>
      </c>
      <c r="E1167">
        <v>10</v>
      </c>
      <c r="F1167">
        <v>18</v>
      </c>
      <c r="G1167">
        <v>3</v>
      </c>
      <c r="H1167">
        <v>28</v>
      </c>
      <c r="I116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1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167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168" spans="1:11" x14ac:dyDescent="0.35">
      <c r="A1168">
        <v>470</v>
      </c>
      <c r="B1168">
        <v>17</v>
      </c>
      <c r="C1168" t="s">
        <v>9</v>
      </c>
      <c r="D1168" t="s">
        <v>1798</v>
      </c>
      <c r="E1168">
        <v>14</v>
      </c>
      <c r="F1168">
        <v>24</v>
      </c>
      <c r="G1168">
        <v>1</v>
      </c>
      <c r="H1168">
        <v>44</v>
      </c>
      <c r="I1168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1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16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169" spans="1:11" x14ac:dyDescent="0.35">
      <c r="A1169">
        <v>471</v>
      </c>
      <c r="B1169">
        <v>7</v>
      </c>
      <c r="C1169" t="s">
        <v>31</v>
      </c>
      <c r="D1169" t="s">
        <v>1807</v>
      </c>
      <c r="E1169">
        <v>21</v>
      </c>
      <c r="F1169">
        <v>35</v>
      </c>
      <c r="G1169">
        <v>3</v>
      </c>
      <c r="H1169">
        <v>57</v>
      </c>
      <c r="I1169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1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16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70" spans="1:11" x14ac:dyDescent="0.35">
      <c r="A1170">
        <v>472</v>
      </c>
      <c r="B1170">
        <v>20</v>
      </c>
      <c r="C1170" t="s">
        <v>35</v>
      </c>
      <c r="D1170" t="s">
        <v>1809</v>
      </c>
      <c r="E1170">
        <v>13</v>
      </c>
      <c r="F1170">
        <v>22</v>
      </c>
      <c r="G1170">
        <v>2</v>
      </c>
      <c r="H1170">
        <v>31</v>
      </c>
      <c r="I1170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1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17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171" spans="1:11" x14ac:dyDescent="0.35">
      <c r="A1171">
        <v>472</v>
      </c>
      <c r="B1171">
        <v>20</v>
      </c>
      <c r="C1171" t="s">
        <v>31</v>
      </c>
      <c r="D1171" t="s">
        <v>1807</v>
      </c>
      <c r="E1171">
        <v>21</v>
      </c>
      <c r="F1171">
        <v>35</v>
      </c>
      <c r="G1171">
        <v>2</v>
      </c>
      <c r="H1171">
        <v>42</v>
      </c>
      <c r="I1171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1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17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72" spans="1:11" x14ac:dyDescent="0.35">
      <c r="A1172">
        <v>473</v>
      </c>
      <c r="B1172">
        <v>13</v>
      </c>
      <c r="C1172" t="s">
        <v>35</v>
      </c>
      <c r="D1172" t="s">
        <v>1809</v>
      </c>
      <c r="E1172">
        <v>13</v>
      </c>
      <c r="F1172">
        <v>22</v>
      </c>
      <c r="G1172">
        <v>2</v>
      </c>
      <c r="H1172">
        <v>51</v>
      </c>
      <c r="I1172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1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17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173" spans="1:11" x14ac:dyDescent="0.35">
      <c r="A1173">
        <v>473</v>
      </c>
      <c r="B1173">
        <v>13</v>
      </c>
      <c r="C1173" t="s">
        <v>31</v>
      </c>
      <c r="D1173" t="s">
        <v>1807</v>
      </c>
      <c r="E1173">
        <v>21</v>
      </c>
      <c r="F1173">
        <v>35</v>
      </c>
      <c r="G1173">
        <v>1</v>
      </c>
      <c r="H1173">
        <v>10</v>
      </c>
      <c r="I1173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1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17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74" spans="1:11" x14ac:dyDescent="0.35">
      <c r="A1174">
        <v>474</v>
      </c>
      <c r="B1174">
        <v>2</v>
      </c>
      <c r="C1174" t="s">
        <v>27</v>
      </c>
      <c r="D1174" t="s">
        <v>1805</v>
      </c>
      <c r="E1174">
        <v>16</v>
      </c>
      <c r="F1174">
        <v>28</v>
      </c>
      <c r="G1174">
        <v>3</v>
      </c>
      <c r="H1174">
        <v>35</v>
      </c>
      <c r="I1174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1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17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175" spans="1:11" x14ac:dyDescent="0.35">
      <c r="A1175">
        <v>474</v>
      </c>
      <c r="B1175">
        <v>2</v>
      </c>
      <c r="C1175" t="s">
        <v>15</v>
      </c>
      <c r="D1175" t="s">
        <v>1799</v>
      </c>
      <c r="E1175">
        <v>19</v>
      </c>
      <c r="F1175">
        <v>31</v>
      </c>
      <c r="G1175">
        <v>1</v>
      </c>
      <c r="H1175">
        <v>34</v>
      </c>
      <c r="I1175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1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17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176" spans="1:11" x14ac:dyDescent="0.35">
      <c r="A1176">
        <v>474</v>
      </c>
      <c r="B1176">
        <v>2</v>
      </c>
      <c r="C1176" t="s">
        <v>37</v>
      </c>
      <c r="D1176" t="s">
        <v>1810</v>
      </c>
      <c r="E1176">
        <v>20</v>
      </c>
      <c r="F1176">
        <v>34</v>
      </c>
      <c r="G1176">
        <v>1</v>
      </c>
      <c r="H1176">
        <v>55</v>
      </c>
      <c r="I1176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1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176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77" spans="1:11" x14ac:dyDescent="0.35">
      <c r="A1177">
        <v>474</v>
      </c>
      <c r="B1177">
        <v>2</v>
      </c>
      <c r="C1177" t="s">
        <v>23</v>
      </c>
      <c r="D1177" t="s">
        <v>1803</v>
      </c>
      <c r="E1177">
        <v>17</v>
      </c>
      <c r="F1177">
        <v>29</v>
      </c>
      <c r="G1177">
        <v>1</v>
      </c>
      <c r="H1177">
        <v>37</v>
      </c>
      <c r="I1177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1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17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178" spans="1:11" x14ac:dyDescent="0.35">
      <c r="A1178">
        <v>475</v>
      </c>
      <c r="B1178">
        <v>18</v>
      </c>
      <c r="C1178" t="s">
        <v>37</v>
      </c>
      <c r="D1178" t="s">
        <v>1810</v>
      </c>
      <c r="E1178">
        <v>20</v>
      </c>
      <c r="F1178">
        <v>34</v>
      </c>
      <c r="G1178">
        <v>3</v>
      </c>
      <c r="H1178">
        <v>14</v>
      </c>
      <c r="I1178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1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17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79" spans="1:11" x14ac:dyDescent="0.35">
      <c r="A1179">
        <v>475</v>
      </c>
      <c r="B1179">
        <v>18</v>
      </c>
      <c r="C1179" t="s">
        <v>9</v>
      </c>
      <c r="D1179" t="s">
        <v>1798</v>
      </c>
      <c r="E1179">
        <v>14</v>
      </c>
      <c r="F1179">
        <v>24</v>
      </c>
      <c r="G1179">
        <v>3</v>
      </c>
      <c r="H1179">
        <v>21</v>
      </c>
      <c r="I1179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1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17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180" spans="1:11" x14ac:dyDescent="0.35">
      <c r="A1180">
        <v>476</v>
      </c>
      <c r="B1180">
        <v>13</v>
      </c>
      <c r="C1180" t="s">
        <v>33</v>
      </c>
      <c r="D1180" t="s">
        <v>1808</v>
      </c>
      <c r="E1180">
        <v>19</v>
      </c>
      <c r="F1180">
        <v>32</v>
      </c>
      <c r="G1180">
        <v>3</v>
      </c>
      <c r="H1180">
        <v>5</v>
      </c>
      <c r="I1180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1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18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181" spans="1:11" x14ac:dyDescent="0.35">
      <c r="A1181">
        <v>476</v>
      </c>
      <c r="B1181">
        <v>13</v>
      </c>
      <c r="C1181" t="s">
        <v>37</v>
      </c>
      <c r="D1181" t="s">
        <v>1810</v>
      </c>
      <c r="E1181">
        <v>20</v>
      </c>
      <c r="F1181">
        <v>34</v>
      </c>
      <c r="G1181">
        <v>1</v>
      </c>
      <c r="H1181">
        <v>34</v>
      </c>
      <c r="I1181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1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18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82" spans="1:11" x14ac:dyDescent="0.35">
      <c r="A1182">
        <v>476</v>
      </c>
      <c r="B1182">
        <v>13</v>
      </c>
      <c r="C1182" t="s">
        <v>19</v>
      </c>
      <c r="D1182" t="s">
        <v>1802</v>
      </c>
      <c r="E1182">
        <v>25</v>
      </c>
      <c r="F1182">
        <v>40</v>
      </c>
      <c r="G1182">
        <v>1</v>
      </c>
      <c r="H1182">
        <v>21</v>
      </c>
      <c r="I1182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1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18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183" spans="1:11" x14ac:dyDescent="0.35">
      <c r="A1183">
        <v>476</v>
      </c>
      <c r="B1183">
        <v>13</v>
      </c>
      <c r="C1183" t="s">
        <v>9</v>
      </c>
      <c r="D1183" t="s">
        <v>1798</v>
      </c>
      <c r="E1183">
        <v>14</v>
      </c>
      <c r="F1183">
        <v>24</v>
      </c>
      <c r="G1183">
        <v>2</v>
      </c>
      <c r="H1183">
        <v>55</v>
      </c>
      <c r="I1183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1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18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184" spans="1:11" x14ac:dyDescent="0.35">
      <c r="A1184">
        <v>477</v>
      </c>
      <c r="B1184">
        <v>8</v>
      </c>
      <c r="C1184" t="s">
        <v>43</v>
      </c>
      <c r="D1184" t="s">
        <v>1813</v>
      </c>
      <c r="E1184">
        <v>13</v>
      </c>
      <c r="F1184">
        <v>21</v>
      </c>
      <c r="G1184">
        <v>2</v>
      </c>
      <c r="H1184">
        <v>21</v>
      </c>
      <c r="I1184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1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18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185" spans="1:11" x14ac:dyDescent="0.35">
      <c r="A1185">
        <v>477</v>
      </c>
      <c r="B1185">
        <v>8</v>
      </c>
      <c r="C1185" t="s">
        <v>41</v>
      </c>
      <c r="D1185" t="s">
        <v>1811</v>
      </c>
      <c r="E1185">
        <v>14</v>
      </c>
      <c r="F1185">
        <v>23</v>
      </c>
      <c r="G1185">
        <v>2</v>
      </c>
      <c r="H1185">
        <v>13</v>
      </c>
      <c r="I1185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1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185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186" spans="1:11" x14ac:dyDescent="0.35">
      <c r="A1186">
        <v>477</v>
      </c>
      <c r="B1186">
        <v>8</v>
      </c>
      <c r="C1186" t="s">
        <v>37</v>
      </c>
      <c r="D1186" t="s">
        <v>1810</v>
      </c>
      <c r="E1186">
        <v>20</v>
      </c>
      <c r="F1186">
        <v>34</v>
      </c>
      <c r="G1186">
        <v>2</v>
      </c>
      <c r="H1186">
        <v>34</v>
      </c>
      <c r="I1186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1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186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87" spans="1:11" x14ac:dyDescent="0.35">
      <c r="A1187">
        <v>477</v>
      </c>
      <c r="B1187">
        <v>8</v>
      </c>
      <c r="C1187" t="s">
        <v>9</v>
      </c>
      <c r="D1187" t="s">
        <v>1798</v>
      </c>
      <c r="E1187">
        <v>14</v>
      </c>
      <c r="F1187">
        <v>24</v>
      </c>
      <c r="G1187">
        <v>2</v>
      </c>
      <c r="H1187">
        <v>47</v>
      </c>
      <c r="I1187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1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187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188" spans="1:11" x14ac:dyDescent="0.35">
      <c r="A1188">
        <v>478</v>
      </c>
      <c r="B1188">
        <v>7</v>
      </c>
      <c r="C1188" t="s">
        <v>12</v>
      </c>
      <c r="D1188" t="s">
        <v>1797</v>
      </c>
      <c r="E1188">
        <v>18</v>
      </c>
      <c r="F1188">
        <v>30</v>
      </c>
      <c r="G1188">
        <v>2</v>
      </c>
      <c r="H1188">
        <v>54</v>
      </c>
      <c r="I1188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1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18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89" spans="1:11" x14ac:dyDescent="0.35">
      <c r="A1189">
        <v>478</v>
      </c>
      <c r="B1189">
        <v>7</v>
      </c>
      <c r="C1189" t="s">
        <v>23</v>
      </c>
      <c r="D1189" t="s">
        <v>1803</v>
      </c>
      <c r="E1189">
        <v>17</v>
      </c>
      <c r="F1189">
        <v>29</v>
      </c>
      <c r="G1189">
        <v>2</v>
      </c>
      <c r="H1189">
        <v>36</v>
      </c>
      <c r="I1189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1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189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190" spans="1:11" x14ac:dyDescent="0.35">
      <c r="A1190">
        <v>479</v>
      </c>
      <c r="B1190">
        <v>1</v>
      </c>
      <c r="C1190" t="s">
        <v>37</v>
      </c>
      <c r="D1190" t="s">
        <v>1810</v>
      </c>
      <c r="E1190">
        <v>20</v>
      </c>
      <c r="F1190">
        <v>34</v>
      </c>
      <c r="G1190">
        <v>1</v>
      </c>
      <c r="H1190">
        <v>38</v>
      </c>
      <c r="I1190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1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19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191" spans="1:11" x14ac:dyDescent="0.35">
      <c r="A1191">
        <v>479</v>
      </c>
      <c r="B1191">
        <v>1</v>
      </c>
      <c r="C1191" t="s">
        <v>45</v>
      </c>
      <c r="D1191" t="s">
        <v>1814</v>
      </c>
      <c r="E1191">
        <v>10</v>
      </c>
      <c r="F1191">
        <v>18</v>
      </c>
      <c r="G1191">
        <v>1</v>
      </c>
      <c r="H1191">
        <v>45</v>
      </c>
      <c r="I1191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1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19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192" spans="1:11" x14ac:dyDescent="0.35">
      <c r="A1192">
        <v>480</v>
      </c>
      <c r="B1192">
        <v>1</v>
      </c>
      <c r="C1192" t="s">
        <v>17</v>
      </c>
      <c r="D1192" t="s">
        <v>1800</v>
      </c>
      <c r="E1192">
        <v>16</v>
      </c>
      <c r="F1192">
        <v>27</v>
      </c>
      <c r="G1192">
        <v>2</v>
      </c>
      <c r="H1192">
        <v>8</v>
      </c>
      <c r="I1192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1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19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193" spans="1:11" x14ac:dyDescent="0.35">
      <c r="A1193">
        <v>480</v>
      </c>
      <c r="B1193">
        <v>1</v>
      </c>
      <c r="C1193" t="s">
        <v>31</v>
      </c>
      <c r="D1193" t="s">
        <v>1807</v>
      </c>
      <c r="E1193">
        <v>21</v>
      </c>
      <c r="F1193">
        <v>35</v>
      </c>
      <c r="G1193">
        <v>3</v>
      </c>
      <c r="H1193">
        <v>57</v>
      </c>
      <c r="I1193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1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19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94" spans="1:11" x14ac:dyDescent="0.35">
      <c r="A1194">
        <v>481</v>
      </c>
      <c r="B1194">
        <v>9</v>
      </c>
      <c r="C1194" t="s">
        <v>47</v>
      </c>
      <c r="D1194" t="s">
        <v>1815</v>
      </c>
      <c r="E1194">
        <v>15</v>
      </c>
      <c r="F1194">
        <v>26</v>
      </c>
      <c r="G1194">
        <v>2</v>
      </c>
      <c r="H1194">
        <v>58</v>
      </c>
      <c r="I1194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1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194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195" spans="1:11" x14ac:dyDescent="0.35">
      <c r="A1195">
        <v>482</v>
      </c>
      <c r="B1195">
        <v>9</v>
      </c>
      <c r="C1195" t="s">
        <v>43</v>
      </c>
      <c r="D1195" t="s">
        <v>1813</v>
      </c>
      <c r="E1195">
        <v>13</v>
      </c>
      <c r="F1195">
        <v>21</v>
      </c>
      <c r="G1195">
        <v>3</v>
      </c>
      <c r="H1195">
        <v>21</v>
      </c>
      <c r="I1195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1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195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196" spans="1:11" x14ac:dyDescent="0.35">
      <c r="A1196">
        <v>483</v>
      </c>
      <c r="B1196">
        <v>2</v>
      </c>
      <c r="C1196" t="s">
        <v>17</v>
      </c>
      <c r="D1196" t="s">
        <v>1800</v>
      </c>
      <c r="E1196">
        <v>16</v>
      </c>
      <c r="F1196">
        <v>27</v>
      </c>
      <c r="G1196">
        <v>3</v>
      </c>
      <c r="H1196">
        <v>53</v>
      </c>
      <c r="I1196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1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196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197" spans="1:11" x14ac:dyDescent="0.35">
      <c r="A1197">
        <v>484</v>
      </c>
      <c r="B1197">
        <v>18</v>
      </c>
      <c r="C1197" t="s">
        <v>49</v>
      </c>
      <c r="D1197" t="s">
        <v>1816</v>
      </c>
      <c r="E1197">
        <v>15</v>
      </c>
      <c r="F1197">
        <v>25</v>
      </c>
      <c r="G1197">
        <v>3</v>
      </c>
      <c r="H1197">
        <v>34</v>
      </c>
      <c r="I1197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1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19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198" spans="1:11" x14ac:dyDescent="0.35">
      <c r="A1198">
        <v>485</v>
      </c>
      <c r="B1198">
        <v>6</v>
      </c>
      <c r="C1198" t="s">
        <v>21</v>
      </c>
      <c r="D1198" t="s">
        <v>1801</v>
      </c>
      <c r="E1198">
        <v>22</v>
      </c>
      <c r="F1198">
        <v>36</v>
      </c>
      <c r="G1198">
        <v>2</v>
      </c>
      <c r="H1198">
        <v>56</v>
      </c>
      <c r="I119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1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19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199" spans="1:11" x14ac:dyDescent="0.35">
      <c r="A1199">
        <v>485</v>
      </c>
      <c r="B1199">
        <v>6</v>
      </c>
      <c r="C1199" t="s">
        <v>9</v>
      </c>
      <c r="D1199" t="s">
        <v>1798</v>
      </c>
      <c r="E1199">
        <v>14</v>
      </c>
      <c r="F1199">
        <v>24</v>
      </c>
      <c r="G1199">
        <v>3</v>
      </c>
      <c r="H1199">
        <v>23</v>
      </c>
      <c r="I1199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1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19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200" spans="1:11" x14ac:dyDescent="0.35">
      <c r="A1200">
        <v>486</v>
      </c>
      <c r="B1200">
        <v>15</v>
      </c>
      <c r="C1200" t="s">
        <v>37</v>
      </c>
      <c r="D1200" t="s">
        <v>1810</v>
      </c>
      <c r="E1200">
        <v>20</v>
      </c>
      <c r="F1200">
        <v>34</v>
      </c>
      <c r="G1200">
        <v>1</v>
      </c>
      <c r="H1200">
        <v>9</v>
      </c>
      <c r="I1200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2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20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201" spans="1:11" x14ac:dyDescent="0.35">
      <c r="A1201">
        <v>486</v>
      </c>
      <c r="B1201">
        <v>15</v>
      </c>
      <c r="C1201" t="s">
        <v>21</v>
      </c>
      <c r="D1201" t="s">
        <v>1801</v>
      </c>
      <c r="E1201">
        <v>22</v>
      </c>
      <c r="F1201">
        <v>36</v>
      </c>
      <c r="G1201">
        <v>2</v>
      </c>
      <c r="H1201">
        <v>7</v>
      </c>
      <c r="I1201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2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201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202" spans="1:11" x14ac:dyDescent="0.35">
      <c r="A1202">
        <v>486</v>
      </c>
      <c r="B1202">
        <v>15</v>
      </c>
      <c r="C1202" t="s">
        <v>39</v>
      </c>
      <c r="D1202" t="s">
        <v>1812</v>
      </c>
      <c r="E1202">
        <v>12</v>
      </c>
      <c r="F1202">
        <v>20</v>
      </c>
      <c r="G1202">
        <v>1</v>
      </c>
      <c r="H1202">
        <v>19</v>
      </c>
      <c r="I1202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2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0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03" spans="1:11" x14ac:dyDescent="0.35">
      <c r="A1203">
        <v>486</v>
      </c>
      <c r="B1203">
        <v>15</v>
      </c>
      <c r="C1203" t="s">
        <v>9</v>
      </c>
      <c r="D1203" t="s">
        <v>1798</v>
      </c>
      <c r="E1203">
        <v>14</v>
      </c>
      <c r="F1203">
        <v>24</v>
      </c>
      <c r="G1203">
        <v>1</v>
      </c>
      <c r="H1203">
        <v>24</v>
      </c>
      <c r="I1203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2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20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204" spans="1:11" x14ac:dyDescent="0.35">
      <c r="A1204">
        <v>487</v>
      </c>
      <c r="B1204">
        <v>17</v>
      </c>
      <c r="C1204" t="s">
        <v>15</v>
      </c>
      <c r="D1204" t="s">
        <v>1799</v>
      </c>
      <c r="E1204">
        <v>19</v>
      </c>
      <c r="F1204">
        <v>31</v>
      </c>
      <c r="G1204">
        <v>2</v>
      </c>
      <c r="H1204">
        <v>29</v>
      </c>
      <c r="I1204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2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0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205" spans="1:11" x14ac:dyDescent="0.35">
      <c r="A1205">
        <v>487</v>
      </c>
      <c r="B1205">
        <v>17</v>
      </c>
      <c r="C1205" t="s">
        <v>37</v>
      </c>
      <c r="D1205" t="s">
        <v>1810</v>
      </c>
      <c r="E1205">
        <v>20</v>
      </c>
      <c r="F1205">
        <v>34</v>
      </c>
      <c r="G1205">
        <v>2</v>
      </c>
      <c r="H1205">
        <v>58</v>
      </c>
      <c r="I1205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2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20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206" spans="1:11" x14ac:dyDescent="0.35">
      <c r="A1206">
        <v>487</v>
      </c>
      <c r="B1206">
        <v>17</v>
      </c>
      <c r="C1206" t="s">
        <v>35</v>
      </c>
      <c r="D1206" t="s">
        <v>1809</v>
      </c>
      <c r="E1206">
        <v>13</v>
      </c>
      <c r="F1206">
        <v>22</v>
      </c>
      <c r="G1206">
        <v>1</v>
      </c>
      <c r="H1206">
        <v>5</v>
      </c>
      <c r="I1206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2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206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207" spans="1:11" x14ac:dyDescent="0.35">
      <c r="A1207">
        <v>488</v>
      </c>
      <c r="B1207">
        <v>10</v>
      </c>
      <c r="C1207" t="s">
        <v>41</v>
      </c>
      <c r="D1207" t="s">
        <v>1811</v>
      </c>
      <c r="E1207">
        <v>14</v>
      </c>
      <c r="F1207">
        <v>23</v>
      </c>
      <c r="G1207">
        <v>3</v>
      </c>
      <c r="H1207">
        <v>52</v>
      </c>
      <c r="I1207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2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20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208" spans="1:11" x14ac:dyDescent="0.35">
      <c r="A1208">
        <v>488</v>
      </c>
      <c r="B1208">
        <v>10</v>
      </c>
      <c r="C1208" t="s">
        <v>15</v>
      </c>
      <c r="D1208" t="s">
        <v>1799</v>
      </c>
      <c r="E1208">
        <v>19</v>
      </c>
      <c r="F1208">
        <v>31</v>
      </c>
      <c r="G1208">
        <v>2</v>
      </c>
      <c r="H1208">
        <v>18</v>
      </c>
      <c r="I1208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2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0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209" spans="1:11" x14ac:dyDescent="0.35">
      <c r="A1209">
        <v>488</v>
      </c>
      <c r="B1209">
        <v>10</v>
      </c>
      <c r="C1209" t="s">
        <v>45</v>
      </c>
      <c r="D1209" t="s">
        <v>1814</v>
      </c>
      <c r="E1209">
        <v>10</v>
      </c>
      <c r="F1209">
        <v>18</v>
      </c>
      <c r="G1209">
        <v>3</v>
      </c>
      <c r="H1209">
        <v>54</v>
      </c>
      <c r="I1209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2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0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210" spans="1:11" x14ac:dyDescent="0.35">
      <c r="A1210">
        <v>489</v>
      </c>
      <c r="B1210">
        <v>3</v>
      </c>
      <c r="C1210" t="s">
        <v>41</v>
      </c>
      <c r="D1210" t="s">
        <v>1811</v>
      </c>
      <c r="E1210">
        <v>14</v>
      </c>
      <c r="F1210">
        <v>23</v>
      </c>
      <c r="G1210">
        <v>3</v>
      </c>
      <c r="H1210">
        <v>6</v>
      </c>
      <c r="I1210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2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210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211" spans="1:11" x14ac:dyDescent="0.35">
      <c r="A1211">
        <v>489</v>
      </c>
      <c r="B1211">
        <v>3</v>
      </c>
      <c r="C1211" t="s">
        <v>19</v>
      </c>
      <c r="D1211" t="s">
        <v>1802</v>
      </c>
      <c r="E1211">
        <v>25</v>
      </c>
      <c r="F1211">
        <v>40</v>
      </c>
      <c r="G1211">
        <v>2</v>
      </c>
      <c r="H1211">
        <v>28</v>
      </c>
      <c r="I1211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2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211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212" spans="1:11" x14ac:dyDescent="0.35">
      <c r="A1212">
        <v>490</v>
      </c>
      <c r="B1212">
        <v>1</v>
      </c>
      <c r="C1212" t="s">
        <v>47</v>
      </c>
      <c r="D1212" t="s">
        <v>1815</v>
      </c>
      <c r="E1212">
        <v>15</v>
      </c>
      <c r="F1212">
        <v>26</v>
      </c>
      <c r="G1212">
        <v>3</v>
      </c>
      <c r="H1212">
        <v>34</v>
      </c>
      <c r="I1212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2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21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213" spans="1:11" x14ac:dyDescent="0.35">
      <c r="A1213">
        <v>490</v>
      </c>
      <c r="B1213">
        <v>1</v>
      </c>
      <c r="C1213" t="s">
        <v>33</v>
      </c>
      <c r="D1213" t="s">
        <v>1808</v>
      </c>
      <c r="E1213">
        <v>19</v>
      </c>
      <c r="F1213">
        <v>32</v>
      </c>
      <c r="G1213">
        <v>1</v>
      </c>
      <c r="H1213">
        <v>55</v>
      </c>
      <c r="I1213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2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21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214" spans="1:11" x14ac:dyDescent="0.35">
      <c r="A1214">
        <v>490</v>
      </c>
      <c r="B1214">
        <v>1</v>
      </c>
      <c r="C1214" t="s">
        <v>37</v>
      </c>
      <c r="D1214" t="s">
        <v>1810</v>
      </c>
      <c r="E1214">
        <v>20</v>
      </c>
      <c r="F1214">
        <v>34</v>
      </c>
      <c r="G1214">
        <v>3</v>
      </c>
      <c r="H1214">
        <v>42</v>
      </c>
      <c r="I1214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2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21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215" spans="1:11" x14ac:dyDescent="0.35">
      <c r="A1215">
        <v>491</v>
      </c>
      <c r="B1215">
        <v>7</v>
      </c>
      <c r="C1215" t="s">
        <v>12</v>
      </c>
      <c r="D1215" t="s">
        <v>1797</v>
      </c>
      <c r="E1215">
        <v>18</v>
      </c>
      <c r="F1215">
        <v>30</v>
      </c>
      <c r="G1215">
        <v>2</v>
      </c>
      <c r="H1215">
        <v>11</v>
      </c>
      <c r="I121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2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1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16" spans="1:11" x14ac:dyDescent="0.35">
      <c r="A1216">
        <v>491</v>
      </c>
      <c r="B1216">
        <v>7</v>
      </c>
      <c r="C1216" t="s">
        <v>23</v>
      </c>
      <c r="D1216" t="s">
        <v>1803</v>
      </c>
      <c r="E1216">
        <v>17</v>
      </c>
      <c r="F1216">
        <v>29</v>
      </c>
      <c r="G1216">
        <v>2</v>
      </c>
      <c r="H1216">
        <v>30</v>
      </c>
      <c r="I1216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2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1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217" spans="1:11" x14ac:dyDescent="0.35">
      <c r="A1217">
        <v>492</v>
      </c>
      <c r="B1217">
        <v>4</v>
      </c>
      <c r="C1217" t="s">
        <v>25</v>
      </c>
      <c r="D1217" t="s">
        <v>1804</v>
      </c>
      <c r="E1217">
        <v>20</v>
      </c>
      <c r="F1217">
        <v>33</v>
      </c>
      <c r="G1217">
        <v>3</v>
      </c>
      <c r="H1217">
        <v>15</v>
      </c>
      <c r="I1217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2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217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218" spans="1:11" x14ac:dyDescent="0.35">
      <c r="A1218">
        <v>492</v>
      </c>
      <c r="B1218">
        <v>4</v>
      </c>
      <c r="C1218" t="s">
        <v>43</v>
      </c>
      <c r="D1218" t="s">
        <v>1813</v>
      </c>
      <c r="E1218">
        <v>13</v>
      </c>
      <c r="F1218">
        <v>21</v>
      </c>
      <c r="G1218">
        <v>3</v>
      </c>
      <c r="H1218">
        <v>8</v>
      </c>
      <c r="I1218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2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18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219" spans="1:11" x14ac:dyDescent="0.35">
      <c r="A1219">
        <v>492</v>
      </c>
      <c r="B1219">
        <v>4</v>
      </c>
      <c r="C1219" t="s">
        <v>9</v>
      </c>
      <c r="D1219" t="s">
        <v>1798</v>
      </c>
      <c r="E1219">
        <v>14</v>
      </c>
      <c r="F1219">
        <v>24</v>
      </c>
      <c r="G1219">
        <v>2</v>
      </c>
      <c r="H1219">
        <v>26</v>
      </c>
      <c r="I1219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2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21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220" spans="1:11" x14ac:dyDescent="0.35">
      <c r="A1220">
        <v>493</v>
      </c>
      <c r="B1220">
        <v>2</v>
      </c>
      <c r="C1220" t="s">
        <v>45</v>
      </c>
      <c r="D1220" t="s">
        <v>1814</v>
      </c>
      <c r="E1220">
        <v>10</v>
      </c>
      <c r="F1220">
        <v>18</v>
      </c>
      <c r="G1220">
        <v>3</v>
      </c>
      <c r="H1220">
        <v>8</v>
      </c>
      <c r="I122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2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20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221" spans="1:11" x14ac:dyDescent="0.35">
      <c r="A1221">
        <v>494</v>
      </c>
      <c r="B1221">
        <v>20</v>
      </c>
      <c r="C1221" t="s">
        <v>33</v>
      </c>
      <c r="D1221" t="s">
        <v>1808</v>
      </c>
      <c r="E1221">
        <v>19</v>
      </c>
      <c r="F1221">
        <v>32</v>
      </c>
      <c r="G1221">
        <v>2</v>
      </c>
      <c r="H1221">
        <v>9</v>
      </c>
      <c r="I1221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2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22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222" spans="1:11" x14ac:dyDescent="0.35">
      <c r="A1222">
        <v>494</v>
      </c>
      <c r="B1222">
        <v>20</v>
      </c>
      <c r="C1222" t="s">
        <v>21</v>
      </c>
      <c r="D1222" t="s">
        <v>1801</v>
      </c>
      <c r="E1222">
        <v>22</v>
      </c>
      <c r="F1222">
        <v>36</v>
      </c>
      <c r="G1222">
        <v>3</v>
      </c>
      <c r="H1222">
        <v>22</v>
      </c>
      <c r="I1222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2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22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223" spans="1:11" x14ac:dyDescent="0.35">
      <c r="A1223">
        <v>495</v>
      </c>
      <c r="B1223">
        <v>11</v>
      </c>
      <c r="C1223" t="s">
        <v>25</v>
      </c>
      <c r="D1223" t="s">
        <v>1804</v>
      </c>
      <c r="E1223">
        <v>20</v>
      </c>
      <c r="F1223">
        <v>33</v>
      </c>
      <c r="G1223">
        <v>1</v>
      </c>
      <c r="H1223">
        <v>36</v>
      </c>
      <c r="I1223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2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22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224" spans="1:11" x14ac:dyDescent="0.35">
      <c r="A1224">
        <v>495</v>
      </c>
      <c r="B1224">
        <v>11</v>
      </c>
      <c r="C1224" t="s">
        <v>27</v>
      </c>
      <c r="D1224" t="s">
        <v>1805</v>
      </c>
      <c r="E1224">
        <v>16</v>
      </c>
      <c r="F1224">
        <v>28</v>
      </c>
      <c r="G1224">
        <v>2</v>
      </c>
      <c r="H1224">
        <v>44</v>
      </c>
      <c r="I1224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2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2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225" spans="1:11" x14ac:dyDescent="0.35">
      <c r="A1225">
        <v>495</v>
      </c>
      <c r="B1225">
        <v>11</v>
      </c>
      <c r="C1225" t="s">
        <v>19</v>
      </c>
      <c r="D1225" t="s">
        <v>1802</v>
      </c>
      <c r="E1225">
        <v>25</v>
      </c>
      <c r="F1225">
        <v>40</v>
      </c>
      <c r="G1225">
        <v>3</v>
      </c>
      <c r="H1225">
        <v>13</v>
      </c>
      <c r="I1225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2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22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226" spans="1:11" x14ac:dyDescent="0.35">
      <c r="A1226">
        <v>495</v>
      </c>
      <c r="B1226">
        <v>11</v>
      </c>
      <c r="C1226" t="s">
        <v>17</v>
      </c>
      <c r="D1226" t="s">
        <v>1800</v>
      </c>
      <c r="E1226">
        <v>16</v>
      </c>
      <c r="F1226">
        <v>27</v>
      </c>
      <c r="G1226">
        <v>2</v>
      </c>
      <c r="H1226">
        <v>9</v>
      </c>
      <c r="I1226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2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226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227" spans="1:11" x14ac:dyDescent="0.35">
      <c r="A1227">
        <v>496</v>
      </c>
      <c r="B1227">
        <v>1</v>
      </c>
      <c r="C1227" t="s">
        <v>25</v>
      </c>
      <c r="D1227" t="s">
        <v>1804</v>
      </c>
      <c r="E1227">
        <v>20</v>
      </c>
      <c r="F1227">
        <v>33</v>
      </c>
      <c r="G1227">
        <v>1</v>
      </c>
      <c r="H1227">
        <v>28</v>
      </c>
      <c r="I1227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2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227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228" spans="1:11" x14ac:dyDescent="0.35">
      <c r="A1228">
        <v>496</v>
      </c>
      <c r="B1228">
        <v>1</v>
      </c>
      <c r="C1228" t="s">
        <v>29</v>
      </c>
      <c r="D1228" t="s">
        <v>1806</v>
      </c>
      <c r="E1228">
        <v>11</v>
      </c>
      <c r="F1228">
        <v>19</v>
      </c>
      <c r="G1228">
        <v>3</v>
      </c>
      <c r="H1228">
        <v>41</v>
      </c>
      <c r="I1228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2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2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229" spans="1:11" x14ac:dyDescent="0.35">
      <c r="A1229">
        <v>496</v>
      </c>
      <c r="B1229">
        <v>1</v>
      </c>
      <c r="C1229" t="s">
        <v>15</v>
      </c>
      <c r="D1229" t="s">
        <v>1799</v>
      </c>
      <c r="E1229">
        <v>19</v>
      </c>
      <c r="F1229">
        <v>31</v>
      </c>
      <c r="G1229">
        <v>1</v>
      </c>
      <c r="H1229">
        <v>41</v>
      </c>
      <c r="I1229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2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22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230" spans="1:11" x14ac:dyDescent="0.35">
      <c r="A1230">
        <v>496</v>
      </c>
      <c r="B1230">
        <v>1</v>
      </c>
      <c r="C1230" t="s">
        <v>37</v>
      </c>
      <c r="D1230" t="s">
        <v>1810</v>
      </c>
      <c r="E1230">
        <v>20</v>
      </c>
      <c r="F1230">
        <v>34</v>
      </c>
      <c r="G1230">
        <v>3</v>
      </c>
      <c r="H1230">
        <v>23</v>
      </c>
      <c r="I1230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2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23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231" spans="1:11" x14ac:dyDescent="0.35">
      <c r="A1231">
        <v>497</v>
      </c>
      <c r="B1231">
        <v>13</v>
      </c>
      <c r="C1231" t="s">
        <v>12</v>
      </c>
      <c r="D1231" t="s">
        <v>1797</v>
      </c>
      <c r="E1231">
        <v>18</v>
      </c>
      <c r="F1231">
        <v>30</v>
      </c>
      <c r="G1231">
        <v>1</v>
      </c>
      <c r="H1231">
        <v>6</v>
      </c>
      <c r="I1231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2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23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32" spans="1:11" x14ac:dyDescent="0.35">
      <c r="A1232">
        <v>497</v>
      </c>
      <c r="B1232">
        <v>13</v>
      </c>
      <c r="C1232" t="s">
        <v>19</v>
      </c>
      <c r="D1232" t="s">
        <v>1802</v>
      </c>
      <c r="E1232">
        <v>25</v>
      </c>
      <c r="F1232">
        <v>40</v>
      </c>
      <c r="G1232">
        <v>3</v>
      </c>
      <c r="H1232">
        <v>32</v>
      </c>
      <c r="I1232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2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23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233" spans="1:11" x14ac:dyDescent="0.35">
      <c r="A1233">
        <v>498</v>
      </c>
      <c r="B1233">
        <v>20</v>
      </c>
      <c r="C1233" t="s">
        <v>29</v>
      </c>
      <c r="D1233" t="s">
        <v>1806</v>
      </c>
      <c r="E1233">
        <v>11</v>
      </c>
      <c r="F1233">
        <v>19</v>
      </c>
      <c r="G1233">
        <v>1</v>
      </c>
      <c r="H1233">
        <v>32</v>
      </c>
      <c r="I1233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2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33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234" spans="1:11" x14ac:dyDescent="0.35">
      <c r="A1234">
        <v>499</v>
      </c>
      <c r="B1234">
        <v>5</v>
      </c>
      <c r="C1234" t="s">
        <v>49</v>
      </c>
      <c r="D1234" t="s">
        <v>1816</v>
      </c>
      <c r="E1234">
        <v>15</v>
      </c>
      <c r="F1234">
        <v>25</v>
      </c>
      <c r="G1234">
        <v>2</v>
      </c>
      <c r="H1234">
        <v>42</v>
      </c>
      <c r="I1234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2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23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35" spans="1:11" x14ac:dyDescent="0.35">
      <c r="A1235">
        <v>499</v>
      </c>
      <c r="B1235">
        <v>5</v>
      </c>
      <c r="C1235" t="s">
        <v>47</v>
      </c>
      <c r="D1235" t="s">
        <v>1815</v>
      </c>
      <c r="E1235">
        <v>15</v>
      </c>
      <c r="F1235">
        <v>26</v>
      </c>
      <c r="G1235">
        <v>3</v>
      </c>
      <c r="H1235">
        <v>52</v>
      </c>
      <c r="I1235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2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23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236" spans="1:11" x14ac:dyDescent="0.35">
      <c r="A1236">
        <v>499</v>
      </c>
      <c r="B1236">
        <v>5</v>
      </c>
      <c r="C1236" t="s">
        <v>12</v>
      </c>
      <c r="D1236" t="s">
        <v>1797</v>
      </c>
      <c r="E1236">
        <v>18</v>
      </c>
      <c r="F1236">
        <v>30</v>
      </c>
      <c r="G1236">
        <v>1</v>
      </c>
      <c r="H1236">
        <v>36</v>
      </c>
      <c r="I1236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2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23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37" spans="1:11" x14ac:dyDescent="0.35">
      <c r="A1237">
        <v>500</v>
      </c>
      <c r="B1237">
        <v>4</v>
      </c>
      <c r="C1237" t="s">
        <v>35</v>
      </c>
      <c r="D1237" t="s">
        <v>1809</v>
      </c>
      <c r="E1237">
        <v>13</v>
      </c>
      <c r="F1237">
        <v>22</v>
      </c>
      <c r="G1237">
        <v>3</v>
      </c>
      <c r="H1237">
        <v>20</v>
      </c>
      <c r="I1237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2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23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238" spans="1:11" x14ac:dyDescent="0.35">
      <c r="A1238">
        <v>500</v>
      </c>
      <c r="B1238">
        <v>4</v>
      </c>
      <c r="C1238" t="s">
        <v>17</v>
      </c>
      <c r="D1238" t="s">
        <v>1800</v>
      </c>
      <c r="E1238">
        <v>16</v>
      </c>
      <c r="F1238">
        <v>27</v>
      </c>
      <c r="G1238">
        <v>1</v>
      </c>
      <c r="H1238">
        <v>22</v>
      </c>
      <c r="I1238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12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238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239" spans="1:11" x14ac:dyDescent="0.35">
      <c r="A1239">
        <v>501</v>
      </c>
      <c r="B1239">
        <v>7</v>
      </c>
      <c r="C1239" t="s">
        <v>43</v>
      </c>
      <c r="D1239" t="s">
        <v>1813</v>
      </c>
      <c r="E1239">
        <v>13</v>
      </c>
      <c r="F1239">
        <v>21</v>
      </c>
      <c r="G1239">
        <v>2</v>
      </c>
      <c r="H1239">
        <v>15</v>
      </c>
      <c r="I1239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2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239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240" spans="1:11" x14ac:dyDescent="0.35">
      <c r="A1240">
        <v>501</v>
      </c>
      <c r="B1240">
        <v>7</v>
      </c>
      <c r="C1240" t="s">
        <v>27</v>
      </c>
      <c r="D1240" t="s">
        <v>1805</v>
      </c>
      <c r="E1240">
        <v>16</v>
      </c>
      <c r="F1240">
        <v>28</v>
      </c>
      <c r="G1240">
        <v>2</v>
      </c>
      <c r="H1240">
        <v>6</v>
      </c>
      <c r="I1240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2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4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241" spans="1:11" x14ac:dyDescent="0.35">
      <c r="A1241">
        <v>501</v>
      </c>
      <c r="B1241">
        <v>7</v>
      </c>
      <c r="C1241" t="s">
        <v>19</v>
      </c>
      <c r="D1241" t="s">
        <v>1802</v>
      </c>
      <c r="E1241">
        <v>25</v>
      </c>
      <c r="F1241">
        <v>40</v>
      </c>
      <c r="G1241">
        <v>1</v>
      </c>
      <c r="H1241">
        <v>18</v>
      </c>
      <c r="I1241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2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241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242" spans="1:11" x14ac:dyDescent="0.35">
      <c r="A1242">
        <v>502</v>
      </c>
      <c r="B1242">
        <v>5</v>
      </c>
      <c r="C1242" t="s">
        <v>25</v>
      </c>
      <c r="D1242" t="s">
        <v>1804</v>
      </c>
      <c r="E1242">
        <v>20</v>
      </c>
      <c r="F1242">
        <v>33</v>
      </c>
      <c r="G1242">
        <v>3</v>
      </c>
      <c r="H1242">
        <v>35</v>
      </c>
      <c r="I1242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2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242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243" spans="1:11" x14ac:dyDescent="0.35">
      <c r="A1243">
        <v>502</v>
      </c>
      <c r="B1243">
        <v>5</v>
      </c>
      <c r="C1243" t="s">
        <v>45</v>
      </c>
      <c r="D1243" t="s">
        <v>1814</v>
      </c>
      <c r="E1243">
        <v>10</v>
      </c>
      <c r="F1243">
        <v>18</v>
      </c>
      <c r="G1243">
        <v>1</v>
      </c>
      <c r="H1243">
        <v>5</v>
      </c>
      <c r="I1243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2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4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244" spans="1:11" x14ac:dyDescent="0.35">
      <c r="A1244">
        <v>502</v>
      </c>
      <c r="B1244">
        <v>5</v>
      </c>
      <c r="C1244" t="s">
        <v>35</v>
      </c>
      <c r="D1244" t="s">
        <v>1809</v>
      </c>
      <c r="E1244">
        <v>13</v>
      </c>
      <c r="F1244">
        <v>22</v>
      </c>
      <c r="G1244">
        <v>1</v>
      </c>
      <c r="H1244">
        <v>33</v>
      </c>
      <c r="I1244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2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244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245" spans="1:11" x14ac:dyDescent="0.35">
      <c r="A1245">
        <v>503</v>
      </c>
      <c r="B1245">
        <v>3</v>
      </c>
      <c r="C1245" t="s">
        <v>29</v>
      </c>
      <c r="D1245" t="s">
        <v>1806</v>
      </c>
      <c r="E1245">
        <v>11</v>
      </c>
      <c r="F1245">
        <v>19</v>
      </c>
      <c r="G1245">
        <v>3</v>
      </c>
      <c r="H1245">
        <v>33</v>
      </c>
      <c r="I1245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2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4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246" spans="1:11" x14ac:dyDescent="0.35">
      <c r="A1246">
        <v>503</v>
      </c>
      <c r="B1246">
        <v>3</v>
      </c>
      <c r="C1246" t="s">
        <v>19</v>
      </c>
      <c r="D1246" t="s">
        <v>1802</v>
      </c>
      <c r="E1246">
        <v>25</v>
      </c>
      <c r="F1246">
        <v>40</v>
      </c>
      <c r="G1246">
        <v>2</v>
      </c>
      <c r="H1246">
        <v>52</v>
      </c>
      <c r="I1246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2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246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247" spans="1:11" x14ac:dyDescent="0.35">
      <c r="A1247">
        <v>504</v>
      </c>
      <c r="B1247">
        <v>2</v>
      </c>
      <c r="C1247" t="s">
        <v>17</v>
      </c>
      <c r="D1247" t="s">
        <v>1800</v>
      </c>
      <c r="E1247">
        <v>16</v>
      </c>
      <c r="F1247">
        <v>27</v>
      </c>
      <c r="G1247">
        <v>2</v>
      </c>
      <c r="H1247">
        <v>19</v>
      </c>
      <c r="I124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2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24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248" spans="1:11" x14ac:dyDescent="0.35">
      <c r="A1248">
        <v>505</v>
      </c>
      <c r="B1248">
        <v>5</v>
      </c>
      <c r="C1248" t="s">
        <v>49</v>
      </c>
      <c r="D1248" t="s">
        <v>1816</v>
      </c>
      <c r="E1248">
        <v>15</v>
      </c>
      <c r="F1248">
        <v>25</v>
      </c>
      <c r="G1248">
        <v>3</v>
      </c>
      <c r="H1248">
        <v>59</v>
      </c>
      <c r="I1248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2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24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49" spans="1:11" x14ac:dyDescent="0.35">
      <c r="A1249">
        <v>505</v>
      </c>
      <c r="B1249">
        <v>5</v>
      </c>
      <c r="C1249" t="s">
        <v>19</v>
      </c>
      <c r="D1249" t="s">
        <v>1802</v>
      </c>
      <c r="E1249">
        <v>25</v>
      </c>
      <c r="F1249">
        <v>40</v>
      </c>
      <c r="G1249">
        <v>2</v>
      </c>
      <c r="H1249">
        <v>56</v>
      </c>
      <c r="I1249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2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249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250" spans="1:11" x14ac:dyDescent="0.35">
      <c r="A1250">
        <v>506</v>
      </c>
      <c r="B1250">
        <v>18</v>
      </c>
      <c r="C1250" t="s">
        <v>31</v>
      </c>
      <c r="D1250" t="s">
        <v>1807</v>
      </c>
      <c r="E1250">
        <v>21</v>
      </c>
      <c r="F1250">
        <v>35</v>
      </c>
      <c r="G1250">
        <v>2</v>
      </c>
      <c r="H1250">
        <v>5</v>
      </c>
      <c r="I1250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2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25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51" spans="1:11" x14ac:dyDescent="0.35">
      <c r="A1251">
        <v>507</v>
      </c>
      <c r="B1251">
        <v>18</v>
      </c>
      <c r="C1251" t="s">
        <v>37</v>
      </c>
      <c r="D1251" t="s">
        <v>1810</v>
      </c>
      <c r="E1251">
        <v>20</v>
      </c>
      <c r="F1251">
        <v>34</v>
      </c>
      <c r="G1251">
        <v>3</v>
      </c>
      <c r="H1251">
        <v>53</v>
      </c>
      <c r="I1251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2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25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252" spans="1:11" x14ac:dyDescent="0.35">
      <c r="A1252">
        <v>507</v>
      </c>
      <c r="B1252">
        <v>18</v>
      </c>
      <c r="C1252" t="s">
        <v>21</v>
      </c>
      <c r="D1252" t="s">
        <v>1801</v>
      </c>
      <c r="E1252">
        <v>22</v>
      </c>
      <c r="F1252">
        <v>36</v>
      </c>
      <c r="G1252">
        <v>3</v>
      </c>
      <c r="H1252">
        <v>16</v>
      </c>
      <c r="I1252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2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25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253" spans="1:11" x14ac:dyDescent="0.35">
      <c r="A1253">
        <v>508</v>
      </c>
      <c r="B1253">
        <v>6</v>
      </c>
      <c r="C1253" t="s">
        <v>33</v>
      </c>
      <c r="D1253" t="s">
        <v>1808</v>
      </c>
      <c r="E1253">
        <v>19</v>
      </c>
      <c r="F1253">
        <v>32</v>
      </c>
      <c r="G1253">
        <v>1</v>
      </c>
      <c r="H1253">
        <v>34</v>
      </c>
      <c r="I1253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2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25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254" spans="1:11" x14ac:dyDescent="0.35">
      <c r="A1254">
        <v>509</v>
      </c>
      <c r="B1254">
        <v>5</v>
      </c>
      <c r="C1254" t="s">
        <v>19</v>
      </c>
      <c r="D1254" t="s">
        <v>1802</v>
      </c>
      <c r="E1254">
        <v>25</v>
      </c>
      <c r="F1254">
        <v>40</v>
      </c>
      <c r="G1254">
        <v>2</v>
      </c>
      <c r="H1254">
        <v>47</v>
      </c>
      <c r="I1254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2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25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255" spans="1:11" x14ac:dyDescent="0.35">
      <c r="A1255">
        <v>510</v>
      </c>
      <c r="B1255">
        <v>6</v>
      </c>
      <c r="C1255" t="s">
        <v>21</v>
      </c>
      <c r="D1255" t="s">
        <v>1801</v>
      </c>
      <c r="E1255">
        <v>22</v>
      </c>
      <c r="F1255">
        <v>36</v>
      </c>
      <c r="G1255">
        <v>1</v>
      </c>
      <c r="H1255">
        <v>48</v>
      </c>
      <c r="I125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2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25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256" spans="1:11" x14ac:dyDescent="0.35">
      <c r="A1256">
        <v>511</v>
      </c>
      <c r="B1256">
        <v>2</v>
      </c>
      <c r="C1256" t="s">
        <v>41</v>
      </c>
      <c r="D1256" t="s">
        <v>1811</v>
      </c>
      <c r="E1256">
        <v>14</v>
      </c>
      <c r="F1256">
        <v>23</v>
      </c>
      <c r="G1256">
        <v>3</v>
      </c>
      <c r="H1256">
        <v>14</v>
      </c>
      <c r="I1256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2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25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257" spans="1:11" x14ac:dyDescent="0.35">
      <c r="A1257">
        <v>511</v>
      </c>
      <c r="B1257">
        <v>2</v>
      </c>
      <c r="C1257" t="s">
        <v>37</v>
      </c>
      <c r="D1257" t="s">
        <v>1810</v>
      </c>
      <c r="E1257">
        <v>20</v>
      </c>
      <c r="F1257">
        <v>34</v>
      </c>
      <c r="G1257">
        <v>2</v>
      </c>
      <c r="H1257">
        <v>24</v>
      </c>
      <c r="I1257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2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257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258" spans="1:11" x14ac:dyDescent="0.35">
      <c r="A1258">
        <v>512</v>
      </c>
      <c r="B1258">
        <v>2</v>
      </c>
      <c r="C1258" t="s">
        <v>21</v>
      </c>
      <c r="D1258" t="s">
        <v>1801</v>
      </c>
      <c r="E1258">
        <v>22</v>
      </c>
      <c r="F1258">
        <v>36</v>
      </c>
      <c r="G1258">
        <v>3</v>
      </c>
      <c r="H1258">
        <v>53</v>
      </c>
      <c r="I1258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2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25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259" spans="1:11" x14ac:dyDescent="0.35">
      <c r="A1259">
        <v>512</v>
      </c>
      <c r="B1259">
        <v>2</v>
      </c>
      <c r="C1259" t="s">
        <v>39</v>
      </c>
      <c r="D1259" t="s">
        <v>1812</v>
      </c>
      <c r="E1259">
        <v>12</v>
      </c>
      <c r="F1259">
        <v>20</v>
      </c>
      <c r="G1259">
        <v>1</v>
      </c>
      <c r="H1259">
        <v>6</v>
      </c>
      <c r="I1259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2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5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60" spans="1:11" x14ac:dyDescent="0.35">
      <c r="A1260">
        <v>513</v>
      </c>
      <c r="B1260">
        <v>8</v>
      </c>
      <c r="C1260" t="s">
        <v>45</v>
      </c>
      <c r="D1260" t="s">
        <v>1814</v>
      </c>
      <c r="E1260">
        <v>10</v>
      </c>
      <c r="F1260">
        <v>18</v>
      </c>
      <c r="G1260">
        <v>3</v>
      </c>
      <c r="H1260">
        <v>56</v>
      </c>
      <c r="I126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2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60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261" spans="1:11" x14ac:dyDescent="0.35">
      <c r="A1261">
        <v>514</v>
      </c>
      <c r="B1261">
        <v>18</v>
      </c>
      <c r="C1261" t="s">
        <v>47</v>
      </c>
      <c r="D1261" t="s">
        <v>1815</v>
      </c>
      <c r="E1261">
        <v>15</v>
      </c>
      <c r="F1261">
        <v>26</v>
      </c>
      <c r="G1261">
        <v>2</v>
      </c>
      <c r="H1261">
        <v>21</v>
      </c>
      <c r="I1261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2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26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262" spans="1:11" x14ac:dyDescent="0.35">
      <c r="A1262">
        <v>514</v>
      </c>
      <c r="B1262">
        <v>18</v>
      </c>
      <c r="C1262" t="s">
        <v>29</v>
      </c>
      <c r="D1262" t="s">
        <v>1806</v>
      </c>
      <c r="E1262">
        <v>11</v>
      </c>
      <c r="F1262">
        <v>19</v>
      </c>
      <c r="G1262">
        <v>2</v>
      </c>
      <c r="H1262">
        <v>56</v>
      </c>
      <c r="I1262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2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26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263" spans="1:11" x14ac:dyDescent="0.35">
      <c r="A1263">
        <v>514</v>
      </c>
      <c r="B1263">
        <v>18</v>
      </c>
      <c r="C1263" t="s">
        <v>33</v>
      </c>
      <c r="D1263" t="s">
        <v>1808</v>
      </c>
      <c r="E1263">
        <v>19</v>
      </c>
      <c r="F1263">
        <v>32</v>
      </c>
      <c r="G1263">
        <v>2</v>
      </c>
      <c r="H1263">
        <v>10</v>
      </c>
      <c r="I1263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2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26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264" spans="1:11" x14ac:dyDescent="0.35">
      <c r="A1264">
        <v>514</v>
      </c>
      <c r="B1264">
        <v>18</v>
      </c>
      <c r="C1264" t="s">
        <v>39</v>
      </c>
      <c r="D1264" t="s">
        <v>1812</v>
      </c>
      <c r="E1264">
        <v>12</v>
      </c>
      <c r="F1264">
        <v>20</v>
      </c>
      <c r="G1264">
        <v>1</v>
      </c>
      <c r="H1264">
        <v>25</v>
      </c>
      <c r="I1264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2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6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65" spans="1:11" x14ac:dyDescent="0.35">
      <c r="A1265">
        <v>515</v>
      </c>
      <c r="B1265">
        <v>19</v>
      </c>
      <c r="C1265" t="s">
        <v>45</v>
      </c>
      <c r="D1265" t="s">
        <v>1814</v>
      </c>
      <c r="E1265">
        <v>10</v>
      </c>
      <c r="F1265">
        <v>18</v>
      </c>
      <c r="G1265">
        <v>1</v>
      </c>
      <c r="H1265">
        <v>13</v>
      </c>
      <c r="I1265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2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65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266" spans="1:11" x14ac:dyDescent="0.35">
      <c r="A1266">
        <v>516</v>
      </c>
      <c r="B1266">
        <v>7</v>
      </c>
      <c r="C1266" t="s">
        <v>29</v>
      </c>
      <c r="D1266" t="s">
        <v>1806</v>
      </c>
      <c r="E1266">
        <v>11</v>
      </c>
      <c r="F1266">
        <v>19</v>
      </c>
      <c r="G1266">
        <v>3</v>
      </c>
      <c r="H1266">
        <v>43</v>
      </c>
      <c r="I1266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2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66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267" spans="1:11" x14ac:dyDescent="0.35">
      <c r="A1267">
        <v>516</v>
      </c>
      <c r="B1267">
        <v>7</v>
      </c>
      <c r="C1267" t="s">
        <v>41</v>
      </c>
      <c r="D1267" t="s">
        <v>1811</v>
      </c>
      <c r="E1267">
        <v>14</v>
      </c>
      <c r="F1267">
        <v>23</v>
      </c>
      <c r="G1267">
        <v>3</v>
      </c>
      <c r="H1267">
        <v>40</v>
      </c>
      <c r="I1267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2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26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268" spans="1:11" x14ac:dyDescent="0.35">
      <c r="A1268">
        <v>516</v>
      </c>
      <c r="B1268">
        <v>7</v>
      </c>
      <c r="C1268" t="s">
        <v>39</v>
      </c>
      <c r="D1268" t="s">
        <v>1812</v>
      </c>
      <c r="E1268">
        <v>12</v>
      </c>
      <c r="F1268">
        <v>20</v>
      </c>
      <c r="G1268">
        <v>1</v>
      </c>
      <c r="H1268">
        <v>14</v>
      </c>
      <c r="I1268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2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6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69" spans="1:11" x14ac:dyDescent="0.35">
      <c r="A1269">
        <v>517</v>
      </c>
      <c r="B1269">
        <v>4</v>
      </c>
      <c r="C1269" t="s">
        <v>29</v>
      </c>
      <c r="D1269" t="s">
        <v>1806</v>
      </c>
      <c r="E1269">
        <v>11</v>
      </c>
      <c r="F1269">
        <v>19</v>
      </c>
      <c r="G1269">
        <v>3</v>
      </c>
      <c r="H1269">
        <v>44</v>
      </c>
      <c r="I1269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2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69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270" spans="1:11" x14ac:dyDescent="0.35">
      <c r="A1270">
        <v>517</v>
      </c>
      <c r="B1270">
        <v>4</v>
      </c>
      <c r="C1270" t="s">
        <v>35</v>
      </c>
      <c r="D1270" t="s">
        <v>1809</v>
      </c>
      <c r="E1270">
        <v>13</v>
      </c>
      <c r="F1270">
        <v>22</v>
      </c>
      <c r="G1270">
        <v>1</v>
      </c>
      <c r="H1270">
        <v>15</v>
      </c>
      <c r="I1270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2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27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271" spans="1:11" x14ac:dyDescent="0.35">
      <c r="A1271">
        <v>517</v>
      </c>
      <c r="B1271">
        <v>4</v>
      </c>
      <c r="C1271" t="s">
        <v>9</v>
      </c>
      <c r="D1271" t="s">
        <v>1798</v>
      </c>
      <c r="E1271">
        <v>14</v>
      </c>
      <c r="F1271">
        <v>24</v>
      </c>
      <c r="G1271">
        <v>1</v>
      </c>
      <c r="H1271">
        <v>6</v>
      </c>
      <c r="I1271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2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271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272" spans="1:11" x14ac:dyDescent="0.35">
      <c r="A1272">
        <v>518</v>
      </c>
      <c r="B1272">
        <v>5</v>
      </c>
      <c r="C1272" t="s">
        <v>25</v>
      </c>
      <c r="D1272" t="s">
        <v>1804</v>
      </c>
      <c r="E1272">
        <v>20</v>
      </c>
      <c r="F1272">
        <v>33</v>
      </c>
      <c r="G1272">
        <v>1</v>
      </c>
      <c r="H1272">
        <v>48</v>
      </c>
      <c r="I1272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2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272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273" spans="1:11" x14ac:dyDescent="0.35">
      <c r="A1273">
        <v>518</v>
      </c>
      <c r="B1273">
        <v>5</v>
      </c>
      <c r="C1273" t="s">
        <v>35</v>
      </c>
      <c r="D1273" t="s">
        <v>1809</v>
      </c>
      <c r="E1273">
        <v>13</v>
      </c>
      <c r="F1273">
        <v>22</v>
      </c>
      <c r="G1273">
        <v>2</v>
      </c>
      <c r="H1273">
        <v>5</v>
      </c>
      <c r="I1273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2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27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274" spans="1:11" x14ac:dyDescent="0.35">
      <c r="A1274">
        <v>519</v>
      </c>
      <c r="B1274">
        <v>6</v>
      </c>
      <c r="C1274" t="s">
        <v>19</v>
      </c>
      <c r="D1274" t="s">
        <v>1802</v>
      </c>
      <c r="E1274">
        <v>25</v>
      </c>
      <c r="F1274">
        <v>40</v>
      </c>
      <c r="G1274">
        <v>3</v>
      </c>
      <c r="H1274">
        <v>51</v>
      </c>
      <c r="I1274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2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27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275" spans="1:11" x14ac:dyDescent="0.35">
      <c r="A1275">
        <v>519</v>
      </c>
      <c r="B1275">
        <v>6</v>
      </c>
      <c r="C1275" t="s">
        <v>35</v>
      </c>
      <c r="D1275" t="s">
        <v>1809</v>
      </c>
      <c r="E1275">
        <v>13</v>
      </c>
      <c r="F1275">
        <v>22</v>
      </c>
      <c r="G1275">
        <v>2</v>
      </c>
      <c r="H1275">
        <v>56</v>
      </c>
      <c r="I1275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2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275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276" spans="1:11" x14ac:dyDescent="0.35">
      <c r="A1276">
        <v>519</v>
      </c>
      <c r="B1276">
        <v>6</v>
      </c>
      <c r="C1276" t="s">
        <v>17</v>
      </c>
      <c r="D1276" t="s">
        <v>1800</v>
      </c>
      <c r="E1276">
        <v>16</v>
      </c>
      <c r="F1276">
        <v>27</v>
      </c>
      <c r="G1276">
        <v>3</v>
      </c>
      <c r="H1276">
        <v>49</v>
      </c>
      <c r="I1276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2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276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277" spans="1:11" x14ac:dyDescent="0.35">
      <c r="A1277">
        <v>520</v>
      </c>
      <c r="B1277">
        <v>4</v>
      </c>
      <c r="C1277" t="s">
        <v>15</v>
      </c>
      <c r="D1277" t="s">
        <v>1799</v>
      </c>
      <c r="E1277">
        <v>19</v>
      </c>
      <c r="F1277">
        <v>31</v>
      </c>
      <c r="G1277">
        <v>3</v>
      </c>
      <c r="H1277">
        <v>22</v>
      </c>
      <c r="I1277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2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27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278" spans="1:11" x14ac:dyDescent="0.35">
      <c r="A1278">
        <v>520</v>
      </c>
      <c r="B1278">
        <v>4</v>
      </c>
      <c r="C1278" t="s">
        <v>37</v>
      </c>
      <c r="D1278" t="s">
        <v>1810</v>
      </c>
      <c r="E1278">
        <v>20</v>
      </c>
      <c r="F1278">
        <v>34</v>
      </c>
      <c r="G1278">
        <v>2</v>
      </c>
      <c r="H1278">
        <v>21</v>
      </c>
      <c r="I1278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2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27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279" spans="1:11" x14ac:dyDescent="0.35">
      <c r="A1279">
        <v>520</v>
      </c>
      <c r="B1279">
        <v>4</v>
      </c>
      <c r="C1279" t="s">
        <v>12</v>
      </c>
      <c r="D1279" t="s">
        <v>1797</v>
      </c>
      <c r="E1279">
        <v>18</v>
      </c>
      <c r="F1279">
        <v>30</v>
      </c>
      <c r="G1279">
        <v>3</v>
      </c>
      <c r="H1279">
        <v>32</v>
      </c>
      <c r="I1279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2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27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80" spans="1:11" x14ac:dyDescent="0.35">
      <c r="A1280">
        <v>520</v>
      </c>
      <c r="B1280">
        <v>4</v>
      </c>
      <c r="C1280" t="s">
        <v>23</v>
      </c>
      <c r="D1280" t="s">
        <v>1803</v>
      </c>
      <c r="E1280">
        <v>17</v>
      </c>
      <c r="F1280">
        <v>29</v>
      </c>
      <c r="G1280">
        <v>1</v>
      </c>
      <c r="H1280">
        <v>46</v>
      </c>
      <c r="I1280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2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28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281" spans="1:11" x14ac:dyDescent="0.35">
      <c r="A1281">
        <v>521</v>
      </c>
      <c r="B1281">
        <v>18</v>
      </c>
      <c r="C1281" t="s">
        <v>49</v>
      </c>
      <c r="D1281" t="s">
        <v>1816</v>
      </c>
      <c r="E1281">
        <v>15</v>
      </c>
      <c r="F1281">
        <v>25</v>
      </c>
      <c r="G1281">
        <v>2</v>
      </c>
      <c r="H1281">
        <v>52</v>
      </c>
      <c r="I1281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2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28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82" spans="1:11" x14ac:dyDescent="0.35">
      <c r="A1282">
        <v>521</v>
      </c>
      <c r="B1282">
        <v>18</v>
      </c>
      <c r="C1282" t="s">
        <v>37</v>
      </c>
      <c r="D1282" t="s">
        <v>1810</v>
      </c>
      <c r="E1282">
        <v>20</v>
      </c>
      <c r="F1282">
        <v>34</v>
      </c>
      <c r="G1282">
        <v>3</v>
      </c>
      <c r="H1282">
        <v>21</v>
      </c>
      <c r="I1282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2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28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283" spans="1:11" x14ac:dyDescent="0.35">
      <c r="A1283">
        <v>521</v>
      </c>
      <c r="B1283">
        <v>18</v>
      </c>
      <c r="C1283" t="s">
        <v>23</v>
      </c>
      <c r="D1283" t="s">
        <v>1803</v>
      </c>
      <c r="E1283">
        <v>17</v>
      </c>
      <c r="F1283">
        <v>29</v>
      </c>
      <c r="G1283">
        <v>2</v>
      </c>
      <c r="H1283">
        <v>18</v>
      </c>
      <c r="I1283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2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83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284" spans="1:11" x14ac:dyDescent="0.35">
      <c r="A1284">
        <v>522</v>
      </c>
      <c r="B1284">
        <v>2</v>
      </c>
      <c r="C1284" t="s">
        <v>27</v>
      </c>
      <c r="D1284" t="s">
        <v>1805</v>
      </c>
      <c r="E1284">
        <v>16</v>
      </c>
      <c r="F1284">
        <v>28</v>
      </c>
      <c r="G1284">
        <v>3</v>
      </c>
      <c r="H1284">
        <v>47</v>
      </c>
      <c r="I1284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2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28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285" spans="1:11" x14ac:dyDescent="0.35">
      <c r="A1285">
        <v>523</v>
      </c>
      <c r="B1285">
        <v>4</v>
      </c>
      <c r="C1285" t="s">
        <v>17</v>
      </c>
      <c r="D1285" t="s">
        <v>1800</v>
      </c>
      <c r="E1285">
        <v>16</v>
      </c>
      <c r="F1285">
        <v>27</v>
      </c>
      <c r="G1285">
        <v>3</v>
      </c>
      <c r="H1285">
        <v>51</v>
      </c>
      <c r="I1285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2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285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286" spans="1:11" x14ac:dyDescent="0.35">
      <c r="A1286">
        <v>524</v>
      </c>
      <c r="B1286">
        <v>16</v>
      </c>
      <c r="C1286" t="s">
        <v>35</v>
      </c>
      <c r="D1286" t="s">
        <v>1809</v>
      </c>
      <c r="E1286">
        <v>13</v>
      </c>
      <c r="F1286">
        <v>22</v>
      </c>
      <c r="G1286">
        <v>1</v>
      </c>
      <c r="H1286">
        <v>46</v>
      </c>
      <c r="I1286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2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286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287" spans="1:11" x14ac:dyDescent="0.35">
      <c r="A1287">
        <v>524</v>
      </c>
      <c r="B1287">
        <v>16</v>
      </c>
      <c r="C1287" t="s">
        <v>17</v>
      </c>
      <c r="D1287" t="s">
        <v>1800</v>
      </c>
      <c r="E1287">
        <v>16</v>
      </c>
      <c r="F1287">
        <v>27</v>
      </c>
      <c r="G1287">
        <v>2</v>
      </c>
      <c r="H1287">
        <v>15</v>
      </c>
      <c r="I128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2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28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288" spans="1:11" x14ac:dyDescent="0.35">
      <c r="A1288">
        <v>525</v>
      </c>
      <c r="B1288">
        <v>16</v>
      </c>
      <c r="C1288" t="s">
        <v>41</v>
      </c>
      <c r="D1288" t="s">
        <v>1811</v>
      </c>
      <c r="E1288">
        <v>14</v>
      </c>
      <c r="F1288">
        <v>23</v>
      </c>
      <c r="G1288">
        <v>3</v>
      </c>
      <c r="H1288">
        <v>23</v>
      </c>
      <c r="I1288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2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28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289" spans="1:11" x14ac:dyDescent="0.35">
      <c r="A1289">
        <v>525</v>
      </c>
      <c r="B1289">
        <v>16</v>
      </c>
      <c r="C1289" t="s">
        <v>15</v>
      </c>
      <c r="D1289" t="s">
        <v>1799</v>
      </c>
      <c r="E1289">
        <v>19</v>
      </c>
      <c r="F1289">
        <v>31</v>
      </c>
      <c r="G1289">
        <v>3</v>
      </c>
      <c r="H1289">
        <v>40</v>
      </c>
      <c r="I1289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2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28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290" spans="1:11" x14ac:dyDescent="0.35">
      <c r="A1290">
        <v>525</v>
      </c>
      <c r="B1290">
        <v>16</v>
      </c>
      <c r="C1290" t="s">
        <v>31</v>
      </c>
      <c r="D1290" t="s">
        <v>1807</v>
      </c>
      <c r="E1290">
        <v>21</v>
      </c>
      <c r="F1290">
        <v>35</v>
      </c>
      <c r="G1290">
        <v>1</v>
      </c>
      <c r="H1290">
        <v>14</v>
      </c>
      <c r="I1290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2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29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91" spans="1:11" x14ac:dyDescent="0.35">
      <c r="A1291">
        <v>526</v>
      </c>
      <c r="B1291">
        <v>4</v>
      </c>
      <c r="C1291" t="s">
        <v>25</v>
      </c>
      <c r="D1291" t="s">
        <v>1804</v>
      </c>
      <c r="E1291">
        <v>20</v>
      </c>
      <c r="F1291">
        <v>33</v>
      </c>
      <c r="G1291">
        <v>1</v>
      </c>
      <c r="H1291">
        <v>22</v>
      </c>
      <c r="I1291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2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29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292" spans="1:11" x14ac:dyDescent="0.35">
      <c r="A1292">
        <v>527</v>
      </c>
      <c r="B1292">
        <v>19</v>
      </c>
      <c r="C1292" t="s">
        <v>17</v>
      </c>
      <c r="D1292" t="s">
        <v>1800</v>
      </c>
      <c r="E1292">
        <v>16</v>
      </c>
      <c r="F1292">
        <v>27</v>
      </c>
      <c r="G1292">
        <v>2</v>
      </c>
      <c r="H1292">
        <v>31</v>
      </c>
      <c r="I1292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2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29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293" spans="1:11" x14ac:dyDescent="0.35">
      <c r="A1293">
        <v>528</v>
      </c>
      <c r="B1293">
        <v>14</v>
      </c>
      <c r="C1293" t="s">
        <v>19</v>
      </c>
      <c r="D1293" t="s">
        <v>1802</v>
      </c>
      <c r="E1293">
        <v>25</v>
      </c>
      <c r="F1293">
        <v>40</v>
      </c>
      <c r="G1293">
        <v>1</v>
      </c>
      <c r="H1293">
        <v>47</v>
      </c>
      <c r="I1293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2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29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294" spans="1:11" x14ac:dyDescent="0.35">
      <c r="A1294">
        <v>528</v>
      </c>
      <c r="B1294">
        <v>14</v>
      </c>
      <c r="C1294" t="s">
        <v>39</v>
      </c>
      <c r="D1294" t="s">
        <v>1812</v>
      </c>
      <c r="E1294">
        <v>12</v>
      </c>
      <c r="F1294">
        <v>20</v>
      </c>
      <c r="G1294">
        <v>1</v>
      </c>
      <c r="H1294">
        <v>29</v>
      </c>
      <c r="I1294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2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9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295" spans="1:11" x14ac:dyDescent="0.35">
      <c r="A1295">
        <v>528</v>
      </c>
      <c r="B1295">
        <v>14</v>
      </c>
      <c r="C1295" t="s">
        <v>45</v>
      </c>
      <c r="D1295" t="s">
        <v>1814</v>
      </c>
      <c r="E1295">
        <v>10</v>
      </c>
      <c r="F1295">
        <v>18</v>
      </c>
      <c r="G1295">
        <v>1</v>
      </c>
      <c r="H1295">
        <v>45</v>
      </c>
      <c r="I1295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2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295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296" spans="1:11" x14ac:dyDescent="0.35">
      <c r="A1296">
        <v>529</v>
      </c>
      <c r="B1296">
        <v>1</v>
      </c>
      <c r="C1296" t="s">
        <v>41</v>
      </c>
      <c r="D1296" t="s">
        <v>1811</v>
      </c>
      <c r="E1296">
        <v>14</v>
      </c>
      <c r="F1296">
        <v>23</v>
      </c>
      <c r="G1296">
        <v>2</v>
      </c>
      <c r="H1296">
        <v>27</v>
      </c>
      <c r="I1296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2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29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297" spans="1:11" x14ac:dyDescent="0.35">
      <c r="A1297">
        <v>529</v>
      </c>
      <c r="B1297">
        <v>1</v>
      </c>
      <c r="C1297" t="s">
        <v>27</v>
      </c>
      <c r="D1297" t="s">
        <v>1805</v>
      </c>
      <c r="E1297">
        <v>16</v>
      </c>
      <c r="F1297">
        <v>28</v>
      </c>
      <c r="G1297">
        <v>2</v>
      </c>
      <c r="H1297">
        <v>55</v>
      </c>
      <c r="I1297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2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297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298" spans="1:11" x14ac:dyDescent="0.35">
      <c r="A1298">
        <v>529</v>
      </c>
      <c r="B1298">
        <v>1</v>
      </c>
      <c r="C1298" t="s">
        <v>37</v>
      </c>
      <c r="D1298" t="s">
        <v>1810</v>
      </c>
      <c r="E1298">
        <v>20</v>
      </c>
      <c r="F1298">
        <v>34</v>
      </c>
      <c r="G1298">
        <v>1</v>
      </c>
      <c r="H1298">
        <v>24</v>
      </c>
      <c r="I1298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2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298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299" spans="1:11" x14ac:dyDescent="0.35">
      <c r="A1299">
        <v>529</v>
      </c>
      <c r="B1299">
        <v>1</v>
      </c>
      <c r="C1299" t="s">
        <v>21</v>
      </c>
      <c r="D1299" t="s">
        <v>1801</v>
      </c>
      <c r="E1299">
        <v>22</v>
      </c>
      <c r="F1299">
        <v>36</v>
      </c>
      <c r="G1299">
        <v>2</v>
      </c>
      <c r="H1299">
        <v>51</v>
      </c>
      <c r="I1299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2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299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300" spans="1:11" x14ac:dyDescent="0.35">
      <c r="A1300">
        <v>530</v>
      </c>
      <c r="B1300">
        <v>7</v>
      </c>
      <c r="C1300" t="s">
        <v>49</v>
      </c>
      <c r="D1300" t="s">
        <v>1816</v>
      </c>
      <c r="E1300">
        <v>15</v>
      </c>
      <c r="F1300">
        <v>25</v>
      </c>
      <c r="G1300">
        <v>2</v>
      </c>
      <c r="H1300">
        <v>19</v>
      </c>
      <c r="I1300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3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30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01" spans="1:11" x14ac:dyDescent="0.35">
      <c r="A1301">
        <v>530</v>
      </c>
      <c r="B1301">
        <v>7</v>
      </c>
      <c r="C1301" t="s">
        <v>27</v>
      </c>
      <c r="D1301" t="s">
        <v>1805</v>
      </c>
      <c r="E1301">
        <v>16</v>
      </c>
      <c r="F1301">
        <v>28</v>
      </c>
      <c r="G1301">
        <v>2</v>
      </c>
      <c r="H1301">
        <v>50</v>
      </c>
      <c r="I1301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3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01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302" spans="1:11" x14ac:dyDescent="0.35">
      <c r="A1302">
        <v>530</v>
      </c>
      <c r="B1302">
        <v>7</v>
      </c>
      <c r="C1302" t="s">
        <v>45</v>
      </c>
      <c r="D1302" t="s">
        <v>1814</v>
      </c>
      <c r="E1302">
        <v>10</v>
      </c>
      <c r="F1302">
        <v>18</v>
      </c>
      <c r="G1302">
        <v>3</v>
      </c>
      <c r="H1302">
        <v>37</v>
      </c>
      <c r="I1302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3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0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03" spans="1:11" x14ac:dyDescent="0.35">
      <c r="A1303">
        <v>531</v>
      </c>
      <c r="B1303">
        <v>9</v>
      </c>
      <c r="C1303" t="s">
        <v>43</v>
      </c>
      <c r="D1303" t="s">
        <v>1813</v>
      </c>
      <c r="E1303">
        <v>13</v>
      </c>
      <c r="F1303">
        <v>21</v>
      </c>
      <c r="G1303">
        <v>3</v>
      </c>
      <c r="H1303">
        <v>41</v>
      </c>
      <c r="I1303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3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0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304" spans="1:11" x14ac:dyDescent="0.35">
      <c r="A1304">
        <v>531</v>
      </c>
      <c r="B1304">
        <v>9</v>
      </c>
      <c r="C1304" t="s">
        <v>19</v>
      </c>
      <c r="D1304" t="s">
        <v>1802</v>
      </c>
      <c r="E1304">
        <v>25</v>
      </c>
      <c r="F1304">
        <v>40</v>
      </c>
      <c r="G1304">
        <v>1</v>
      </c>
      <c r="H1304">
        <v>43</v>
      </c>
      <c r="I1304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3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30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305" spans="1:11" x14ac:dyDescent="0.35">
      <c r="A1305">
        <v>531</v>
      </c>
      <c r="B1305">
        <v>9</v>
      </c>
      <c r="C1305" t="s">
        <v>45</v>
      </c>
      <c r="D1305" t="s">
        <v>1814</v>
      </c>
      <c r="E1305">
        <v>10</v>
      </c>
      <c r="F1305">
        <v>18</v>
      </c>
      <c r="G1305">
        <v>3</v>
      </c>
      <c r="H1305">
        <v>56</v>
      </c>
      <c r="I1305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3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05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06" spans="1:11" x14ac:dyDescent="0.35">
      <c r="A1306">
        <v>531</v>
      </c>
      <c r="B1306">
        <v>9</v>
      </c>
      <c r="C1306" t="s">
        <v>23</v>
      </c>
      <c r="D1306" t="s">
        <v>1803</v>
      </c>
      <c r="E1306">
        <v>17</v>
      </c>
      <c r="F1306">
        <v>29</v>
      </c>
      <c r="G1306">
        <v>3</v>
      </c>
      <c r="H1306">
        <v>59</v>
      </c>
      <c r="I1306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3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30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307" spans="1:11" x14ac:dyDescent="0.35">
      <c r="A1307">
        <v>532</v>
      </c>
      <c r="B1307">
        <v>13</v>
      </c>
      <c r="C1307" t="s">
        <v>47</v>
      </c>
      <c r="D1307" t="s">
        <v>1815</v>
      </c>
      <c r="E1307">
        <v>15</v>
      </c>
      <c r="F1307">
        <v>26</v>
      </c>
      <c r="G1307">
        <v>2</v>
      </c>
      <c r="H1307">
        <v>28</v>
      </c>
      <c r="I1307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3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30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308" spans="1:11" x14ac:dyDescent="0.35">
      <c r="A1308">
        <v>532</v>
      </c>
      <c r="B1308">
        <v>13</v>
      </c>
      <c r="C1308" t="s">
        <v>43</v>
      </c>
      <c r="D1308" t="s">
        <v>1813</v>
      </c>
      <c r="E1308">
        <v>13</v>
      </c>
      <c r="F1308">
        <v>21</v>
      </c>
      <c r="G1308">
        <v>1</v>
      </c>
      <c r="H1308">
        <v>24</v>
      </c>
      <c r="I1308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3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308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309" spans="1:11" x14ac:dyDescent="0.35">
      <c r="A1309">
        <v>532</v>
      </c>
      <c r="B1309">
        <v>13</v>
      </c>
      <c r="C1309" t="s">
        <v>33</v>
      </c>
      <c r="D1309" t="s">
        <v>1808</v>
      </c>
      <c r="E1309">
        <v>19</v>
      </c>
      <c r="F1309">
        <v>32</v>
      </c>
      <c r="G1309">
        <v>2</v>
      </c>
      <c r="H1309">
        <v>7</v>
      </c>
      <c r="I1309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3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30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310" spans="1:11" x14ac:dyDescent="0.35">
      <c r="A1310">
        <v>533</v>
      </c>
      <c r="B1310">
        <v>1</v>
      </c>
      <c r="C1310" t="s">
        <v>43</v>
      </c>
      <c r="D1310" t="s">
        <v>1813</v>
      </c>
      <c r="E1310">
        <v>13</v>
      </c>
      <c r="F1310">
        <v>21</v>
      </c>
      <c r="G1310">
        <v>1</v>
      </c>
      <c r="H1310">
        <v>14</v>
      </c>
      <c r="I1310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3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310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311" spans="1:11" x14ac:dyDescent="0.35">
      <c r="A1311">
        <v>533</v>
      </c>
      <c r="B1311">
        <v>1</v>
      </c>
      <c r="C1311" t="s">
        <v>39</v>
      </c>
      <c r="D1311" t="s">
        <v>1812</v>
      </c>
      <c r="E1311">
        <v>12</v>
      </c>
      <c r="F1311">
        <v>20</v>
      </c>
      <c r="G1311">
        <v>1</v>
      </c>
      <c r="H1311">
        <v>34</v>
      </c>
      <c r="I1311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3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31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12" spans="1:11" x14ac:dyDescent="0.35">
      <c r="A1312">
        <v>534</v>
      </c>
      <c r="B1312">
        <v>1</v>
      </c>
      <c r="C1312" t="s">
        <v>9</v>
      </c>
      <c r="D1312" t="s">
        <v>1798</v>
      </c>
      <c r="E1312">
        <v>14</v>
      </c>
      <c r="F1312">
        <v>24</v>
      </c>
      <c r="G1312">
        <v>2</v>
      </c>
      <c r="H1312">
        <v>56</v>
      </c>
      <c r="I1312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3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31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313" spans="1:11" x14ac:dyDescent="0.35">
      <c r="A1313">
        <v>534</v>
      </c>
      <c r="B1313">
        <v>1</v>
      </c>
      <c r="C1313" t="s">
        <v>31</v>
      </c>
      <c r="D1313" t="s">
        <v>1807</v>
      </c>
      <c r="E1313">
        <v>21</v>
      </c>
      <c r="F1313">
        <v>35</v>
      </c>
      <c r="G1313">
        <v>2</v>
      </c>
      <c r="H1313">
        <v>10</v>
      </c>
      <c r="I1313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3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31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14" spans="1:11" x14ac:dyDescent="0.35">
      <c r="A1314">
        <v>534</v>
      </c>
      <c r="B1314">
        <v>1</v>
      </c>
      <c r="C1314" t="s">
        <v>23</v>
      </c>
      <c r="D1314" t="s">
        <v>1803</v>
      </c>
      <c r="E1314">
        <v>17</v>
      </c>
      <c r="F1314">
        <v>29</v>
      </c>
      <c r="G1314">
        <v>1</v>
      </c>
      <c r="H1314">
        <v>10</v>
      </c>
      <c r="I1314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3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314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315" spans="1:11" x14ac:dyDescent="0.35">
      <c r="A1315">
        <v>535</v>
      </c>
      <c r="B1315">
        <v>15</v>
      </c>
      <c r="C1315" t="s">
        <v>43</v>
      </c>
      <c r="D1315" t="s">
        <v>1813</v>
      </c>
      <c r="E1315">
        <v>13</v>
      </c>
      <c r="F1315">
        <v>21</v>
      </c>
      <c r="G1315">
        <v>1</v>
      </c>
      <c r="H1315">
        <v>14</v>
      </c>
      <c r="I1315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3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315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316" spans="1:11" x14ac:dyDescent="0.35">
      <c r="A1316">
        <v>535</v>
      </c>
      <c r="B1316">
        <v>15</v>
      </c>
      <c r="C1316" t="s">
        <v>19</v>
      </c>
      <c r="D1316" t="s">
        <v>1802</v>
      </c>
      <c r="E1316">
        <v>25</v>
      </c>
      <c r="F1316">
        <v>40</v>
      </c>
      <c r="G1316">
        <v>3</v>
      </c>
      <c r="H1316">
        <v>48</v>
      </c>
      <c r="I1316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3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316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317" spans="1:11" x14ac:dyDescent="0.35">
      <c r="A1317">
        <v>535</v>
      </c>
      <c r="B1317">
        <v>15</v>
      </c>
      <c r="C1317" t="s">
        <v>9</v>
      </c>
      <c r="D1317" t="s">
        <v>1798</v>
      </c>
      <c r="E1317">
        <v>14</v>
      </c>
      <c r="F1317">
        <v>24</v>
      </c>
      <c r="G1317">
        <v>2</v>
      </c>
      <c r="H1317">
        <v>42</v>
      </c>
      <c r="I1317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3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317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318" spans="1:11" x14ac:dyDescent="0.35">
      <c r="A1318">
        <v>535</v>
      </c>
      <c r="B1318">
        <v>15</v>
      </c>
      <c r="C1318" t="s">
        <v>23</v>
      </c>
      <c r="D1318" t="s">
        <v>1803</v>
      </c>
      <c r="E1318">
        <v>17</v>
      </c>
      <c r="F1318">
        <v>29</v>
      </c>
      <c r="G1318">
        <v>3</v>
      </c>
      <c r="H1318">
        <v>9</v>
      </c>
      <c r="I1318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3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318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319" spans="1:11" x14ac:dyDescent="0.35">
      <c r="A1319">
        <v>536</v>
      </c>
      <c r="B1319">
        <v>9</v>
      </c>
      <c r="C1319" t="s">
        <v>41</v>
      </c>
      <c r="D1319" t="s">
        <v>1811</v>
      </c>
      <c r="E1319">
        <v>14</v>
      </c>
      <c r="F1319">
        <v>23</v>
      </c>
      <c r="G1319">
        <v>2</v>
      </c>
      <c r="H1319">
        <v>38</v>
      </c>
      <c r="I1319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3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31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320" spans="1:11" x14ac:dyDescent="0.35">
      <c r="A1320">
        <v>536</v>
      </c>
      <c r="B1320">
        <v>9</v>
      </c>
      <c r="C1320" t="s">
        <v>12</v>
      </c>
      <c r="D1320" t="s">
        <v>1797</v>
      </c>
      <c r="E1320">
        <v>18</v>
      </c>
      <c r="F1320">
        <v>30</v>
      </c>
      <c r="G1320">
        <v>3</v>
      </c>
      <c r="H1320">
        <v>33</v>
      </c>
      <c r="I1320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3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32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21" spans="1:11" x14ac:dyDescent="0.35">
      <c r="A1321">
        <v>536</v>
      </c>
      <c r="B1321">
        <v>9</v>
      </c>
      <c r="C1321" t="s">
        <v>45</v>
      </c>
      <c r="D1321" t="s">
        <v>1814</v>
      </c>
      <c r="E1321">
        <v>10</v>
      </c>
      <c r="F1321">
        <v>18</v>
      </c>
      <c r="G1321">
        <v>1</v>
      </c>
      <c r="H1321">
        <v>29</v>
      </c>
      <c r="I1321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3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32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22" spans="1:11" x14ac:dyDescent="0.35">
      <c r="A1322">
        <v>536</v>
      </c>
      <c r="B1322">
        <v>9</v>
      </c>
      <c r="C1322" t="s">
        <v>23</v>
      </c>
      <c r="D1322" t="s">
        <v>1803</v>
      </c>
      <c r="E1322">
        <v>17</v>
      </c>
      <c r="F1322">
        <v>29</v>
      </c>
      <c r="G1322">
        <v>2</v>
      </c>
      <c r="H1322">
        <v>52</v>
      </c>
      <c r="I1322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3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2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323" spans="1:11" x14ac:dyDescent="0.35">
      <c r="A1323">
        <v>537</v>
      </c>
      <c r="B1323">
        <v>18</v>
      </c>
      <c r="C1323" t="s">
        <v>43</v>
      </c>
      <c r="D1323" t="s">
        <v>1813</v>
      </c>
      <c r="E1323">
        <v>13</v>
      </c>
      <c r="F1323">
        <v>21</v>
      </c>
      <c r="G1323">
        <v>3</v>
      </c>
      <c r="H1323">
        <v>21</v>
      </c>
      <c r="I1323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3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2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324" spans="1:11" x14ac:dyDescent="0.35">
      <c r="A1324">
        <v>538</v>
      </c>
      <c r="B1324">
        <v>14</v>
      </c>
      <c r="C1324" t="s">
        <v>25</v>
      </c>
      <c r="D1324" t="s">
        <v>1804</v>
      </c>
      <c r="E1324">
        <v>20</v>
      </c>
      <c r="F1324">
        <v>33</v>
      </c>
      <c r="G1324">
        <v>1</v>
      </c>
      <c r="H1324">
        <v>58</v>
      </c>
      <c r="I1324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3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324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325" spans="1:11" x14ac:dyDescent="0.35">
      <c r="A1325">
        <v>538</v>
      </c>
      <c r="B1325">
        <v>14</v>
      </c>
      <c r="C1325" t="s">
        <v>41</v>
      </c>
      <c r="D1325" t="s">
        <v>1811</v>
      </c>
      <c r="E1325">
        <v>14</v>
      </c>
      <c r="F1325">
        <v>23</v>
      </c>
      <c r="G1325">
        <v>1</v>
      </c>
      <c r="H1325">
        <v>39</v>
      </c>
      <c r="I1325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3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325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326" spans="1:11" x14ac:dyDescent="0.35">
      <c r="A1326">
        <v>538</v>
      </c>
      <c r="B1326">
        <v>14</v>
      </c>
      <c r="C1326" t="s">
        <v>27</v>
      </c>
      <c r="D1326" t="s">
        <v>1805</v>
      </c>
      <c r="E1326">
        <v>16</v>
      </c>
      <c r="F1326">
        <v>28</v>
      </c>
      <c r="G1326">
        <v>2</v>
      </c>
      <c r="H1326">
        <v>46</v>
      </c>
      <c r="I1326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3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2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327" spans="1:11" x14ac:dyDescent="0.35">
      <c r="A1327">
        <v>538</v>
      </c>
      <c r="B1327">
        <v>14</v>
      </c>
      <c r="C1327" t="s">
        <v>12</v>
      </c>
      <c r="D1327" t="s">
        <v>1797</v>
      </c>
      <c r="E1327">
        <v>18</v>
      </c>
      <c r="F1327">
        <v>30</v>
      </c>
      <c r="G1327">
        <v>1</v>
      </c>
      <c r="H1327">
        <v>55</v>
      </c>
      <c r="I1327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3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32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28" spans="1:11" x14ac:dyDescent="0.35">
      <c r="A1328">
        <v>539</v>
      </c>
      <c r="B1328">
        <v>18</v>
      </c>
      <c r="C1328" t="s">
        <v>12</v>
      </c>
      <c r="D1328" t="s">
        <v>1797</v>
      </c>
      <c r="E1328">
        <v>18</v>
      </c>
      <c r="F1328">
        <v>30</v>
      </c>
      <c r="G1328">
        <v>3</v>
      </c>
      <c r="H1328">
        <v>43</v>
      </c>
      <c r="I1328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3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32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29" spans="1:11" x14ac:dyDescent="0.35">
      <c r="A1329">
        <v>539</v>
      </c>
      <c r="B1329">
        <v>18</v>
      </c>
      <c r="C1329" t="s">
        <v>45</v>
      </c>
      <c r="D1329" t="s">
        <v>1814</v>
      </c>
      <c r="E1329">
        <v>10</v>
      </c>
      <c r="F1329">
        <v>18</v>
      </c>
      <c r="G1329">
        <v>2</v>
      </c>
      <c r="H1329">
        <v>28</v>
      </c>
      <c r="I1329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3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32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30" spans="1:11" x14ac:dyDescent="0.35">
      <c r="A1330">
        <v>539</v>
      </c>
      <c r="B1330">
        <v>18</v>
      </c>
      <c r="C1330" t="s">
        <v>17</v>
      </c>
      <c r="D1330" t="s">
        <v>1800</v>
      </c>
      <c r="E1330">
        <v>16</v>
      </c>
      <c r="F1330">
        <v>27</v>
      </c>
      <c r="G1330">
        <v>1</v>
      </c>
      <c r="H1330">
        <v>40</v>
      </c>
      <c r="I1330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13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33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331" spans="1:11" x14ac:dyDescent="0.35">
      <c r="A1331">
        <v>539</v>
      </c>
      <c r="B1331">
        <v>18</v>
      </c>
      <c r="C1331" t="s">
        <v>23</v>
      </c>
      <c r="D1331" t="s">
        <v>1803</v>
      </c>
      <c r="E1331">
        <v>17</v>
      </c>
      <c r="F1331">
        <v>29</v>
      </c>
      <c r="G1331">
        <v>3</v>
      </c>
      <c r="H1331">
        <v>18</v>
      </c>
      <c r="I1331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3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33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332" spans="1:11" x14ac:dyDescent="0.35">
      <c r="A1332">
        <v>540</v>
      </c>
      <c r="B1332">
        <v>6</v>
      </c>
      <c r="C1332" t="s">
        <v>45</v>
      </c>
      <c r="D1332" t="s">
        <v>1814</v>
      </c>
      <c r="E1332">
        <v>10</v>
      </c>
      <c r="F1332">
        <v>18</v>
      </c>
      <c r="G1332">
        <v>3</v>
      </c>
      <c r="H1332">
        <v>47</v>
      </c>
      <c r="I1332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3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3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33" spans="1:11" x14ac:dyDescent="0.35">
      <c r="A1333">
        <v>540</v>
      </c>
      <c r="B1333">
        <v>6</v>
      </c>
      <c r="C1333" t="s">
        <v>31</v>
      </c>
      <c r="D1333" t="s">
        <v>1807</v>
      </c>
      <c r="E1333">
        <v>21</v>
      </c>
      <c r="F1333">
        <v>35</v>
      </c>
      <c r="G1333">
        <v>2</v>
      </c>
      <c r="H1333">
        <v>35</v>
      </c>
      <c r="I1333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3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33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34" spans="1:11" x14ac:dyDescent="0.35">
      <c r="A1334">
        <v>541</v>
      </c>
      <c r="B1334">
        <v>19</v>
      </c>
      <c r="C1334" t="s">
        <v>25</v>
      </c>
      <c r="D1334" t="s">
        <v>1804</v>
      </c>
      <c r="E1334">
        <v>20</v>
      </c>
      <c r="F1334">
        <v>33</v>
      </c>
      <c r="G1334">
        <v>2</v>
      </c>
      <c r="H1334">
        <v>21</v>
      </c>
      <c r="I1334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3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334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335" spans="1:11" x14ac:dyDescent="0.35">
      <c r="A1335">
        <v>541</v>
      </c>
      <c r="B1335">
        <v>19</v>
      </c>
      <c r="C1335" t="s">
        <v>29</v>
      </c>
      <c r="D1335" t="s">
        <v>1806</v>
      </c>
      <c r="E1335">
        <v>11</v>
      </c>
      <c r="F1335">
        <v>19</v>
      </c>
      <c r="G1335">
        <v>2</v>
      </c>
      <c r="H1335">
        <v>31</v>
      </c>
      <c r="I1335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3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33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336" spans="1:11" x14ac:dyDescent="0.35">
      <c r="A1336">
        <v>541</v>
      </c>
      <c r="B1336">
        <v>19</v>
      </c>
      <c r="C1336" t="s">
        <v>41</v>
      </c>
      <c r="D1336" t="s">
        <v>1811</v>
      </c>
      <c r="E1336">
        <v>14</v>
      </c>
      <c r="F1336">
        <v>23</v>
      </c>
      <c r="G1336">
        <v>3</v>
      </c>
      <c r="H1336">
        <v>37</v>
      </c>
      <c r="I1336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3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33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337" spans="1:11" x14ac:dyDescent="0.35">
      <c r="A1337">
        <v>541</v>
      </c>
      <c r="B1337">
        <v>19</v>
      </c>
      <c r="C1337" t="s">
        <v>23</v>
      </c>
      <c r="D1337" t="s">
        <v>1803</v>
      </c>
      <c r="E1337">
        <v>17</v>
      </c>
      <c r="F1337">
        <v>29</v>
      </c>
      <c r="G1337">
        <v>1</v>
      </c>
      <c r="H1337">
        <v>35</v>
      </c>
      <c r="I1337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3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337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338" spans="1:11" x14ac:dyDescent="0.35">
      <c r="A1338">
        <v>542</v>
      </c>
      <c r="B1338">
        <v>9</v>
      </c>
      <c r="C1338" t="s">
        <v>47</v>
      </c>
      <c r="D1338" t="s">
        <v>1815</v>
      </c>
      <c r="E1338">
        <v>15</v>
      </c>
      <c r="F1338">
        <v>26</v>
      </c>
      <c r="G1338">
        <v>1</v>
      </c>
      <c r="H1338">
        <v>46</v>
      </c>
      <c r="I1338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3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338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339" spans="1:11" x14ac:dyDescent="0.35">
      <c r="A1339">
        <v>542</v>
      </c>
      <c r="B1339">
        <v>9</v>
      </c>
      <c r="C1339" t="s">
        <v>37</v>
      </c>
      <c r="D1339" t="s">
        <v>1810</v>
      </c>
      <c r="E1339">
        <v>20</v>
      </c>
      <c r="F1339">
        <v>34</v>
      </c>
      <c r="G1339">
        <v>2</v>
      </c>
      <c r="H1339">
        <v>17</v>
      </c>
      <c r="I1339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3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339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340" spans="1:11" x14ac:dyDescent="0.35">
      <c r="A1340">
        <v>542</v>
      </c>
      <c r="B1340">
        <v>9</v>
      </c>
      <c r="C1340" t="s">
        <v>17</v>
      </c>
      <c r="D1340" t="s">
        <v>1800</v>
      </c>
      <c r="E1340">
        <v>16</v>
      </c>
      <c r="F1340">
        <v>27</v>
      </c>
      <c r="G1340">
        <v>2</v>
      </c>
      <c r="H1340">
        <v>52</v>
      </c>
      <c r="I134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3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34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341" spans="1:11" x14ac:dyDescent="0.35">
      <c r="A1341">
        <v>543</v>
      </c>
      <c r="B1341">
        <v>19</v>
      </c>
      <c r="C1341" t="s">
        <v>33</v>
      </c>
      <c r="D1341" t="s">
        <v>1808</v>
      </c>
      <c r="E1341">
        <v>19</v>
      </c>
      <c r="F1341">
        <v>32</v>
      </c>
      <c r="G1341">
        <v>3</v>
      </c>
      <c r="H1341">
        <v>42</v>
      </c>
      <c r="I1341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3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34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342" spans="1:11" x14ac:dyDescent="0.35">
      <c r="A1342">
        <v>543</v>
      </c>
      <c r="B1342">
        <v>19</v>
      </c>
      <c r="C1342" t="s">
        <v>27</v>
      </c>
      <c r="D1342" t="s">
        <v>1805</v>
      </c>
      <c r="E1342">
        <v>16</v>
      </c>
      <c r="F1342">
        <v>28</v>
      </c>
      <c r="G1342">
        <v>2</v>
      </c>
      <c r="H1342">
        <v>27</v>
      </c>
      <c r="I1342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3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42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343" spans="1:11" x14ac:dyDescent="0.35">
      <c r="A1343">
        <v>543</v>
      </c>
      <c r="B1343">
        <v>19</v>
      </c>
      <c r="C1343" t="s">
        <v>17</v>
      </c>
      <c r="D1343" t="s">
        <v>1800</v>
      </c>
      <c r="E1343">
        <v>16</v>
      </c>
      <c r="F1343">
        <v>27</v>
      </c>
      <c r="G1343">
        <v>2</v>
      </c>
      <c r="H1343">
        <v>5</v>
      </c>
      <c r="I1343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3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343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344" spans="1:11" x14ac:dyDescent="0.35">
      <c r="A1344">
        <v>544</v>
      </c>
      <c r="B1344">
        <v>7</v>
      </c>
      <c r="C1344" t="s">
        <v>31</v>
      </c>
      <c r="D1344" t="s">
        <v>1807</v>
      </c>
      <c r="E1344">
        <v>21</v>
      </c>
      <c r="F1344">
        <v>35</v>
      </c>
      <c r="G1344">
        <v>2</v>
      </c>
      <c r="H1344">
        <v>48</v>
      </c>
      <c r="I1344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3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34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45" spans="1:11" x14ac:dyDescent="0.35">
      <c r="A1345">
        <v>545</v>
      </c>
      <c r="B1345">
        <v>20</v>
      </c>
      <c r="C1345" t="s">
        <v>25</v>
      </c>
      <c r="D1345" t="s">
        <v>1804</v>
      </c>
      <c r="E1345">
        <v>20</v>
      </c>
      <c r="F1345">
        <v>33</v>
      </c>
      <c r="G1345">
        <v>3</v>
      </c>
      <c r="H1345">
        <v>57</v>
      </c>
      <c r="I1345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3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34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346" spans="1:11" x14ac:dyDescent="0.35">
      <c r="A1346">
        <v>545</v>
      </c>
      <c r="B1346">
        <v>20</v>
      </c>
      <c r="C1346" t="s">
        <v>15</v>
      </c>
      <c r="D1346" t="s">
        <v>1799</v>
      </c>
      <c r="E1346">
        <v>19</v>
      </c>
      <c r="F1346">
        <v>31</v>
      </c>
      <c r="G1346">
        <v>1</v>
      </c>
      <c r="H1346">
        <v>42</v>
      </c>
      <c r="I1346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3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34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347" spans="1:11" x14ac:dyDescent="0.35">
      <c r="A1347">
        <v>546</v>
      </c>
      <c r="B1347">
        <v>5</v>
      </c>
      <c r="C1347" t="s">
        <v>33</v>
      </c>
      <c r="D1347" t="s">
        <v>1808</v>
      </c>
      <c r="E1347">
        <v>19</v>
      </c>
      <c r="F1347">
        <v>32</v>
      </c>
      <c r="G1347">
        <v>2</v>
      </c>
      <c r="H1347">
        <v>33</v>
      </c>
      <c r="I1347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3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34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348" spans="1:11" x14ac:dyDescent="0.35">
      <c r="A1348">
        <v>546</v>
      </c>
      <c r="B1348">
        <v>5</v>
      </c>
      <c r="C1348" t="s">
        <v>27</v>
      </c>
      <c r="D1348" t="s">
        <v>1805</v>
      </c>
      <c r="E1348">
        <v>16</v>
      </c>
      <c r="F1348">
        <v>28</v>
      </c>
      <c r="G1348">
        <v>1</v>
      </c>
      <c r="H1348">
        <v>58</v>
      </c>
      <c r="I1348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3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348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349" spans="1:11" x14ac:dyDescent="0.35">
      <c r="A1349">
        <v>547</v>
      </c>
      <c r="B1349">
        <v>9</v>
      </c>
      <c r="C1349" t="s">
        <v>25</v>
      </c>
      <c r="D1349" t="s">
        <v>1804</v>
      </c>
      <c r="E1349">
        <v>20</v>
      </c>
      <c r="F1349">
        <v>33</v>
      </c>
      <c r="G1349">
        <v>3</v>
      </c>
      <c r="H1349">
        <v>54</v>
      </c>
      <c r="I1349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3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34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350" spans="1:11" x14ac:dyDescent="0.35">
      <c r="A1350">
        <v>547</v>
      </c>
      <c r="B1350">
        <v>9</v>
      </c>
      <c r="C1350" t="s">
        <v>15</v>
      </c>
      <c r="D1350" t="s">
        <v>1799</v>
      </c>
      <c r="E1350">
        <v>19</v>
      </c>
      <c r="F1350">
        <v>31</v>
      </c>
      <c r="G1350">
        <v>3</v>
      </c>
      <c r="H1350">
        <v>13</v>
      </c>
      <c r="I1350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3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35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351" spans="1:11" x14ac:dyDescent="0.35">
      <c r="A1351">
        <v>547</v>
      </c>
      <c r="B1351">
        <v>9</v>
      </c>
      <c r="C1351" t="s">
        <v>31</v>
      </c>
      <c r="D1351" t="s">
        <v>1807</v>
      </c>
      <c r="E1351">
        <v>21</v>
      </c>
      <c r="F1351">
        <v>35</v>
      </c>
      <c r="G1351">
        <v>1</v>
      </c>
      <c r="H1351">
        <v>30</v>
      </c>
      <c r="I1351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3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35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52" spans="1:11" x14ac:dyDescent="0.35">
      <c r="A1352">
        <v>548</v>
      </c>
      <c r="B1352">
        <v>4</v>
      </c>
      <c r="C1352" t="s">
        <v>15</v>
      </c>
      <c r="D1352" t="s">
        <v>1799</v>
      </c>
      <c r="E1352">
        <v>19</v>
      </c>
      <c r="F1352">
        <v>31</v>
      </c>
      <c r="G1352">
        <v>2</v>
      </c>
      <c r="H1352">
        <v>48</v>
      </c>
      <c r="I1352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3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5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353" spans="1:11" x14ac:dyDescent="0.35">
      <c r="A1353">
        <v>548</v>
      </c>
      <c r="B1353">
        <v>4</v>
      </c>
      <c r="C1353" t="s">
        <v>37</v>
      </c>
      <c r="D1353" t="s">
        <v>1810</v>
      </c>
      <c r="E1353">
        <v>20</v>
      </c>
      <c r="F1353">
        <v>34</v>
      </c>
      <c r="G1353">
        <v>1</v>
      </c>
      <c r="H1353">
        <v>58</v>
      </c>
      <c r="I1353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3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353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354" spans="1:11" x14ac:dyDescent="0.35">
      <c r="A1354">
        <v>549</v>
      </c>
      <c r="B1354">
        <v>12</v>
      </c>
      <c r="C1354" t="s">
        <v>49</v>
      </c>
      <c r="D1354" t="s">
        <v>1816</v>
      </c>
      <c r="E1354">
        <v>15</v>
      </c>
      <c r="F1354">
        <v>25</v>
      </c>
      <c r="G1354">
        <v>1</v>
      </c>
      <c r="H1354">
        <v>19</v>
      </c>
      <c r="I1354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3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35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55" spans="1:11" x14ac:dyDescent="0.35">
      <c r="A1355">
        <v>549</v>
      </c>
      <c r="B1355">
        <v>12</v>
      </c>
      <c r="C1355" t="s">
        <v>37</v>
      </c>
      <c r="D1355" t="s">
        <v>1810</v>
      </c>
      <c r="E1355">
        <v>20</v>
      </c>
      <c r="F1355">
        <v>34</v>
      </c>
      <c r="G1355">
        <v>3</v>
      </c>
      <c r="H1355">
        <v>59</v>
      </c>
      <c r="I1355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3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35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356" spans="1:11" x14ac:dyDescent="0.35">
      <c r="A1356">
        <v>549</v>
      </c>
      <c r="B1356">
        <v>12</v>
      </c>
      <c r="C1356" t="s">
        <v>31</v>
      </c>
      <c r="D1356" t="s">
        <v>1807</v>
      </c>
      <c r="E1356">
        <v>21</v>
      </c>
      <c r="F1356">
        <v>35</v>
      </c>
      <c r="G1356">
        <v>1</v>
      </c>
      <c r="H1356">
        <v>20</v>
      </c>
      <c r="I1356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3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35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57" spans="1:11" x14ac:dyDescent="0.35">
      <c r="A1357">
        <v>550</v>
      </c>
      <c r="B1357">
        <v>1</v>
      </c>
      <c r="C1357" t="s">
        <v>12</v>
      </c>
      <c r="D1357" t="s">
        <v>1797</v>
      </c>
      <c r="E1357">
        <v>18</v>
      </c>
      <c r="F1357">
        <v>30</v>
      </c>
      <c r="G1357">
        <v>2</v>
      </c>
      <c r="H1357">
        <v>28</v>
      </c>
      <c r="I1357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3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5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58" spans="1:11" x14ac:dyDescent="0.35">
      <c r="A1358">
        <v>550</v>
      </c>
      <c r="B1358">
        <v>1</v>
      </c>
      <c r="C1358" t="s">
        <v>39</v>
      </c>
      <c r="D1358" t="s">
        <v>1812</v>
      </c>
      <c r="E1358">
        <v>12</v>
      </c>
      <c r="F1358">
        <v>20</v>
      </c>
      <c r="G1358">
        <v>2</v>
      </c>
      <c r="H1358">
        <v>24</v>
      </c>
      <c r="I1358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3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35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59" spans="1:11" x14ac:dyDescent="0.35">
      <c r="A1359">
        <v>550</v>
      </c>
      <c r="B1359">
        <v>1</v>
      </c>
      <c r="C1359" t="s">
        <v>9</v>
      </c>
      <c r="D1359" t="s">
        <v>1798</v>
      </c>
      <c r="E1359">
        <v>14</v>
      </c>
      <c r="F1359">
        <v>24</v>
      </c>
      <c r="G1359">
        <v>1</v>
      </c>
      <c r="H1359">
        <v>5</v>
      </c>
      <c r="I1359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3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35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360" spans="1:11" x14ac:dyDescent="0.35">
      <c r="A1360">
        <v>551</v>
      </c>
      <c r="B1360">
        <v>4</v>
      </c>
      <c r="C1360" t="s">
        <v>43</v>
      </c>
      <c r="D1360" t="s">
        <v>1813</v>
      </c>
      <c r="E1360">
        <v>13</v>
      </c>
      <c r="F1360">
        <v>21</v>
      </c>
      <c r="G1360">
        <v>3</v>
      </c>
      <c r="H1360">
        <v>51</v>
      </c>
      <c r="I1360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3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60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361" spans="1:11" x14ac:dyDescent="0.35">
      <c r="A1361">
        <v>551</v>
      </c>
      <c r="B1361">
        <v>4</v>
      </c>
      <c r="C1361" t="s">
        <v>12</v>
      </c>
      <c r="D1361" t="s">
        <v>1797</v>
      </c>
      <c r="E1361">
        <v>18</v>
      </c>
      <c r="F1361">
        <v>30</v>
      </c>
      <c r="G1361">
        <v>1</v>
      </c>
      <c r="H1361">
        <v>32</v>
      </c>
      <c r="I1361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3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36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62" spans="1:11" x14ac:dyDescent="0.35">
      <c r="A1362">
        <v>551</v>
      </c>
      <c r="B1362">
        <v>4</v>
      </c>
      <c r="C1362" t="s">
        <v>39</v>
      </c>
      <c r="D1362" t="s">
        <v>1812</v>
      </c>
      <c r="E1362">
        <v>12</v>
      </c>
      <c r="F1362">
        <v>20</v>
      </c>
      <c r="G1362">
        <v>3</v>
      </c>
      <c r="H1362">
        <v>11</v>
      </c>
      <c r="I1362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3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6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63" spans="1:11" x14ac:dyDescent="0.35">
      <c r="A1363">
        <v>551</v>
      </c>
      <c r="B1363">
        <v>4</v>
      </c>
      <c r="C1363" t="s">
        <v>45</v>
      </c>
      <c r="D1363" t="s">
        <v>1814</v>
      </c>
      <c r="E1363">
        <v>10</v>
      </c>
      <c r="F1363">
        <v>18</v>
      </c>
      <c r="G1363">
        <v>1</v>
      </c>
      <c r="H1363">
        <v>29</v>
      </c>
      <c r="I1363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3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36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64" spans="1:11" x14ac:dyDescent="0.35">
      <c r="A1364">
        <v>552</v>
      </c>
      <c r="B1364">
        <v>11</v>
      </c>
      <c r="C1364" t="s">
        <v>43</v>
      </c>
      <c r="D1364" t="s">
        <v>1813</v>
      </c>
      <c r="E1364">
        <v>13</v>
      </c>
      <c r="F1364">
        <v>21</v>
      </c>
      <c r="G1364">
        <v>3</v>
      </c>
      <c r="H1364">
        <v>57</v>
      </c>
      <c r="I1364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3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6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365" spans="1:11" x14ac:dyDescent="0.35">
      <c r="A1365">
        <v>552</v>
      </c>
      <c r="B1365">
        <v>11</v>
      </c>
      <c r="C1365" t="s">
        <v>19</v>
      </c>
      <c r="D1365" t="s">
        <v>1802</v>
      </c>
      <c r="E1365">
        <v>25</v>
      </c>
      <c r="F1365">
        <v>40</v>
      </c>
      <c r="G1365">
        <v>3</v>
      </c>
      <c r="H1365">
        <v>26</v>
      </c>
      <c r="I1365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3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36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366" spans="1:11" x14ac:dyDescent="0.35">
      <c r="A1366">
        <v>552</v>
      </c>
      <c r="B1366">
        <v>11</v>
      </c>
      <c r="C1366" t="s">
        <v>39</v>
      </c>
      <c r="D1366" t="s">
        <v>1812</v>
      </c>
      <c r="E1366">
        <v>12</v>
      </c>
      <c r="F1366">
        <v>20</v>
      </c>
      <c r="G1366">
        <v>3</v>
      </c>
      <c r="H1366">
        <v>32</v>
      </c>
      <c r="I1366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3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6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67" spans="1:11" x14ac:dyDescent="0.35">
      <c r="A1367">
        <v>553</v>
      </c>
      <c r="B1367">
        <v>14</v>
      </c>
      <c r="C1367" t="s">
        <v>49</v>
      </c>
      <c r="D1367" t="s">
        <v>1816</v>
      </c>
      <c r="E1367">
        <v>15</v>
      </c>
      <c r="F1367">
        <v>25</v>
      </c>
      <c r="G1367">
        <v>2</v>
      </c>
      <c r="H1367">
        <v>56</v>
      </c>
      <c r="I1367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3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36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68" spans="1:11" x14ac:dyDescent="0.35">
      <c r="A1368">
        <v>553</v>
      </c>
      <c r="B1368">
        <v>14</v>
      </c>
      <c r="C1368" t="s">
        <v>29</v>
      </c>
      <c r="D1368" t="s">
        <v>1806</v>
      </c>
      <c r="E1368">
        <v>11</v>
      </c>
      <c r="F1368">
        <v>19</v>
      </c>
      <c r="G1368">
        <v>1</v>
      </c>
      <c r="H1368">
        <v>42</v>
      </c>
      <c r="I1368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3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36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369" spans="1:11" x14ac:dyDescent="0.35">
      <c r="A1369">
        <v>553</v>
      </c>
      <c r="B1369">
        <v>14</v>
      </c>
      <c r="C1369" t="s">
        <v>12</v>
      </c>
      <c r="D1369" t="s">
        <v>1797</v>
      </c>
      <c r="E1369">
        <v>18</v>
      </c>
      <c r="F1369">
        <v>30</v>
      </c>
      <c r="G1369">
        <v>3</v>
      </c>
      <c r="H1369">
        <v>26</v>
      </c>
      <c r="I1369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3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36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70" spans="1:11" x14ac:dyDescent="0.35">
      <c r="A1370">
        <v>553</v>
      </c>
      <c r="B1370">
        <v>14</v>
      </c>
      <c r="C1370" t="s">
        <v>35</v>
      </c>
      <c r="D1370" t="s">
        <v>1809</v>
      </c>
      <c r="E1370">
        <v>13</v>
      </c>
      <c r="F1370">
        <v>22</v>
      </c>
      <c r="G1370">
        <v>2</v>
      </c>
      <c r="H1370">
        <v>54</v>
      </c>
      <c r="I1370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3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37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371" spans="1:11" x14ac:dyDescent="0.35">
      <c r="A1371">
        <v>554</v>
      </c>
      <c r="B1371">
        <v>10</v>
      </c>
      <c r="C1371" t="s">
        <v>41</v>
      </c>
      <c r="D1371" t="s">
        <v>1811</v>
      </c>
      <c r="E1371">
        <v>14</v>
      </c>
      <c r="F1371">
        <v>23</v>
      </c>
      <c r="G1371">
        <v>2</v>
      </c>
      <c r="H1371">
        <v>55</v>
      </c>
      <c r="I1371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3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371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372" spans="1:11" x14ac:dyDescent="0.35">
      <c r="A1372">
        <v>554</v>
      </c>
      <c r="B1372">
        <v>10</v>
      </c>
      <c r="C1372" t="s">
        <v>19</v>
      </c>
      <c r="D1372" t="s">
        <v>1802</v>
      </c>
      <c r="E1372">
        <v>25</v>
      </c>
      <c r="F1372">
        <v>40</v>
      </c>
      <c r="G1372">
        <v>3</v>
      </c>
      <c r="H1372">
        <v>16</v>
      </c>
      <c r="I1372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3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37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373" spans="1:11" x14ac:dyDescent="0.35">
      <c r="A1373">
        <v>555</v>
      </c>
      <c r="B1373">
        <v>20</v>
      </c>
      <c r="C1373" t="s">
        <v>12</v>
      </c>
      <c r="D1373" t="s">
        <v>1797</v>
      </c>
      <c r="E1373">
        <v>18</v>
      </c>
      <c r="F1373">
        <v>30</v>
      </c>
      <c r="G1373">
        <v>1</v>
      </c>
      <c r="H1373">
        <v>46</v>
      </c>
      <c r="I1373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3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37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74" spans="1:11" x14ac:dyDescent="0.35">
      <c r="A1374">
        <v>556</v>
      </c>
      <c r="B1374">
        <v>9</v>
      </c>
      <c r="C1374" t="s">
        <v>45</v>
      </c>
      <c r="D1374" t="s">
        <v>1814</v>
      </c>
      <c r="E1374">
        <v>10</v>
      </c>
      <c r="F1374">
        <v>18</v>
      </c>
      <c r="G1374">
        <v>3</v>
      </c>
      <c r="H1374">
        <v>30</v>
      </c>
      <c r="I1374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3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7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75" spans="1:11" x14ac:dyDescent="0.35">
      <c r="A1375">
        <v>556</v>
      </c>
      <c r="B1375">
        <v>9</v>
      </c>
      <c r="C1375" t="s">
        <v>35</v>
      </c>
      <c r="D1375" t="s">
        <v>1809</v>
      </c>
      <c r="E1375">
        <v>13</v>
      </c>
      <c r="F1375">
        <v>22</v>
      </c>
      <c r="G1375">
        <v>1</v>
      </c>
      <c r="H1375">
        <v>36</v>
      </c>
      <c r="I1375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3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375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376" spans="1:11" x14ac:dyDescent="0.35">
      <c r="A1376">
        <v>557</v>
      </c>
      <c r="B1376">
        <v>7</v>
      </c>
      <c r="C1376" t="s">
        <v>49</v>
      </c>
      <c r="D1376" t="s">
        <v>1816</v>
      </c>
      <c r="E1376">
        <v>15</v>
      </c>
      <c r="F1376">
        <v>25</v>
      </c>
      <c r="G1376">
        <v>2</v>
      </c>
      <c r="H1376">
        <v>38</v>
      </c>
      <c r="I1376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3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37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77" spans="1:11" x14ac:dyDescent="0.35">
      <c r="A1377">
        <v>557</v>
      </c>
      <c r="B1377">
        <v>7</v>
      </c>
      <c r="C1377" t="s">
        <v>43</v>
      </c>
      <c r="D1377" t="s">
        <v>1813</v>
      </c>
      <c r="E1377">
        <v>13</v>
      </c>
      <c r="F1377">
        <v>21</v>
      </c>
      <c r="G1377">
        <v>3</v>
      </c>
      <c r="H1377">
        <v>22</v>
      </c>
      <c r="I1377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3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7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378" spans="1:11" x14ac:dyDescent="0.35">
      <c r="A1378">
        <v>557</v>
      </c>
      <c r="B1378">
        <v>7</v>
      </c>
      <c r="C1378" t="s">
        <v>33</v>
      </c>
      <c r="D1378" t="s">
        <v>1808</v>
      </c>
      <c r="E1378">
        <v>19</v>
      </c>
      <c r="F1378">
        <v>32</v>
      </c>
      <c r="G1378">
        <v>2</v>
      </c>
      <c r="H1378">
        <v>47</v>
      </c>
      <c r="I1378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3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37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379" spans="1:11" x14ac:dyDescent="0.35">
      <c r="A1379">
        <v>558</v>
      </c>
      <c r="B1379">
        <v>6</v>
      </c>
      <c r="C1379" t="s">
        <v>49</v>
      </c>
      <c r="D1379" t="s">
        <v>1816</v>
      </c>
      <c r="E1379">
        <v>15</v>
      </c>
      <c r="F1379">
        <v>25</v>
      </c>
      <c r="G1379">
        <v>2</v>
      </c>
      <c r="H1379">
        <v>54</v>
      </c>
      <c r="I1379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3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37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80" spans="1:11" x14ac:dyDescent="0.35">
      <c r="A1380">
        <v>558</v>
      </c>
      <c r="B1380">
        <v>6</v>
      </c>
      <c r="C1380" t="s">
        <v>25</v>
      </c>
      <c r="D1380" t="s">
        <v>1804</v>
      </c>
      <c r="E1380">
        <v>20</v>
      </c>
      <c r="F1380">
        <v>33</v>
      </c>
      <c r="G1380">
        <v>1</v>
      </c>
      <c r="H1380">
        <v>57</v>
      </c>
      <c r="I1380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3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38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381" spans="1:11" x14ac:dyDescent="0.35">
      <c r="A1381">
        <v>558</v>
      </c>
      <c r="B1381">
        <v>6</v>
      </c>
      <c r="C1381" t="s">
        <v>33</v>
      </c>
      <c r="D1381" t="s">
        <v>1808</v>
      </c>
      <c r="E1381">
        <v>19</v>
      </c>
      <c r="F1381">
        <v>32</v>
      </c>
      <c r="G1381">
        <v>3</v>
      </c>
      <c r="H1381">
        <v>56</v>
      </c>
      <c r="I1381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3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38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382" spans="1:11" x14ac:dyDescent="0.35">
      <c r="A1382">
        <v>559</v>
      </c>
      <c r="B1382">
        <v>11</v>
      </c>
      <c r="C1382" t="s">
        <v>25</v>
      </c>
      <c r="D1382" t="s">
        <v>1804</v>
      </c>
      <c r="E1382">
        <v>20</v>
      </c>
      <c r="F1382">
        <v>33</v>
      </c>
      <c r="G1382">
        <v>3</v>
      </c>
      <c r="H1382">
        <v>41</v>
      </c>
      <c r="I1382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3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382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383" spans="1:11" x14ac:dyDescent="0.35">
      <c r="A1383">
        <v>560</v>
      </c>
      <c r="B1383">
        <v>6</v>
      </c>
      <c r="C1383" t="s">
        <v>49</v>
      </c>
      <c r="D1383" t="s">
        <v>1816</v>
      </c>
      <c r="E1383">
        <v>15</v>
      </c>
      <c r="F1383">
        <v>25</v>
      </c>
      <c r="G1383">
        <v>3</v>
      </c>
      <c r="H1383">
        <v>12</v>
      </c>
      <c r="I1383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3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38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84" spans="1:11" x14ac:dyDescent="0.35">
      <c r="A1384">
        <v>560</v>
      </c>
      <c r="B1384">
        <v>6</v>
      </c>
      <c r="C1384" t="s">
        <v>45</v>
      </c>
      <c r="D1384" t="s">
        <v>1814</v>
      </c>
      <c r="E1384">
        <v>10</v>
      </c>
      <c r="F1384">
        <v>18</v>
      </c>
      <c r="G1384">
        <v>2</v>
      </c>
      <c r="H1384">
        <v>36</v>
      </c>
      <c r="I1384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3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38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85" spans="1:11" x14ac:dyDescent="0.35">
      <c r="A1385">
        <v>561</v>
      </c>
      <c r="B1385">
        <v>4</v>
      </c>
      <c r="C1385" t="s">
        <v>41</v>
      </c>
      <c r="D1385" t="s">
        <v>1811</v>
      </c>
      <c r="E1385">
        <v>14</v>
      </c>
      <c r="F1385">
        <v>23</v>
      </c>
      <c r="G1385">
        <v>2</v>
      </c>
      <c r="H1385">
        <v>8</v>
      </c>
      <c r="I1385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3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385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386" spans="1:11" x14ac:dyDescent="0.35">
      <c r="A1386">
        <v>561</v>
      </c>
      <c r="B1386">
        <v>4</v>
      </c>
      <c r="C1386" t="s">
        <v>45</v>
      </c>
      <c r="D1386" t="s">
        <v>1814</v>
      </c>
      <c r="E1386">
        <v>10</v>
      </c>
      <c r="F1386">
        <v>18</v>
      </c>
      <c r="G1386">
        <v>1</v>
      </c>
      <c r="H1386">
        <v>56</v>
      </c>
      <c r="I1386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3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38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87" spans="1:11" x14ac:dyDescent="0.35">
      <c r="A1387">
        <v>562</v>
      </c>
      <c r="B1387">
        <v>20</v>
      </c>
      <c r="C1387" t="s">
        <v>15</v>
      </c>
      <c r="D1387" t="s">
        <v>1799</v>
      </c>
      <c r="E1387">
        <v>19</v>
      </c>
      <c r="F1387">
        <v>31</v>
      </c>
      <c r="G1387">
        <v>2</v>
      </c>
      <c r="H1387">
        <v>42</v>
      </c>
      <c r="I1387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3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8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388" spans="1:11" x14ac:dyDescent="0.35">
      <c r="A1388">
        <v>562</v>
      </c>
      <c r="B1388">
        <v>20</v>
      </c>
      <c r="C1388" t="s">
        <v>19</v>
      </c>
      <c r="D1388" t="s">
        <v>1802</v>
      </c>
      <c r="E1388">
        <v>25</v>
      </c>
      <c r="F1388">
        <v>40</v>
      </c>
      <c r="G1388">
        <v>3</v>
      </c>
      <c r="H1388">
        <v>41</v>
      </c>
      <c r="I1388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3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388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389" spans="1:11" x14ac:dyDescent="0.35">
      <c r="A1389">
        <v>562</v>
      </c>
      <c r="B1389">
        <v>20</v>
      </c>
      <c r="C1389" t="s">
        <v>9</v>
      </c>
      <c r="D1389" t="s">
        <v>1798</v>
      </c>
      <c r="E1389">
        <v>14</v>
      </c>
      <c r="F1389">
        <v>24</v>
      </c>
      <c r="G1389">
        <v>2</v>
      </c>
      <c r="H1389">
        <v>22</v>
      </c>
      <c r="I1389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3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38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390" spans="1:11" x14ac:dyDescent="0.35">
      <c r="A1390">
        <v>562</v>
      </c>
      <c r="B1390">
        <v>20</v>
      </c>
      <c r="C1390" t="s">
        <v>23</v>
      </c>
      <c r="D1390" t="s">
        <v>1803</v>
      </c>
      <c r="E1390">
        <v>17</v>
      </c>
      <c r="F1390">
        <v>29</v>
      </c>
      <c r="G1390">
        <v>2</v>
      </c>
      <c r="H1390">
        <v>7</v>
      </c>
      <c r="I1390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3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9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391" spans="1:11" x14ac:dyDescent="0.35">
      <c r="A1391">
        <v>563</v>
      </c>
      <c r="B1391">
        <v>12</v>
      </c>
      <c r="C1391" t="s">
        <v>17</v>
      </c>
      <c r="D1391" t="s">
        <v>1800</v>
      </c>
      <c r="E1391">
        <v>16</v>
      </c>
      <c r="F1391">
        <v>27</v>
      </c>
      <c r="G1391">
        <v>2</v>
      </c>
      <c r="H1391">
        <v>37</v>
      </c>
      <c r="I1391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3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391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392" spans="1:11" x14ac:dyDescent="0.35">
      <c r="A1392">
        <v>564</v>
      </c>
      <c r="B1392">
        <v>9</v>
      </c>
      <c r="C1392" t="s">
        <v>21</v>
      </c>
      <c r="D1392" t="s">
        <v>1801</v>
      </c>
      <c r="E1392">
        <v>22</v>
      </c>
      <c r="F1392">
        <v>36</v>
      </c>
      <c r="G1392">
        <v>1</v>
      </c>
      <c r="H1392">
        <v>7</v>
      </c>
      <c r="I1392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3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39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393" spans="1:11" x14ac:dyDescent="0.35">
      <c r="A1393">
        <v>564</v>
      </c>
      <c r="B1393">
        <v>9</v>
      </c>
      <c r="C1393" t="s">
        <v>19</v>
      </c>
      <c r="D1393" t="s">
        <v>1802</v>
      </c>
      <c r="E1393">
        <v>25</v>
      </c>
      <c r="F1393">
        <v>40</v>
      </c>
      <c r="G1393">
        <v>2</v>
      </c>
      <c r="H1393">
        <v>36</v>
      </c>
      <c r="I1393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3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39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394" spans="1:11" x14ac:dyDescent="0.35">
      <c r="A1394">
        <v>564</v>
      </c>
      <c r="B1394">
        <v>9</v>
      </c>
      <c r="C1394" t="s">
        <v>39</v>
      </c>
      <c r="D1394" t="s">
        <v>1812</v>
      </c>
      <c r="E1394">
        <v>12</v>
      </c>
      <c r="F1394">
        <v>20</v>
      </c>
      <c r="G1394">
        <v>2</v>
      </c>
      <c r="H1394">
        <v>11</v>
      </c>
      <c r="I1394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3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39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95" spans="1:11" x14ac:dyDescent="0.35">
      <c r="A1395">
        <v>565</v>
      </c>
      <c r="B1395">
        <v>3</v>
      </c>
      <c r="C1395" t="s">
        <v>25</v>
      </c>
      <c r="D1395" t="s">
        <v>1804</v>
      </c>
      <c r="E1395">
        <v>20</v>
      </c>
      <c r="F1395">
        <v>33</v>
      </c>
      <c r="G1395">
        <v>2</v>
      </c>
      <c r="H1395">
        <v>21</v>
      </c>
      <c r="I1395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3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39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396" spans="1:11" x14ac:dyDescent="0.35">
      <c r="A1396">
        <v>565</v>
      </c>
      <c r="B1396">
        <v>3</v>
      </c>
      <c r="C1396" t="s">
        <v>33</v>
      </c>
      <c r="D1396" t="s">
        <v>1808</v>
      </c>
      <c r="E1396">
        <v>19</v>
      </c>
      <c r="F1396">
        <v>32</v>
      </c>
      <c r="G1396">
        <v>3</v>
      </c>
      <c r="H1396">
        <v>19</v>
      </c>
      <c r="I1396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3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39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397" spans="1:11" x14ac:dyDescent="0.35">
      <c r="A1397">
        <v>565</v>
      </c>
      <c r="B1397">
        <v>3</v>
      </c>
      <c r="C1397" t="s">
        <v>45</v>
      </c>
      <c r="D1397" t="s">
        <v>1814</v>
      </c>
      <c r="E1397">
        <v>10</v>
      </c>
      <c r="F1397">
        <v>18</v>
      </c>
      <c r="G1397">
        <v>3</v>
      </c>
      <c r="H1397">
        <v>53</v>
      </c>
      <c r="I139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3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397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398" spans="1:11" x14ac:dyDescent="0.35">
      <c r="A1398">
        <v>565</v>
      </c>
      <c r="B1398">
        <v>3</v>
      </c>
      <c r="C1398" t="s">
        <v>31</v>
      </c>
      <c r="D1398" t="s">
        <v>1807</v>
      </c>
      <c r="E1398">
        <v>21</v>
      </c>
      <c r="F1398">
        <v>35</v>
      </c>
      <c r="G1398">
        <v>1</v>
      </c>
      <c r="H1398">
        <v>5</v>
      </c>
      <c r="I1398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3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39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399" spans="1:11" x14ac:dyDescent="0.35">
      <c r="A1399">
        <v>566</v>
      </c>
      <c r="B1399">
        <v>4</v>
      </c>
      <c r="C1399" t="s">
        <v>47</v>
      </c>
      <c r="D1399" t="s">
        <v>1815</v>
      </c>
      <c r="E1399">
        <v>15</v>
      </c>
      <c r="F1399">
        <v>26</v>
      </c>
      <c r="G1399">
        <v>3</v>
      </c>
      <c r="H1399">
        <v>56</v>
      </c>
      <c r="I1399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3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39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400" spans="1:11" x14ac:dyDescent="0.35">
      <c r="A1400">
        <v>567</v>
      </c>
      <c r="B1400">
        <v>15</v>
      </c>
      <c r="C1400" t="s">
        <v>25</v>
      </c>
      <c r="D1400" t="s">
        <v>1804</v>
      </c>
      <c r="E1400">
        <v>20</v>
      </c>
      <c r="F1400">
        <v>33</v>
      </c>
      <c r="G1400">
        <v>2</v>
      </c>
      <c r="H1400">
        <v>34</v>
      </c>
      <c r="I1400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4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40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01" spans="1:11" x14ac:dyDescent="0.35">
      <c r="A1401">
        <v>567</v>
      </c>
      <c r="B1401">
        <v>15</v>
      </c>
      <c r="C1401" t="s">
        <v>43</v>
      </c>
      <c r="D1401" t="s">
        <v>1813</v>
      </c>
      <c r="E1401">
        <v>13</v>
      </c>
      <c r="F1401">
        <v>21</v>
      </c>
      <c r="G1401">
        <v>3</v>
      </c>
      <c r="H1401">
        <v>41</v>
      </c>
      <c r="I1401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4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0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402" spans="1:11" x14ac:dyDescent="0.35">
      <c r="A1402">
        <v>567</v>
      </c>
      <c r="B1402">
        <v>15</v>
      </c>
      <c r="C1402" t="s">
        <v>27</v>
      </c>
      <c r="D1402" t="s">
        <v>1805</v>
      </c>
      <c r="E1402">
        <v>16</v>
      </c>
      <c r="F1402">
        <v>28</v>
      </c>
      <c r="G1402">
        <v>2</v>
      </c>
      <c r="H1402">
        <v>9</v>
      </c>
      <c r="I1402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4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02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403" spans="1:11" x14ac:dyDescent="0.35">
      <c r="A1403">
        <v>567</v>
      </c>
      <c r="B1403">
        <v>15</v>
      </c>
      <c r="C1403" t="s">
        <v>37</v>
      </c>
      <c r="D1403" t="s">
        <v>1810</v>
      </c>
      <c r="E1403">
        <v>20</v>
      </c>
      <c r="F1403">
        <v>34</v>
      </c>
      <c r="G1403">
        <v>2</v>
      </c>
      <c r="H1403">
        <v>18</v>
      </c>
      <c r="I1403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4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403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404" spans="1:11" x14ac:dyDescent="0.35">
      <c r="A1404">
        <v>568</v>
      </c>
      <c r="B1404">
        <v>5</v>
      </c>
      <c r="C1404" t="s">
        <v>37</v>
      </c>
      <c r="D1404" t="s">
        <v>1810</v>
      </c>
      <c r="E1404">
        <v>20</v>
      </c>
      <c r="F1404">
        <v>34</v>
      </c>
      <c r="G1404">
        <v>3</v>
      </c>
      <c r="H1404">
        <v>40</v>
      </c>
      <c r="I1404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4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40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405" spans="1:11" x14ac:dyDescent="0.35">
      <c r="A1405">
        <v>568</v>
      </c>
      <c r="B1405">
        <v>5</v>
      </c>
      <c r="C1405" t="s">
        <v>19</v>
      </c>
      <c r="D1405" t="s">
        <v>1802</v>
      </c>
      <c r="E1405">
        <v>25</v>
      </c>
      <c r="F1405">
        <v>40</v>
      </c>
      <c r="G1405">
        <v>2</v>
      </c>
      <c r="H1405">
        <v>44</v>
      </c>
      <c r="I1405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4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405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406" spans="1:11" x14ac:dyDescent="0.35">
      <c r="A1406">
        <v>569</v>
      </c>
      <c r="B1406">
        <v>12</v>
      </c>
      <c r="C1406" t="s">
        <v>43</v>
      </c>
      <c r="D1406" t="s">
        <v>1813</v>
      </c>
      <c r="E1406">
        <v>13</v>
      </c>
      <c r="F1406">
        <v>21</v>
      </c>
      <c r="G1406">
        <v>3</v>
      </c>
      <c r="H1406">
        <v>32</v>
      </c>
      <c r="I1406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4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0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407" spans="1:11" x14ac:dyDescent="0.35">
      <c r="A1407">
        <v>569</v>
      </c>
      <c r="B1407">
        <v>12</v>
      </c>
      <c r="C1407" t="s">
        <v>37</v>
      </c>
      <c r="D1407" t="s">
        <v>1810</v>
      </c>
      <c r="E1407">
        <v>20</v>
      </c>
      <c r="F1407">
        <v>34</v>
      </c>
      <c r="G1407">
        <v>2</v>
      </c>
      <c r="H1407">
        <v>26</v>
      </c>
      <c r="I1407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4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407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408" spans="1:11" x14ac:dyDescent="0.35">
      <c r="A1408">
        <v>570</v>
      </c>
      <c r="B1408">
        <v>1</v>
      </c>
      <c r="C1408" t="s">
        <v>47</v>
      </c>
      <c r="D1408" t="s">
        <v>1815</v>
      </c>
      <c r="E1408">
        <v>15</v>
      </c>
      <c r="F1408">
        <v>26</v>
      </c>
      <c r="G1408">
        <v>2</v>
      </c>
      <c r="H1408">
        <v>8</v>
      </c>
      <c r="I1408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4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408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409" spans="1:11" x14ac:dyDescent="0.35">
      <c r="A1409">
        <v>570</v>
      </c>
      <c r="B1409">
        <v>1</v>
      </c>
      <c r="C1409" t="s">
        <v>25</v>
      </c>
      <c r="D1409" t="s">
        <v>1804</v>
      </c>
      <c r="E1409">
        <v>20</v>
      </c>
      <c r="F1409">
        <v>33</v>
      </c>
      <c r="G1409">
        <v>1</v>
      </c>
      <c r="H1409">
        <v>38</v>
      </c>
      <c r="I1409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4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40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10" spans="1:11" x14ac:dyDescent="0.35">
      <c r="A1410">
        <v>571</v>
      </c>
      <c r="B1410">
        <v>15</v>
      </c>
      <c r="C1410" t="s">
        <v>17</v>
      </c>
      <c r="D1410" t="s">
        <v>1800</v>
      </c>
      <c r="E1410">
        <v>16</v>
      </c>
      <c r="F1410">
        <v>27</v>
      </c>
      <c r="G1410">
        <v>2</v>
      </c>
      <c r="H1410">
        <v>26</v>
      </c>
      <c r="I141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4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41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411" spans="1:11" x14ac:dyDescent="0.35">
      <c r="A1411">
        <v>572</v>
      </c>
      <c r="B1411">
        <v>19</v>
      </c>
      <c r="C1411" t="s">
        <v>12</v>
      </c>
      <c r="D1411" t="s">
        <v>1797</v>
      </c>
      <c r="E1411">
        <v>18</v>
      </c>
      <c r="F1411">
        <v>30</v>
      </c>
      <c r="G1411">
        <v>1</v>
      </c>
      <c r="H1411">
        <v>34</v>
      </c>
      <c r="I1411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4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41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12" spans="1:11" x14ac:dyDescent="0.35">
      <c r="A1412">
        <v>572</v>
      </c>
      <c r="B1412">
        <v>19</v>
      </c>
      <c r="C1412" t="s">
        <v>35</v>
      </c>
      <c r="D1412" t="s">
        <v>1809</v>
      </c>
      <c r="E1412">
        <v>13</v>
      </c>
      <c r="F1412">
        <v>22</v>
      </c>
      <c r="G1412">
        <v>2</v>
      </c>
      <c r="H1412">
        <v>10</v>
      </c>
      <c r="I1412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4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41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413" spans="1:11" x14ac:dyDescent="0.35">
      <c r="A1413">
        <v>573</v>
      </c>
      <c r="B1413">
        <v>7</v>
      </c>
      <c r="C1413" t="s">
        <v>43</v>
      </c>
      <c r="D1413" t="s">
        <v>1813</v>
      </c>
      <c r="E1413">
        <v>13</v>
      </c>
      <c r="F1413">
        <v>21</v>
      </c>
      <c r="G1413">
        <v>3</v>
      </c>
      <c r="H1413">
        <v>41</v>
      </c>
      <c r="I1413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4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1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414" spans="1:11" x14ac:dyDescent="0.35">
      <c r="A1414">
        <v>573</v>
      </c>
      <c r="B1414">
        <v>7</v>
      </c>
      <c r="C1414" t="s">
        <v>37</v>
      </c>
      <c r="D1414" t="s">
        <v>1810</v>
      </c>
      <c r="E1414">
        <v>20</v>
      </c>
      <c r="F1414">
        <v>34</v>
      </c>
      <c r="G1414">
        <v>3</v>
      </c>
      <c r="H1414">
        <v>28</v>
      </c>
      <c r="I1414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4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41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415" spans="1:11" x14ac:dyDescent="0.35">
      <c r="A1415">
        <v>574</v>
      </c>
      <c r="B1415">
        <v>20</v>
      </c>
      <c r="C1415" t="s">
        <v>47</v>
      </c>
      <c r="D1415" t="s">
        <v>1815</v>
      </c>
      <c r="E1415">
        <v>15</v>
      </c>
      <c r="F1415">
        <v>26</v>
      </c>
      <c r="G1415">
        <v>3</v>
      </c>
      <c r="H1415">
        <v>50</v>
      </c>
      <c r="I1415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4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41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416" spans="1:11" x14ac:dyDescent="0.35">
      <c r="A1416">
        <v>574</v>
      </c>
      <c r="B1416">
        <v>20</v>
      </c>
      <c r="C1416" t="s">
        <v>43</v>
      </c>
      <c r="D1416" t="s">
        <v>1813</v>
      </c>
      <c r="E1416">
        <v>13</v>
      </c>
      <c r="F1416">
        <v>21</v>
      </c>
      <c r="G1416">
        <v>1</v>
      </c>
      <c r="H1416">
        <v>41</v>
      </c>
      <c r="I1416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4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1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417" spans="1:11" x14ac:dyDescent="0.35">
      <c r="A1417">
        <v>574</v>
      </c>
      <c r="B1417">
        <v>20</v>
      </c>
      <c r="C1417" t="s">
        <v>21</v>
      </c>
      <c r="D1417" t="s">
        <v>1801</v>
      </c>
      <c r="E1417">
        <v>22</v>
      </c>
      <c r="F1417">
        <v>36</v>
      </c>
      <c r="G1417">
        <v>2</v>
      </c>
      <c r="H1417">
        <v>40</v>
      </c>
      <c r="I1417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4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417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418" spans="1:11" x14ac:dyDescent="0.35">
      <c r="A1418">
        <v>574</v>
      </c>
      <c r="B1418">
        <v>20</v>
      </c>
      <c r="C1418" t="s">
        <v>45</v>
      </c>
      <c r="D1418" t="s">
        <v>1814</v>
      </c>
      <c r="E1418">
        <v>10</v>
      </c>
      <c r="F1418">
        <v>18</v>
      </c>
      <c r="G1418">
        <v>2</v>
      </c>
      <c r="H1418">
        <v>37</v>
      </c>
      <c r="I1418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4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418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419" spans="1:11" x14ac:dyDescent="0.35">
      <c r="A1419">
        <v>575</v>
      </c>
      <c r="B1419">
        <v>15</v>
      </c>
      <c r="C1419" t="s">
        <v>45</v>
      </c>
      <c r="D1419" t="s">
        <v>1814</v>
      </c>
      <c r="E1419">
        <v>10</v>
      </c>
      <c r="F1419">
        <v>18</v>
      </c>
      <c r="G1419">
        <v>1</v>
      </c>
      <c r="H1419">
        <v>44</v>
      </c>
      <c r="I1419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4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1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420" spans="1:11" x14ac:dyDescent="0.35">
      <c r="A1420">
        <v>576</v>
      </c>
      <c r="B1420">
        <v>9</v>
      </c>
      <c r="C1420" t="s">
        <v>25</v>
      </c>
      <c r="D1420" t="s">
        <v>1804</v>
      </c>
      <c r="E1420">
        <v>20</v>
      </c>
      <c r="F1420">
        <v>33</v>
      </c>
      <c r="G1420">
        <v>1</v>
      </c>
      <c r="H1420">
        <v>46</v>
      </c>
      <c r="I1420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4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42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21" spans="1:11" x14ac:dyDescent="0.35">
      <c r="A1421">
        <v>576</v>
      </c>
      <c r="B1421">
        <v>9</v>
      </c>
      <c r="C1421" t="s">
        <v>15</v>
      </c>
      <c r="D1421" t="s">
        <v>1799</v>
      </c>
      <c r="E1421">
        <v>19</v>
      </c>
      <c r="F1421">
        <v>31</v>
      </c>
      <c r="G1421">
        <v>3</v>
      </c>
      <c r="H1421">
        <v>32</v>
      </c>
      <c r="I1421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4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421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422" spans="1:11" x14ac:dyDescent="0.35">
      <c r="A1422">
        <v>576</v>
      </c>
      <c r="B1422">
        <v>9</v>
      </c>
      <c r="C1422" t="s">
        <v>21</v>
      </c>
      <c r="D1422" t="s">
        <v>1801</v>
      </c>
      <c r="E1422">
        <v>22</v>
      </c>
      <c r="F1422">
        <v>36</v>
      </c>
      <c r="G1422">
        <v>3</v>
      </c>
      <c r="H1422">
        <v>37</v>
      </c>
      <c r="I1422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4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42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423" spans="1:11" x14ac:dyDescent="0.35">
      <c r="A1423">
        <v>577</v>
      </c>
      <c r="B1423">
        <v>5</v>
      </c>
      <c r="C1423" t="s">
        <v>45</v>
      </c>
      <c r="D1423" t="s">
        <v>1814</v>
      </c>
      <c r="E1423">
        <v>10</v>
      </c>
      <c r="F1423">
        <v>18</v>
      </c>
      <c r="G1423">
        <v>1</v>
      </c>
      <c r="H1423">
        <v>10</v>
      </c>
      <c r="I1423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4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2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424" spans="1:11" x14ac:dyDescent="0.35">
      <c r="A1424">
        <v>577</v>
      </c>
      <c r="B1424">
        <v>5</v>
      </c>
      <c r="C1424" t="s">
        <v>35</v>
      </c>
      <c r="D1424" t="s">
        <v>1809</v>
      </c>
      <c r="E1424">
        <v>13</v>
      </c>
      <c r="F1424">
        <v>22</v>
      </c>
      <c r="G1424">
        <v>1</v>
      </c>
      <c r="H1424">
        <v>15</v>
      </c>
      <c r="I1424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4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424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425" spans="1:11" x14ac:dyDescent="0.35">
      <c r="A1425">
        <v>578</v>
      </c>
      <c r="B1425">
        <v>11</v>
      </c>
      <c r="C1425" t="s">
        <v>12</v>
      </c>
      <c r="D1425" t="s">
        <v>1797</v>
      </c>
      <c r="E1425">
        <v>18</v>
      </c>
      <c r="F1425">
        <v>30</v>
      </c>
      <c r="G1425">
        <v>3</v>
      </c>
      <c r="H1425">
        <v>44</v>
      </c>
      <c r="I1425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4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42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26" spans="1:11" x14ac:dyDescent="0.35">
      <c r="A1426">
        <v>579</v>
      </c>
      <c r="B1426">
        <v>9</v>
      </c>
      <c r="C1426" t="s">
        <v>49</v>
      </c>
      <c r="D1426" t="s">
        <v>1816</v>
      </c>
      <c r="E1426">
        <v>15</v>
      </c>
      <c r="F1426">
        <v>25</v>
      </c>
      <c r="G1426">
        <v>2</v>
      </c>
      <c r="H1426">
        <v>48</v>
      </c>
      <c r="I1426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4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42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27" spans="1:11" x14ac:dyDescent="0.35">
      <c r="A1427">
        <v>580</v>
      </c>
      <c r="B1427">
        <v>10</v>
      </c>
      <c r="C1427" t="s">
        <v>25</v>
      </c>
      <c r="D1427" t="s">
        <v>1804</v>
      </c>
      <c r="E1427">
        <v>20</v>
      </c>
      <c r="F1427">
        <v>33</v>
      </c>
      <c r="G1427">
        <v>1</v>
      </c>
      <c r="H1427">
        <v>30</v>
      </c>
      <c r="I1427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4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427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28" spans="1:11" x14ac:dyDescent="0.35">
      <c r="A1428">
        <v>581</v>
      </c>
      <c r="B1428">
        <v>18</v>
      </c>
      <c r="C1428" t="s">
        <v>25</v>
      </c>
      <c r="D1428" t="s">
        <v>1804</v>
      </c>
      <c r="E1428">
        <v>20</v>
      </c>
      <c r="F1428">
        <v>33</v>
      </c>
      <c r="G1428">
        <v>1</v>
      </c>
      <c r="H1428">
        <v>15</v>
      </c>
      <c r="I1428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4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428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29" spans="1:11" x14ac:dyDescent="0.35">
      <c r="A1429">
        <v>581</v>
      </c>
      <c r="B1429">
        <v>18</v>
      </c>
      <c r="C1429" t="s">
        <v>12</v>
      </c>
      <c r="D1429" t="s">
        <v>1797</v>
      </c>
      <c r="E1429">
        <v>18</v>
      </c>
      <c r="F1429">
        <v>30</v>
      </c>
      <c r="G1429">
        <v>3</v>
      </c>
      <c r="H1429">
        <v>40</v>
      </c>
      <c r="I1429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4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42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30" spans="1:11" x14ac:dyDescent="0.35">
      <c r="A1430">
        <v>582</v>
      </c>
      <c r="B1430">
        <v>3</v>
      </c>
      <c r="C1430" t="s">
        <v>17</v>
      </c>
      <c r="D1430" t="s">
        <v>1800</v>
      </c>
      <c r="E1430">
        <v>16</v>
      </c>
      <c r="F1430">
        <v>27</v>
      </c>
      <c r="G1430">
        <v>2</v>
      </c>
      <c r="H1430">
        <v>42</v>
      </c>
      <c r="I143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4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43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431" spans="1:11" x14ac:dyDescent="0.35">
      <c r="A1431">
        <v>583</v>
      </c>
      <c r="B1431">
        <v>9</v>
      </c>
      <c r="C1431" t="s">
        <v>29</v>
      </c>
      <c r="D1431" t="s">
        <v>1806</v>
      </c>
      <c r="E1431">
        <v>11</v>
      </c>
      <c r="F1431">
        <v>19</v>
      </c>
      <c r="G1431">
        <v>3</v>
      </c>
      <c r="H1431">
        <v>15</v>
      </c>
      <c r="I1431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4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31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432" spans="1:11" x14ac:dyDescent="0.35">
      <c r="A1432">
        <v>583</v>
      </c>
      <c r="B1432">
        <v>9</v>
      </c>
      <c r="C1432" t="s">
        <v>19</v>
      </c>
      <c r="D1432" t="s">
        <v>1802</v>
      </c>
      <c r="E1432">
        <v>25</v>
      </c>
      <c r="F1432">
        <v>40</v>
      </c>
      <c r="G1432">
        <v>3</v>
      </c>
      <c r="H1432">
        <v>50</v>
      </c>
      <c r="I1432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4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43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433" spans="1:11" x14ac:dyDescent="0.35">
      <c r="A1433">
        <v>583</v>
      </c>
      <c r="B1433">
        <v>9</v>
      </c>
      <c r="C1433" t="s">
        <v>45</v>
      </c>
      <c r="D1433" t="s">
        <v>1814</v>
      </c>
      <c r="E1433">
        <v>10</v>
      </c>
      <c r="F1433">
        <v>18</v>
      </c>
      <c r="G1433">
        <v>1</v>
      </c>
      <c r="H1433">
        <v>11</v>
      </c>
      <c r="I1433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4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3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434" spans="1:11" x14ac:dyDescent="0.35">
      <c r="A1434">
        <v>583</v>
      </c>
      <c r="B1434">
        <v>9</v>
      </c>
      <c r="C1434" t="s">
        <v>9</v>
      </c>
      <c r="D1434" t="s">
        <v>1798</v>
      </c>
      <c r="E1434">
        <v>14</v>
      </c>
      <c r="F1434">
        <v>24</v>
      </c>
      <c r="G1434">
        <v>2</v>
      </c>
      <c r="H1434">
        <v>29</v>
      </c>
      <c r="I1434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4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43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435" spans="1:11" x14ac:dyDescent="0.35">
      <c r="A1435">
        <v>584</v>
      </c>
      <c r="B1435">
        <v>9</v>
      </c>
      <c r="C1435" t="s">
        <v>43</v>
      </c>
      <c r="D1435" t="s">
        <v>1813</v>
      </c>
      <c r="E1435">
        <v>13</v>
      </c>
      <c r="F1435">
        <v>21</v>
      </c>
      <c r="G1435">
        <v>1</v>
      </c>
      <c r="H1435">
        <v>57</v>
      </c>
      <c r="I1435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4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35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436" spans="1:11" x14ac:dyDescent="0.35">
      <c r="A1436">
        <v>584</v>
      </c>
      <c r="B1436">
        <v>9</v>
      </c>
      <c r="C1436" t="s">
        <v>27</v>
      </c>
      <c r="D1436" t="s">
        <v>1805</v>
      </c>
      <c r="E1436">
        <v>16</v>
      </c>
      <c r="F1436">
        <v>28</v>
      </c>
      <c r="G1436">
        <v>2</v>
      </c>
      <c r="H1436">
        <v>23</v>
      </c>
      <c r="I1436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4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3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437" spans="1:11" x14ac:dyDescent="0.35">
      <c r="A1437">
        <v>584</v>
      </c>
      <c r="B1437">
        <v>9</v>
      </c>
      <c r="C1437" t="s">
        <v>15</v>
      </c>
      <c r="D1437" t="s">
        <v>1799</v>
      </c>
      <c r="E1437">
        <v>19</v>
      </c>
      <c r="F1437">
        <v>31</v>
      </c>
      <c r="G1437">
        <v>2</v>
      </c>
      <c r="H1437">
        <v>34</v>
      </c>
      <c r="I1437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4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3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438" spans="1:11" x14ac:dyDescent="0.35">
      <c r="A1438">
        <v>585</v>
      </c>
      <c r="B1438">
        <v>3</v>
      </c>
      <c r="C1438" t="s">
        <v>49</v>
      </c>
      <c r="D1438" t="s">
        <v>1816</v>
      </c>
      <c r="E1438">
        <v>15</v>
      </c>
      <c r="F1438">
        <v>25</v>
      </c>
      <c r="G1438">
        <v>1</v>
      </c>
      <c r="H1438">
        <v>30</v>
      </c>
      <c r="I1438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4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43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39" spans="1:11" x14ac:dyDescent="0.35">
      <c r="A1439">
        <v>585</v>
      </c>
      <c r="B1439">
        <v>3</v>
      </c>
      <c r="C1439" t="s">
        <v>33</v>
      </c>
      <c r="D1439" t="s">
        <v>1808</v>
      </c>
      <c r="E1439">
        <v>19</v>
      </c>
      <c r="F1439">
        <v>32</v>
      </c>
      <c r="G1439">
        <v>1</v>
      </c>
      <c r="H1439">
        <v>35</v>
      </c>
      <c r="I1439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4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43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440" spans="1:11" x14ac:dyDescent="0.35">
      <c r="A1440">
        <v>585</v>
      </c>
      <c r="B1440">
        <v>3</v>
      </c>
      <c r="C1440" t="s">
        <v>45</v>
      </c>
      <c r="D1440" t="s">
        <v>1814</v>
      </c>
      <c r="E1440">
        <v>10</v>
      </c>
      <c r="F1440">
        <v>18</v>
      </c>
      <c r="G1440">
        <v>2</v>
      </c>
      <c r="H1440">
        <v>22</v>
      </c>
      <c r="I1440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4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440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441" spans="1:11" x14ac:dyDescent="0.35">
      <c r="A1441">
        <v>585</v>
      </c>
      <c r="B1441">
        <v>3</v>
      </c>
      <c r="C1441" t="s">
        <v>31</v>
      </c>
      <c r="D1441" t="s">
        <v>1807</v>
      </c>
      <c r="E1441">
        <v>21</v>
      </c>
      <c r="F1441">
        <v>35</v>
      </c>
      <c r="G1441">
        <v>1</v>
      </c>
      <c r="H1441">
        <v>8</v>
      </c>
      <c r="I1441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4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44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42" spans="1:11" x14ac:dyDescent="0.35">
      <c r="A1442">
        <v>586</v>
      </c>
      <c r="B1442">
        <v>17</v>
      </c>
      <c r="C1442" t="s">
        <v>25</v>
      </c>
      <c r="D1442" t="s">
        <v>1804</v>
      </c>
      <c r="E1442">
        <v>20</v>
      </c>
      <c r="F1442">
        <v>33</v>
      </c>
      <c r="G1442">
        <v>3</v>
      </c>
      <c r="H1442">
        <v>47</v>
      </c>
      <c r="I1442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4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442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43" spans="1:11" x14ac:dyDescent="0.35">
      <c r="A1443">
        <v>586</v>
      </c>
      <c r="B1443">
        <v>17</v>
      </c>
      <c r="C1443" t="s">
        <v>9</v>
      </c>
      <c r="D1443" t="s">
        <v>1798</v>
      </c>
      <c r="E1443">
        <v>14</v>
      </c>
      <c r="F1443">
        <v>24</v>
      </c>
      <c r="G1443">
        <v>3</v>
      </c>
      <c r="H1443">
        <v>45</v>
      </c>
      <c r="I1443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4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443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444" spans="1:11" x14ac:dyDescent="0.35">
      <c r="A1444">
        <v>587</v>
      </c>
      <c r="B1444">
        <v>7</v>
      </c>
      <c r="C1444" t="s">
        <v>9</v>
      </c>
      <c r="D1444" t="s">
        <v>1798</v>
      </c>
      <c r="E1444">
        <v>14</v>
      </c>
      <c r="F1444">
        <v>24</v>
      </c>
      <c r="G1444">
        <v>2</v>
      </c>
      <c r="H1444">
        <v>43</v>
      </c>
      <c r="I1444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4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44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445" spans="1:11" x14ac:dyDescent="0.35">
      <c r="A1445">
        <v>588</v>
      </c>
      <c r="B1445">
        <v>15</v>
      </c>
      <c r="C1445" t="s">
        <v>49</v>
      </c>
      <c r="D1445" t="s">
        <v>1816</v>
      </c>
      <c r="E1445">
        <v>15</v>
      </c>
      <c r="F1445">
        <v>25</v>
      </c>
      <c r="G1445">
        <v>3</v>
      </c>
      <c r="H1445">
        <v>12</v>
      </c>
      <c r="I1445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4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44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46" spans="1:11" x14ac:dyDescent="0.35">
      <c r="A1446">
        <v>588</v>
      </c>
      <c r="B1446">
        <v>15</v>
      </c>
      <c r="C1446" t="s">
        <v>47</v>
      </c>
      <c r="D1446" t="s">
        <v>1815</v>
      </c>
      <c r="E1446">
        <v>15</v>
      </c>
      <c r="F1446">
        <v>26</v>
      </c>
      <c r="G1446">
        <v>1</v>
      </c>
      <c r="H1446">
        <v>25</v>
      </c>
      <c r="I1446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4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446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447" spans="1:11" x14ac:dyDescent="0.35">
      <c r="A1447">
        <v>589</v>
      </c>
      <c r="B1447">
        <v>10</v>
      </c>
      <c r="C1447" t="s">
        <v>43</v>
      </c>
      <c r="D1447" t="s">
        <v>1813</v>
      </c>
      <c r="E1447">
        <v>13</v>
      </c>
      <c r="F1447">
        <v>21</v>
      </c>
      <c r="G1447">
        <v>3</v>
      </c>
      <c r="H1447">
        <v>7</v>
      </c>
      <c r="I1447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4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4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448" spans="1:11" x14ac:dyDescent="0.35">
      <c r="A1448">
        <v>589</v>
      </c>
      <c r="B1448">
        <v>10</v>
      </c>
      <c r="C1448" t="s">
        <v>41</v>
      </c>
      <c r="D1448" t="s">
        <v>1811</v>
      </c>
      <c r="E1448">
        <v>14</v>
      </c>
      <c r="F1448">
        <v>23</v>
      </c>
      <c r="G1448">
        <v>1</v>
      </c>
      <c r="H1448">
        <v>45</v>
      </c>
      <c r="I1448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4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44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449" spans="1:11" x14ac:dyDescent="0.35">
      <c r="A1449">
        <v>589</v>
      </c>
      <c r="B1449">
        <v>10</v>
      </c>
      <c r="C1449" t="s">
        <v>33</v>
      </c>
      <c r="D1449" t="s">
        <v>1808</v>
      </c>
      <c r="E1449">
        <v>19</v>
      </c>
      <c r="F1449">
        <v>32</v>
      </c>
      <c r="G1449">
        <v>3</v>
      </c>
      <c r="H1449">
        <v>9</v>
      </c>
      <c r="I1449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4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44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450" spans="1:11" x14ac:dyDescent="0.35">
      <c r="A1450">
        <v>589</v>
      </c>
      <c r="B1450">
        <v>10</v>
      </c>
      <c r="C1450" t="s">
        <v>37</v>
      </c>
      <c r="D1450" t="s">
        <v>1810</v>
      </c>
      <c r="E1450">
        <v>20</v>
      </c>
      <c r="F1450">
        <v>34</v>
      </c>
      <c r="G1450">
        <v>3</v>
      </c>
      <c r="H1450">
        <v>59</v>
      </c>
      <c r="I1450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4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45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451" spans="1:11" x14ac:dyDescent="0.35">
      <c r="A1451">
        <v>590</v>
      </c>
      <c r="B1451">
        <v>3</v>
      </c>
      <c r="C1451" t="s">
        <v>37</v>
      </c>
      <c r="D1451" t="s">
        <v>1810</v>
      </c>
      <c r="E1451">
        <v>20</v>
      </c>
      <c r="F1451">
        <v>34</v>
      </c>
      <c r="G1451">
        <v>3</v>
      </c>
      <c r="H1451">
        <v>43</v>
      </c>
      <c r="I1451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4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45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452" spans="1:11" x14ac:dyDescent="0.35">
      <c r="A1452">
        <v>590</v>
      </c>
      <c r="B1452">
        <v>3</v>
      </c>
      <c r="C1452" t="s">
        <v>39</v>
      </c>
      <c r="D1452" t="s">
        <v>1812</v>
      </c>
      <c r="E1452">
        <v>12</v>
      </c>
      <c r="F1452">
        <v>20</v>
      </c>
      <c r="G1452">
        <v>1</v>
      </c>
      <c r="H1452">
        <v>21</v>
      </c>
      <c r="I1452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4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5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53" spans="1:11" x14ac:dyDescent="0.35">
      <c r="A1453">
        <v>591</v>
      </c>
      <c r="B1453">
        <v>11</v>
      </c>
      <c r="C1453" t="s">
        <v>19</v>
      </c>
      <c r="D1453" t="s">
        <v>1802</v>
      </c>
      <c r="E1453">
        <v>25</v>
      </c>
      <c r="F1453">
        <v>40</v>
      </c>
      <c r="G1453">
        <v>3</v>
      </c>
      <c r="H1453">
        <v>51</v>
      </c>
      <c r="I1453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4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45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454" spans="1:11" x14ac:dyDescent="0.35">
      <c r="A1454">
        <v>592</v>
      </c>
      <c r="B1454">
        <v>5</v>
      </c>
      <c r="C1454" t="s">
        <v>49</v>
      </c>
      <c r="D1454" t="s">
        <v>1816</v>
      </c>
      <c r="E1454">
        <v>15</v>
      </c>
      <c r="F1454">
        <v>25</v>
      </c>
      <c r="G1454">
        <v>2</v>
      </c>
      <c r="H1454">
        <v>42</v>
      </c>
      <c r="I1454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4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45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55" spans="1:11" x14ac:dyDescent="0.35">
      <c r="A1455">
        <v>592</v>
      </c>
      <c r="B1455">
        <v>5</v>
      </c>
      <c r="C1455" t="s">
        <v>35</v>
      </c>
      <c r="D1455" t="s">
        <v>1809</v>
      </c>
      <c r="E1455">
        <v>13</v>
      </c>
      <c r="F1455">
        <v>22</v>
      </c>
      <c r="G1455">
        <v>2</v>
      </c>
      <c r="H1455">
        <v>59</v>
      </c>
      <c r="I1455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4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455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456" spans="1:11" x14ac:dyDescent="0.35">
      <c r="A1456">
        <v>593</v>
      </c>
      <c r="B1456">
        <v>17</v>
      </c>
      <c r="C1456" t="s">
        <v>25</v>
      </c>
      <c r="D1456" t="s">
        <v>1804</v>
      </c>
      <c r="E1456">
        <v>20</v>
      </c>
      <c r="F1456">
        <v>33</v>
      </c>
      <c r="G1456">
        <v>2</v>
      </c>
      <c r="H1456">
        <v>5</v>
      </c>
      <c r="I1456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4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456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57" spans="1:11" x14ac:dyDescent="0.35">
      <c r="A1457">
        <v>593</v>
      </c>
      <c r="B1457">
        <v>17</v>
      </c>
      <c r="C1457" t="s">
        <v>15</v>
      </c>
      <c r="D1457" t="s">
        <v>1799</v>
      </c>
      <c r="E1457">
        <v>19</v>
      </c>
      <c r="F1457">
        <v>31</v>
      </c>
      <c r="G1457">
        <v>1</v>
      </c>
      <c r="H1457">
        <v>8</v>
      </c>
      <c r="I1457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4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45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458" spans="1:11" x14ac:dyDescent="0.35">
      <c r="A1458">
        <v>593</v>
      </c>
      <c r="B1458">
        <v>17</v>
      </c>
      <c r="C1458" t="s">
        <v>21</v>
      </c>
      <c r="D1458" t="s">
        <v>1801</v>
      </c>
      <c r="E1458">
        <v>22</v>
      </c>
      <c r="F1458">
        <v>36</v>
      </c>
      <c r="G1458">
        <v>2</v>
      </c>
      <c r="H1458">
        <v>5</v>
      </c>
      <c r="I145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4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45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459" spans="1:11" x14ac:dyDescent="0.35">
      <c r="A1459">
        <v>593</v>
      </c>
      <c r="B1459">
        <v>17</v>
      </c>
      <c r="C1459" t="s">
        <v>19</v>
      </c>
      <c r="D1459" t="s">
        <v>1802</v>
      </c>
      <c r="E1459">
        <v>25</v>
      </c>
      <c r="F1459">
        <v>40</v>
      </c>
      <c r="G1459">
        <v>1</v>
      </c>
      <c r="H1459">
        <v>30</v>
      </c>
      <c r="I1459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4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459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460" spans="1:11" x14ac:dyDescent="0.35">
      <c r="A1460">
        <v>594</v>
      </c>
      <c r="B1460">
        <v>17</v>
      </c>
      <c r="C1460" t="s">
        <v>25</v>
      </c>
      <c r="D1460" t="s">
        <v>1804</v>
      </c>
      <c r="E1460">
        <v>20</v>
      </c>
      <c r="F1460">
        <v>33</v>
      </c>
      <c r="G1460">
        <v>1</v>
      </c>
      <c r="H1460">
        <v>5</v>
      </c>
      <c r="I1460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4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46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461" spans="1:11" x14ac:dyDescent="0.35">
      <c r="A1461">
        <v>594</v>
      </c>
      <c r="B1461">
        <v>17</v>
      </c>
      <c r="C1461" t="s">
        <v>39</v>
      </c>
      <c r="D1461" t="s">
        <v>1812</v>
      </c>
      <c r="E1461">
        <v>12</v>
      </c>
      <c r="F1461">
        <v>20</v>
      </c>
      <c r="G1461">
        <v>2</v>
      </c>
      <c r="H1461">
        <v>49</v>
      </c>
      <c r="I1461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4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46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62" spans="1:11" x14ac:dyDescent="0.35">
      <c r="A1462">
        <v>594</v>
      </c>
      <c r="B1462">
        <v>17</v>
      </c>
      <c r="C1462" t="s">
        <v>35</v>
      </c>
      <c r="D1462" t="s">
        <v>1809</v>
      </c>
      <c r="E1462">
        <v>13</v>
      </c>
      <c r="F1462">
        <v>22</v>
      </c>
      <c r="G1462">
        <v>3</v>
      </c>
      <c r="H1462">
        <v>44</v>
      </c>
      <c r="I1462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4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46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463" spans="1:11" x14ac:dyDescent="0.35">
      <c r="A1463">
        <v>595</v>
      </c>
      <c r="B1463">
        <v>9</v>
      </c>
      <c r="C1463" t="s">
        <v>43</v>
      </c>
      <c r="D1463" t="s">
        <v>1813</v>
      </c>
      <c r="E1463">
        <v>13</v>
      </c>
      <c r="F1463">
        <v>21</v>
      </c>
      <c r="G1463">
        <v>2</v>
      </c>
      <c r="H1463">
        <v>5</v>
      </c>
      <c r="I1463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4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46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464" spans="1:11" x14ac:dyDescent="0.35">
      <c r="A1464">
        <v>595</v>
      </c>
      <c r="B1464">
        <v>9</v>
      </c>
      <c r="C1464" t="s">
        <v>12</v>
      </c>
      <c r="D1464" t="s">
        <v>1797</v>
      </c>
      <c r="E1464">
        <v>18</v>
      </c>
      <c r="F1464">
        <v>30</v>
      </c>
      <c r="G1464">
        <v>1</v>
      </c>
      <c r="H1464">
        <v>44</v>
      </c>
      <c r="I1464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4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46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65" spans="1:11" x14ac:dyDescent="0.35">
      <c r="A1465">
        <v>596</v>
      </c>
      <c r="B1465">
        <v>18</v>
      </c>
      <c r="C1465" t="s">
        <v>49</v>
      </c>
      <c r="D1465" t="s">
        <v>1816</v>
      </c>
      <c r="E1465">
        <v>15</v>
      </c>
      <c r="F1465">
        <v>25</v>
      </c>
      <c r="G1465">
        <v>2</v>
      </c>
      <c r="H1465">
        <v>19</v>
      </c>
      <c r="I1465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4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46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66" spans="1:11" x14ac:dyDescent="0.35">
      <c r="A1466">
        <v>596</v>
      </c>
      <c r="B1466">
        <v>18</v>
      </c>
      <c r="C1466" t="s">
        <v>41</v>
      </c>
      <c r="D1466" t="s">
        <v>1811</v>
      </c>
      <c r="E1466">
        <v>14</v>
      </c>
      <c r="F1466">
        <v>23</v>
      </c>
      <c r="G1466">
        <v>2</v>
      </c>
      <c r="H1466">
        <v>47</v>
      </c>
      <c r="I1466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4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46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467" spans="1:11" x14ac:dyDescent="0.35">
      <c r="A1467">
        <v>596</v>
      </c>
      <c r="B1467">
        <v>18</v>
      </c>
      <c r="C1467" t="s">
        <v>33</v>
      </c>
      <c r="D1467" t="s">
        <v>1808</v>
      </c>
      <c r="E1467">
        <v>19</v>
      </c>
      <c r="F1467">
        <v>32</v>
      </c>
      <c r="G1467">
        <v>3</v>
      </c>
      <c r="H1467">
        <v>42</v>
      </c>
      <c r="I1467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4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46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468" spans="1:11" x14ac:dyDescent="0.35">
      <c r="A1468">
        <v>596</v>
      </c>
      <c r="B1468">
        <v>18</v>
      </c>
      <c r="C1468" t="s">
        <v>9</v>
      </c>
      <c r="D1468" t="s">
        <v>1798</v>
      </c>
      <c r="E1468">
        <v>14</v>
      </c>
      <c r="F1468">
        <v>24</v>
      </c>
      <c r="G1468">
        <v>2</v>
      </c>
      <c r="H1468">
        <v>50</v>
      </c>
      <c r="I1468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4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46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469" spans="1:11" x14ac:dyDescent="0.35">
      <c r="A1469">
        <v>597</v>
      </c>
      <c r="B1469">
        <v>16</v>
      </c>
      <c r="C1469" t="s">
        <v>27</v>
      </c>
      <c r="D1469" t="s">
        <v>1805</v>
      </c>
      <c r="E1469">
        <v>16</v>
      </c>
      <c r="F1469">
        <v>28</v>
      </c>
      <c r="G1469">
        <v>1</v>
      </c>
      <c r="H1469">
        <v>39</v>
      </c>
      <c r="I1469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4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469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470" spans="1:11" x14ac:dyDescent="0.35">
      <c r="A1470">
        <v>597</v>
      </c>
      <c r="B1470">
        <v>16</v>
      </c>
      <c r="C1470" t="s">
        <v>19</v>
      </c>
      <c r="D1470" t="s">
        <v>1802</v>
      </c>
      <c r="E1470">
        <v>25</v>
      </c>
      <c r="F1470">
        <v>40</v>
      </c>
      <c r="G1470">
        <v>2</v>
      </c>
      <c r="H1470">
        <v>39</v>
      </c>
      <c r="I1470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4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470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471" spans="1:11" x14ac:dyDescent="0.35">
      <c r="A1471">
        <v>597</v>
      </c>
      <c r="B1471">
        <v>16</v>
      </c>
      <c r="C1471" t="s">
        <v>45</v>
      </c>
      <c r="D1471" t="s">
        <v>1814</v>
      </c>
      <c r="E1471">
        <v>10</v>
      </c>
      <c r="F1471">
        <v>18</v>
      </c>
      <c r="G1471">
        <v>1</v>
      </c>
      <c r="H1471">
        <v>55</v>
      </c>
      <c r="I1471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4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7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472" spans="1:11" x14ac:dyDescent="0.35">
      <c r="A1472">
        <v>597</v>
      </c>
      <c r="B1472">
        <v>16</v>
      </c>
      <c r="C1472" t="s">
        <v>9</v>
      </c>
      <c r="D1472" t="s">
        <v>1798</v>
      </c>
      <c r="E1472">
        <v>14</v>
      </c>
      <c r="F1472">
        <v>24</v>
      </c>
      <c r="G1472">
        <v>1</v>
      </c>
      <c r="H1472">
        <v>8</v>
      </c>
      <c r="I1472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4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47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473" spans="1:11" x14ac:dyDescent="0.35">
      <c r="A1473">
        <v>598</v>
      </c>
      <c r="B1473">
        <v>9</v>
      </c>
      <c r="C1473" t="s">
        <v>47</v>
      </c>
      <c r="D1473" t="s">
        <v>1815</v>
      </c>
      <c r="E1473">
        <v>15</v>
      </c>
      <c r="F1473">
        <v>26</v>
      </c>
      <c r="G1473">
        <v>2</v>
      </c>
      <c r="H1473">
        <v>44</v>
      </c>
      <c r="I1473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4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47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474" spans="1:11" x14ac:dyDescent="0.35">
      <c r="A1474">
        <v>598</v>
      </c>
      <c r="B1474">
        <v>9</v>
      </c>
      <c r="C1474" t="s">
        <v>33</v>
      </c>
      <c r="D1474" t="s">
        <v>1808</v>
      </c>
      <c r="E1474">
        <v>19</v>
      </c>
      <c r="F1474">
        <v>32</v>
      </c>
      <c r="G1474">
        <v>2</v>
      </c>
      <c r="H1474">
        <v>22</v>
      </c>
      <c r="I1474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4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47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475" spans="1:11" x14ac:dyDescent="0.35">
      <c r="A1475">
        <v>598</v>
      </c>
      <c r="B1475">
        <v>9</v>
      </c>
      <c r="C1475" t="s">
        <v>15</v>
      </c>
      <c r="D1475" t="s">
        <v>1799</v>
      </c>
      <c r="E1475">
        <v>19</v>
      </c>
      <c r="F1475">
        <v>31</v>
      </c>
      <c r="G1475">
        <v>3</v>
      </c>
      <c r="H1475">
        <v>15</v>
      </c>
      <c r="I1475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4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47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476" spans="1:11" x14ac:dyDescent="0.35">
      <c r="A1476">
        <v>599</v>
      </c>
      <c r="B1476">
        <v>11</v>
      </c>
      <c r="C1476" t="s">
        <v>15</v>
      </c>
      <c r="D1476" t="s">
        <v>1799</v>
      </c>
      <c r="E1476">
        <v>19</v>
      </c>
      <c r="F1476">
        <v>31</v>
      </c>
      <c r="G1476">
        <v>1</v>
      </c>
      <c r="H1476">
        <v>49</v>
      </c>
      <c r="I1476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4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47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477" spans="1:11" x14ac:dyDescent="0.35">
      <c r="A1477">
        <v>599</v>
      </c>
      <c r="B1477">
        <v>11</v>
      </c>
      <c r="C1477" t="s">
        <v>37</v>
      </c>
      <c r="D1477" t="s">
        <v>1810</v>
      </c>
      <c r="E1477">
        <v>20</v>
      </c>
      <c r="F1477">
        <v>34</v>
      </c>
      <c r="G1477">
        <v>2</v>
      </c>
      <c r="H1477">
        <v>5</v>
      </c>
      <c r="I1477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4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477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478" spans="1:11" x14ac:dyDescent="0.35">
      <c r="A1478">
        <v>599</v>
      </c>
      <c r="B1478">
        <v>11</v>
      </c>
      <c r="C1478" t="s">
        <v>31</v>
      </c>
      <c r="D1478" t="s">
        <v>1807</v>
      </c>
      <c r="E1478">
        <v>21</v>
      </c>
      <c r="F1478">
        <v>35</v>
      </c>
      <c r="G1478">
        <v>2</v>
      </c>
      <c r="H1478">
        <v>54</v>
      </c>
      <c r="I1478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4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47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79" spans="1:11" x14ac:dyDescent="0.35">
      <c r="A1479">
        <v>600</v>
      </c>
      <c r="B1479">
        <v>14</v>
      </c>
      <c r="C1479" t="s">
        <v>27</v>
      </c>
      <c r="D1479" t="s">
        <v>1805</v>
      </c>
      <c r="E1479">
        <v>16</v>
      </c>
      <c r="F1479">
        <v>28</v>
      </c>
      <c r="G1479">
        <v>3</v>
      </c>
      <c r="H1479">
        <v>22</v>
      </c>
      <c r="I1479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4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479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480" spans="1:11" x14ac:dyDescent="0.35">
      <c r="A1480">
        <v>600</v>
      </c>
      <c r="B1480">
        <v>14</v>
      </c>
      <c r="C1480" t="s">
        <v>12</v>
      </c>
      <c r="D1480" t="s">
        <v>1797</v>
      </c>
      <c r="E1480">
        <v>18</v>
      </c>
      <c r="F1480">
        <v>30</v>
      </c>
      <c r="G1480">
        <v>2</v>
      </c>
      <c r="H1480">
        <v>43</v>
      </c>
      <c r="I1480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4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8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81" spans="1:11" x14ac:dyDescent="0.35">
      <c r="A1481">
        <v>601</v>
      </c>
      <c r="B1481">
        <v>13</v>
      </c>
      <c r="C1481" t="s">
        <v>41</v>
      </c>
      <c r="D1481" t="s">
        <v>1811</v>
      </c>
      <c r="E1481">
        <v>14</v>
      </c>
      <c r="F1481">
        <v>23</v>
      </c>
      <c r="G1481">
        <v>1</v>
      </c>
      <c r="H1481">
        <v>44</v>
      </c>
      <c r="I1481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4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481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482" spans="1:11" x14ac:dyDescent="0.35">
      <c r="A1482">
        <v>601</v>
      </c>
      <c r="B1482">
        <v>13</v>
      </c>
      <c r="C1482" t="s">
        <v>27</v>
      </c>
      <c r="D1482" t="s">
        <v>1805</v>
      </c>
      <c r="E1482">
        <v>16</v>
      </c>
      <c r="F1482">
        <v>28</v>
      </c>
      <c r="G1482">
        <v>3</v>
      </c>
      <c r="H1482">
        <v>28</v>
      </c>
      <c r="I1482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4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482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483" spans="1:11" x14ac:dyDescent="0.35">
      <c r="A1483">
        <v>601</v>
      </c>
      <c r="B1483">
        <v>13</v>
      </c>
      <c r="C1483" t="s">
        <v>19</v>
      </c>
      <c r="D1483" t="s">
        <v>1802</v>
      </c>
      <c r="E1483">
        <v>25</v>
      </c>
      <c r="F1483">
        <v>40</v>
      </c>
      <c r="G1483">
        <v>2</v>
      </c>
      <c r="H1483">
        <v>11</v>
      </c>
      <c r="I1483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4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48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484" spans="1:11" x14ac:dyDescent="0.35">
      <c r="A1484">
        <v>601</v>
      </c>
      <c r="B1484">
        <v>13</v>
      </c>
      <c r="C1484" t="s">
        <v>31</v>
      </c>
      <c r="D1484" t="s">
        <v>1807</v>
      </c>
      <c r="E1484">
        <v>21</v>
      </c>
      <c r="F1484">
        <v>35</v>
      </c>
      <c r="G1484">
        <v>3</v>
      </c>
      <c r="H1484">
        <v>32</v>
      </c>
      <c r="I1484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4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48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85" spans="1:11" x14ac:dyDescent="0.35">
      <c r="A1485">
        <v>602</v>
      </c>
      <c r="B1485">
        <v>12</v>
      </c>
      <c r="C1485" t="s">
        <v>12</v>
      </c>
      <c r="D1485" t="s">
        <v>1797</v>
      </c>
      <c r="E1485">
        <v>18</v>
      </c>
      <c r="F1485">
        <v>30</v>
      </c>
      <c r="G1485">
        <v>3</v>
      </c>
      <c r="H1485">
        <v>12</v>
      </c>
      <c r="I1485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4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48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86" spans="1:11" x14ac:dyDescent="0.35">
      <c r="A1486">
        <v>602</v>
      </c>
      <c r="B1486">
        <v>12</v>
      </c>
      <c r="C1486" t="s">
        <v>19</v>
      </c>
      <c r="D1486" t="s">
        <v>1802</v>
      </c>
      <c r="E1486">
        <v>25</v>
      </c>
      <c r="F1486">
        <v>40</v>
      </c>
      <c r="G1486">
        <v>1</v>
      </c>
      <c r="H1486">
        <v>36</v>
      </c>
      <c r="I1486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4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486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487" spans="1:11" x14ac:dyDescent="0.35">
      <c r="A1487">
        <v>602</v>
      </c>
      <c r="B1487">
        <v>12</v>
      </c>
      <c r="C1487" t="s">
        <v>35</v>
      </c>
      <c r="D1487" t="s">
        <v>1809</v>
      </c>
      <c r="E1487">
        <v>13</v>
      </c>
      <c r="F1487">
        <v>22</v>
      </c>
      <c r="G1487">
        <v>3</v>
      </c>
      <c r="H1487">
        <v>58</v>
      </c>
      <c r="I1487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4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48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488" spans="1:11" x14ac:dyDescent="0.35">
      <c r="A1488">
        <v>602</v>
      </c>
      <c r="B1488">
        <v>12</v>
      </c>
      <c r="C1488" t="s">
        <v>31</v>
      </c>
      <c r="D1488" t="s">
        <v>1807</v>
      </c>
      <c r="E1488">
        <v>21</v>
      </c>
      <c r="F1488">
        <v>35</v>
      </c>
      <c r="G1488">
        <v>2</v>
      </c>
      <c r="H1488">
        <v>56</v>
      </c>
      <c r="I1488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4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48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89" spans="1:11" x14ac:dyDescent="0.35">
      <c r="A1489">
        <v>603</v>
      </c>
      <c r="B1489">
        <v>19</v>
      </c>
      <c r="C1489" t="s">
        <v>15</v>
      </c>
      <c r="D1489" t="s">
        <v>1799</v>
      </c>
      <c r="E1489">
        <v>19</v>
      </c>
      <c r="F1489">
        <v>31</v>
      </c>
      <c r="G1489">
        <v>2</v>
      </c>
      <c r="H1489">
        <v>17</v>
      </c>
      <c r="I1489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4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48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490" spans="1:11" x14ac:dyDescent="0.35">
      <c r="A1490">
        <v>604</v>
      </c>
      <c r="B1490">
        <v>14</v>
      </c>
      <c r="C1490" t="s">
        <v>31</v>
      </c>
      <c r="D1490" t="s">
        <v>1807</v>
      </c>
      <c r="E1490">
        <v>21</v>
      </c>
      <c r="F1490">
        <v>35</v>
      </c>
      <c r="G1490">
        <v>3</v>
      </c>
      <c r="H1490">
        <v>42</v>
      </c>
      <c r="I1490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4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49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91" spans="1:11" x14ac:dyDescent="0.35">
      <c r="A1491">
        <v>605</v>
      </c>
      <c r="B1491">
        <v>19</v>
      </c>
      <c r="C1491" t="s">
        <v>12</v>
      </c>
      <c r="D1491" t="s">
        <v>1797</v>
      </c>
      <c r="E1491">
        <v>18</v>
      </c>
      <c r="F1491">
        <v>30</v>
      </c>
      <c r="G1491">
        <v>3</v>
      </c>
      <c r="H1491">
        <v>50</v>
      </c>
      <c r="I1491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4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49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92" spans="1:11" x14ac:dyDescent="0.35">
      <c r="A1492">
        <v>605</v>
      </c>
      <c r="B1492">
        <v>19</v>
      </c>
      <c r="C1492" t="s">
        <v>19</v>
      </c>
      <c r="D1492" t="s">
        <v>1802</v>
      </c>
      <c r="E1492">
        <v>25</v>
      </c>
      <c r="F1492">
        <v>40</v>
      </c>
      <c r="G1492">
        <v>1</v>
      </c>
      <c r="H1492">
        <v>24</v>
      </c>
      <c r="I1492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4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49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493" spans="1:11" x14ac:dyDescent="0.35">
      <c r="A1493">
        <v>605</v>
      </c>
      <c r="B1493">
        <v>19</v>
      </c>
      <c r="C1493" t="s">
        <v>39</v>
      </c>
      <c r="D1493" t="s">
        <v>1812</v>
      </c>
      <c r="E1493">
        <v>12</v>
      </c>
      <c r="F1493">
        <v>20</v>
      </c>
      <c r="G1493">
        <v>1</v>
      </c>
      <c r="H1493">
        <v>47</v>
      </c>
      <c r="I1493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4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49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94" spans="1:11" x14ac:dyDescent="0.35">
      <c r="A1494">
        <v>605</v>
      </c>
      <c r="B1494">
        <v>19</v>
      </c>
      <c r="C1494" t="s">
        <v>31</v>
      </c>
      <c r="D1494" t="s">
        <v>1807</v>
      </c>
      <c r="E1494">
        <v>21</v>
      </c>
      <c r="F1494">
        <v>35</v>
      </c>
      <c r="G1494">
        <v>2</v>
      </c>
      <c r="H1494">
        <v>55</v>
      </c>
      <c r="I1494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4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49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95" spans="1:11" x14ac:dyDescent="0.35">
      <c r="A1495">
        <v>606</v>
      </c>
      <c r="B1495">
        <v>1</v>
      </c>
      <c r="C1495" t="s">
        <v>49</v>
      </c>
      <c r="D1495" t="s">
        <v>1816</v>
      </c>
      <c r="E1495">
        <v>15</v>
      </c>
      <c r="F1495">
        <v>25</v>
      </c>
      <c r="G1495">
        <v>2</v>
      </c>
      <c r="H1495">
        <v>47</v>
      </c>
      <c r="I1495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4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49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496" spans="1:11" x14ac:dyDescent="0.35">
      <c r="A1496">
        <v>606</v>
      </c>
      <c r="B1496">
        <v>1</v>
      </c>
      <c r="C1496" t="s">
        <v>47</v>
      </c>
      <c r="D1496" t="s">
        <v>1815</v>
      </c>
      <c r="E1496">
        <v>15</v>
      </c>
      <c r="F1496">
        <v>26</v>
      </c>
      <c r="G1496">
        <v>2</v>
      </c>
      <c r="H1496">
        <v>50</v>
      </c>
      <c r="I1496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4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496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497" spans="1:11" x14ac:dyDescent="0.35">
      <c r="A1497">
        <v>606</v>
      </c>
      <c r="B1497">
        <v>1</v>
      </c>
      <c r="C1497" t="s">
        <v>17</v>
      </c>
      <c r="D1497" t="s">
        <v>1800</v>
      </c>
      <c r="E1497">
        <v>16</v>
      </c>
      <c r="F1497">
        <v>27</v>
      </c>
      <c r="G1497">
        <v>3</v>
      </c>
      <c r="H1497">
        <v>48</v>
      </c>
      <c r="I1497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4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49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498" spans="1:11" x14ac:dyDescent="0.35">
      <c r="A1498">
        <v>607</v>
      </c>
      <c r="B1498">
        <v>10</v>
      </c>
      <c r="C1498" t="s">
        <v>27</v>
      </c>
      <c r="D1498" t="s">
        <v>1805</v>
      </c>
      <c r="E1498">
        <v>16</v>
      </c>
      <c r="F1498">
        <v>28</v>
      </c>
      <c r="G1498">
        <v>1</v>
      </c>
      <c r="H1498">
        <v>44</v>
      </c>
      <c r="I1498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4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498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499" spans="1:11" x14ac:dyDescent="0.35">
      <c r="A1499">
        <v>607</v>
      </c>
      <c r="B1499">
        <v>10</v>
      </c>
      <c r="C1499" t="s">
        <v>19</v>
      </c>
      <c r="D1499" t="s">
        <v>1802</v>
      </c>
      <c r="E1499">
        <v>25</v>
      </c>
      <c r="F1499">
        <v>40</v>
      </c>
      <c r="G1499">
        <v>1</v>
      </c>
      <c r="H1499">
        <v>25</v>
      </c>
      <c r="I1499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4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499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500" spans="1:11" x14ac:dyDescent="0.35">
      <c r="A1500">
        <v>608</v>
      </c>
      <c r="B1500">
        <v>7</v>
      </c>
      <c r="C1500" t="s">
        <v>23</v>
      </c>
      <c r="D1500" t="s">
        <v>1803</v>
      </c>
      <c r="E1500">
        <v>17</v>
      </c>
      <c r="F1500">
        <v>29</v>
      </c>
      <c r="G1500">
        <v>1</v>
      </c>
      <c r="H1500">
        <v>45</v>
      </c>
      <c r="I1500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5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50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501" spans="1:11" x14ac:dyDescent="0.35">
      <c r="A1501">
        <v>609</v>
      </c>
      <c r="B1501">
        <v>1</v>
      </c>
      <c r="C1501" t="s">
        <v>33</v>
      </c>
      <c r="D1501" t="s">
        <v>1808</v>
      </c>
      <c r="E1501">
        <v>19</v>
      </c>
      <c r="F1501">
        <v>32</v>
      </c>
      <c r="G1501">
        <v>1</v>
      </c>
      <c r="H1501">
        <v>27</v>
      </c>
      <c r="I1501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5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50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502" spans="1:11" x14ac:dyDescent="0.35">
      <c r="A1502">
        <v>610</v>
      </c>
      <c r="B1502">
        <v>19</v>
      </c>
      <c r="C1502" t="s">
        <v>47</v>
      </c>
      <c r="D1502" t="s">
        <v>1815</v>
      </c>
      <c r="E1502">
        <v>15</v>
      </c>
      <c r="F1502">
        <v>26</v>
      </c>
      <c r="G1502">
        <v>1</v>
      </c>
      <c r="H1502">
        <v>39</v>
      </c>
      <c r="I1502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5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50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503" spans="1:11" x14ac:dyDescent="0.35">
      <c r="A1503">
        <v>610</v>
      </c>
      <c r="B1503">
        <v>19</v>
      </c>
      <c r="C1503" t="s">
        <v>45</v>
      </c>
      <c r="D1503" t="s">
        <v>1814</v>
      </c>
      <c r="E1503">
        <v>10</v>
      </c>
      <c r="F1503">
        <v>18</v>
      </c>
      <c r="G1503">
        <v>1</v>
      </c>
      <c r="H1503">
        <v>8</v>
      </c>
      <c r="I1503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5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50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504" spans="1:11" x14ac:dyDescent="0.35">
      <c r="A1504">
        <v>611</v>
      </c>
      <c r="B1504">
        <v>13</v>
      </c>
      <c r="C1504" t="s">
        <v>43</v>
      </c>
      <c r="D1504" t="s">
        <v>1813</v>
      </c>
      <c r="E1504">
        <v>13</v>
      </c>
      <c r="F1504">
        <v>21</v>
      </c>
      <c r="G1504">
        <v>2</v>
      </c>
      <c r="H1504">
        <v>53</v>
      </c>
      <c r="I1504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5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0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505" spans="1:11" x14ac:dyDescent="0.35">
      <c r="A1505">
        <v>611</v>
      </c>
      <c r="B1505">
        <v>13</v>
      </c>
      <c r="C1505" t="s">
        <v>21</v>
      </c>
      <c r="D1505" t="s">
        <v>1801</v>
      </c>
      <c r="E1505">
        <v>22</v>
      </c>
      <c r="F1505">
        <v>36</v>
      </c>
      <c r="G1505">
        <v>1</v>
      </c>
      <c r="H1505">
        <v>30</v>
      </c>
      <c r="I150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5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50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506" spans="1:11" x14ac:dyDescent="0.35">
      <c r="A1506">
        <v>612</v>
      </c>
      <c r="B1506">
        <v>11</v>
      </c>
      <c r="C1506" t="s">
        <v>27</v>
      </c>
      <c r="D1506" t="s">
        <v>1805</v>
      </c>
      <c r="E1506">
        <v>16</v>
      </c>
      <c r="F1506">
        <v>28</v>
      </c>
      <c r="G1506">
        <v>2</v>
      </c>
      <c r="H1506">
        <v>15</v>
      </c>
      <c r="I1506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5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0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507" spans="1:11" x14ac:dyDescent="0.35">
      <c r="A1507">
        <v>612</v>
      </c>
      <c r="B1507">
        <v>11</v>
      </c>
      <c r="C1507" t="s">
        <v>21</v>
      </c>
      <c r="D1507" t="s">
        <v>1801</v>
      </c>
      <c r="E1507">
        <v>22</v>
      </c>
      <c r="F1507">
        <v>36</v>
      </c>
      <c r="G1507">
        <v>3</v>
      </c>
      <c r="H1507">
        <v>37</v>
      </c>
      <c r="I1507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5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507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508" spans="1:11" x14ac:dyDescent="0.35">
      <c r="A1508">
        <v>612</v>
      </c>
      <c r="B1508">
        <v>11</v>
      </c>
      <c r="C1508" t="s">
        <v>39</v>
      </c>
      <c r="D1508" t="s">
        <v>1812</v>
      </c>
      <c r="E1508">
        <v>12</v>
      </c>
      <c r="F1508">
        <v>20</v>
      </c>
      <c r="G1508">
        <v>2</v>
      </c>
      <c r="H1508">
        <v>51</v>
      </c>
      <c r="I1508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5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0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09" spans="1:11" x14ac:dyDescent="0.35">
      <c r="A1509">
        <v>612</v>
      </c>
      <c r="B1509">
        <v>11</v>
      </c>
      <c r="C1509" t="s">
        <v>17</v>
      </c>
      <c r="D1509" t="s">
        <v>1800</v>
      </c>
      <c r="E1509">
        <v>16</v>
      </c>
      <c r="F1509">
        <v>27</v>
      </c>
      <c r="G1509">
        <v>1</v>
      </c>
      <c r="H1509">
        <v>26</v>
      </c>
      <c r="I1509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15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509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510" spans="1:11" x14ac:dyDescent="0.35">
      <c r="A1510">
        <v>613</v>
      </c>
      <c r="B1510">
        <v>1</v>
      </c>
      <c r="C1510" t="s">
        <v>29</v>
      </c>
      <c r="D1510" t="s">
        <v>1806</v>
      </c>
      <c r="E1510">
        <v>11</v>
      </c>
      <c r="F1510">
        <v>19</v>
      </c>
      <c r="G1510">
        <v>3</v>
      </c>
      <c r="H1510">
        <v>41</v>
      </c>
      <c r="I1510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5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10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511" spans="1:11" x14ac:dyDescent="0.35">
      <c r="A1511">
        <v>613</v>
      </c>
      <c r="B1511">
        <v>1</v>
      </c>
      <c r="C1511" t="s">
        <v>41</v>
      </c>
      <c r="D1511" t="s">
        <v>1811</v>
      </c>
      <c r="E1511">
        <v>14</v>
      </c>
      <c r="F1511">
        <v>23</v>
      </c>
      <c r="G1511">
        <v>3</v>
      </c>
      <c r="H1511">
        <v>23</v>
      </c>
      <c r="I1511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5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511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512" spans="1:11" x14ac:dyDescent="0.35">
      <c r="A1512">
        <v>613</v>
      </c>
      <c r="B1512">
        <v>1</v>
      </c>
      <c r="C1512" t="s">
        <v>45</v>
      </c>
      <c r="D1512" t="s">
        <v>1814</v>
      </c>
      <c r="E1512">
        <v>10</v>
      </c>
      <c r="F1512">
        <v>18</v>
      </c>
      <c r="G1512">
        <v>3</v>
      </c>
      <c r="H1512">
        <v>31</v>
      </c>
      <c r="I1512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5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1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513" spans="1:11" x14ac:dyDescent="0.35">
      <c r="A1513">
        <v>613</v>
      </c>
      <c r="B1513">
        <v>1</v>
      </c>
      <c r="C1513" t="s">
        <v>31</v>
      </c>
      <c r="D1513" t="s">
        <v>1807</v>
      </c>
      <c r="E1513">
        <v>21</v>
      </c>
      <c r="F1513">
        <v>35</v>
      </c>
      <c r="G1513">
        <v>3</v>
      </c>
      <c r="H1513">
        <v>57</v>
      </c>
      <c r="I1513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5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51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14" spans="1:11" x14ac:dyDescent="0.35">
      <c r="A1514">
        <v>614</v>
      </c>
      <c r="B1514">
        <v>19</v>
      </c>
      <c r="C1514" t="s">
        <v>9</v>
      </c>
      <c r="D1514" t="s">
        <v>1798</v>
      </c>
      <c r="E1514">
        <v>14</v>
      </c>
      <c r="F1514">
        <v>24</v>
      </c>
      <c r="G1514">
        <v>3</v>
      </c>
      <c r="H1514">
        <v>50</v>
      </c>
      <c r="I1514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5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51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515" spans="1:11" x14ac:dyDescent="0.35">
      <c r="A1515">
        <v>615</v>
      </c>
      <c r="B1515">
        <v>7</v>
      </c>
      <c r="C1515" t="s">
        <v>49</v>
      </c>
      <c r="D1515" t="s">
        <v>1816</v>
      </c>
      <c r="E1515">
        <v>15</v>
      </c>
      <c r="F1515">
        <v>25</v>
      </c>
      <c r="G1515">
        <v>3</v>
      </c>
      <c r="H1515">
        <v>41</v>
      </c>
      <c r="I1515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5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51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16" spans="1:11" x14ac:dyDescent="0.35">
      <c r="A1516">
        <v>615</v>
      </c>
      <c r="B1516">
        <v>7</v>
      </c>
      <c r="C1516" t="s">
        <v>41</v>
      </c>
      <c r="D1516" t="s">
        <v>1811</v>
      </c>
      <c r="E1516">
        <v>14</v>
      </c>
      <c r="F1516">
        <v>23</v>
      </c>
      <c r="G1516">
        <v>3</v>
      </c>
      <c r="H1516">
        <v>43</v>
      </c>
      <c r="I1516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5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51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517" spans="1:11" x14ac:dyDescent="0.35">
      <c r="A1517">
        <v>615</v>
      </c>
      <c r="B1517">
        <v>7</v>
      </c>
      <c r="C1517" t="s">
        <v>33</v>
      </c>
      <c r="D1517" t="s">
        <v>1808</v>
      </c>
      <c r="E1517">
        <v>19</v>
      </c>
      <c r="F1517">
        <v>32</v>
      </c>
      <c r="G1517">
        <v>3</v>
      </c>
      <c r="H1517">
        <v>22</v>
      </c>
      <c r="I1517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5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51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518" spans="1:11" x14ac:dyDescent="0.35">
      <c r="A1518">
        <v>615</v>
      </c>
      <c r="B1518">
        <v>7</v>
      </c>
      <c r="C1518" t="s">
        <v>15</v>
      </c>
      <c r="D1518" t="s">
        <v>1799</v>
      </c>
      <c r="E1518">
        <v>19</v>
      </c>
      <c r="F1518">
        <v>31</v>
      </c>
      <c r="G1518">
        <v>3</v>
      </c>
      <c r="H1518">
        <v>50</v>
      </c>
      <c r="I1518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5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1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519" spans="1:11" x14ac:dyDescent="0.35">
      <c r="A1519">
        <v>616</v>
      </c>
      <c r="B1519">
        <v>4</v>
      </c>
      <c r="C1519" t="s">
        <v>12</v>
      </c>
      <c r="D1519" t="s">
        <v>1797</v>
      </c>
      <c r="E1519">
        <v>18</v>
      </c>
      <c r="F1519">
        <v>30</v>
      </c>
      <c r="G1519">
        <v>2</v>
      </c>
      <c r="H1519">
        <v>14</v>
      </c>
      <c r="I151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5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1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20" spans="1:11" x14ac:dyDescent="0.35">
      <c r="A1520">
        <v>616</v>
      </c>
      <c r="B1520">
        <v>4</v>
      </c>
      <c r="C1520" t="s">
        <v>9</v>
      </c>
      <c r="D1520" t="s">
        <v>1798</v>
      </c>
      <c r="E1520">
        <v>14</v>
      </c>
      <c r="F1520">
        <v>24</v>
      </c>
      <c r="G1520">
        <v>3</v>
      </c>
      <c r="H1520">
        <v>33</v>
      </c>
      <c r="I1520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5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520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521" spans="1:11" x14ac:dyDescent="0.35">
      <c r="A1521">
        <v>617</v>
      </c>
      <c r="B1521">
        <v>13</v>
      </c>
      <c r="C1521" t="s">
        <v>47</v>
      </c>
      <c r="D1521" t="s">
        <v>1815</v>
      </c>
      <c r="E1521">
        <v>15</v>
      </c>
      <c r="F1521">
        <v>26</v>
      </c>
      <c r="G1521">
        <v>2</v>
      </c>
      <c r="H1521">
        <v>18</v>
      </c>
      <c r="I1521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5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52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522" spans="1:11" x14ac:dyDescent="0.35">
      <c r="A1522">
        <v>617</v>
      </c>
      <c r="B1522">
        <v>13</v>
      </c>
      <c r="C1522" t="s">
        <v>12</v>
      </c>
      <c r="D1522" t="s">
        <v>1797</v>
      </c>
      <c r="E1522">
        <v>18</v>
      </c>
      <c r="F1522">
        <v>30</v>
      </c>
      <c r="G1522">
        <v>3</v>
      </c>
      <c r="H1522">
        <v>33</v>
      </c>
      <c r="I1522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5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2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23" spans="1:11" x14ac:dyDescent="0.35">
      <c r="A1523">
        <v>618</v>
      </c>
      <c r="B1523">
        <v>3</v>
      </c>
      <c r="C1523" t="s">
        <v>33</v>
      </c>
      <c r="D1523" t="s">
        <v>1808</v>
      </c>
      <c r="E1523">
        <v>19</v>
      </c>
      <c r="F1523">
        <v>32</v>
      </c>
      <c r="G1523">
        <v>2</v>
      </c>
      <c r="H1523">
        <v>6</v>
      </c>
      <c r="I1523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5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52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524" spans="1:11" x14ac:dyDescent="0.35">
      <c r="A1524">
        <v>618</v>
      </c>
      <c r="B1524">
        <v>3</v>
      </c>
      <c r="C1524" t="s">
        <v>15</v>
      </c>
      <c r="D1524" t="s">
        <v>1799</v>
      </c>
      <c r="E1524">
        <v>19</v>
      </c>
      <c r="F1524">
        <v>31</v>
      </c>
      <c r="G1524">
        <v>3</v>
      </c>
      <c r="H1524">
        <v>35</v>
      </c>
      <c r="I1524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5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2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525" spans="1:11" x14ac:dyDescent="0.35">
      <c r="A1525">
        <v>618</v>
      </c>
      <c r="B1525">
        <v>3</v>
      </c>
      <c r="C1525" t="s">
        <v>21</v>
      </c>
      <c r="D1525" t="s">
        <v>1801</v>
      </c>
      <c r="E1525">
        <v>22</v>
      </c>
      <c r="F1525">
        <v>36</v>
      </c>
      <c r="G1525">
        <v>3</v>
      </c>
      <c r="H1525">
        <v>53</v>
      </c>
      <c r="I1525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5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52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526" spans="1:11" x14ac:dyDescent="0.35">
      <c r="A1526">
        <v>618</v>
      </c>
      <c r="B1526">
        <v>3</v>
      </c>
      <c r="C1526" t="s">
        <v>45</v>
      </c>
      <c r="D1526" t="s">
        <v>1814</v>
      </c>
      <c r="E1526">
        <v>10</v>
      </c>
      <c r="F1526">
        <v>18</v>
      </c>
      <c r="G1526">
        <v>3</v>
      </c>
      <c r="H1526">
        <v>24</v>
      </c>
      <c r="I1526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5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2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527" spans="1:11" x14ac:dyDescent="0.35">
      <c r="A1527">
        <v>619</v>
      </c>
      <c r="B1527">
        <v>6</v>
      </c>
      <c r="C1527" t="s">
        <v>47</v>
      </c>
      <c r="D1527" t="s">
        <v>1815</v>
      </c>
      <c r="E1527">
        <v>15</v>
      </c>
      <c r="F1527">
        <v>26</v>
      </c>
      <c r="G1527">
        <v>3</v>
      </c>
      <c r="H1527">
        <v>56</v>
      </c>
      <c r="I1527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5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52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528" spans="1:11" x14ac:dyDescent="0.35">
      <c r="A1528">
        <v>619</v>
      </c>
      <c r="B1528">
        <v>6</v>
      </c>
      <c r="C1528" t="s">
        <v>17</v>
      </c>
      <c r="D1528" t="s">
        <v>1800</v>
      </c>
      <c r="E1528">
        <v>16</v>
      </c>
      <c r="F1528">
        <v>27</v>
      </c>
      <c r="G1528">
        <v>2</v>
      </c>
      <c r="H1528">
        <v>40</v>
      </c>
      <c r="I1528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5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528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529" spans="1:11" x14ac:dyDescent="0.35">
      <c r="A1529">
        <v>620</v>
      </c>
      <c r="B1529">
        <v>16</v>
      </c>
      <c r="C1529" t="s">
        <v>29</v>
      </c>
      <c r="D1529" t="s">
        <v>1806</v>
      </c>
      <c r="E1529">
        <v>11</v>
      </c>
      <c r="F1529">
        <v>19</v>
      </c>
      <c r="G1529">
        <v>3</v>
      </c>
      <c r="H1529">
        <v>40</v>
      </c>
      <c r="I1529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5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29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530" spans="1:11" x14ac:dyDescent="0.35">
      <c r="A1530">
        <v>621</v>
      </c>
      <c r="B1530">
        <v>5</v>
      </c>
      <c r="C1530" t="s">
        <v>31</v>
      </c>
      <c r="D1530" t="s">
        <v>1807</v>
      </c>
      <c r="E1530">
        <v>21</v>
      </c>
      <c r="F1530">
        <v>35</v>
      </c>
      <c r="G1530">
        <v>3</v>
      </c>
      <c r="H1530">
        <v>8</v>
      </c>
      <c r="I1530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5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53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31" spans="1:11" x14ac:dyDescent="0.35">
      <c r="A1531">
        <v>622</v>
      </c>
      <c r="B1531">
        <v>7</v>
      </c>
      <c r="C1531" t="s">
        <v>27</v>
      </c>
      <c r="D1531" t="s">
        <v>1805</v>
      </c>
      <c r="E1531">
        <v>16</v>
      </c>
      <c r="F1531">
        <v>28</v>
      </c>
      <c r="G1531">
        <v>1</v>
      </c>
      <c r="H1531">
        <v>25</v>
      </c>
      <c r="I1531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5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531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532" spans="1:11" x14ac:dyDescent="0.35">
      <c r="A1532">
        <v>622</v>
      </c>
      <c r="B1532">
        <v>7</v>
      </c>
      <c r="C1532" t="s">
        <v>15</v>
      </c>
      <c r="D1532" t="s">
        <v>1799</v>
      </c>
      <c r="E1532">
        <v>19</v>
      </c>
      <c r="F1532">
        <v>31</v>
      </c>
      <c r="G1532">
        <v>3</v>
      </c>
      <c r="H1532">
        <v>53</v>
      </c>
      <c r="I1532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5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3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533" spans="1:11" x14ac:dyDescent="0.35">
      <c r="A1533">
        <v>623</v>
      </c>
      <c r="B1533">
        <v>13</v>
      </c>
      <c r="C1533" t="s">
        <v>49</v>
      </c>
      <c r="D1533" t="s">
        <v>1816</v>
      </c>
      <c r="E1533">
        <v>15</v>
      </c>
      <c r="F1533">
        <v>25</v>
      </c>
      <c r="G1533">
        <v>1</v>
      </c>
      <c r="H1533">
        <v>20</v>
      </c>
      <c r="I1533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5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53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34" spans="1:11" x14ac:dyDescent="0.35">
      <c r="A1534">
        <v>623</v>
      </c>
      <c r="B1534">
        <v>13</v>
      </c>
      <c r="C1534" t="s">
        <v>33</v>
      </c>
      <c r="D1534" t="s">
        <v>1808</v>
      </c>
      <c r="E1534">
        <v>19</v>
      </c>
      <c r="F1534">
        <v>32</v>
      </c>
      <c r="G1534">
        <v>3</v>
      </c>
      <c r="H1534">
        <v>43</v>
      </c>
      <c r="I1534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5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53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535" spans="1:11" x14ac:dyDescent="0.35">
      <c r="A1535">
        <v>623</v>
      </c>
      <c r="B1535">
        <v>13</v>
      </c>
      <c r="C1535" t="s">
        <v>35</v>
      </c>
      <c r="D1535" t="s">
        <v>1809</v>
      </c>
      <c r="E1535">
        <v>13</v>
      </c>
      <c r="F1535">
        <v>22</v>
      </c>
      <c r="G1535">
        <v>2</v>
      </c>
      <c r="H1535">
        <v>23</v>
      </c>
      <c r="I1535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5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535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536" spans="1:11" x14ac:dyDescent="0.35">
      <c r="A1536">
        <v>623</v>
      </c>
      <c r="B1536">
        <v>13</v>
      </c>
      <c r="C1536" t="s">
        <v>31</v>
      </c>
      <c r="D1536" t="s">
        <v>1807</v>
      </c>
      <c r="E1536">
        <v>21</v>
      </c>
      <c r="F1536">
        <v>35</v>
      </c>
      <c r="G1536">
        <v>2</v>
      </c>
      <c r="H1536">
        <v>59</v>
      </c>
      <c r="I1536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5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53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37" spans="1:11" x14ac:dyDescent="0.35">
      <c r="A1537">
        <v>624</v>
      </c>
      <c r="B1537">
        <v>1</v>
      </c>
      <c r="C1537" t="s">
        <v>43</v>
      </c>
      <c r="D1537" t="s">
        <v>1813</v>
      </c>
      <c r="E1537">
        <v>13</v>
      </c>
      <c r="F1537">
        <v>21</v>
      </c>
      <c r="G1537">
        <v>2</v>
      </c>
      <c r="H1537">
        <v>15</v>
      </c>
      <c r="I1537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5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3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538" spans="1:11" x14ac:dyDescent="0.35">
      <c r="A1538">
        <v>624</v>
      </c>
      <c r="B1538">
        <v>1</v>
      </c>
      <c r="C1538" t="s">
        <v>21</v>
      </c>
      <c r="D1538" t="s">
        <v>1801</v>
      </c>
      <c r="E1538">
        <v>22</v>
      </c>
      <c r="F1538">
        <v>36</v>
      </c>
      <c r="G1538">
        <v>1</v>
      </c>
      <c r="H1538">
        <v>19</v>
      </c>
      <c r="I1538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5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53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539" spans="1:11" x14ac:dyDescent="0.35">
      <c r="A1539">
        <v>624</v>
      </c>
      <c r="B1539">
        <v>1</v>
      </c>
      <c r="C1539" t="s">
        <v>9</v>
      </c>
      <c r="D1539" t="s">
        <v>1798</v>
      </c>
      <c r="E1539">
        <v>14</v>
      </c>
      <c r="F1539">
        <v>24</v>
      </c>
      <c r="G1539">
        <v>1</v>
      </c>
      <c r="H1539">
        <v>45</v>
      </c>
      <c r="I1539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5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539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540" spans="1:11" x14ac:dyDescent="0.35">
      <c r="A1540">
        <v>625</v>
      </c>
      <c r="B1540">
        <v>5</v>
      </c>
      <c r="C1540" t="s">
        <v>43</v>
      </c>
      <c r="D1540" t="s">
        <v>1813</v>
      </c>
      <c r="E1540">
        <v>13</v>
      </c>
      <c r="F1540">
        <v>21</v>
      </c>
      <c r="G1540">
        <v>3</v>
      </c>
      <c r="H1540">
        <v>39</v>
      </c>
      <c r="I1540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5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40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541" spans="1:11" x14ac:dyDescent="0.35">
      <c r="A1541">
        <v>625</v>
      </c>
      <c r="B1541">
        <v>5</v>
      </c>
      <c r="C1541" t="s">
        <v>19</v>
      </c>
      <c r="D1541" t="s">
        <v>1802</v>
      </c>
      <c r="E1541">
        <v>25</v>
      </c>
      <c r="F1541">
        <v>40</v>
      </c>
      <c r="G1541">
        <v>1</v>
      </c>
      <c r="H1541">
        <v>46</v>
      </c>
      <c r="I1541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5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541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542" spans="1:11" x14ac:dyDescent="0.35">
      <c r="A1542">
        <v>625</v>
      </c>
      <c r="B1542">
        <v>5</v>
      </c>
      <c r="C1542" t="s">
        <v>45</v>
      </c>
      <c r="D1542" t="s">
        <v>1814</v>
      </c>
      <c r="E1542">
        <v>10</v>
      </c>
      <c r="F1542">
        <v>18</v>
      </c>
      <c r="G1542">
        <v>2</v>
      </c>
      <c r="H1542">
        <v>12</v>
      </c>
      <c r="I1542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5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4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543" spans="1:11" x14ac:dyDescent="0.35">
      <c r="A1543">
        <v>626</v>
      </c>
      <c r="B1543">
        <v>14</v>
      </c>
      <c r="C1543" t="s">
        <v>12</v>
      </c>
      <c r="D1543" t="s">
        <v>1797</v>
      </c>
      <c r="E1543">
        <v>18</v>
      </c>
      <c r="F1543">
        <v>30</v>
      </c>
      <c r="G1543">
        <v>2</v>
      </c>
      <c r="H1543">
        <v>11</v>
      </c>
      <c r="I154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5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4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44" spans="1:11" x14ac:dyDescent="0.35">
      <c r="A1544">
        <v>626</v>
      </c>
      <c r="B1544">
        <v>14</v>
      </c>
      <c r="C1544" t="s">
        <v>9</v>
      </c>
      <c r="D1544" t="s">
        <v>1798</v>
      </c>
      <c r="E1544">
        <v>14</v>
      </c>
      <c r="F1544">
        <v>24</v>
      </c>
      <c r="G1544">
        <v>2</v>
      </c>
      <c r="H1544">
        <v>36</v>
      </c>
      <c r="I1544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5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54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545" spans="1:11" x14ac:dyDescent="0.35">
      <c r="A1545">
        <v>626</v>
      </c>
      <c r="B1545">
        <v>14</v>
      </c>
      <c r="C1545" t="s">
        <v>23</v>
      </c>
      <c r="D1545" t="s">
        <v>1803</v>
      </c>
      <c r="E1545">
        <v>17</v>
      </c>
      <c r="F1545">
        <v>29</v>
      </c>
      <c r="G1545">
        <v>1</v>
      </c>
      <c r="H1545">
        <v>11</v>
      </c>
      <c r="I1545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5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545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546" spans="1:11" x14ac:dyDescent="0.35">
      <c r="A1546">
        <v>627</v>
      </c>
      <c r="B1546">
        <v>4</v>
      </c>
      <c r="C1546" t="s">
        <v>43</v>
      </c>
      <c r="D1546" t="s">
        <v>1813</v>
      </c>
      <c r="E1546">
        <v>13</v>
      </c>
      <c r="F1546">
        <v>21</v>
      </c>
      <c r="G1546">
        <v>1</v>
      </c>
      <c r="H1546">
        <v>37</v>
      </c>
      <c r="I1546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5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54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547" spans="1:11" x14ac:dyDescent="0.35">
      <c r="A1547">
        <v>628</v>
      </c>
      <c r="B1547">
        <v>2</v>
      </c>
      <c r="C1547" t="s">
        <v>19</v>
      </c>
      <c r="D1547" t="s">
        <v>1802</v>
      </c>
      <c r="E1547">
        <v>25</v>
      </c>
      <c r="F1547">
        <v>40</v>
      </c>
      <c r="G1547">
        <v>3</v>
      </c>
      <c r="H1547">
        <v>33</v>
      </c>
      <c r="I1547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5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547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548" spans="1:11" x14ac:dyDescent="0.35">
      <c r="A1548">
        <v>628</v>
      </c>
      <c r="B1548">
        <v>2</v>
      </c>
      <c r="C1548" t="s">
        <v>9</v>
      </c>
      <c r="D1548" t="s">
        <v>1798</v>
      </c>
      <c r="E1548">
        <v>14</v>
      </c>
      <c r="F1548">
        <v>24</v>
      </c>
      <c r="G1548">
        <v>2</v>
      </c>
      <c r="H1548">
        <v>10</v>
      </c>
      <c r="I1548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5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54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549" spans="1:11" x14ac:dyDescent="0.35">
      <c r="A1549">
        <v>629</v>
      </c>
      <c r="B1549">
        <v>17</v>
      </c>
      <c r="C1549" t="s">
        <v>37</v>
      </c>
      <c r="D1549" t="s">
        <v>1810</v>
      </c>
      <c r="E1549">
        <v>20</v>
      </c>
      <c r="F1549">
        <v>34</v>
      </c>
      <c r="G1549">
        <v>1</v>
      </c>
      <c r="H1549">
        <v>22</v>
      </c>
      <c r="I1549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5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549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550" spans="1:11" x14ac:dyDescent="0.35">
      <c r="A1550">
        <v>629</v>
      </c>
      <c r="B1550">
        <v>17</v>
      </c>
      <c r="C1550" t="s">
        <v>39</v>
      </c>
      <c r="D1550" t="s">
        <v>1812</v>
      </c>
      <c r="E1550">
        <v>12</v>
      </c>
      <c r="F1550">
        <v>20</v>
      </c>
      <c r="G1550">
        <v>3</v>
      </c>
      <c r="H1550">
        <v>19</v>
      </c>
      <c r="I1550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5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5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51" spans="1:11" x14ac:dyDescent="0.35">
      <c r="A1551">
        <v>629</v>
      </c>
      <c r="B1551">
        <v>17</v>
      </c>
      <c r="C1551" t="s">
        <v>45</v>
      </c>
      <c r="D1551" t="s">
        <v>1814</v>
      </c>
      <c r="E1551">
        <v>10</v>
      </c>
      <c r="F1551">
        <v>18</v>
      </c>
      <c r="G1551">
        <v>2</v>
      </c>
      <c r="H1551">
        <v>43</v>
      </c>
      <c r="I1551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5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5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552" spans="1:11" x14ac:dyDescent="0.35">
      <c r="A1552">
        <v>630</v>
      </c>
      <c r="B1552">
        <v>2</v>
      </c>
      <c r="C1552" t="s">
        <v>15</v>
      </c>
      <c r="D1552" t="s">
        <v>1799</v>
      </c>
      <c r="E1552">
        <v>19</v>
      </c>
      <c r="F1552">
        <v>31</v>
      </c>
      <c r="G1552">
        <v>2</v>
      </c>
      <c r="H1552">
        <v>19</v>
      </c>
      <c r="I1552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5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52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553" spans="1:11" x14ac:dyDescent="0.35">
      <c r="A1553">
        <v>630</v>
      </c>
      <c r="B1553">
        <v>2</v>
      </c>
      <c r="C1553" t="s">
        <v>19</v>
      </c>
      <c r="D1553" t="s">
        <v>1802</v>
      </c>
      <c r="E1553">
        <v>25</v>
      </c>
      <c r="F1553">
        <v>40</v>
      </c>
      <c r="G1553">
        <v>3</v>
      </c>
      <c r="H1553">
        <v>56</v>
      </c>
      <c r="I1553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5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55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554" spans="1:11" x14ac:dyDescent="0.35">
      <c r="A1554">
        <v>631</v>
      </c>
      <c r="B1554">
        <v>6</v>
      </c>
      <c r="C1554" t="s">
        <v>35</v>
      </c>
      <c r="D1554" t="s">
        <v>1809</v>
      </c>
      <c r="E1554">
        <v>13</v>
      </c>
      <c r="F1554">
        <v>22</v>
      </c>
      <c r="G1554">
        <v>3</v>
      </c>
      <c r="H1554">
        <v>46</v>
      </c>
      <c r="I1554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5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554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555" spans="1:11" x14ac:dyDescent="0.35">
      <c r="A1555">
        <v>632</v>
      </c>
      <c r="B1555">
        <v>16</v>
      </c>
      <c r="C1555" t="s">
        <v>25</v>
      </c>
      <c r="D1555" t="s">
        <v>1804</v>
      </c>
      <c r="E1555">
        <v>20</v>
      </c>
      <c r="F1555">
        <v>33</v>
      </c>
      <c r="G1555">
        <v>1</v>
      </c>
      <c r="H1555">
        <v>47</v>
      </c>
      <c r="I1555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5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55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556" spans="1:11" x14ac:dyDescent="0.35">
      <c r="A1556">
        <v>632</v>
      </c>
      <c r="B1556">
        <v>16</v>
      </c>
      <c r="C1556" t="s">
        <v>33</v>
      </c>
      <c r="D1556" t="s">
        <v>1808</v>
      </c>
      <c r="E1556">
        <v>19</v>
      </c>
      <c r="F1556">
        <v>32</v>
      </c>
      <c r="G1556">
        <v>3</v>
      </c>
      <c r="H1556">
        <v>41</v>
      </c>
      <c r="I1556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5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55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557" spans="1:11" x14ac:dyDescent="0.35">
      <c r="A1557">
        <v>633</v>
      </c>
      <c r="B1557">
        <v>16</v>
      </c>
      <c r="C1557" t="s">
        <v>12</v>
      </c>
      <c r="D1557" t="s">
        <v>1797</v>
      </c>
      <c r="E1557">
        <v>18</v>
      </c>
      <c r="F1557">
        <v>30</v>
      </c>
      <c r="G1557">
        <v>3</v>
      </c>
      <c r="H1557">
        <v>10</v>
      </c>
      <c r="I1557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5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5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58" spans="1:11" x14ac:dyDescent="0.35">
      <c r="A1558">
        <v>633</v>
      </c>
      <c r="B1558">
        <v>16</v>
      </c>
      <c r="C1558" t="s">
        <v>45</v>
      </c>
      <c r="D1558" t="s">
        <v>1814</v>
      </c>
      <c r="E1558">
        <v>10</v>
      </c>
      <c r="F1558">
        <v>18</v>
      </c>
      <c r="G1558">
        <v>3</v>
      </c>
      <c r="H1558">
        <v>54</v>
      </c>
      <c r="I1558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5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58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559" spans="1:11" x14ac:dyDescent="0.35">
      <c r="A1559">
        <v>633</v>
      </c>
      <c r="B1559">
        <v>16</v>
      </c>
      <c r="C1559" t="s">
        <v>35</v>
      </c>
      <c r="D1559" t="s">
        <v>1809</v>
      </c>
      <c r="E1559">
        <v>13</v>
      </c>
      <c r="F1559">
        <v>22</v>
      </c>
      <c r="G1559">
        <v>2</v>
      </c>
      <c r="H1559">
        <v>34</v>
      </c>
      <c r="I1559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5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55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560" spans="1:11" x14ac:dyDescent="0.35">
      <c r="A1560">
        <v>633</v>
      </c>
      <c r="B1560">
        <v>16</v>
      </c>
      <c r="C1560" t="s">
        <v>9</v>
      </c>
      <c r="D1560" t="s">
        <v>1798</v>
      </c>
      <c r="E1560">
        <v>14</v>
      </c>
      <c r="F1560">
        <v>24</v>
      </c>
      <c r="G1560">
        <v>2</v>
      </c>
      <c r="H1560">
        <v>51</v>
      </c>
      <c r="I1560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5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560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561" spans="1:11" x14ac:dyDescent="0.35">
      <c r="A1561">
        <v>634</v>
      </c>
      <c r="B1561">
        <v>2</v>
      </c>
      <c r="C1561" t="s">
        <v>49</v>
      </c>
      <c r="D1561" t="s">
        <v>1816</v>
      </c>
      <c r="E1561">
        <v>15</v>
      </c>
      <c r="F1561">
        <v>25</v>
      </c>
      <c r="G1561">
        <v>3</v>
      </c>
      <c r="H1561">
        <v>43</v>
      </c>
      <c r="I1561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5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56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62" spans="1:11" x14ac:dyDescent="0.35">
      <c r="A1562">
        <v>634</v>
      </c>
      <c r="B1562">
        <v>2</v>
      </c>
      <c r="C1562" t="s">
        <v>19</v>
      </c>
      <c r="D1562" t="s">
        <v>1802</v>
      </c>
      <c r="E1562">
        <v>25</v>
      </c>
      <c r="F1562">
        <v>40</v>
      </c>
      <c r="G1562">
        <v>3</v>
      </c>
      <c r="H1562">
        <v>38</v>
      </c>
      <c r="I1562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5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562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563" spans="1:11" x14ac:dyDescent="0.35">
      <c r="A1563">
        <v>634</v>
      </c>
      <c r="B1563">
        <v>2</v>
      </c>
      <c r="C1563" t="s">
        <v>35</v>
      </c>
      <c r="D1563" t="s">
        <v>1809</v>
      </c>
      <c r="E1563">
        <v>13</v>
      </c>
      <c r="F1563">
        <v>22</v>
      </c>
      <c r="G1563">
        <v>2</v>
      </c>
      <c r="H1563">
        <v>25</v>
      </c>
      <c r="I1563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5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563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564" spans="1:11" x14ac:dyDescent="0.35">
      <c r="A1564">
        <v>634</v>
      </c>
      <c r="B1564">
        <v>2</v>
      </c>
      <c r="C1564" t="s">
        <v>31</v>
      </c>
      <c r="D1564" t="s">
        <v>1807</v>
      </c>
      <c r="E1564">
        <v>21</v>
      </c>
      <c r="F1564">
        <v>35</v>
      </c>
      <c r="G1564">
        <v>3</v>
      </c>
      <c r="H1564">
        <v>51</v>
      </c>
      <c r="I1564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5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56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65" spans="1:11" x14ac:dyDescent="0.35">
      <c r="A1565">
        <v>635</v>
      </c>
      <c r="B1565">
        <v>5</v>
      </c>
      <c r="C1565" t="s">
        <v>23</v>
      </c>
      <c r="D1565" t="s">
        <v>1803</v>
      </c>
      <c r="E1565">
        <v>17</v>
      </c>
      <c r="F1565">
        <v>29</v>
      </c>
      <c r="G1565">
        <v>2</v>
      </c>
      <c r="H1565">
        <v>25</v>
      </c>
      <c r="I1565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5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65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566" spans="1:11" x14ac:dyDescent="0.35">
      <c r="A1566">
        <v>636</v>
      </c>
      <c r="B1566">
        <v>14</v>
      </c>
      <c r="C1566" t="s">
        <v>29</v>
      </c>
      <c r="D1566" t="s">
        <v>1806</v>
      </c>
      <c r="E1566">
        <v>11</v>
      </c>
      <c r="F1566">
        <v>19</v>
      </c>
      <c r="G1566">
        <v>3</v>
      </c>
      <c r="H1566">
        <v>54</v>
      </c>
      <c r="I1566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5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66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567" spans="1:11" x14ac:dyDescent="0.35">
      <c r="A1567">
        <v>636</v>
      </c>
      <c r="B1567">
        <v>14</v>
      </c>
      <c r="C1567" t="s">
        <v>43</v>
      </c>
      <c r="D1567" t="s">
        <v>1813</v>
      </c>
      <c r="E1567">
        <v>13</v>
      </c>
      <c r="F1567">
        <v>21</v>
      </c>
      <c r="G1567">
        <v>1</v>
      </c>
      <c r="H1567">
        <v>52</v>
      </c>
      <c r="I1567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5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56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568" spans="1:11" x14ac:dyDescent="0.35">
      <c r="A1568">
        <v>636</v>
      </c>
      <c r="B1568">
        <v>14</v>
      </c>
      <c r="C1568" t="s">
        <v>9</v>
      </c>
      <c r="D1568" t="s">
        <v>1798</v>
      </c>
      <c r="E1568">
        <v>14</v>
      </c>
      <c r="F1568">
        <v>24</v>
      </c>
      <c r="G1568">
        <v>2</v>
      </c>
      <c r="H1568">
        <v>45</v>
      </c>
      <c r="I1568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5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56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569" spans="1:11" x14ac:dyDescent="0.35">
      <c r="A1569">
        <v>637</v>
      </c>
      <c r="B1569">
        <v>6</v>
      </c>
      <c r="C1569" t="s">
        <v>49</v>
      </c>
      <c r="D1569" t="s">
        <v>1816</v>
      </c>
      <c r="E1569">
        <v>15</v>
      </c>
      <c r="F1569">
        <v>25</v>
      </c>
      <c r="G1569">
        <v>2</v>
      </c>
      <c r="H1569">
        <v>32</v>
      </c>
      <c r="I1569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5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56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70" spans="1:11" x14ac:dyDescent="0.35">
      <c r="A1570">
        <v>637</v>
      </c>
      <c r="B1570">
        <v>6</v>
      </c>
      <c r="C1570" t="s">
        <v>25</v>
      </c>
      <c r="D1570" t="s">
        <v>1804</v>
      </c>
      <c r="E1570">
        <v>20</v>
      </c>
      <c r="F1570">
        <v>33</v>
      </c>
      <c r="G1570">
        <v>1</v>
      </c>
      <c r="H1570">
        <v>23</v>
      </c>
      <c r="I1570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5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570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571" spans="1:11" x14ac:dyDescent="0.35">
      <c r="A1571">
        <v>637</v>
      </c>
      <c r="B1571">
        <v>6</v>
      </c>
      <c r="C1571" t="s">
        <v>37</v>
      </c>
      <c r="D1571" t="s">
        <v>1810</v>
      </c>
      <c r="E1571">
        <v>20</v>
      </c>
      <c r="F1571">
        <v>34</v>
      </c>
      <c r="G1571">
        <v>1</v>
      </c>
      <c r="H1571">
        <v>6</v>
      </c>
      <c r="I1571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5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571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572" spans="1:11" x14ac:dyDescent="0.35">
      <c r="A1572">
        <v>638</v>
      </c>
      <c r="B1572">
        <v>16</v>
      </c>
      <c r="C1572" t="s">
        <v>12</v>
      </c>
      <c r="D1572" t="s">
        <v>1797</v>
      </c>
      <c r="E1572">
        <v>18</v>
      </c>
      <c r="F1572">
        <v>30</v>
      </c>
      <c r="G1572">
        <v>3</v>
      </c>
      <c r="H1572">
        <v>44</v>
      </c>
      <c r="I1572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5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7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73" spans="1:11" x14ac:dyDescent="0.35">
      <c r="A1573">
        <v>639</v>
      </c>
      <c r="B1573">
        <v>8</v>
      </c>
      <c r="C1573" t="s">
        <v>47</v>
      </c>
      <c r="D1573" t="s">
        <v>1815</v>
      </c>
      <c r="E1573">
        <v>15</v>
      </c>
      <c r="F1573">
        <v>26</v>
      </c>
      <c r="G1573">
        <v>2</v>
      </c>
      <c r="H1573">
        <v>52</v>
      </c>
      <c r="I1573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5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57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574" spans="1:11" x14ac:dyDescent="0.35">
      <c r="A1574">
        <v>639</v>
      </c>
      <c r="B1574">
        <v>8</v>
      </c>
      <c r="C1574" t="s">
        <v>29</v>
      </c>
      <c r="D1574" t="s">
        <v>1806</v>
      </c>
      <c r="E1574">
        <v>11</v>
      </c>
      <c r="F1574">
        <v>19</v>
      </c>
      <c r="G1574">
        <v>2</v>
      </c>
      <c r="H1574">
        <v>55</v>
      </c>
      <c r="I1574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5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74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575" spans="1:11" x14ac:dyDescent="0.35">
      <c r="A1575">
        <v>639</v>
      </c>
      <c r="B1575">
        <v>8</v>
      </c>
      <c r="C1575" t="s">
        <v>15</v>
      </c>
      <c r="D1575" t="s">
        <v>1799</v>
      </c>
      <c r="E1575">
        <v>19</v>
      </c>
      <c r="F1575">
        <v>31</v>
      </c>
      <c r="G1575">
        <v>2</v>
      </c>
      <c r="H1575">
        <v>29</v>
      </c>
      <c r="I1575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5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7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576" spans="1:11" x14ac:dyDescent="0.35">
      <c r="A1576">
        <v>640</v>
      </c>
      <c r="B1576">
        <v>14</v>
      </c>
      <c r="C1576" t="s">
        <v>47</v>
      </c>
      <c r="D1576" t="s">
        <v>1815</v>
      </c>
      <c r="E1576">
        <v>15</v>
      </c>
      <c r="F1576">
        <v>26</v>
      </c>
      <c r="G1576">
        <v>3</v>
      </c>
      <c r="H1576">
        <v>7</v>
      </c>
      <c r="I1576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5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576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577" spans="1:11" x14ac:dyDescent="0.35">
      <c r="A1577">
        <v>640</v>
      </c>
      <c r="B1577">
        <v>14</v>
      </c>
      <c r="C1577" t="s">
        <v>25</v>
      </c>
      <c r="D1577" t="s">
        <v>1804</v>
      </c>
      <c r="E1577">
        <v>20</v>
      </c>
      <c r="F1577">
        <v>33</v>
      </c>
      <c r="G1577">
        <v>3</v>
      </c>
      <c r="H1577">
        <v>56</v>
      </c>
      <c r="I1577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5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577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578" spans="1:11" x14ac:dyDescent="0.35">
      <c r="A1578">
        <v>640</v>
      </c>
      <c r="B1578">
        <v>14</v>
      </c>
      <c r="C1578" t="s">
        <v>43</v>
      </c>
      <c r="D1578" t="s">
        <v>1813</v>
      </c>
      <c r="E1578">
        <v>13</v>
      </c>
      <c r="F1578">
        <v>21</v>
      </c>
      <c r="G1578">
        <v>2</v>
      </c>
      <c r="H1578">
        <v>12</v>
      </c>
      <c r="I1578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5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78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579" spans="1:11" x14ac:dyDescent="0.35">
      <c r="A1579">
        <v>641</v>
      </c>
      <c r="B1579">
        <v>2</v>
      </c>
      <c r="C1579" t="s">
        <v>49</v>
      </c>
      <c r="D1579" t="s">
        <v>1816</v>
      </c>
      <c r="E1579">
        <v>15</v>
      </c>
      <c r="F1579">
        <v>25</v>
      </c>
      <c r="G1579">
        <v>3</v>
      </c>
      <c r="H1579">
        <v>28</v>
      </c>
      <c r="I1579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5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57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80" spans="1:11" x14ac:dyDescent="0.35">
      <c r="A1580">
        <v>641</v>
      </c>
      <c r="B1580">
        <v>2</v>
      </c>
      <c r="C1580" t="s">
        <v>41</v>
      </c>
      <c r="D1580" t="s">
        <v>1811</v>
      </c>
      <c r="E1580">
        <v>14</v>
      </c>
      <c r="F1580">
        <v>23</v>
      </c>
      <c r="G1580">
        <v>2</v>
      </c>
      <c r="H1580">
        <v>29</v>
      </c>
      <c r="I1580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5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580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581" spans="1:11" x14ac:dyDescent="0.35">
      <c r="A1581">
        <v>641</v>
      </c>
      <c r="B1581">
        <v>2</v>
      </c>
      <c r="C1581" t="s">
        <v>23</v>
      </c>
      <c r="D1581" t="s">
        <v>1803</v>
      </c>
      <c r="E1581">
        <v>17</v>
      </c>
      <c r="F1581">
        <v>29</v>
      </c>
      <c r="G1581">
        <v>3</v>
      </c>
      <c r="H1581">
        <v>17</v>
      </c>
      <c r="I1581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5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8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582" spans="1:11" x14ac:dyDescent="0.35">
      <c r="A1582">
        <v>642</v>
      </c>
      <c r="B1582">
        <v>15</v>
      </c>
      <c r="C1582" t="s">
        <v>47</v>
      </c>
      <c r="D1582" t="s">
        <v>1815</v>
      </c>
      <c r="E1582">
        <v>15</v>
      </c>
      <c r="F1582">
        <v>26</v>
      </c>
      <c r="G1582">
        <v>1</v>
      </c>
      <c r="H1582">
        <v>57</v>
      </c>
      <c r="I1582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5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58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583" spans="1:11" x14ac:dyDescent="0.35">
      <c r="A1583">
        <v>642</v>
      </c>
      <c r="B1583">
        <v>15</v>
      </c>
      <c r="C1583" t="s">
        <v>43</v>
      </c>
      <c r="D1583" t="s">
        <v>1813</v>
      </c>
      <c r="E1583">
        <v>13</v>
      </c>
      <c r="F1583">
        <v>21</v>
      </c>
      <c r="G1583">
        <v>3</v>
      </c>
      <c r="H1583">
        <v>6</v>
      </c>
      <c r="I1583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5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8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584" spans="1:11" x14ac:dyDescent="0.35">
      <c r="A1584">
        <v>642</v>
      </c>
      <c r="B1584">
        <v>15</v>
      </c>
      <c r="C1584" t="s">
        <v>23</v>
      </c>
      <c r="D1584" t="s">
        <v>1803</v>
      </c>
      <c r="E1584">
        <v>17</v>
      </c>
      <c r="F1584">
        <v>29</v>
      </c>
      <c r="G1584">
        <v>3</v>
      </c>
      <c r="H1584">
        <v>18</v>
      </c>
      <c r="I1584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5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84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585" spans="1:11" x14ac:dyDescent="0.35">
      <c r="A1585">
        <v>643</v>
      </c>
      <c r="B1585">
        <v>17</v>
      </c>
      <c r="C1585" t="s">
        <v>25</v>
      </c>
      <c r="D1585" t="s">
        <v>1804</v>
      </c>
      <c r="E1585">
        <v>20</v>
      </c>
      <c r="F1585">
        <v>33</v>
      </c>
      <c r="G1585">
        <v>1</v>
      </c>
      <c r="H1585">
        <v>18</v>
      </c>
      <c r="I1585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5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58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586" spans="1:11" x14ac:dyDescent="0.35">
      <c r="A1586">
        <v>644</v>
      </c>
      <c r="B1586">
        <v>9</v>
      </c>
      <c r="C1586" t="s">
        <v>15</v>
      </c>
      <c r="D1586" t="s">
        <v>1799</v>
      </c>
      <c r="E1586">
        <v>19</v>
      </c>
      <c r="F1586">
        <v>31</v>
      </c>
      <c r="G1586">
        <v>3</v>
      </c>
      <c r="H1586">
        <v>51</v>
      </c>
      <c r="I1586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5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8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587" spans="1:11" x14ac:dyDescent="0.35">
      <c r="A1587">
        <v>645</v>
      </c>
      <c r="B1587">
        <v>6</v>
      </c>
      <c r="C1587" t="s">
        <v>25</v>
      </c>
      <c r="D1587" t="s">
        <v>1804</v>
      </c>
      <c r="E1587">
        <v>20</v>
      </c>
      <c r="F1587">
        <v>33</v>
      </c>
      <c r="G1587">
        <v>3</v>
      </c>
      <c r="H1587">
        <v>43</v>
      </c>
      <c r="I1587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5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587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588" spans="1:11" x14ac:dyDescent="0.35">
      <c r="A1588">
        <v>645</v>
      </c>
      <c r="B1588">
        <v>6</v>
      </c>
      <c r="C1588" t="s">
        <v>17</v>
      </c>
      <c r="D1588" t="s">
        <v>1800</v>
      </c>
      <c r="E1588">
        <v>16</v>
      </c>
      <c r="F1588">
        <v>27</v>
      </c>
      <c r="G1588">
        <v>3</v>
      </c>
      <c r="H1588">
        <v>54</v>
      </c>
      <c r="I1588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5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588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589" spans="1:11" x14ac:dyDescent="0.35">
      <c r="A1589">
        <v>646</v>
      </c>
      <c r="B1589">
        <v>12</v>
      </c>
      <c r="C1589" t="s">
        <v>31</v>
      </c>
      <c r="D1589" t="s">
        <v>1807</v>
      </c>
      <c r="E1589">
        <v>21</v>
      </c>
      <c r="F1589">
        <v>35</v>
      </c>
      <c r="G1589">
        <v>2</v>
      </c>
      <c r="H1589">
        <v>36</v>
      </c>
      <c r="I1589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5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58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90" spans="1:11" x14ac:dyDescent="0.35">
      <c r="A1590">
        <v>647</v>
      </c>
      <c r="B1590">
        <v>12</v>
      </c>
      <c r="C1590" t="s">
        <v>15</v>
      </c>
      <c r="D1590" t="s">
        <v>1799</v>
      </c>
      <c r="E1590">
        <v>19</v>
      </c>
      <c r="F1590">
        <v>31</v>
      </c>
      <c r="G1590">
        <v>2</v>
      </c>
      <c r="H1590">
        <v>26</v>
      </c>
      <c r="I1590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5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90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591" spans="1:11" x14ac:dyDescent="0.35">
      <c r="A1591">
        <v>647</v>
      </c>
      <c r="B1591">
        <v>12</v>
      </c>
      <c r="C1591" t="s">
        <v>45</v>
      </c>
      <c r="D1591" t="s">
        <v>1814</v>
      </c>
      <c r="E1591">
        <v>10</v>
      </c>
      <c r="F1591">
        <v>18</v>
      </c>
      <c r="G1591">
        <v>2</v>
      </c>
      <c r="H1591">
        <v>13</v>
      </c>
      <c r="I1591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5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9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592" spans="1:11" x14ac:dyDescent="0.35">
      <c r="A1592">
        <v>648</v>
      </c>
      <c r="B1592">
        <v>9</v>
      </c>
      <c r="C1592" t="s">
        <v>27</v>
      </c>
      <c r="D1592" t="s">
        <v>1805</v>
      </c>
      <c r="E1592">
        <v>16</v>
      </c>
      <c r="F1592">
        <v>28</v>
      </c>
      <c r="G1592">
        <v>2</v>
      </c>
      <c r="H1592">
        <v>47</v>
      </c>
      <c r="I1592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5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92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593" spans="1:11" x14ac:dyDescent="0.35">
      <c r="A1593">
        <v>649</v>
      </c>
      <c r="B1593">
        <v>9</v>
      </c>
      <c r="C1593" t="s">
        <v>49</v>
      </c>
      <c r="D1593" t="s">
        <v>1816</v>
      </c>
      <c r="E1593">
        <v>15</v>
      </c>
      <c r="F1593">
        <v>25</v>
      </c>
      <c r="G1593">
        <v>1</v>
      </c>
      <c r="H1593">
        <v>32</v>
      </c>
      <c r="I1593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5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59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94" spans="1:11" x14ac:dyDescent="0.35">
      <c r="A1594">
        <v>649</v>
      </c>
      <c r="B1594">
        <v>9</v>
      </c>
      <c r="C1594" t="s">
        <v>27</v>
      </c>
      <c r="D1594" t="s">
        <v>1805</v>
      </c>
      <c r="E1594">
        <v>16</v>
      </c>
      <c r="F1594">
        <v>28</v>
      </c>
      <c r="G1594">
        <v>3</v>
      </c>
      <c r="H1594">
        <v>40</v>
      </c>
      <c r="I1594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5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9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595" spans="1:11" x14ac:dyDescent="0.35">
      <c r="A1595">
        <v>649</v>
      </c>
      <c r="B1595">
        <v>9</v>
      </c>
      <c r="C1595" t="s">
        <v>39</v>
      </c>
      <c r="D1595" t="s">
        <v>1812</v>
      </c>
      <c r="E1595">
        <v>12</v>
      </c>
      <c r="F1595">
        <v>20</v>
      </c>
      <c r="G1595">
        <v>3</v>
      </c>
      <c r="H1595">
        <v>15</v>
      </c>
      <c r="I159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5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59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596" spans="1:11" x14ac:dyDescent="0.35">
      <c r="A1596">
        <v>649</v>
      </c>
      <c r="B1596">
        <v>9</v>
      </c>
      <c r="C1596" t="s">
        <v>23</v>
      </c>
      <c r="D1596" t="s">
        <v>1803</v>
      </c>
      <c r="E1596">
        <v>17</v>
      </c>
      <c r="F1596">
        <v>29</v>
      </c>
      <c r="G1596">
        <v>3</v>
      </c>
      <c r="H1596">
        <v>22</v>
      </c>
      <c r="I1596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5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59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597" spans="1:11" x14ac:dyDescent="0.35">
      <c r="A1597">
        <v>650</v>
      </c>
      <c r="B1597">
        <v>11</v>
      </c>
      <c r="C1597" t="s">
        <v>43</v>
      </c>
      <c r="D1597" t="s">
        <v>1813</v>
      </c>
      <c r="E1597">
        <v>13</v>
      </c>
      <c r="F1597">
        <v>21</v>
      </c>
      <c r="G1597">
        <v>2</v>
      </c>
      <c r="H1597">
        <v>18</v>
      </c>
      <c r="I1597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5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59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598" spans="1:11" x14ac:dyDescent="0.35">
      <c r="A1598">
        <v>650</v>
      </c>
      <c r="B1598">
        <v>11</v>
      </c>
      <c r="C1598" t="s">
        <v>33</v>
      </c>
      <c r="D1598" t="s">
        <v>1808</v>
      </c>
      <c r="E1598">
        <v>19</v>
      </c>
      <c r="F1598">
        <v>32</v>
      </c>
      <c r="G1598">
        <v>1</v>
      </c>
      <c r="H1598">
        <v>12</v>
      </c>
      <c r="I1598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5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59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599" spans="1:11" x14ac:dyDescent="0.35">
      <c r="A1599">
        <v>650</v>
      </c>
      <c r="B1599">
        <v>11</v>
      </c>
      <c r="C1599" t="s">
        <v>31</v>
      </c>
      <c r="D1599" t="s">
        <v>1807</v>
      </c>
      <c r="E1599">
        <v>21</v>
      </c>
      <c r="F1599">
        <v>35</v>
      </c>
      <c r="G1599">
        <v>3</v>
      </c>
      <c r="H1599">
        <v>11</v>
      </c>
      <c r="I1599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5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59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00" spans="1:11" x14ac:dyDescent="0.35">
      <c r="A1600">
        <v>650</v>
      </c>
      <c r="B1600">
        <v>11</v>
      </c>
      <c r="C1600" t="s">
        <v>23</v>
      </c>
      <c r="D1600" t="s">
        <v>1803</v>
      </c>
      <c r="E1600">
        <v>17</v>
      </c>
      <c r="F1600">
        <v>29</v>
      </c>
      <c r="G1600">
        <v>2</v>
      </c>
      <c r="H1600">
        <v>35</v>
      </c>
      <c r="I1600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6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0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601" spans="1:11" x14ac:dyDescent="0.35">
      <c r="A1601">
        <v>651</v>
      </c>
      <c r="B1601">
        <v>16</v>
      </c>
      <c r="C1601" t="s">
        <v>25</v>
      </c>
      <c r="D1601" t="s">
        <v>1804</v>
      </c>
      <c r="E1601">
        <v>20</v>
      </c>
      <c r="F1601">
        <v>33</v>
      </c>
      <c r="G1601">
        <v>2</v>
      </c>
      <c r="H1601">
        <v>29</v>
      </c>
      <c r="I1601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6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601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602" spans="1:11" x14ac:dyDescent="0.35">
      <c r="A1602">
        <v>651</v>
      </c>
      <c r="B1602">
        <v>16</v>
      </c>
      <c r="C1602" t="s">
        <v>43</v>
      </c>
      <c r="D1602" t="s">
        <v>1813</v>
      </c>
      <c r="E1602">
        <v>13</v>
      </c>
      <c r="F1602">
        <v>21</v>
      </c>
      <c r="G1602">
        <v>3</v>
      </c>
      <c r="H1602">
        <v>9</v>
      </c>
      <c r="I1602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6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02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603" spans="1:11" x14ac:dyDescent="0.35">
      <c r="A1603">
        <v>651</v>
      </c>
      <c r="B1603">
        <v>16</v>
      </c>
      <c r="C1603" t="s">
        <v>19</v>
      </c>
      <c r="D1603" t="s">
        <v>1802</v>
      </c>
      <c r="E1603">
        <v>25</v>
      </c>
      <c r="F1603">
        <v>40</v>
      </c>
      <c r="G1603">
        <v>2</v>
      </c>
      <c r="H1603">
        <v>50</v>
      </c>
      <c r="I1603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6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603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604" spans="1:11" x14ac:dyDescent="0.35">
      <c r="A1604">
        <v>652</v>
      </c>
      <c r="B1604">
        <v>14</v>
      </c>
      <c r="C1604" t="s">
        <v>15</v>
      </c>
      <c r="D1604" t="s">
        <v>1799</v>
      </c>
      <c r="E1604">
        <v>19</v>
      </c>
      <c r="F1604">
        <v>31</v>
      </c>
      <c r="G1604">
        <v>2</v>
      </c>
      <c r="H1604">
        <v>12</v>
      </c>
      <c r="I1604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6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0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05" spans="1:11" x14ac:dyDescent="0.35">
      <c r="A1605">
        <v>652</v>
      </c>
      <c r="B1605">
        <v>14</v>
      </c>
      <c r="C1605" t="s">
        <v>21</v>
      </c>
      <c r="D1605" t="s">
        <v>1801</v>
      </c>
      <c r="E1605">
        <v>22</v>
      </c>
      <c r="F1605">
        <v>36</v>
      </c>
      <c r="G1605">
        <v>3</v>
      </c>
      <c r="H1605">
        <v>38</v>
      </c>
      <c r="I1605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6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60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606" spans="1:11" x14ac:dyDescent="0.35">
      <c r="A1606">
        <v>653</v>
      </c>
      <c r="B1606">
        <v>13</v>
      </c>
      <c r="C1606" t="s">
        <v>27</v>
      </c>
      <c r="D1606" t="s">
        <v>1805</v>
      </c>
      <c r="E1606">
        <v>16</v>
      </c>
      <c r="F1606">
        <v>28</v>
      </c>
      <c r="G1606">
        <v>3</v>
      </c>
      <c r="H1606">
        <v>51</v>
      </c>
      <c r="I1606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6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60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607" spans="1:11" x14ac:dyDescent="0.35">
      <c r="A1607">
        <v>653</v>
      </c>
      <c r="B1607">
        <v>13</v>
      </c>
      <c r="C1607" t="s">
        <v>12</v>
      </c>
      <c r="D1607" t="s">
        <v>1797</v>
      </c>
      <c r="E1607">
        <v>18</v>
      </c>
      <c r="F1607">
        <v>30</v>
      </c>
      <c r="G1607">
        <v>3</v>
      </c>
      <c r="H1607">
        <v>46</v>
      </c>
      <c r="I1607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6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60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08" spans="1:11" x14ac:dyDescent="0.35">
      <c r="A1608">
        <v>653</v>
      </c>
      <c r="B1608">
        <v>13</v>
      </c>
      <c r="C1608" t="s">
        <v>31</v>
      </c>
      <c r="D1608" t="s">
        <v>1807</v>
      </c>
      <c r="E1608">
        <v>21</v>
      </c>
      <c r="F1608">
        <v>35</v>
      </c>
      <c r="G1608">
        <v>2</v>
      </c>
      <c r="H1608">
        <v>53</v>
      </c>
      <c r="I1608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6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60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09" spans="1:11" x14ac:dyDescent="0.35">
      <c r="A1609">
        <v>654</v>
      </c>
      <c r="B1609">
        <v>12</v>
      </c>
      <c r="C1609" t="s">
        <v>39</v>
      </c>
      <c r="D1609" t="s">
        <v>1812</v>
      </c>
      <c r="E1609">
        <v>12</v>
      </c>
      <c r="F1609">
        <v>20</v>
      </c>
      <c r="G1609">
        <v>1</v>
      </c>
      <c r="H1609">
        <v>13</v>
      </c>
      <c r="I1609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6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60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10" spans="1:11" x14ac:dyDescent="0.35">
      <c r="A1610">
        <v>654</v>
      </c>
      <c r="B1610">
        <v>12</v>
      </c>
      <c r="C1610" t="s">
        <v>35</v>
      </c>
      <c r="D1610" t="s">
        <v>1809</v>
      </c>
      <c r="E1610">
        <v>13</v>
      </c>
      <c r="F1610">
        <v>22</v>
      </c>
      <c r="G1610">
        <v>1</v>
      </c>
      <c r="H1610">
        <v>31</v>
      </c>
      <c r="I1610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6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610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611" spans="1:11" x14ac:dyDescent="0.35">
      <c r="A1611">
        <v>655</v>
      </c>
      <c r="B1611">
        <v>5</v>
      </c>
      <c r="C1611" t="s">
        <v>15</v>
      </c>
      <c r="D1611" t="s">
        <v>1799</v>
      </c>
      <c r="E1611">
        <v>19</v>
      </c>
      <c r="F1611">
        <v>31</v>
      </c>
      <c r="G1611">
        <v>3</v>
      </c>
      <c r="H1611">
        <v>36</v>
      </c>
      <c r="I1611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6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611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12" spans="1:11" x14ac:dyDescent="0.35">
      <c r="A1612">
        <v>656</v>
      </c>
      <c r="B1612">
        <v>19</v>
      </c>
      <c r="C1612" t="s">
        <v>29</v>
      </c>
      <c r="D1612" t="s">
        <v>1806</v>
      </c>
      <c r="E1612">
        <v>11</v>
      </c>
      <c r="F1612">
        <v>19</v>
      </c>
      <c r="G1612">
        <v>2</v>
      </c>
      <c r="H1612">
        <v>39</v>
      </c>
      <c r="I1612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6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1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613" spans="1:11" x14ac:dyDescent="0.35">
      <c r="A1613">
        <v>656</v>
      </c>
      <c r="B1613">
        <v>19</v>
      </c>
      <c r="C1613" t="s">
        <v>41</v>
      </c>
      <c r="D1613" t="s">
        <v>1811</v>
      </c>
      <c r="E1613">
        <v>14</v>
      </c>
      <c r="F1613">
        <v>23</v>
      </c>
      <c r="G1613">
        <v>1</v>
      </c>
      <c r="H1613">
        <v>13</v>
      </c>
      <c r="I1613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6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613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614" spans="1:11" x14ac:dyDescent="0.35">
      <c r="A1614">
        <v>656</v>
      </c>
      <c r="B1614">
        <v>19</v>
      </c>
      <c r="C1614" t="s">
        <v>21</v>
      </c>
      <c r="D1614" t="s">
        <v>1801</v>
      </c>
      <c r="E1614">
        <v>22</v>
      </c>
      <c r="F1614">
        <v>36</v>
      </c>
      <c r="G1614">
        <v>1</v>
      </c>
      <c r="H1614">
        <v>14</v>
      </c>
      <c r="I1614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614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615" spans="1:11" x14ac:dyDescent="0.35">
      <c r="A1615">
        <v>656</v>
      </c>
      <c r="B1615">
        <v>19</v>
      </c>
      <c r="C1615" t="s">
        <v>39</v>
      </c>
      <c r="D1615" t="s">
        <v>1812</v>
      </c>
      <c r="E1615">
        <v>12</v>
      </c>
      <c r="F1615">
        <v>20</v>
      </c>
      <c r="G1615">
        <v>3</v>
      </c>
      <c r="H1615">
        <v>44</v>
      </c>
      <c r="I161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6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1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16" spans="1:11" x14ac:dyDescent="0.35">
      <c r="A1616">
        <v>657</v>
      </c>
      <c r="B1616">
        <v>1</v>
      </c>
      <c r="C1616" t="s">
        <v>41</v>
      </c>
      <c r="D1616" t="s">
        <v>1811</v>
      </c>
      <c r="E1616">
        <v>14</v>
      </c>
      <c r="F1616">
        <v>23</v>
      </c>
      <c r="G1616">
        <v>2</v>
      </c>
      <c r="H1616">
        <v>39</v>
      </c>
      <c r="I1616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6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61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617" spans="1:11" x14ac:dyDescent="0.35">
      <c r="A1617">
        <v>657</v>
      </c>
      <c r="B1617">
        <v>1</v>
      </c>
      <c r="C1617" t="s">
        <v>19</v>
      </c>
      <c r="D1617" t="s">
        <v>1802</v>
      </c>
      <c r="E1617">
        <v>25</v>
      </c>
      <c r="F1617">
        <v>40</v>
      </c>
      <c r="G1617">
        <v>2</v>
      </c>
      <c r="H1617">
        <v>55</v>
      </c>
      <c r="I1617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6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617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618" spans="1:11" x14ac:dyDescent="0.35">
      <c r="A1618">
        <v>657</v>
      </c>
      <c r="B1618">
        <v>1</v>
      </c>
      <c r="C1618" t="s">
        <v>31</v>
      </c>
      <c r="D1618" t="s">
        <v>1807</v>
      </c>
      <c r="E1618">
        <v>21</v>
      </c>
      <c r="F1618">
        <v>35</v>
      </c>
      <c r="G1618">
        <v>2</v>
      </c>
      <c r="H1618">
        <v>40</v>
      </c>
      <c r="I1618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6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61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19" spans="1:11" x14ac:dyDescent="0.35">
      <c r="A1619">
        <v>658</v>
      </c>
      <c r="B1619">
        <v>19</v>
      </c>
      <c r="C1619" t="s">
        <v>33</v>
      </c>
      <c r="D1619" t="s">
        <v>1808</v>
      </c>
      <c r="E1619">
        <v>19</v>
      </c>
      <c r="F1619">
        <v>32</v>
      </c>
      <c r="G1619">
        <v>1</v>
      </c>
      <c r="H1619">
        <v>21</v>
      </c>
      <c r="I1619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6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61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620" spans="1:11" x14ac:dyDescent="0.35">
      <c r="A1620">
        <v>658</v>
      </c>
      <c r="B1620">
        <v>19</v>
      </c>
      <c r="C1620" t="s">
        <v>17</v>
      </c>
      <c r="D1620" t="s">
        <v>1800</v>
      </c>
      <c r="E1620">
        <v>16</v>
      </c>
      <c r="F1620">
        <v>27</v>
      </c>
      <c r="G1620">
        <v>2</v>
      </c>
      <c r="H1620">
        <v>27</v>
      </c>
      <c r="I162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6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62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621" spans="1:11" x14ac:dyDescent="0.35">
      <c r="A1621">
        <v>659</v>
      </c>
      <c r="B1621">
        <v>9</v>
      </c>
      <c r="C1621" t="s">
        <v>23</v>
      </c>
      <c r="D1621" t="s">
        <v>1803</v>
      </c>
      <c r="E1621">
        <v>17</v>
      </c>
      <c r="F1621">
        <v>29</v>
      </c>
      <c r="G1621">
        <v>3</v>
      </c>
      <c r="H1621">
        <v>31</v>
      </c>
      <c r="I1621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6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62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622" spans="1:11" x14ac:dyDescent="0.35">
      <c r="A1622">
        <v>660</v>
      </c>
      <c r="B1622">
        <v>19</v>
      </c>
      <c r="C1622" t="s">
        <v>29</v>
      </c>
      <c r="D1622" t="s">
        <v>1806</v>
      </c>
      <c r="E1622">
        <v>11</v>
      </c>
      <c r="F1622">
        <v>19</v>
      </c>
      <c r="G1622">
        <v>2</v>
      </c>
      <c r="H1622">
        <v>24</v>
      </c>
      <c r="I1622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6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22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623" spans="1:11" x14ac:dyDescent="0.35">
      <c r="A1623">
        <v>660</v>
      </c>
      <c r="B1623">
        <v>19</v>
      </c>
      <c r="C1623" t="s">
        <v>12</v>
      </c>
      <c r="D1623" t="s">
        <v>1797</v>
      </c>
      <c r="E1623">
        <v>18</v>
      </c>
      <c r="F1623">
        <v>30</v>
      </c>
      <c r="G1623">
        <v>3</v>
      </c>
      <c r="H1623">
        <v>16</v>
      </c>
      <c r="I1623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6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62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24" spans="1:11" x14ac:dyDescent="0.35">
      <c r="A1624">
        <v>660</v>
      </c>
      <c r="B1624">
        <v>19</v>
      </c>
      <c r="C1624" t="s">
        <v>19</v>
      </c>
      <c r="D1624" t="s">
        <v>1802</v>
      </c>
      <c r="E1624">
        <v>25</v>
      </c>
      <c r="F1624">
        <v>40</v>
      </c>
      <c r="G1624">
        <v>2</v>
      </c>
      <c r="H1624">
        <v>5</v>
      </c>
      <c r="I1624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6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624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625" spans="1:11" x14ac:dyDescent="0.35">
      <c r="A1625">
        <v>661</v>
      </c>
      <c r="B1625">
        <v>16</v>
      </c>
      <c r="C1625" t="s">
        <v>49</v>
      </c>
      <c r="D1625" t="s">
        <v>1816</v>
      </c>
      <c r="E1625">
        <v>15</v>
      </c>
      <c r="F1625">
        <v>25</v>
      </c>
      <c r="G1625">
        <v>2</v>
      </c>
      <c r="H1625">
        <v>30</v>
      </c>
      <c r="I1625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6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62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26" spans="1:11" x14ac:dyDescent="0.35">
      <c r="A1626">
        <v>661</v>
      </c>
      <c r="B1626">
        <v>16</v>
      </c>
      <c r="C1626" t="s">
        <v>41</v>
      </c>
      <c r="D1626" t="s">
        <v>1811</v>
      </c>
      <c r="E1626">
        <v>14</v>
      </c>
      <c r="F1626">
        <v>23</v>
      </c>
      <c r="G1626">
        <v>3</v>
      </c>
      <c r="H1626">
        <v>56</v>
      </c>
      <c r="I1626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6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62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627" spans="1:11" x14ac:dyDescent="0.35">
      <c r="A1627">
        <v>661</v>
      </c>
      <c r="B1627">
        <v>16</v>
      </c>
      <c r="C1627" t="s">
        <v>27</v>
      </c>
      <c r="D1627" t="s">
        <v>1805</v>
      </c>
      <c r="E1627">
        <v>16</v>
      </c>
      <c r="F1627">
        <v>28</v>
      </c>
      <c r="G1627">
        <v>2</v>
      </c>
      <c r="H1627">
        <v>27</v>
      </c>
      <c r="I1627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6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27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628" spans="1:11" x14ac:dyDescent="0.35">
      <c r="A1628">
        <v>661</v>
      </c>
      <c r="B1628">
        <v>16</v>
      </c>
      <c r="C1628" t="s">
        <v>15</v>
      </c>
      <c r="D1628" t="s">
        <v>1799</v>
      </c>
      <c r="E1628">
        <v>19</v>
      </c>
      <c r="F1628">
        <v>31</v>
      </c>
      <c r="G1628">
        <v>1</v>
      </c>
      <c r="H1628">
        <v>22</v>
      </c>
      <c r="I1628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6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62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29" spans="1:11" x14ac:dyDescent="0.35">
      <c r="A1629">
        <v>662</v>
      </c>
      <c r="B1629">
        <v>15</v>
      </c>
      <c r="C1629" t="s">
        <v>49</v>
      </c>
      <c r="D1629" t="s">
        <v>1816</v>
      </c>
      <c r="E1629">
        <v>15</v>
      </c>
      <c r="F1629">
        <v>25</v>
      </c>
      <c r="G1629">
        <v>1</v>
      </c>
      <c r="H1629">
        <v>10</v>
      </c>
      <c r="I1629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6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62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30" spans="1:11" x14ac:dyDescent="0.35">
      <c r="A1630">
        <v>662</v>
      </c>
      <c r="B1630">
        <v>15</v>
      </c>
      <c r="C1630" t="s">
        <v>21</v>
      </c>
      <c r="D1630" t="s">
        <v>1801</v>
      </c>
      <c r="E1630">
        <v>22</v>
      </c>
      <c r="F1630">
        <v>36</v>
      </c>
      <c r="G1630">
        <v>1</v>
      </c>
      <c r="H1630">
        <v>41</v>
      </c>
      <c r="I1630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63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631" spans="1:11" x14ac:dyDescent="0.35">
      <c r="A1631">
        <v>662</v>
      </c>
      <c r="B1631">
        <v>15</v>
      </c>
      <c r="C1631" t="s">
        <v>9</v>
      </c>
      <c r="D1631" t="s">
        <v>1798</v>
      </c>
      <c r="E1631">
        <v>14</v>
      </c>
      <c r="F1631">
        <v>24</v>
      </c>
      <c r="G1631">
        <v>3</v>
      </c>
      <c r="H1631">
        <v>34</v>
      </c>
      <c r="I1631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6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631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632" spans="1:11" x14ac:dyDescent="0.35">
      <c r="A1632">
        <v>663</v>
      </c>
      <c r="B1632">
        <v>3</v>
      </c>
      <c r="C1632" t="s">
        <v>39</v>
      </c>
      <c r="D1632" t="s">
        <v>1812</v>
      </c>
      <c r="E1632">
        <v>12</v>
      </c>
      <c r="F1632">
        <v>20</v>
      </c>
      <c r="G1632">
        <v>1</v>
      </c>
      <c r="H1632">
        <v>42</v>
      </c>
      <c r="I1632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6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63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33" spans="1:11" x14ac:dyDescent="0.35">
      <c r="A1633">
        <v>663</v>
      </c>
      <c r="B1633">
        <v>3</v>
      </c>
      <c r="C1633" t="s">
        <v>45</v>
      </c>
      <c r="D1633" t="s">
        <v>1814</v>
      </c>
      <c r="E1633">
        <v>10</v>
      </c>
      <c r="F1633">
        <v>18</v>
      </c>
      <c r="G1633">
        <v>2</v>
      </c>
      <c r="H1633">
        <v>40</v>
      </c>
      <c r="I1633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3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634" spans="1:11" x14ac:dyDescent="0.35">
      <c r="A1634">
        <v>663</v>
      </c>
      <c r="B1634">
        <v>3</v>
      </c>
      <c r="C1634" t="s">
        <v>23</v>
      </c>
      <c r="D1634" t="s">
        <v>1803</v>
      </c>
      <c r="E1634">
        <v>17</v>
      </c>
      <c r="F1634">
        <v>29</v>
      </c>
      <c r="G1634">
        <v>2</v>
      </c>
      <c r="H1634">
        <v>5</v>
      </c>
      <c r="I1634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6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34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635" spans="1:11" x14ac:dyDescent="0.35">
      <c r="A1635">
        <v>664</v>
      </c>
      <c r="B1635">
        <v>20</v>
      </c>
      <c r="C1635" t="s">
        <v>29</v>
      </c>
      <c r="D1635" t="s">
        <v>1806</v>
      </c>
      <c r="E1635">
        <v>11</v>
      </c>
      <c r="F1635">
        <v>19</v>
      </c>
      <c r="G1635">
        <v>2</v>
      </c>
      <c r="H1635">
        <v>42</v>
      </c>
      <c r="I1635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6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3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636" spans="1:11" x14ac:dyDescent="0.35">
      <c r="A1636">
        <v>664</v>
      </c>
      <c r="B1636">
        <v>20</v>
      </c>
      <c r="C1636" t="s">
        <v>45</v>
      </c>
      <c r="D1636" t="s">
        <v>1814</v>
      </c>
      <c r="E1636">
        <v>10</v>
      </c>
      <c r="F1636">
        <v>18</v>
      </c>
      <c r="G1636">
        <v>1</v>
      </c>
      <c r="H1636">
        <v>9</v>
      </c>
      <c r="I1636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6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63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637" spans="1:11" x14ac:dyDescent="0.35">
      <c r="A1637">
        <v>664</v>
      </c>
      <c r="B1637">
        <v>20</v>
      </c>
      <c r="C1637" t="s">
        <v>35</v>
      </c>
      <c r="D1637" t="s">
        <v>1809</v>
      </c>
      <c r="E1637">
        <v>13</v>
      </c>
      <c r="F1637">
        <v>22</v>
      </c>
      <c r="G1637">
        <v>3</v>
      </c>
      <c r="H1637">
        <v>48</v>
      </c>
      <c r="I1637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6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63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638" spans="1:11" x14ac:dyDescent="0.35">
      <c r="A1638">
        <v>665</v>
      </c>
      <c r="B1638">
        <v>6</v>
      </c>
      <c r="C1638" t="s">
        <v>49</v>
      </c>
      <c r="D1638" t="s">
        <v>1816</v>
      </c>
      <c r="E1638">
        <v>15</v>
      </c>
      <c r="F1638">
        <v>25</v>
      </c>
      <c r="G1638">
        <v>3</v>
      </c>
      <c r="H1638">
        <v>25</v>
      </c>
      <c r="I1638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6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63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39" spans="1:11" x14ac:dyDescent="0.35">
      <c r="A1639">
        <v>665</v>
      </c>
      <c r="B1639">
        <v>6</v>
      </c>
      <c r="C1639" t="s">
        <v>17</v>
      </c>
      <c r="D1639" t="s">
        <v>1800</v>
      </c>
      <c r="E1639">
        <v>16</v>
      </c>
      <c r="F1639">
        <v>27</v>
      </c>
      <c r="G1639">
        <v>2</v>
      </c>
      <c r="H1639">
        <v>15</v>
      </c>
      <c r="I1639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6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639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640" spans="1:11" x14ac:dyDescent="0.35">
      <c r="A1640">
        <v>666</v>
      </c>
      <c r="B1640">
        <v>8</v>
      </c>
      <c r="C1640" t="s">
        <v>39</v>
      </c>
      <c r="D1640" t="s">
        <v>1812</v>
      </c>
      <c r="E1640">
        <v>12</v>
      </c>
      <c r="F1640">
        <v>20</v>
      </c>
      <c r="G1640">
        <v>2</v>
      </c>
      <c r="H1640">
        <v>27</v>
      </c>
      <c r="I1640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6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4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41" spans="1:11" x14ac:dyDescent="0.35">
      <c r="A1641">
        <v>667</v>
      </c>
      <c r="B1641">
        <v>6</v>
      </c>
      <c r="C1641" t="s">
        <v>21</v>
      </c>
      <c r="D1641" t="s">
        <v>1801</v>
      </c>
      <c r="E1641">
        <v>22</v>
      </c>
      <c r="F1641">
        <v>36</v>
      </c>
      <c r="G1641">
        <v>1</v>
      </c>
      <c r="H1641">
        <v>12</v>
      </c>
      <c r="I1641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641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642" spans="1:11" x14ac:dyDescent="0.35">
      <c r="A1642">
        <v>668</v>
      </c>
      <c r="B1642">
        <v>12</v>
      </c>
      <c r="C1642" t="s">
        <v>49</v>
      </c>
      <c r="D1642" t="s">
        <v>1816</v>
      </c>
      <c r="E1642">
        <v>15</v>
      </c>
      <c r="F1642">
        <v>25</v>
      </c>
      <c r="G1642">
        <v>3</v>
      </c>
      <c r="H1642">
        <v>47</v>
      </c>
      <c r="I1642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6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64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43" spans="1:11" x14ac:dyDescent="0.35">
      <c r="A1643">
        <v>668</v>
      </c>
      <c r="B1643">
        <v>12</v>
      </c>
      <c r="C1643" t="s">
        <v>47</v>
      </c>
      <c r="D1643" t="s">
        <v>1815</v>
      </c>
      <c r="E1643">
        <v>15</v>
      </c>
      <c r="F1643">
        <v>26</v>
      </c>
      <c r="G1643">
        <v>3</v>
      </c>
      <c r="H1643">
        <v>59</v>
      </c>
      <c r="I1643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6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64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644" spans="1:11" x14ac:dyDescent="0.35">
      <c r="A1644">
        <v>668</v>
      </c>
      <c r="B1644">
        <v>12</v>
      </c>
      <c r="C1644" t="s">
        <v>9</v>
      </c>
      <c r="D1644" t="s">
        <v>1798</v>
      </c>
      <c r="E1644">
        <v>14</v>
      </c>
      <c r="F1644">
        <v>24</v>
      </c>
      <c r="G1644">
        <v>2</v>
      </c>
      <c r="H1644">
        <v>9</v>
      </c>
      <c r="I1644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6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64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645" spans="1:11" x14ac:dyDescent="0.35">
      <c r="A1645">
        <v>669</v>
      </c>
      <c r="B1645">
        <v>10</v>
      </c>
      <c r="C1645" t="s">
        <v>33</v>
      </c>
      <c r="D1645" t="s">
        <v>1808</v>
      </c>
      <c r="E1645">
        <v>19</v>
      </c>
      <c r="F1645">
        <v>32</v>
      </c>
      <c r="G1645">
        <v>3</v>
      </c>
      <c r="H1645">
        <v>42</v>
      </c>
      <c r="I1645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6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645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646" spans="1:11" x14ac:dyDescent="0.35">
      <c r="A1646">
        <v>669</v>
      </c>
      <c r="B1646">
        <v>10</v>
      </c>
      <c r="C1646" t="s">
        <v>15</v>
      </c>
      <c r="D1646" t="s">
        <v>1799</v>
      </c>
      <c r="E1646">
        <v>19</v>
      </c>
      <c r="F1646">
        <v>31</v>
      </c>
      <c r="G1646">
        <v>1</v>
      </c>
      <c r="H1646">
        <v>13</v>
      </c>
      <c r="I1646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6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646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47" spans="1:11" x14ac:dyDescent="0.35">
      <c r="A1647">
        <v>669</v>
      </c>
      <c r="B1647">
        <v>10</v>
      </c>
      <c r="C1647" t="s">
        <v>17</v>
      </c>
      <c r="D1647" t="s">
        <v>1800</v>
      </c>
      <c r="E1647">
        <v>16</v>
      </c>
      <c r="F1647">
        <v>27</v>
      </c>
      <c r="G1647">
        <v>2</v>
      </c>
      <c r="H1647">
        <v>14</v>
      </c>
      <c r="I164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6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64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648" spans="1:11" x14ac:dyDescent="0.35">
      <c r="A1648">
        <v>670</v>
      </c>
      <c r="B1648">
        <v>16</v>
      </c>
      <c r="C1648" t="s">
        <v>41</v>
      </c>
      <c r="D1648" t="s">
        <v>1811</v>
      </c>
      <c r="E1648">
        <v>14</v>
      </c>
      <c r="F1648">
        <v>23</v>
      </c>
      <c r="G1648">
        <v>1</v>
      </c>
      <c r="H1648">
        <v>26</v>
      </c>
      <c r="I1648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6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64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649" spans="1:11" x14ac:dyDescent="0.35">
      <c r="A1649">
        <v>670</v>
      </c>
      <c r="B1649">
        <v>16</v>
      </c>
      <c r="C1649" t="s">
        <v>21</v>
      </c>
      <c r="D1649" t="s">
        <v>1801</v>
      </c>
      <c r="E1649">
        <v>22</v>
      </c>
      <c r="F1649">
        <v>36</v>
      </c>
      <c r="G1649">
        <v>1</v>
      </c>
      <c r="H1649">
        <v>32</v>
      </c>
      <c r="I1649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649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650" spans="1:11" x14ac:dyDescent="0.35">
      <c r="A1650">
        <v>670</v>
      </c>
      <c r="B1650">
        <v>16</v>
      </c>
      <c r="C1650" t="s">
        <v>31</v>
      </c>
      <c r="D1650" t="s">
        <v>1807</v>
      </c>
      <c r="E1650">
        <v>21</v>
      </c>
      <c r="F1650">
        <v>35</v>
      </c>
      <c r="G1650">
        <v>1</v>
      </c>
      <c r="H1650">
        <v>17</v>
      </c>
      <c r="I1650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6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65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51" spans="1:11" x14ac:dyDescent="0.35">
      <c r="A1651">
        <v>671</v>
      </c>
      <c r="B1651">
        <v>17</v>
      </c>
      <c r="C1651" t="s">
        <v>49</v>
      </c>
      <c r="D1651" t="s">
        <v>1816</v>
      </c>
      <c r="E1651">
        <v>15</v>
      </c>
      <c r="F1651">
        <v>25</v>
      </c>
      <c r="G1651">
        <v>2</v>
      </c>
      <c r="H1651">
        <v>32</v>
      </c>
      <c r="I1651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6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65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52" spans="1:11" x14ac:dyDescent="0.35">
      <c r="A1652">
        <v>671</v>
      </c>
      <c r="B1652">
        <v>17</v>
      </c>
      <c r="C1652" t="s">
        <v>33</v>
      </c>
      <c r="D1652" t="s">
        <v>1808</v>
      </c>
      <c r="E1652">
        <v>19</v>
      </c>
      <c r="F1652">
        <v>32</v>
      </c>
      <c r="G1652">
        <v>2</v>
      </c>
      <c r="H1652">
        <v>34</v>
      </c>
      <c r="I1652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6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652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653" spans="1:11" x14ac:dyDescent="0.35">
      <c r="A1653">
        <v>671</v>
      </c>
      <c r="B1653">
        <v>17</v>
      </c>
      <c r="C1653" t="s">
        <v>31</v>
      </c>
      <c r="D1653" t="s">
        <v>1807</v>
      </c>
      <c r="E1653">
        <v>21</v>
      </c>
      <c r="F1653">
        <v>35</v>
      </c>
      <c r="G1653">
        <v>2</v>
      </c>
      <c r="H1653">
        <v>29</v>
      </c>
      <c r="I1653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6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65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54" spans="1:11" x14ac:dyDescent="0.35">
      <c r="A1654">
        <v>672</v>
      </c>
      <c r="B1654">
        <v>12</v>
      </c>
      <c r="C1654" t="s">
        <v>29</v>
      </c>
      <c r="D1654" t="s">
        <v>1806</v>
      </c>
      <c r="E1654">
        <v>11</v>
      </c>
      <c r="F1654">
        <v>19</v>
      </c>
      <c r="G1654">
        <v>1</v>
      </c>
      <c r="H1654">
        <v>42</v>
      </c>
      <c r="I1654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6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654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655" spans="1:11" x14ac:dyDescent="0.35">
      <c r="A1655">
        <v>672</v>
      </c>
      <c r="B1655">
        <v>12</v>
      </c>
      <c r="C1655" t="s">
        <v>43</v>
      </c>
      <c r="D1655" t="s">
        <v>1813</v>
      </c>
      <c r="E1655">
        <v>13</v>
      </c>
      <c r="F1655">
        <v>21</v>
      </c>
      <c r="G1655">
        <v>2</v>
      </c>
      <c r="H1655">
        <v>15</v>
      </c>
      <c r="I1655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6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55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656" spans="1:11" x14ac:dyDescent="0.35">
      <c r="A1656">
        <v>672</v>
      </c>
      <c r="B1656">
        <v>12</v>
      </c>
      <c r="C1656" t="s">
        <v>33</v>
      </c>
      <c r="D1656" t="s">
        <v>1808</v>
      </c>
      <c r="E1656">
        <v>19</v>
      </c>
      <c r="F1656">
        <v>32</v>
      </c>
      <c r="G1656">
        <v>3</v>
      </c>
      <c r="H1656">
        <v>21</v>
      </c>
      <c r="I1656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6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65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657" spans="1:11" x14ac:dyDescent="0.35">
      <c r="A1657">
        <v>673</v>
      </c>
      <c r="B1657">
        <v>20</v>
      </c>
      <c r="C1657" t="s">
        <v>49</v>
      </c>
      <c r="D1657" t="s">
        <v>1816</v>
      </c>
      <c r="E1657">
        <v>15</v>
      </c>
      <c r="F1657">
        <v>25</v>
      </c>
      <c r="G1657">
        <v>2</v>
      </c>
      <c r="H1657">
        <v>45</v>
      </c>
      <c r="I1657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6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65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58" spans="1:11" x14ac:dyDescent="0.35">
      <c r="A1658">
        <v>673</v>
      </c>
      <c r="B1658">
        <v>20</v>
      </c>
      <c r="C1658" t="s">
        <v>12</v>
      </c>
      <c r="D1658" t="s">
        <v>1797</v>
      </c>
      <c r="E1658">
        <v>18</v>
      </c>
      <c r="F1658">
        <v>30</v>
      </c>
      <c r="G1658">
        <v>1</v>
      </c>
      <c r="H1658">
        <v>25</v>
      </c>
      <c r="I1658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6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65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59" spans="1:11" x14ac:dyDescent="0.35">
      <c r="A1659">
        <v>673</v>
      </c>
      <c r="B1659">
        <v>20</v>
      </c>
      <c r="C1659" t="s">
        <v>19</v>
      </c>
      <c r="D1659" t="s">
        <v>1802</v>
      </c>
      <c r="E1659">
        <v>25</v>
      </c>
      <c r="F1659">
        <v>40</v>
      </c>
      <c r="G1659">
        <v>2</v>
      </c>
      <c r="H1659">
        <v>13</v>
      </c>
      <c r="I1659">
        <f>spaces_3iWczBNnn5rbfoUlE0Jd_uploads_git_blob_d9e80ffbcef8a4adc6d29edd78618add5df6[[#This Row],[Precio Unitario]]*spaces_3iWczBNnn5rbfoUlE0Jd_uploads_git_blob_d9e80ffbcef8a4adc6d29edd78618add5df6[[#This Row],[Cantidad Ordenada]]</f>
        <v>80</v>
      </c>
      <c r="J16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659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660" spans="1:11" x14ac:dyDescent="0.35">
      <c r="A1660">
        <v>673</v>
      </c>
      <c r="B1660">
        <v>20</v>
      </c>
      <c r="C1660" t="s">
        <v>31</v>
      </c>
      <c r="D1660" t="s">
        <v>1807</v>
      </c>
      <c r="E1660">
        <v>21</v>
      </c>
      <c r="F1660">
        <v>35</v>
      </c>
      <c r="G1660">
        <v>3</v>
      </c>
      <c r="H1660">
        <v>10</v>
      </c>
      <c r="I1660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6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66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61" spans="1:11" x14ac:dyDescent="0.35">
      <c r="A1661">
        <v>674</v>
      </c>
      <c r="B1661">
        <v>1</v>
      </c>
      <c r="C1661" t="s">
        <v>29</v>
      </c>
      <c r="D1661" t="s">
        <v>1806</v>
      </c>
      <c r="E1661">
        <v>11</v>
      </c>
      <c r="F1661">
        <v>19</v>
      </c>
      <c r="G1661">
        <v>3</v>
      </c>
      <c r="H1661">
        <v>11</v>
      </c>
      <c r="I1661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6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61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662" spans="1:11" x14ac:dyDescent="0.35">
      <c r="A1662">
        <v>674</v>
      </c>
      <c r="B1662">
        <v>1</v>
      </c>
      <c r="C1662" t="s">
        <v>43</v>
      </c>
      <c r="D1662" t="s">
        <v>1813</v>
      </c>
      <c r="E1662">
        <v>13</v>
      </c>
      <c r="F1662">
        <v>21</v>
      </c>
      <c r="G1662">
        <v>1</v>
      </c>
      <c r="H1662">
        <v>35</v>
      </c>
      <c r="I1662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6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662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663" spans="1:11" x14ac:dyDescent="0.35">
      <c r="A1663">
        <v>674</v>
      </c>
      <c r="B1663">
        <v>1</v>
      </c>
      <c r="C1663" t="s">
        <v>15</v>
      </c>
      <c r="D1663" t="s">
        <v>1799</v>
      </c>
      <c r="E1663">
        <v>19</v>
      </c>
      <c r="F1663">
        <v>31</v>
      </c>
      <c r="G1663">
        <v>3</v>
      </c>
      <c r="H1663">
        <v>7</v>
      </c>
      <c r="I1663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6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663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64" spans="1:11" x14ac:dyDescent="0.35">
      <c r="A1664">
        <v>674</v>
      </c>
      <c r="B1664">
        <v>1</v>
      </c>
      <c r="C1664" t="s">
        <v>45</v>
      </c>
      <c r="D1664" t="s">
        <v>1814</v>
      </c>
      <c r="E1664">
        <v>10</v>
      </c>
      <c r="F1664">
        <v>18</v>
      </c>
      <c r="G1664">
        <v>2</v>
      </c>
      <c r="H1664">
        <v>12</v>
      </c>
      <c r="I1664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6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665" spans="1:11" x14ac:dyDescent="0.35">
      <c r="A1665">
        <v>675</v>
      </c>
      <c r="B1665">
        <v>5</v>
      </c>
      <c r="C1665" t="s">
        <v>49</v>
      </c>
      <c r="D1665" t="s">
        <v>1816</v>
      </c>
      <c r="E1665">
        <v>15</v>
      </c>
      <c r="F1665">
        <v>25</v>
      </c>
      <c r="G1665">
        <v>1</v>
      </c>
      <c r="H1665">
        <v>8</v>
      </c>
      <c r="I1665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6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66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66" spans="1:11" x14ac:dyDescent="0.35">
      <c r="A1666">
        <v>675</v>
      </c>
      <c r="B1666">
        <v>5</v>
      </c>
      <c r="C1666" t="s">
        <v>21</v>
      </c>
      <c r="D1666" t="s">
        <v>1801</v>
      </c>
      <c r="E1666">
        <v>22</v>
      </c>
      <c r="F1666">
        <v>36</v>
      </c>
      <c r="G1666">
        <v>3</v>
      </c>
      <c r="H1666">
        <v>59</v>
      </c>
      <c r="I1666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6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666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667" spans="1:11" x14ac:dyDescent="0.35">
      <c r="A1667">
        <v>675</v>
      </c>
      <c r="B1667">
        <v>5</v>
      </c>
      <c r="C1667" t="s">
        <v>39</v>
      </c>
      <c r="D1667" t="s">
        <v>1812</v>
      </c>
      <c r="E1667">
        <v>12</v>
      </c>
      <c r="F1667">
        <v>20</v>
      </c>
      <c r="G1667">
        <v>3</v>
      </c>
      <c r="H1667">
        <v>54</v>
      </c>
      <c r="I1667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6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6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68" spans="1:11" x14ac:dyDescent="0.35">
      <c r="A1668">
        <v>676</v>
      </c>
      <c r="B1668">
        <v>7</v>
      </c>
      <c r="C1668" t="s">
        <v>43</v>
      </c>
      <c r="D1668" t="s">
        <v>1813</v>
      </c>
      <c r="E1668">
        <v>13</v>
      </c>
      <c r="F1668">
        <v>21</v>
      </c>
      <c r="G1668">
        <v>2</v>
      </c>
      <c r="H1668">
        <v>24</v>
      </c>
      <c r="I1668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6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68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669" spans="1:11" x14ac:dyDescent="0.35">
      <c r="A1669">
        <v>676</v>
      </c>
      <c r="B1669">
        <v>7</v>
      </c>
      <c r="C1669" t="s">
        <v>41</v>
      </c>
      <c r="D1669" t="s">
        <v>1811</v>
      </c>
      <c r="E1669">
        <v>14</v>
      </c>
      <c r="F1669">
        <v>23</v>
      </c>
      <c r="G1669">
        <v>1</v>
      </c>
      <c r="H1669">
        <v>40</v>
      </c>
      <c r="I1669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6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66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670" spans="1:11" x14ac:dyDescent="0.35">
      <c r="A1670">
        <v>676</v>
      </c>
      <c r="B1670">
        <v>7</v>
      </c>
      <c r="C1670" t="s">
        <v>27</v>
      </c>
      <c r="D1670" t="s">
        <v>1805</v>
      </c>
      <c r="E1670">
        <v>16</v>
      </c>
      <c r="F1670">
        <v>28</v>
      </c>
      <c r="G1670">
        <v>1</v>
      </c>
      <c r="H1670">
        <v>12</v>
      </c>
      <c r="I1670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6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67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671" spans="1:11" x14ac:dyDescent="0.35">
      <c r="A1671">
        <v>676</v>
      </c>
      <c r="B1671">
        <v>7</v>
      </c>
      <c r="C1671" t="s">
        <v>15</v>
      </c>
      <c r="D1671" t="s">
        <v>1799</v>
      </c>
      <c r="E1671">
        <v>19</v>
      </c>
      <c r="F1671">
        <v>31</v>
      </c>
      <c r="G1671">
        <v>1</v>
      </c>
      <c r="H1671">
        <v>45</v>
      </c>
      <c r="I1671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6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671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72" spans="1:11" x14ac:dyDescent="0.35">
      <c r="A1672">
        <v>677</v>
      </c>
      <c r="B1672">
        <v>14</v>
      </c>
      <c r="C1672" t="s">
        <v>37</v>
      </c>
      <c r="D1672" t="s">
        <v>1810</v>
      </c>
      <c r="E1672">
        <v>20</v>
      </c>
      <c r="F1672">
        <v>34</v>
      </c>
      <c r="G1672">
        <v>1</v>
      </c>
      <c r="H1672">
        <v>34</v>
      </c>
      <c r="I1672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6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672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673" spans="1:11" x14ac:dyDescent="0.35">
      <c r="A1673">
        <v>677</v>
      </c>
      <c r="B1673">
        <v>14</v>
      </c>
      <c r="C1673" t="s">
        <v>39</v>
      </c>
      <c r="D1673" t="s">
        <v>1812</v>
      </c>
      <c r="E1673">
        <v>12</v>
      </c>
      <c r="F1673">
        <v>20</v>
      </c>
      <c r="G1673">
        <v>2</v>
      </c>
      <c r="H1673">
        <v>55</v>
      </c>
      <c r="I1673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6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7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74" spans="1:11" x14ac:dyDescent="0.35">
      <c r="A1674">
        <v>677</v>
      </c>
      <c r="B1674">
        <v>14</v>
      </c>
      <c r="C1674" t="s">
        <v>31</v>
      </c>
      <c r="D1674" t="s">
        <v>1807</v>
      </c>
      <c r="E1674">
        <v>21</v>
      </c>
      <c r="F1674">
        <v>35</v>
      </c>
      <c r="G1674">
        <v>2</v>
      </c>
      <c r="H1674">
        <v>59</v>
      </c>
      <c r="I1674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6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67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75" spans="1:11" x14ac:dyDescent="0.35">
      <c r="A1675">
        <v>678</v>
      </c>
      <c r="B1675">
        <v>19</v>
      </c>
      <c r="C1675" t="s">
        <v>29</v>
      </c>
      <c r="D1675" t="s">
        <v>1806</v>
      </c>
      <c r="E1675">
        <v>11</v>
      </c>
      <c r="F1675">
        <v>19</v>
      </c>
      <c r="G1675">
        <v>3</v>
      </c>
      <c r="H1675">
        <v>37</v>
      </c>
      <c r="I1675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6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7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676" spans="1:11" x14ac:dyDescent="0.35">
      <c r="A1676">
        <v>678</v>
      </c>
      <c r="B1676">
        <v>19</v>
      </c>
      <c r="C1676" t="s">
        <v>9</v>
      </c>
      <c r="D1676" t="s">
        <v>1798</v>
      </c>
      <c r="E1676">
        <v>14</v>
      </c>
      <c r="F1676">
        <v>24</v>
      </c>
      <c r="G1676">
        <v>2</v>
      </c>
      <c r="H1676">
        <v>20</v>
      </c>
      <c r="I1676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6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676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677" spans="1:11" x14ac:dyDescent="0.35">
      <c r="A1677">
        <v>678</v>
      </c>
      <c r="B1677">
        <v>19</v>
      </c>
      <c r="C1677" t="s">
        <v>31</v>
      </c>
      <c r="D1677" t="s">
        <v>1807</v>
      </c>
      <c r="E1677">
        <v>21</v>
      </c>
      <c r="F1677">
        <v>35</v>
      </c>
      <c r="G1677">
        <v>2</v>
      </c>
      <c r="H1677">
        <v>37</v>
      </c>
      <c r="I1677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6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67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78" spans="1:11" x14ac:dyDescent="0.35">
      <c r="A1678">
        <v>678</v>
      </c>
      <c r="B1678">
        <v>19</v>
      </c>
      <c r="C1678" t="s">
        <v>23</v>
      </c>
      <c r="D1678" t="s">
        <v>1803</v>
      </c>
      <c r="E1678">
        <v>17</v>
      </c>
      <c r="F1678">
        <v>29</v>
      </c>
      <c r="G1678">
        <v>1</v>
      </c>
      <c r="H1678">
        <v>27</v>
      </c>
      <c r="I1678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6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678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679" spans="1:11" x14ac:dyDescent="0.35">
      <c r="A1679">
        <v>679</v>
      </c>
      <c r="B1679">
        <v>9</v>
      </c>
      <c r="C1679" t="s">
        <v>49</v>
      </c>
      <c r="D1679" t="s">
        <v>1816</v>
      </c>
      <c r="E1679">
        <v>15</v>
      </c>
      <c r="F1679">
        <v>25</v>
      </c>
      <c r="G1679">
        <v>3</v>
      </c>
      <c r="H1679">
        <v>52</v>
      </c>
      <c r="I1679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6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67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80" spans="1:11" x14ac:dyDescent="0.35">
      <c r="A1680">
        <v>679</v>
      </c>
      <c r="B1680">
        <v>9</v>
      </c>
      <c r="C1680" t="s">
        <v>47</v>
      </c>
      <c r="D1680" t="s">
        <v>1815</v>
      </c>
      <c r="E1680">
        <v>15</v>
      </c>
      <c r="F1680">
        <v>26</v>
      </c>
      <c r="G1680">
        <v>1</v>
      </c>
      <c r="H1680">
        <v>11</v>
      </c>
      <c r="I1680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6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680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681" spans="1:11" x14ac:dyDescent="0.35">
      <c r="A1681">
        <v>679</v>
      </c>
      <c r="B1681">
        <v>9</v>
      </c>
      <c r="C1681" t="s">
        <v>43</v>
      </c>
      <c r="D1681" t="s">
        <v>1813</v>
      </c>
      <c r="E1681">
        <v>13</v>
      </c>
      <c r="F1681">
        <v>21</v>
      </c>
      <c r="G1681">
        <v>2</v>
      </c>
      <c r="H1681">
        <v>27</v>
      </c>
      <c r="I1681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6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8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682" spans="1:11" x14ac:dyDescent="0.35">
      <c r="A1682">
        <v>679</v>
      </c>
      <c r="B1682">
        <v>9</v>
      </c>
      <c r="C1682" t="s">
        <v>27</v>
      </c>
      <c r="D1682" t="s">
        <v>1805</v>
      </c>
      <c r="E1682">
        <v>16</v>
      </c>
      <c r="F1682">
        <v>28</v>
      </c>
      <c r="G1682">
        <v>2</v>
      </c>
      <c r="H1682">
        <v>16</v>
      </c>
      <c r="I1682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6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82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683" spans="1:11" x14ac:dyDescent="0.35">
      <c r="A1683">
        <v>680</v>
      </c>
      <c r="B1683">
        <v>5</v>
      </c>
      <c r="C1683" t="s">
        <v>25</v>
      </c>
      <c r="D1683" t="s">
        <v>1804</v>
      </c>
      <c r="E1683">
        <v>20</v>
      </c>
      <c r="F1683">
        <v>33</v>
      </c>
      <c r="G1683">
        <v>2</v>
      </c>
      <c r="H1683">
        <v>56</v>
      </c>
      <c r="I1683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6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68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684" spans="1:11" x14ac:dyDescent="0.35">
      <c r="A1684">
        <v>680</v>
      </c>
      <c r="B1684">
        <v>5</v>
      </c>
      <c r="C1684" t="s">
        <v>39</v>
      </c>
      <c r="D1684" t="s">
        <v>1812</v>
      </c>
      <c r="E1684">
        <v>12</v>
      </c>
      <c r="F1684">
        <v>20</v>
      </c>
      <c r="G1684">
        <v>3</v>
      </c>
      <c r="H1684">
        <v>49</v>
      </c>
      <c r="I1684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6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8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85" spans="1:11" x14ac:dyDescent="0.35">
      <c r="A1685">
        <v>680</v>
      </c>
      <c r="B1685">
        <v>5</v>
      </c>
      <c r="C1685" t="s">
        <v>45</v>
      </c>
      <c r="D1685" t="s">
        <v>1814</v>
      </c>
      <c r="E1685">
        <v>10</v>
      </c>
      <c r="F1685">
        <v>18</v>
      </c>
      <c r="G1685">
        <v>2</v>
      </c>
      <c r="H1685">
        <v>6</v>
      </c>
      <c r="I168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85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686" spans="1:11" x14ac:dyDescent="0.35">
      <c r="A1686">
        <v>681</v>
      </c>
      <c r="B1686">
        <v>2</v>
      </c>
      <c r="C1686" t="s">
        <v>25</v>
      </c>
      <c r="D1686" t="s">
        <v>1804</v>
      </c>
      <c r="E1686">
        <v>20</v>
      </c>
      <c r="F1686">
        <v>33</v>
      </c>
      <c r="G1686">
        <v>1</v>
      </c>
      <c r="H1686">
        <v>44</v>
      </c>
      <c r="I1686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6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686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687" spans="1:11" x14ac:dyDescent="0.35">
      <c r="A1687">
        <v>681</v>
      </c>
      <c r="B1687">
        <v>2</v>
      </c>
      <c r="C1687" t="s">
        <v>43</v>
      </c>
      <c r="D1687" t="s">
        <v>1813</v>
      </c>
      <c r="E1687">
        <v>13</v>
      </c>
      <c r="F1687">
        <v>21</v>
      </c>
      <c r="G1687">
        <v>2</v>
      </c>
      <c r="H1687">
        <v>21</v>
      </c>
      <c r="I1687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6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8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688" spans="1:11" x14ac:dyDescent="0.35">
      <c r="A1688">
        <v>682</v>
      </c>
      <c r="B1688">
        <v>1</v>
      </c>
      <c r="C1688" t="s">
        <v>41</v>
      </c>
      <c r="D1688" t="s">
        <v>1811</v>
      </c>
      <c r="E1688">
        <v>14</v>
      </c>
      <c r="F1688">
        <v>23</v>
      </c>
      <c r="G1688">
        <v>1</v>
      </c>
      <c r="H1688">
        <v>43</v>
      </c>
      <c r="I1688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6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68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689" spans="1:11" x14ac:dyDescent="0.35">
      <c r="A1689">
        <v>683</v>
      </c>
      <c r="B1689">
        <v>2</v>
      </c>
      <c r="C1689" t="s">
        <v>15</v>
      </c>
      <c r="D1689" t="s">
        <v>1799</v>
      </c>
      <c r="E1689">
        <v>19</v>
      </c>
      <c r="F1689">
        <v>31</v>
      </c>
      <c r="G1689">
        <v>2</v>
      </c>
      <c r="H1689">
        <v>16</v>
      </c>
      <c r="I1689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6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8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90" spans="1:11" x14ac:dyDescent="0.35">
      <c r="A1690">
        <v>683</v>
      </c>
      <c r="B1690">
        <v>2</v>
      </c>
      <c r="C1690" t="s">
        <v>19</v>
      </c>
      <c r="D1690" t="s">
        <v>1802</v>
      </c>
      <c r="E1690">
        <v>25</v>
      </c>
      <c r="F1690">
        <v>40</v>
      </c>
      <c r="G1690">
        <v>1</v>
      </c>
      <c r="H1690">
        <v>6</v>
      </c>
      <c r="I1690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6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690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691" spans="1:11" x14ac:dyDescent="0.35">
      <c r="A1691">
        <v>683</v>
      </c>
      <c r="B1691">
        <v>2</v>
      </c>
      <c r="C1691" t="s">
        <v>39</v>
      </c>
      <c r="D1691" t="s">
        <v>1812</v>
      </c>
      <c r="E1691">
        <v>12</v>
      </c>
      <c r="F1691">
        <v>20</v>
      </c>
      <c r="G1691">
        <v>2</v>
      </c>
      <c r="H1691">
        <v>35</v>
      </c>
      <c r="I1691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6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9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692" spans="1:11" x14ac:dyDescent="0.35">
      <c r="A1692">
        <v>683</v>
      </c>
      <c r="B1692">
        <v>2</v>
      </c>
      <c r="C1692" t="s">
        <v>35</v>
      </c>
      <c r="D1692" t="s">
        <v>1809</v>
      </c>
      <c r="E1692">
        <v>13</v>
      </c>
      <c r="F1692">
        <v>22</v>
      </c>
      <c r="G1692">
        <v>1</v>
      </c>
      <c r="H1692">
        <v>25</v>
      </c>
      <c r="I1692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6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69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693" spans="1:11" x14ac:dyDescent="0.35">
      <c r="A1693">
        <v>684</v>
      </c>
      <c r="B1693">
        <v>10</v>
      </c>
      <c r="C1693" t="s">
        <v>47</v>
      </c>
      <c r="D1693" t="s">
        <v>1815</v>
      </c>
      <c r="E1693">
        <v>15</v>
      </c>
      <c r="F1693">
        <v>26</v>
      </c>
      <c r="G1693">
        <v>1</v>
      </c>
      <c r="H1693">
        <v>25</v>
      </c>
      <c r="I1693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6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69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694" spans="1:11" x14ac:dyDescent="0.35">
      <c r="A1694">
        <v>684</v>
      </c>
      <c r="B1694">
        <v>10</v>
      </c>
      <c r="C1694" t="s">
        <v>15</v>
      </c>
      <c r="D1694" t="s">
        <v>1799</v>
      </c>
      <c r="E1694">
        <v>19</v>
      </c>
      <c r="F1694">
        <v>31</v>
      </c>
      <c r="G1694">
        <v>1</v>
      </c>
      <c r="H1694">
        <v>10</v>
      </c>
      <c r="I1694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6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69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95" spans="1:11" x14ac:dyDescent="0.35">
      <c r="A1695">
        <v>684</v>
      </c>
      <c r="B1695">
        <v>10</v>
      </c>
      <c r="C1695" t="s">
        <v>21</v>
      </c>
      <c r="D1695" t="s">
        <v>1801</v>
      </c>
      <c r="E1695">
        <v>22</v>
      </c>
      <c r="F1695">
        <v>36</v>
      </c>
      <c r="G1695">
        <v>1</v>
      </c>
      <c r="H1695">
        <v>38</v>
      </c>
      <c r="I169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6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69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696" spans="1:11" x14ac:dyDescent="0.35">
      <c r="A1696">
        <v>684</v>
      </c>
      <c r="B1696">
        <v>10</v>
      </c>
      <c r="C1696" t="s">
        <v>23</v>
      </c>
      <c r="D1696" t="s">
        <v>1803</v>
      </c>
      <c r="E1696">
        <v>17</v>
      </c>
      <c r="F1696">
        <v>29</v>
      </c>
      <c r="G1696">
        <v>3</v>
      </c>
      <c r="H1696">
        <v>37</v>
      </c>
      <c r="I1696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6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69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697" spans="1:11" x14ac:dyDescent="0.35">
      <c r="A1697">
        <v>685</v>
      </c>
      <c r="B1697">
        <v>5</v>
      </c>
      <c r="C1697" t="s">
        <v>17</v>
      </c>
      <c r="D1697" t="s">
        <v>1800</v>
      </c>
      <c r="E1697">
        <v>16</v>
      </c>
      <c r="F1697">
        <v>27</v>
      </c>
      <c r="G1697">
        <v>2</v>
      </c>
      <c r="H1697">
        <v>17</v>
      </c>
      <c r="I169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6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69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698" spans="1:11" x14ac:dyDescent="0.35">
      <c r="A1698">
        <v>686</v>
      </c>
      <c r="B1698">
        <v>10</v>
      </c>
      <c r="C1698" t="s">
        <v>15</v>
      </c>
      <c r="D1698" t="s">
        <v>1799</v>
      </c>
      <c r="E1698">
        <v>19</v>
      </c>
      <c r="F1698">
        <v>31</v>
      </c>
      <c r="G1698">
        <v>2</v>
      </c>
      <c r="H1698">
        <v>37</v>
      </c>
      <c r="I1698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6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698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699" spans="1:11" x14ac:dyDescent="0.35">
      <c r="A1699">
        <v>686</v>
      </c>
      <c r="B1699">
        <v>10</v>
      </c>
      <c r="C1699" t="s">
        <v>39</v>
      </c>
      <c r="D1699" t="s">
        <v>1812</v>
      </c>
      <c r="E1699">
        <v>12</v>
      </c>
      <c r="F1699">
        <v>20</v>
      </c>
      <c r="G1699">
        <v>2</v>
      </c>
      <c r="H1699">
        <v>21</v>
      </c>
      <c r="I1699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6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69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00" spans="1:11" x14ac:dyDescent="0.35">
      <c r="A1700">
        <v>687</v>
      </c>
      <c r="B1700">
        <v>2</v>
      </c>
      <c r="C1700" t="s">
        <v>21</v>
      </c>
      <c r="D1700" t="s">
        <v>1801</v>
      </c>
      <c r="E1700">
        <v>22</v>
      </c>
      <c r="F1700">
        <v>36</v>
      </c>
      <c r="G1700">
        <v>2</v>
      </c>
      <c r="H1700">
        <v>29</v>
      </c>
      <c r="I1700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7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70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701" spans="1:11" x14ac:dyDescent="0.35">
      <c r="A1701">
        <v>688</v>
      </c>
      <c r="B1701">
        <v>3</v>
      </c>
      <c r="C1701" t="s">
        <v>23</v>
      </c>
      <c r="D1701" t="s">
        <v>1803</v>
      </c>
      <c r="E1701">
        <v>17</v>
      </c>
      <c r="F1701">
        <v>29</v>
      </c>
      <c r="G1701">
        <v>1</v>
      </c>
      <c r="H1701">
        <v>14</v>
      </c>
      <c r="I1701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7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70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702" spans="1:11" x14ac:dyDescent="0.35">
      <c r="A1702">
        <v>689</v>
      </c>
      <c r="B1702">
        <v>14</v>
      </c>
      <c r="C1702" t="s">
        <v>49</v>
      </c>
      <c r="D1702" t="s">
        <v>1816</v>
      </c>
      <c r="E1702">
        <v>15</v>
      </c>
      <c r="F1702">
        <v>25</v>
      </c>
      <c r="G1702">
        <v>3</v>
      </c>
      <c r="H1702">
        <v>7</v>
      </c>
      <c r="I1702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7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70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03" spans="1:11" x14ac:dyDescent="0.35">
      <c r="A1703">
        <v>689</v>
      </c>
      <c r="B1703">
        <v>14</v>
      </c>
      <c r="C1703" t="s">
        <v>43</v>
      </c>
      <c r="D1703" t="s">
        <v>1813</v>
      </c>
      <c r="E1703">
        <v>13</v>
      </c>
      <c r="F1703">
        <v>21</v>
      </c>
      <c r="G1703">
        <v>1</v>
      </c>
      <c r="H1703">
        <v>6</v>
      </c>
      <c r="I1703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7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0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04" spans="1:11" x14ac:dyDescent="0.35">
      <c r="A1704">
        <v>689</v>
      </c>
      <c r="B1704">
        <v>14</v>
      </c>
      <c r="C1704" t="s">
        <v>41</v>
      </c>
      <c r="D1704" t="s">
        <v>1811</v>
      </c>
      <c r="E1704">
        <v>14</v>
      </c>
      <c r="F1704">
        <v>23</v>
      </c>
      <c r="G1704">
        <v>3</v>
      </c>
      <c r="H1704">
        <v>16</v>
      </c>
      <c r="I1704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7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704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705" spans="1:11" x14ac:dyDescent="0.35">
      <c r="A1705">
        <v>690</v>
      </c>
      <c r="B1705">
        <v>15</v>
      </c>
      <c r="C1705" t="s">
        <v>25</v>
      </c>
      <c r="D1705" t="s">
        <v>1804</v>
      </c>
      <c r="E1705">
        <v>20</v>
      </c>
      <c r="F1705">
        <v>33</v>
      </c>
      <c r="G1705">
        <v>1</v>
      </c>
      <c r="H1705">
        <v>24</v>
      </c>
      <c r="I1705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7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70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706" spans="1:11" x14ac:dyDescent="0.35">
      <c r="A1706">
        <v>690</v>
      </c>
      <c r="B1706">
        <v>15</v>
      </c>
      <c r="C1706" t="s">
        <v>27</v>
      </c>
      <c r="D1706" t="s">
        <v>1805</v>
      </c>
      <c r="E1706">
        <v>16</v>
      </c>
      <c r="F1706">
        <v>28</v>
      </c>
      <c r="G1706">
        <v>2</v>
      </c>
      <c r="H1706">
        <v>54</v>
      </c>
      <c r="I1706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7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0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707" spans="1:11" x14ac:dyDescent="0.35">
      <c r="A1707">
        <v>690</v>
      </c>
      <c r="B1707">
        <v>15</v>
      </c>
      <c r="C1707" t="s">
        <v>15</v>
      </c>
      <c r="D1707" t="s">
        <v>1799</v>
      </c>
      <c r="E1707">
        <v>19</v>
      </c>
      <c r="F1707">
        <v>31</v>
      </c>
      <c r="G1707">
        <v>2</v>
      </c>
      <c r="H1707">
        <v>16</v>
      </c>
      <c r="I1707">
        <f>spaces_3iWczBNnn5rbfoUlE0Jd_uploads_git_blob_d9e80ffbcef8a4adc6d29edd78618add5df6[[#This Row],[Precio Unitario]]*spaces_3iWczBNnn5rbfoUlE0Jd_uploads_git_blob_d9e80ffbcef8a4adc6d29edd78618add5df6[[#This Row],[Cantidad Ordenada]]</f>
        <v>62</v>
      </c>
      <c r="J17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0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708" spans="1:11" x14ac:dyDescent="0.35">
      <c r="A1708">
        <v>690</v>
      </c>
      <c r="B1708">
        <v>15</v>
      </c>
      <c r="C1708" t="s">
        <v>19</v>
      </c>
      <c r="D1708" t="s">
        <v>1802</v>
      </c>
      <c r="E1708">
        <v>25</v>
      </c>
      <c r="F1708">
        <v>40</v>
      </c>
      <c r="G1708">
        <v>1</v>
      </c>
      <c r="H1708">
        <v>49</v>
      </c>
      <c r="I1708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7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708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709" spans="1:11" x14ac:dyDescent="0.35">
      <c r="A1709">
        <v>691</v>
      </c>
      <c r="B1709">
        <v>19</v>
      </c>
      <c r="C1709" t="s">
        <v>35</v>
      </c>
      <c r="D1709" t="s">
        <v>1809</v>
      </c>
      <c r="E1709">
        <v>13</v>
      </c>
      <c r="F1709">
        <v>22</v>
      </c>
      <c r="G1709">
        <v>3</v>
      </c>
      <c r="H1709">
        <v>34</v>
      </c>
      <c r="I1709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7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70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710" spans="1:11" x14ac:dyDescent="0.35">
      <c r="A1710">
        <v>692</v>
      </c>
      <c r="B1710">
        <v>9</v>
      </c>
      <c r="C1710" t="s">
        <v>12</v>
      </c>
      <c r="D1710" t="s">
        <v>1797</v>
      </c>
      <c r="E1710">
        <v>18</v>
      </c>
      <c r="F1710">
        <v>30</v>
      </c>
      <c r="G1710">
        <v>1</v>
      </c>
      <c r="H1710">
        <v>49</v>
      </c>
      <c r="I1710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7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71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11" spans="1:11" x14ac:dyDescent="0.35">
      <c r="A1711">
        <v>692</v>
      </c>
      <c r="B1711">
        <v>9</v>
      </c>
      <c r="C1711" t="s">
        <v>39</v>
      </c>
      <c r="D1711" t="s">
        <v>1812</v>
      </c>
      <c r="E1711">
        <v>12</v>
      </c>
      <c r="F1711">
        <v>20</v>
      </c>
      <c r="G1711">
        <v>1</v>
      </c>
      <c r="H1711">
        <v>7</v>
      </c>
      <c r="I1711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7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1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12" spans="1:11" x14ac:dyDescent="0.35">
      <c r="A1712">
        <v>692</v>
      </c>
      <c r="B1712">
        <v>9</v>
      </c>
      <c r="C1712" t="s">
        <v>45</v>
      </c>
      <c r="D1712" t="s">
        <v>1814</v>
      </c>
      <c r="E1712">
        <v>10</v>
      </c>
      <c r="F1712">
        <v>18</v>
      </c>
      <c r="G1712">
        <v>1</v>
      </c>
      <c r="H1712">
        <v>11</v>
      </c>
      <c r="I1712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7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1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713" spans="1:11" x14ac:dyDescent="0.35">
      <c r="A1713">
        <v>692</v>
      </c>
      <c r="B1713">
        <v>9</v>
      </c>
      <c r="C1713" t="s">
        <v>31</v>
      </c>
      <c r="D1713" t="s">
        <v>1807</v>
      </c>
      <c r="E1713">
        <v>21</v>
      </c>
      <c r="F1713">
        <v>35</v>
      </c>
      <c r="G1713">
        <v>3</v>
      </c>
      <c r="H1713">
        <v>33</v>
      </c>
      <c r="I1713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7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71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14" spans="1:11" x14ac:dyDescent="0.35">
      <c r="A1714">
        <v>693</v>
      </c>
      <c r="B1714">
        <v>15</v>
      </c>
      <c r="C1714" t="s">
        <v>43</v>
      </c>
      <c r="D1714" t="s">
        <v>1813</v>
      </c>
      <c r="E1714">
        <v>13</v>
      </c>
      <c r="F1714">
        <v>21</v>
      </c>
      <c r="G1714">
        <v>2</v>
      </c>
      <c r="H1714">
        <v>24</v>
      </c>
      <c r="I1714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7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71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15" spans="1:11" x14ac:dyDescent="0.35">
      <c r="A1715">
        <v>693</v>
      </c>
      <c r="B1715">
        <v>15</v>
      </c>
      <c r="C1715" t="s">
        <v>21</v>
      </c>
      <c r="D1715" t="s">
        <v>1801</v>
      </c>
      <c r="E1715">
        <v>22</v>
      </c>
      <c r="F1715">
        <v>36</v>
      </c>
      <c r="G1715">
        <v>1</v>
      </c>
      <c r="H1715">
        <v>20</v>
      </c>
      <c r="I1715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7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715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716" spans="1:11" x14ac:dyDescent="0.35">
      <c r="A1716">
        <v>694</v>
      </c>
      <c r="B1716">
        <v>5</v>
      </c>
      <c r="C1716" t="s">
        <v>43</v>
      </c>
      <c r="D1716" t="s">
        <v>1813</v>
      </c>
      <c r="E1716">
        <v>13</v>
      </c>
      <c r="F1716">
        <v>21</v>
      </c>
      <c r="G1716">
        <v>1</v>
      </c>
      <c r="H1716">
        <v>42</v>
      </c>
      <c r="I1716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7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1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17" spans="1:11" x14ac:dyDescent="0.35">
      <c r="A1717">
        <v>694</v>
      </c>
      <c r="B1717">
        <v>5</v>
      </c>
      <c r="C1717" t="s">
        <v>19</v>
      </c>
      <c r="D1717" t="s">
        <v>1802</v>
      </c>
      <c r="E1717">
        <v>25</v>
      </c>
      <c r="F1717">
        <v>40</v>
      </c>
      <c r="G1717">
        <v>1</v>
      </c>
      <c r="H1717">
        <v>40</v>
      </c>
      <c r="I1717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7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717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718" spans="1:11" x14ac:dyDescent="0.35">
      <c r="A1718">
        <v>694</v>
      </c>
      <c r="B1718">
        <v>5</v>
      </c>
      <c r="C1718" t="s">
        <v>39</v>
      </c>
      <c r="D1718" t="s">
        <v>1812</v>
      </c>
      <c r="E1718">
        <v>12</v>
      </c>
      <c r="F1718">
        <v>20</v>
      </c>
      <c r="G1718">
        <v>3</v>
      </c>
      <c r="H1718">
        <v>20</v>
      </c>
      <c r="I1718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7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1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19" spans="1:11" x14ac:dyDescent="0.35">
      <c r="A1719">
        <v>694</v>
      </c>
      <c r="B1719">
        <v>5</v>
      </c>
      <c r="C1719" t="s">
        <v>45</v>
      </c>
      <c r="D1719" t="s">
        <v>1814</v>
      </c>
      <c r="E1719">
        <v>10</v>
      </c>
      <c r="F1719">
        <v>18</v>
      </c>
      <c r="G1719">
        <v>2</v>
      </c>
      <c r="H1719">
        <v>26</v>
      </c>
      <c r="I1719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7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71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720" spans="1:11" x14ac:dyDescent="0.35">
      <c r="A1720">
        <v>695</v>
      </c>
      <c r="B1720">
        <v>9</v>
      </c>
      <c r="C1720" t="s">
        <v>27</v>
      </c>
      <c r="D1720" t="s">
        <v>1805</v>
      </c>
      <c r="E1720">
        <v>16</v>
      </c>
      <c r="F1720">
        <v>28</v>
      </c>
      <c r="G1720">
        <v>2</v>
      </c>
      <c r="H1720">
        <v>30</v>
      </c>
      <c r="I1720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7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2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721" spans="1:11" x14ac:dyDescent="0.35">
      <c r="A1721">
        <v>695</v>
      </c>
      <c r="B1721">
        <v>9</v>
      </c>
      <c r="C1721" t="s">
        <v>12</v>
      </c>
      <c r="D1721" t="s">
        <v>1797</v>
      </c>
      <c r="E1721">
        <v>18</v>
      </c>
      <c r="F1721">
        <v>30</v>
      </c>
      <c r="G1721">
        <v>2</v>
      </c>
      <c r="H1721">
        <v>7</v>
      </c>
      <c r="I1721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7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2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22" spans="1:11" x14ac:dyDescent="0.35">
      <c r="A1722">
        <v>696</v>
      </c>
      <c r="B1722">
        <v>2</v>
      </c>
      <c r="C1722" t="s">
        <v>41</v>
      </c>
      <c r="D1722" t="s">
        <v>1811</v>
      </c>
      <c r="E1722">
        <v>14</v>
      </c>
      <c r="F1722">
        <v>23</v>
      </c>
      <c r="G1722">
        <v>2</v>
      </c>
      <c r="H1722">
        <v>23</v>
      </c>
      <c r="I1722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7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722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723" spans="1:11" x14ac:dyDescent="0.35">
      <c r="A1723">
        <v>697</v>
      </c>
      <c r="B1723">
        <v>4</v>
      </c>
      <c r="C1723" t="s">
        <v>25</v>
      </c>
      <c r="D1723" t="s">
        <v>1804</v>
      </c>
      <c r="E1723">
        <v>20</v>
      </c>
      <c r="F1723">
        <v>33</v>
      </c>
      <c r="G1723">
        <v>2</v>
      </c>
      <c r="H1723">
        <v>41</v>
      </c>
      <c r="I1723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7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72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724" spans="1:11" x14ac:dyDescent="0.35">
      <c r="A1724">
        <v>697</v>
      </c>
      <c r="B1724">
        <v>4</v>
      </c>
      <c r="C1724" t="s">
        <v>41</v>
      </c>
      <c r="D1724" t="s">
        <v>1811</v>
      </c>
      <c r="E1724">
        <v>14</v>
      </c>
      <c r="F1724">
        <v>23</v>
      </c>
      <c r="G1724">
        <v>2</v>
      </c>
      <c r="H1724">
        <v>24</v>
      </c>
      <c r="I1724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7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724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725" spans="1:11" x14ac:dyDescent="0.35">
      <c r="A1725">
        <v>697</v>
      </c>
      <c r="B1725">
        <v>4</v>
      </c>
      <c r="C1725" t="s">
        <v>12</v>
      </c>
      <c r="D1725" t="s">
        <v>1797</v>
      </c>
      <c r="E1725">
        <v>18</v>
      </c>
      <c r="F1725">
        <v>30</v>
      </c>
      <c r="G1725">
        <v>2</v>
      </c>
      <c r="H1725">
        <v>35</v>
      </c>
      <c r="I172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7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2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26" spans="1:11" x14ac:dyDescent="0.35">
      <c r="A1726">
        <v>697</v>
      </c>
      <c r="B1726">
        <v>4</v>
      </c>
      <c r="C1726" t="s">
        <v>17</v>
      </c>
      <c r="D1726" t="s">
        <v>1800</v>
      </c>
      <c r="E1726">
        <v>16</v>
      </c>
      <c r="F1726">
        <v>27</v>
      </c>
      <c r="G1726">
        <v>1</v>
      </c>
      <c r="H1726">
        <v>7</v>
      </c>
      <c r="I1726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17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726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727" spans="1:11" x14ac:dyDescent="0.35">
      <c r="A1727">
        <v>698</v>
      </c>
      <c r="B1727">
        <v>19</v>
      </c>
      <c r="C1727" t="s">
        <v>47</v>
      </c>
      <c r="D1727" t="s">
        <v>1815</v>
      </c>
      <c r="E1727">
        <v>15</v>
      </c>
      <c r="F1727">
        <v>26</v>
      </c>
      <c r="G1727">
        <v>1</v>
      </c>
      <c r="H1727">
        <v>12</v>
      </c>
      <c r="I1727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7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72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728" spans="1:11" x14ac:dyDescent="0.35">
      <c r="A1728">
        <v>698</v>
      </c>
      <c r="B1728">
        <v>19</v>
      </c>
      <c r="C1728" t="s">
        <v>43</v>
      </c>
      <c r="D1728" t="s">
        <v>1813</v>
      </c>
      <c r="E1728">
        <v>13</v>
      </c>
      <c r="F1728">
        <v>21</v>
      </c>
      <c r="G1728">
        <v>3</v>
      </c>
      <c r="H1728">
        <v>15</v>
      </c>
      <c r="I1728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7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28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29" spans="1:11" x14ac:dyDescent="0.35">
      <c r="A1729">
        <v>698</v>
      </c>
      <c r="B1729">
        <v>19</v>
      </c>
      <c r="C1729" t="s">
        <v>41</v>
      </c>
      <c r="D1729" t="s">
        <v>1811</v>
      </c>
      <c r="E1729">
        <v>14</v>
      </c>
      <c r="F1729">
        <v>23</v>
      </c>
      <c r="G1729">
        <v>3</v>
      </c>
      <c r="H1729">
        <v>19</v>
      </c>
      <c r="I1729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7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72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730" spans="1:11" x14ac:dyDescent="0.35">
      <c r="A1730">
        <v>698</v>
      </c>
      <c r="B1730">
        <v>19</v>
      </c>
      <c r="C1730" t="s">
        <v>17</v>
      </c>
      <c r="D1730" t="s">
        <v>1800</v>
      </c>
      <c r="E1730">
        <v>16</v>
      </c>
      <c r="F1730">
        <v>27</v>
      </c>
      <c r="G1730">
        <v>1</v>
      </c>
      <c r="H1730">
        <v>55</v>
      </c>
      <c r="I1730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17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73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731" spans="1:11" x14ac:dyDescent="0.35">
      <c r="A1731">
        <v>699</v>
      </c>
      <c r="B1731">
        <v>8</v>
      </c>
      <c r="C1731" t="s">
        <v>23</v>
      </c>
      <c r="D1731" t="s">
        <v>1803</v>
      </c>
      <c r="E1731">
        <v>17</v>
      </c>
      <c r="F1731">
        <v>29</v>
      </c>
      <c r="G1731">
        <v>2</v>
      </c>
      <c r="H1731">
        <v>11</v>
      </c>
      <c r="I1731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7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3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732" spans="1:11" x14ac:dyDescent="0.35">
      <c r="A1732">
        <v>700</v>
      </c>
      <c r="B1732">
        <v>8</v>
      </c>
      <c r="C1732" t="s">
        <v>47</v>
      </c>
      <c r="D1732" t="s">
        <v>1815</v>
      </c>
      <c r="E1732">
        <v>15</v>
      </c>
      <c r="F1732">
        <v>26</v>
      </c>
      <c r="G1732">
        <v>3</v>
      </c>
      <c r="H1732">
        <v>35</v>
      </c>
      <c r="I1732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7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73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733" spans="1:11" x14ac:dyDescent="0.35">
      <c r="A1733">
        <v>700</v>
      </c>
      <c r="B1733">
        <v>8</v>
      </c>
      <c r="C1733" t="s">
        <v>37</v>
      </c>
      <c r="D1733" t="s">
        <v>1810</v>
      </c>
      <c r="E1733">
        <v>20</v>
      </c>
      <c r="F1733">
        <v>34</v>
      </c>
      <c r="G1733">
        <v>3</v>
      </c>
      <c r="H1733">
        <v>37</v>
      </c>
      <c r="I1733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7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733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734" spans="1:11" x14ac:dyDescent="0.35">
      <c r="A1734">
        <v>700</v>
      </c>
      <c r="B1734">
        <v>8</v>
      </c>
      <c r="C1734" t="s">
        <v>17</v>
      </c>
      <c r="D1734" t="s">
        <v>1800</v>
      </c>
      <c r="E1734">
        <v>16</v>
      </c>
      <c r="F1734">
        <v>27</v>
      </c>
      <c r="G1734">
        <v>2</v>
      </c>
      <c r="H1734">
        <v>14</v>
      </c>
      <c r="I1734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7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734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735" spans="1:11" x14ac:dyDescent="0.35">
      <c r="A1735">
        <v>701</v>
      </c>
      <c r="B1735">
        <v>19</v>
      </c>
      <c r="C1735" t="s">
        <v>25</v>
      </c>
      <c r="D1735" t="s">
        <v>1804</v>
      </c>
      <c r="E1735">
        <v>20</v>
      </c>
      <c r="F1735">
        <v>33</v>
      </c>
      <c r="G1735">
        <v>2</v>
      </c>
      <c r="H1735">
        <v>42</v>
      </c>
      <c r="I1735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7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735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736" spans="1:11" x14ac:dyDescent="0.35">
      <c r="A1736">
        <v>701</v>
      </c>
      <c r="B1736">
        <v>19</v>
      </c>
      <c r="C1736" t="s">
        <v>45</v>
      </c>
      <c r="D1736" t="s">
        <v>1814</v>
      </c>
      <c r="E1736">
        <v>10</v>
      </c>
      <c r="F1736">
        <v>18</v>
      </c>
      <c r="G1736">
        <v>2</v>
      </c>
      <c r="H1736">
        <v>55</v>
      </c>
      <c r="I1736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7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736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737" spans="1:11" x14ac:dyDescent="0.35">
      <c r="A1737">
        <v>702</v>
      </c>
      <c r="B1737">
        <v>13</v>
      </c>
      <c r="C1737" t="s">
        <v>43</v>
      </c>
      <c r="D1737" t="s">
        <v>1813</v>
      </c>
      <c r="E1737">
        <v>13</v>
      </c>
      <c r="F1737">
        <v>21</v>
      </c>
      <c r="G1737">
        <v>1</v>
      </c>
      <c r="H1737">
        <v>36</v>
      </c>
      <c r="I1737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7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3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38" spans="1:11" x14ac:dyDescent="0.35">
      <c r="A1738">
        <v>702</v>
      </c>
      <c r="B1738">
        <v>13</v>
      </c>
      <c r="C1738" t="s">
        <v>27</v>
      </c>
      <c r="D1738" t="s">
        <v>1805</v>
      </c>
      <c r="E1738">
        <v>16</v>
      </c>
      <c r="F1738">
        <v>28</v>
      </c>
      <c r="G1738">
        <v>3</v>
      </c>
      <c r="H1738">
        <v>31</v>
      </c>
      <c r="I1738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7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738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739" spans="1:11" x14ac:dyDescent="0.35">
      <c r="A1739">
        <v>702</v>
      </c>
      <c r="B1739">
        <v>13</v>
      </c>
      <c r="C1739" t="s">
        <v>45</v>
      </c>
      <c r="D1739" t="s">
        <v>1814</v>
      </c>
      <c r="E1739">
        <v>10</v>
      </c>
      <c r="F1739">
        <v>18</v>
      </c>
      <c r="G1739">
        <v>2</v>
      </c>
      <c r="H1739">
        <v>59</v>
      </c>
      <c r="I1739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7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739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740" spans="1:11" x14ac:dyDescent="0.35">
      <c r="A1740">
        <v>702</v>
      </c>
      <c r="B1740">
        <v>13</v>
      </c>
      <c r="C1740" t="s">
        <v>17</v>
      </c>
      <c r="D1740" t="s">
        <v>1800</v>
      </c>
      <c r="E1740">
        <v>16</v>
      </c>
      <c r="F1740">
        <v>27</v>
      </c>
      <c r="G1740">
        <v>2</v>
      </c>
      <c r="H1740">
        <v>29</v>
      </c>
      <c r="I174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7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74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741" spans="1:11" x14ac:dyDescent="0.35">
      <c r="A1741">
        <v>703</v>
      </c>
      <c r="B1741">
        <v>9</v>
      </c>
      <c r="C1741" t="s">
        <v>43</v>
      </c>
      <c r="D1741" t="s">
        <v>1813</v>
      </c>
      <c r="E1741">
        <v>13</v>
      </c>
      <c r="F1741">
        <v>21</v>
      </c>
      <c r="G1741">
        <v>3</v>
      </c>
      <c r="H1741">
        <v>29</v>
      </c>
      <c r="I1741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7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4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42" spans="1:11" x14ac:dyDescent="0.35">
      <c r="A1742">
        <v>704</v>
      </c>
      <c r="B1742">
        <v>13</v>
      </c>
      <c r="C1742" t="s">
        <v>45</v>
      </c>
      <c r="D1742" t="s">
        <v>1814</v>
      </c>
      <c r="E1742">
        <v>10</v>
      </c>
      <c r="F1742">
        <v>18</v>
      </c>
      <c r="G1742">
        <v>1</v>
      </c>
      <c r="H1742">
        <v>38</v>
      </c>
      <c r="I1742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7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4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743" spans="1:11" x14ac:dyDescent="0.35">
      <c r="A1743">
        <v>705</v>
      </c>
      <c r="B1743">
        <v>12</v>
      </c>
      <c r="C1743" t="s">
        <v>47</v>
      </c>
      <c r="D1743" t="s">
        <v>1815</v>
      </c>
      <c r="E1743">
        <v>15</v>
      </c>
      <c r="F1743">
        <v>26</v>
      </c>
      <c r="G1743">
        <v>2</v>
      </c>
      <c r="H1743">
        <v>8</v>
      </c>
      <c r="I1743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7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74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744" spans="1:11" x14ac:dyDescent="0.35">
      <c r="A1744">
        <v>705</v>
      </c>
      <c r="B1744">
        <v>12</v>
      </c>
      <c r="C1744" t="s">
        <v>39</v>
      </c>
      <c r="D1744" t="s">
        <v>1812</v>
      </c>
      <c r="E1744">
        <v>12</v>
      </c>
      <c r="F1744">
        <v>20</v>
      </c>
      <c r="G1744">
        <v>3</v>
      </c>
      <c r="H1744">
        <v>25</v>
      </c>
      <c r="I1744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7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4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45" spans="1:11" x14ac:dyDescent="0.35">
      <c r="A1745">
        <v>706</v>
      </c>
      <c r="B1745">
        <v>20</v>
      </c>
      <c r="C1745" t="s">
        <v>45</v>
      </c>
      <c r="D1745" t="s">
        <v>1814</v>
      </c>
      <c r="E1745">
        <v>10</v>
      </c>
      <c r="F1745">
        <v>18</v>
      </c>
      <c r="G1745">
        <v>3</v>
      </c>
      <c r="H1745">
        <v>33</v>
      </c>
      <c r="I1745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7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45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746" spans="1:11" x14ac:dyDescent="0.35">
      <c r="A1746">
        <v>707</v>
      </c>
      <c r="B1746">
        <v>15</v>
      </c>
      <c r="C1746" t="s">
        <v>43</v>
      </c>
      <c r="D1746" t="s">
        <v>1813</v>
      </c>
      <c r="E1746">
        <v>13</v>
      </c>
      <c r="F1746">
        <v>21</v>
      </c>
      <c r="G1746">
        <v>1</v>
      </c>
      <c r="H1746">
        <v>42</v>
      </c>
      <c r="I1746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7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46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47" spans="1:11" x14ac:dyDescent="0.35">
      <c r="A1747">
        <v>707</v>
      </c>
      <c r="B1747">
        <v>15</v>
      </c>
      <c r="C1747" t="s">
        <v>33</v>
      </c>
      <c r="D1747" t="s">
        <v>1808</v>
      </c>
      <c r="E1747">
        <v>19</v>
      </c>
      <c r="F1747">
        <v>32</v>
      </c>
      <c r="G1747">
        <v>1</v>
      </c>
      <c r="H1747">
        <v>31</v>
      </c>
      <c r="I1747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7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747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748" spans="1:11" x14ac:dyDescent="0.35">
      <c r="A1748">
        <v>707</v>
      </c>
      <c r="B1748">
        <v>15</v>
      </c>
      <c r="C1748" t="s">
        <v>21</v>
      </c>
      <c r="D1748" t="s">
        <v>1801</v>
      </c>
      <c r="E1748">
        <v>22</v>
      </c>
      <c r="F1748">
        <v>36</v>
      </c>
      <c r="G1748">
        <v>2</v>
      </c>
      <c r="H1748">
        <v>11</v>
      </c>
      <c r="I174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7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74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749" spans="1:11" x14ac:dyDescent="0.35">
      <c r="A1749">
        <v>707</v>
      </c>
      <c r="B1749">
        <v>15</v>
      </c>
      <c r="C1749" t="s">
        <v>12</v>
      </c>
      <c r="D1749" t="s">
        <v>1797</v>
      </c>
      <c r="E1749">
        <v>18</v>
      </c>
      <c r="F1749">
        <v>30</v>
      </c>
      <c r="G1749">
        <v>2</v>
      </c>
      <c r="H1749">
        <v>53</v>
      </c>
      <c r="I174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7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4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50" spans="1:11" x14ac:dyDescent="0.35">
      <c r="A1750">
        <v>708</v>
      </c>
      <c r="B1750">
        <v>5</v>
      </c>
      <c r="C1750" t="s">
        <v>17</v>
      </c>
      <c r="D1750" t="s">
        <v>1800</v>
      </c>
      <c r="E1750">
        <v>16</v>
      </c>
      <c r="F1750">
        <v>27</v>
      </c>
      <c r="G1750">
        <v>2</v>
      </c>
      <c r="H1750">
        <v>24</v>
      </c>
      <c r="I1750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7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75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751" spans="1:11" x14ac:dyDescent="0.35">
      <c r="A1751">
        <v>709</v>
      </c>
      <c r="B1751">
        <v>8</v>
      </c>
      <c r="C1751" t="s">
        <v>49</v>
      </c>
      <c r="D1751" t="s">
        <v>1816</v>
      </c>
      <c r="E1751">
        <v>15</v>
      </c>
      <c r="F1751">
        <v>25</v>
      </c>
      <c r="G1751">
        <v>2</v>
      </c>
      <c r="H1751">
        <v>31</v>
      </c>
      <c r="I1751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7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75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52" spans="1:11" x14ac:dyDescent="0.35">
      <c r="A1752">
        <v>709</v>
      </c>
      <c r="B1752">
        <v>8</v>
      </c>
      <c r="C1752" t="s">
        <v>25</v>
      </c>
      <c r="D1752" t="s">
        <v>1804</v>
      </c>
      <c r="E1752">
        <v>20</v>
      </c>
      <c r="F1752">
        <v>33</v>
      </c>
      <c r="G1752">
        <v>2</v>
      </c>
      <c r="H1752">
        <v>27</v>
      </c>
      <c r="I1752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7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752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753" spans="1:11" x14ac:dyDescent="0.35">
      <c r="A1753">
        <v>709</v>
      </c>
      <c r="B1753">
        <v>8</v>
      </c>
      <c r="C1753" t="s">
        <v>43</v>
      </c>
      <c r="D1753" t="s">
        <v>1813</v>
      </c>
      <c r="E1753">
        <v>13</v>
      </c>
      <c r="F1753">
        <v>21</v>
      </c>
      <c r="G1753">
        <v>2</v>
      </c>
      <c r="H1753">
        <v>7</v>
      </c>
      <c r="I1753">
        <f>spaces_3iWczBNnn5rbfoUlE0Jd_uploads_git_blob_d9e80ffbcef8a4adc6d29edd78618add5df6[[#This Row],[Precio Unitario]]*spaces_3iWczBNnn5rbfoUlE0Jd_uploads_git_blob_d9e80ffbcef8a4adc6d29edd78618add5df6[[#This Row],[Cantidad Ordenada]]</f>
        <v>42</v>
      </c>
      <c r="J17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753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54" spans="1:11" x14ac:dyDescent="0.35">
      <c r="A1754">
        <v>709</v>
      </c>
      <c r="B1754">
        <v>8</v>
      </c>
      <c r="C1754" t="s">
        <v>31</v>
      </c>
      <c r="D1754" t="s">
        <v>1807</v>
      </c>
      <c r="E1754">
        <v>21</v>
      </c>
      <c r="F1754">
        <v>35</v>
      </c>
      <c r="G1754">
        <v>1</v>
      </c>
      <c r="H1754">
        <v>33</v>
      </c>
      <c r="I1754">
        <f>spaces_3iWczBNnn5rbfoUlE0Jd_uploads_git_blob_d9e80ffbcef8a4adc6d29edd78618add5df6[[#This Row],[Precio Unitario]]*spaces_3iWczBNnn5rbfoUlE0Jd_uploads_git_blob_d9e80ffbcef8a4adc6d29edd78618add5df6[[#This Row],[Cantidad Ordenada]]</f>
        <v>35</v>
      </c>
      <c r="J17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754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55" spans="1:11" x14ac:dyDescent="0.35">
      <c r="A1755">
        <v>710</v>
      </c>
      <c r="B1755">
        <v>18</v>
      </c>
      <c r="C1755" t="s">
        <v>29</v>
      </c>
      <c r="D1755" t="s">
        <v>1806</v>
      </c>
      <c r="E1755">
        <v>11</v>
      </c>
      <c r="F1755">
        <v>19</v>
      </c>
      <c r="G1755">
        <v>3</v>
      </c>
      <c r="H1755">
        <v>45</v>
      </c>
      <c r="I1755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7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5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756" spans="1:11" x14ac:dyDescent="0.35">
      <c r="A1756">
        <v>710</v>
      </c>
      <c r="B1756">
        <v>18</v>
      </c>
      <c r="C1756" t="s">
        <v>41</v>
      </c>
      <c r="D1756" t="s">
        <v>1811</v>
      </c>
      <c r="E1756">
        <v>14</v>
      </c>
      <c r="F1756">
        <v>23</v>
      </c>
      <c r="G1756">
        <v>1</v>
      </c>
      <c r="H1756">
        <v>43</v>
      </c>
      <c r="I1756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7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756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757" spans="1:11" x14ac:dyDescent="0.35">
      <c r="A1757">
        <v>710</v>
      </c>
      <c r="B1757">
        <v>18</v>
      </c>
      <c r="C1757" t="s">
        <v>39</v>
      </c>
      <c r="D1757" t="s">
        <v>1812</v>
      </c>
      <c r="E1757">
        <v>12</v>
      </c>
      <c r="F1757">
        <v>20</v>
      </c>
      <c r="G1757">
        <v>2</v>
      </c>
      <c r="H1757">
        <v>32</v>
      </c>
      <c r="I1757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7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757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58" spans="1:11" x14ac:dyDescent="0.35">
      <c r="A1758">
        <v>710</v>
      </c>
      <c r="B1758">
        <v>18</v>
      </c>
      <c r="C1758" t="s">
        <v>45</v>
      </c>
      <c r="D1758" t="s">
        <v>1814</v>
      </c>
      <c r="E1758">
        <v>10</v>
      </c>
      <c r="F1758">
        <v>18</v>
      </c>
      <c r="G1758">
        <v>1</v>
      </c>
      <c r="H1758">
        <v>20</v>
      </c>
      <c r="I1758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7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58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759" spans="1:11" x14ac:dyDescent="0.35">
      <c r="A1759">
        <v>711</v>
      </c>
      <c r="B1759">
        <v>20</v>
      </c>
      <c r="C1759" t="s">
        <v>33</v>
      </c>
      <c r="D1759" t="s">
        <v>1808</v>
      </c>
      <c r="E1759">
        <v>19</v>
      </c>
      <c r="F1759">
        <v>32</v>
      </c>
      <c r="G1759">
        <v>2</v>
      </c>
      <c r="H1759">
        <v>16</v>
      </c>
      <c r="I1759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7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75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760" spans="1:11" x14ac:dyDescent="0.35">
      <c r="A1760">
        <v>711</v>
      </c>
      <c r="B1760">
        <v>20</v>
      </c>
      <c r="C1760" t="s">
        <v>37</v>
      </c>
      <c r="D1760" t="s">
        <v>1810</v>
      </c>
      <c r="E1760">
        <v>20</v>
      </c>
      <c r="F1760">
        <v>34</v>
      </c>
      <c r="G1760">
        <v>3</v>
      </c>
      <c r="H1760">
        <v>43</v>
      </c>
      <c r="I1760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7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76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761" spans="1:11" x14ac:dyDescent="0.35">
      <c r="A1761">
        <v>712</v>
      </c>
      <c r="B1761">
        <v>10</v>
      </c>
      <c r="C1761" t="s">
        <v>9</v>
      </c>
      <c r="D1761" t="s">
        <v>1798</v>
      </c>
      <c r="E1761">
        <v>14</v>
      </c>
      <c r="F1761">
        <v>24</v>
      </c>
      <c r="G1761">
        <v>2</v>
      </c>
      <c r="H1761">
        <v>49</v>
      </c>
      <c r="I1761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7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761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762" spans="1:11" x14ac:dyDescent="0.35">
      <c r="A1762">
        <v>713</v>
      </c>
      <c r="B1762">
        <v>6</v>
      </c>
      <c r="C1762" t="s">
        <v>47</v>
      </c>
      <c r="D1762" t="s">
        <v>1815</v>
      </c>
      <c r="E1762">
        <v>15</v>
      </c>
      <c r="F1762">
        <v>26</v>
      </c>
      <c r="G1762">
        <v>3</v>
      </c>
      <c r="H1762">
        <v>25</v>
      </c>
      <c r="I1762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7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762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763" spans="1:11" x14ac:dyDescent="0.35">
      <c r="A1763">
        <v>713</v>
      </c>
      <c r="B1763">
        <v>6</v>
      </c>
      <c r="C1763" t="s">
        <v>25</v>
      </c>
      <c r="D1763" t="s">
        <v>1804</v>
      </c>
      <c r="E1763">
        <v>20</v>
      </c>
      <c r="F1763">
        <v>33</v>
      </c>
      <c r="G1763">
        <v>3</v>
      </c>
      <c r="H1763">
        <v>41</v>
      </c>
      <c r="I1763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7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76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764" spans="1:11" x14ac:dyDescent="0.35">
      <c r="A1764">
        <v>713</v>
      </c>
      <c r="B1764">
        <v>6</v>
      </c>
      <c r="C1764" t="s">
        <v>33</v>
      </c>
      <c r="D1764" t="s">
        <v>1808</v>
      </c>
      <c r="E1764">
        <v>19</v>
      </c>
      <c r="F1764">
        <v>32</v>
      </c>
      <c r="G1764">
        <v>3</v>
      </c>
      <c r="H1764">
        <v>45</v>
      </c>
      <c r="I1764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7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76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765" spans="1:11" x14ac:dyDescent="0.35">
      <c r="A1765">
        <v>713</v>
      </c>
      <c r="B1765">
        <v>6</v>
      </c>
      <c r="C1765" t="s">
        <v>23</v>
      </c>
      <c r="D1765" t="s">
        <v>1803</v>
      </c>
      <c r="E1765">
        <v>17</v>
      </c>
      <c r="F1765">
        <v>29</v>
      </c>
      <c r="G1765">
        <v>3</v>
      </c>
      <c r="H1765">
        <v>14</v>
      </c>
      <c r="I1765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7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765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766" spans="1:11" x14ac:dyDescent="0.35">
      <c r="A1766">
        <v>714</v>
      </c>
      <c r="B1766">
        <v>19</v>
      </c>
      <c r="C1766" t="s">
        <v>25</v>
      </c>
      <c r="D1766" t="s">
        <v>1804</v>
      </c>
      <c r="E1766">
        <v>20</v>
      </c>
      <c r="F1766">
        <v>33</v>
      </c>
      <c r="G1766">
        <v>1</v>
      </c>
      <c r="H1766">
        <v>29</v>
      </c>
      <c r="I1766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7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766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767" spans="1:11" x14ac:dyDescent="0.35">
      <c r="A1767">
        <v>714</v>
      </c>
      <c r="B1767">
        <v>19</v>
      </c>
      <c r="C1767" t="s">
        <v>37</v>
      </c>
      <c r="D1767" t="s">
        <v>1810</v>
      </c>
      <c r="E1767">
        <v>20</v>
      </c>
      <c r="F1767">
        <v>34</v>
      </c>
      <c r="G1767">
        <v>3</v>
      </c>
      <c r="H1767">
        <v>17</v>
      </c>
      <c r="I1767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7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767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768" spans="1:11" x14ac:dyDescent="0.35">
      <c r="A1768">
        <v>714</v>
      </c>
      <c r="B1768">
        <v>19</v>
      </c>
      <c r="C1768" t="s">
        <v>12</v>
      </c>
      <c r="D1768" t="s">
        <v>1797</v>
      </c>
      <c r="E1768">
        <v>18</v>
      </c>
      <c r="F1768">
        <v>30</v>
      </c>
      <c r="G1768">
        <v>3</v>
      </c>
      <c r="H1768">
        <v>17</v>
      </c>
      <c r="I1768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7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76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69" spans="1:11" x14ac:dyDescent="0.35">
      <c r="A1769">
        <v>715</v>
      </c>
      <c r="B1769">
        <v>12</v>
      </c>
      <c r="C1769" t="s">
        <v>49</v>
      </c>
      <c r="D1769" t="s">
        <v>1816</v>
      </c>
      <c r="E1769">
        <v>15</v>
      </c>
      <c r="F1769">
        <v>25</v>
      </c>
      <c r="G1769">
        <v>3</v>
      </c>
      <c r="H1769">
        <v>38</v>
      </c>
      <c r="I1769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7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76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70" spans="1:11" x14ac:dyDescent="0.35">
      <c r="A1770">
        <v>715</v>
      </c>
      <c r="B1770">
        <v>12</v>
      </c>
      <c r="C1770" t="s">
        <v>12</v>
      </c>
      <c r="D1770" t="s">
        <v>1797</v>
      </c>
      <c r="E1770">
        <v>18</v>
      </c>
      <c r="F1770">
        <v>30</v>
      </c>
      <c r="G1770">
        <v>3</v>
      </c>
      <c r="H1770">
        <v>35</v>
      </c>
      <c r="I1770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7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77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71" spans="1:11" x14ac:dyDescent="0.35">
      <c r="A1771">
        <v>715</v>
      </c>
      <c r="B1771">
        <v>12</v>
      </c>
      <c r="C1771" t="s">
        <v>45</v>
      </c>
      <c r="D1771" t="s">
        <v>1814</v>
      </c>
      <c r="E1771">
        <v>10</v>
      </c>
      <c r="F1771">
        <v>18</v>
      </c>
      <c r="G1771">
        <v>3</v>
      </c>
      <c r="H1771">
        <v>49</v>
      </c>
      <c r="I1771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7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71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772" spans="1:11" x14ac:dyDescent="0.35">
      <c r="A1772">
        <v>715</v>
      </c>
      <c r="B1772">
        <v>12</v>
      </c>
      <c r="C1772" t="s">
        <v>17</v>
      </c>
      <c r="D1772" t="s">
        <v>1800</v>
      </c>
      <c r="E1772">
        <v>16</v>
      </c>
      <c r="F1772">
        <v>27</v>
      </c>
      <c r="G1772">
        <v>1</v>
      </c>
      <c r="H1772">
        <v>14</v>
      </c>
      <c r="I1772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17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772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773" spans="1:11" x14ac:dyDescent="0.35">
      <c r="A1773">
        <v>716</v>
      </c>
      <c r="B1773">
        <v>12</v>
      </c>
      <c r="C1773" t="s">
        <v>49</v>
      </c>
      <c r="D1773" t="s">
        <v>1816</v>
      </c>
      <c r="E1773">
        <v>15</v>
      </c>
      <c r="F1773">
        <v>25</v>
      </c>
      <c r="G1773">
        <v>3</v>
      </c>
      <c r="H1773">
        <v>48</v>
      </c>
      <c r="I1773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7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77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74" spans="1:11" x14ac:dyDescent="0.35">
      <c r="A1774">
        <v>716</v>
      </c>
      <c r="B1774">
        <v>12</v>
      </c>
      <c r="C1774" t="s">
        <v>43</v>
      </c>
      <c r="D1774" t="s">
        <v>1813</v>
      </c>
      <c r="E1774">
        <v>13</v>
      </c>
      <c r="F1774">
        <v>21</v>
      </c>
      <c r="G1774">
        <v>3</v>
      </c>
      <c r="H1774">
        <v>12</v>
      </c>
      <c r="I1774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7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7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75" spans="1:11" x14ac:dyDescent="0.35">
      <c r="A1775">
        <v>716</v>
      </c>
      <c r="B1775">
        <v>12</v>
      </c>
      <c r="C1775" t="s">
        <v>15</v>
      </c>
      <c r="D1775" t="s">
        <v>1799</v>
      </c>
      <c r="E1775">
        <v>19</v>
      </c>
      <c r="F1775">
        <v>31</v>
      </c>
      <c r="G1775">
        <v>3</v>
      </c>
      <c r="H1775">
        <v>30</v>
      </c>
      <c r="I1775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7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775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776" spans="1:11" x14ac:dyDescent="0.35">
      <c r="A1776">
        <v>717</v>
      </c>
      <c r="B1776">
        <v>8</v>
      </c>
      <c r="C1776" t="s">
        <v>12</v>
      </c>
      <c r="D1776" t="s">
        <v>1797</v>
      </c>
      <c r="E1776">
        <v>18</v>
      </c>
      <c r="F1776">
        <v>30</v>
      </c>
      <c r="G1776">
        <v>1</v>
      </c>
      <c r="H1776">
        <v>36</v>
      </c>
      <c r="I1776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7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77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77" spans="1:11" x14ac:dyDescent="0.35">
      <c r="A1777">
        <v>717</v>
      </c>
      <c r="B1777">
        <v>8</v>
      </c>
      <c r="C1777" t="s">
        <v>35</v>
      </c>
      <c r="D1777" t="s">
        <v>1809</v>
      </c>
      <c r="E1777">
        <v>13</v>
      </c>
      <c r="F1777">
        <v>22</v>
      </c>
      <c r="G1777">
        <v>2</v>
      </c>
      <c r="H1777">
        <v>23</v>
      </c>
      <c r="I1777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7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77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778" spans="1:11" x14ac:dyDescent="0.35">
      <c r="A1778">
        <v>717</v>
      </c>
      <c r="B1778">
        <v>8</v>
      </c>
      <c r="C1778" t="s">
        <v>17</v>
      </c>
      <c r="D1778" t="s">
        <v>1800</v>
      </c>
      <c r="E1778">
        <v>16</v>
      </c>
      <c r="F1778">
        <v>27</v>
      </c>
      <c r="G1778">
        <v>3</v>
      </c>
      <c r="H1778">
        <v>13</v>
      </c>
      <c r="I1778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7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778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779" spans="1:11" x14ac:dyDescent="0.35">
      <c r="A1779">
        <v>718</v>
      </c>
      <c r="B1779">
        <v>7</v>
      </c>
      <c r="C1779" t="s">
        <v>39</v>
      </c>
      <c r="D1779" t="s">
        <v>1812</v>
      </c>
      <c r="E1779">
        <v>12</v>
      </c>
      <c r="F1779">
        <v>20</v>
      </c>
      <c r="G1779">
        <v>1</v>
      </c>
      <c r="H1779">
        <v>58</v>
      </c>
      <c r="I1779">
        <f>spaces_3iWczBNnn5rbfoUlE0Jd_uploads_git_blob_d9e80ffbcef8a4adc6d29edd78618add5df6[[#This Row],[Precio Unitario]]*spaces_3iWczBNnn5rbfoUlE0Jd_uploads_git_blob_d9e80ffbcef8a4adc6d29edd78618add5df6[[#This Row],[Cantidad Ordenada]]</f>
        <v>20</v>
      </c>
      <c r="J17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77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80" spans="1:11" x14ac:dyDescent="0.35">
      <c r="A1780">
        <v>719</v>
      </c>
      <c r="B1780">
        <v>16</v>
      </c>
      <c r="C1780" t="s">
        <v>29</v>
      </c>
      <c r="D1780" t="s">
        <v>1806</v>
      </c>
      <c r="E1780">
        <v>11</v>
      </c>
      <c r="F1780">
        <v>19</v>
      </c>
      <c r="G1780">
        <v>2</v>
      </c>
      <c r="H1780">
        <v>34</v>
      </c>
      <c r="I1780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7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780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781" spans="1:11" x14ac:dyDescent="0.35">
      <c r="A1781">
        <v>719</v>
      </c>
      <c r="B1781">
        <v>16</v>
      </c>
      <c r="C1781" t="s">
        <v>19</v>
      </c>
      <c r="D1781" t="s">
        <v>1802</v>
      </c>
      <c r="E1781">
        <v>25</v>
      </c>
      <c r="F1781">
        <v>40</v>
      </c>
      <c r="G1781">
        <v>1</v>
      </c>
      <c r="H1781">
        <v>15</v>
      </c>
      <c r="I1781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7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15</v>
      </c>
      <c r="K1781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782" spans="1:11" x14ac:dyDescent="0.35">
      <c r="A1782">
        <v>719</v>
      </c>
      <c r="B1782">
        <v>16</v>
      </c>
      <c r="C1782" t="s">
        <v>23</v>
      </c>
      <c r="D1782" t="s">
        <v>1803</v>
      </c>
      <c r="E1782">
        <v>17</v>
      </c>
      <c r="F1782">
        <v>29</v>
      </c>
      <c r="G1782">
        <v>1</v>
      </c>
      <c r="H1782">
        <v>21</v>
      </c>
      <c r="I1782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7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78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783" spans="1:11" x14ac:dyDescent="0.35">
      <c r="A1783">
        <v>720</v>
      </c>
      <c r="B1783">
        <v>4</v>
      </c>
      <c r="C1783" t="s">
        <v>25</v>
      </c>
      <c r="D1783" t="s">
        <v>1804</v>
      </c>
      <c r="E1783">
        <v>20</v>
      </c>
      <c r="F1783">
        <v>33</v>
      </c>
      <c r="G1783">
        <v>1</v>
      </c>
      <c r="H1783">
        <v>36</v>
      </c>
      <c r="I1783">
        <f>spaces_3iWczBNnn5rbfoUlE0Jd_uploads_git_blob_d9e80ffbcef8a4adc6d29edd78618add5df6[[#This Row],[Precio Unitario]]*spaces_3iWczBNnn5rbfoUlE0Jd_uploads_git_blob_d9e80ffbcef8a4adc6d29edd78618add5df6[[#This Row],[Cantidad Ordenada]]</f>
        <v>33</v>
      </c>
      <c r="J17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78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784" spans="1:11" x14ac:dyDescent="0.35">
      <c r="A1784">
        <v>720</v>
      </c>
      <c r="B1784">
        <v>4</v>
      </c>
      <c r="C1784" t="s">
        <v>9</v>
      </c>
      <c r="D1784" t="s">
        <v>1798</v>
      </c>
      <c r="E1784">
        <v>14</v>
      </c>
      <c r="F1784">
        <v>24</v>
      </c>
      <c r="G1784">
        <v>2</v>
      </c>
      <c r="H1784">
        <v>53</v>
      </c>
      <c r="I1784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7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78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785" spans="1:11" x14ac:dyDescent="0.35">
      <c r="A1785">
        <v>720</v>
      </c>
      <c r="B1785">
        <v>4</v>
      </c>
      <c r="C1785" t="s">
        <v>23</v>
      </c>
      <c r="D1785" t="s">
        <v>1803</v>
      </c>
      <c r="E1785">
        <v>17</v>
      </c>
      <c r="F1785">
        <v>29</v>
      </c>
      <c r="G1785">
        <v>3</v>
      </c>
      <c r="H1785">
        <v>44</v>
      </c>
      <c r="I1785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7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785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786" spans="1:11" x14ac:dyDescent="0.35">
      <c r="A1786">
        <v>721</v>
      </c>
      <c r="B1786">
        <v>6</v>
      </c>
      <c r="C1786" t="s">
        <v>21</v>
      </c>
      <c r="D1786" t="s">
        <v>1801</v>
      </c>
      <c r="E1786">
        <v>22</v>
      </c>
      <c r="F1786">
        <v>36</v>
      </c>
      <c r="G1786">
        <v>1</v>
      </c>
      <c r="H1786">
        <v>15</v>
      </c>
      <c r="I1786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7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786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787" spans="1:11" x14ac:dyDescent="0.35">
      <c r="A1787">
        <v>721</v>
      </c>
      <c r="B1787">
        <v>6</v>
      </c>
      <c r="C1787" t="s">
        <v>17</v>
      </c>
      <c r="D1787" t="s">
        <v>1800</v>
      </c>
      <c r="E1787">
        <v>16</v>
      </c>
      <c r="F1787">
        <v>27</v>
      </c>
      <c r="G1787">
        <v>3</v>
      </c>
      <c r="H1787">
        <v>54</v>
      </c>
      <c r="I1787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7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78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788" spans="1:11" x14ac:dyDescent="0.35">
      <c r="A1788">
        <v>721</v>
      </c>
      <c r="B1788">
        <v>6</v>
      </c>
      <c r="C1788" t="s">
        <v>9</v>
      </c>
      <c r="D1788" t="s">
        <v>1798</v>
      </c>
      <c r="E1788">
        <v>14</v>
      </c>
      <c r="F1788">
        <v>24</v>
      </c>
      <c r="G1788">
        <v>3</v>
      </c>
      <c r="H1788">
        <v>44</v>
      </c>
      <c r="I178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7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78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789" spans="1:11" x14ac:dyDescent="0.35">
      <c r="A1789">
        <v>721</v>
      </c>
      <c r="B1789">
        <v>6</v>
      </c>
      <c r="C1789" t="s">
        <v>23</v>
      </c>
      <c r="D1789" t="s">
        <v>1803</v>
      </c>
      <c r="E1789">
        <v>17</v>
      </c>
      <c r="F1789">
        <v>29</v>
      </c>
      <c r="G1789">
        <v>1</v>
      </c>
      <c r="H1789">
        <v>20</v>
      </c>
      <c r="I1789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7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789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790" spans="1:11" x14ac:dyDescent="0.35">
      <c r="A1790">
        <v>722</v>
      </c>
      <c r="B1790">
        <v>13</v>
      </c>
      <c r="C1790" t="s">
        <v>43</v>
      </c>
      <c r="D1790" t="s">
        <v>1813</v>
      </c>
      <c r="E1790">
        <v>13</v>
      </c>
      <c r="F1790">
        <v>21</v>
      </c>
      <c r="G1790">
        <v>3</v>
      </c>
      <c r="H1790">
        <v>43</v>
      </c>
      <c r="I1790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7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90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791" spans="1:11" x14ac:dyDescent="0.35">
      <c r="A1791">
        <v>722</v>
      </c>
      <c r="B1791">
        <v>13</v>
      </c>
      <c r="C1791" t="s">
        <v>35</v>
      </c>
      <c r="D1791" t="s">
        <v>1809</v>
      </c>
      <c r="E1791">
        <v>13</v>
      </c>
      <c r="F1791">
        <v>22</v>
      </c>
      <c r="G1791">
        <v>1</v>
      </c>
      <c r="H1791">
        <v>16</v>
      </c>
      <c r="I1791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7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791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792" spans="1:11" x14ac:dyDescent="0.35">
      <c r="A1792">
        <v>723</v>
      </c>
      <c r="B1792">
        <v>12</v>
      </c>
      <c r="C1792" t="s">
        <v>27</v>
      </c>
      <c r="D1792" t="s">
        <v>1805</v>
      </c>
      <c r="E1792">
        <v>16</v>
      </c>
      <c r="F1792">
        <v>28</v>
      </c>
      <c r="G1792">
        <v>2</v>
      </c>
      <c r="H1792">
        <v>22</v>
      </c>
      <c r="I1792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7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792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793" spans="1:11" x14ac:dyDescent="0.35">
      <c r="A1793">
        <v>723</v>
      </c>
      <c r="B1793">
        <v>12</v>
      </c>
      <c r="C1793" t="s">
        <v>31</v>
      </c>
      <c r="D1793" t="s">
        <v>1807</v>
      </c>
      <c r="E1793">
        <v>21</v>
      </c>
      <c r="F1793">
        <v>35</v>
      </c>
      <c r="G1793">
        <v>2</v>
      </c>
      <c r="H1793">
        <v>9</v>
      </c>
      <c r="I1793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7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79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794" spans="1:11" x14ac:dyDescent="0.35">
      <c r="A1794">
        <v>724</v>
      </c>
      <c r="B1794">
        <v>8</v>
      </c>
      <c r="C1794" t="s">
        <v>35</v>
      </c>
      <c r="D1794" t="s">
        <v>1809</v>
      </c>
      <c r="E1794">
        <v>13</v>
      </c>
      <c r="F1794">
        <v>22</v>
      </c>
      <c r="G1794">
        <v>3</v>
      </c>
      <c r="H1794">
        <v>56</v>
      </c>
      <c r="I1794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7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794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795" spans="1:11" x14ac:dyDescent="0.35">
      <c r="A1795">
        <v>725</v>
      </c>
      <c r="B1795">
        <v>10</v>
      </c>
      <c r="C1795" t="s">
        <v>37</v>
      </c>
      <c r="D1795" t="s">
        <v>1810</v>
      </c>
      <c r="E1795">
        <v>20</v>
      </c>
      <c r="F1795">
        <v>34</v>
      </c>
      <c r="G1795">
        <v>3</v>
      </c>
      <c r="H1795">
        <v>30</v>
      </c>
      <c r="I1795">
        <f>spaces_3iWczBNnn5rbfoUlE0Jd_uploads_git_blob_d9e80ffbcef8a4adc6d29edd78618add5df6[[#This Row],[Precio Unitario]]*spaces_3iWczBNnn5rbfoUlE0Jd_uploads_git_blob_d9e80ffbcef8a4adc6d29edd78618add5df6[[#This Row],[Cantidad Ordenada]]</f>
        <v>102</v>
      </c>
      <c r="J17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795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796" spans="1:11" x14ac:dyDescent="0.35">
      <c r="A1796">
        <v>725</v>
      </c>
      <c r="B1796">
        <v>10</v>
      </c>
      <c r="C1796" t="s">
        <v>35</v>
      </c>
      <c r="D1796" t="s">
        <v>1809</v>
      </c>
      <c r="E1796">
        <v>13</v>
      </c>
      <c r="F1796">
        <v>22</v>
      </c>
      <c r="G1796">
        <v>3</v>
      </c>
      <c r="H1796">
        <v>55</v>
      </c>
      <c r="I1796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7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796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797" spans="1:11" x14ac:dyDescent="0.35">
      <c r="A1797">
        <v>726</v>
      </c>
      <c r="B1797">
        <v>11</v>
      </c>
      <c r="C1797" t="s">
        <v>41</v>
      </c>
      <c r="D1797" t="s">
        <v>1811</v>
      </c>
      <c r="E1797">
        <v>14</v>
      </c>
      <c r="F1797">
        <v>23</v>
      </c>
      <c r="G1797">
        <v>2</v>
      </c>
      <c r="H1797">
        <v>55</v>
      </c>
      <c r="I1797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7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797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798" spans="1:11" x14ac:dyDescent="0.35">
      <c r="A1798">
        <v>726</v>
      </c>
      <c r="B1798">
        <v>11</v>
      </c>
      <c r="C1798" t="s">
        <v>21</v>
      </c>
      <c r="D1798" t="s">
        <v>1801</v>
      </c>
      <c r="E1798">
        <v>22</v>
      </c>
      <c r="F1798">
        <v>36</v>
      </c>
      <c r="G1798">
        <v>1</v>
      </c>
      <c r="H1798">
        <v>13</v>
      </c>
      <c r="I1798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7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798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799" spans="1:11" x14ac:dyDescent="0.35">
      <c r="A1799">
        <v>726</v>
      </c>
      <c r="B1799">
        <v>11</v>
      </c>
      <c r="C1799" t="s">
        <v>35</v>
      </c>
      <c r="D1799" t="s">
        <v>1809</v>
      </c>
      <c r="E1799">
        <v>13</v>
      </c>
      <c r="F1799">
        <v>22</v>
      </c>
      <c r="G1799">
        <v>2</v>
      </c>
      <c r="H1799">
        <v>6</v>
      </c>
      <c r="I1799">
        <f>spaces_3iWczBNnn5rbfoUlE0Jd_uploads_git_blob_d9e80ffbcef8a4adc6d29edd78618add5df6[[#This Row],[Precio Unitario]]*spaces_3iWczBNnn5rbfoUlE0Jd_uploads_git_blob_d9e80ffbcef8a4adc6d29edd78618add5df6[[#This Row],[Cantidad Ordenada]]</f>
        <v>44</v>
      </c>
      <c r="J17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79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800" spans="1:11" x14ac:dyDescent="0.35">
      <c r="A1800">
        <v>727</v>
      </c>
      <c r="B1800">
        <v>17</v>
      </c>
      <c r="C1800" t="s">
        <v>39</v>
      </c>
      <c r="D1800" t="s">
        <v>1812</v>
      </c>
      <c r="E1800">
        <v>12</v>
      </c>
      <c r="F1800">
        <v>20</v>
      </c>
      <c r="G1800">
        <v>2</v>
      </c>
      <c r="H1800">
        <v>21</v>
      </c>
      <c r="I1800">
        <f>spaces_3iWczBNnn5rbfoUlE0Jd_uploads_git_blob_d9e80ffbcef8a4adc6d29edd78618add5df6[[#This Row],[Precio Unitario]]*spaces_3iWczBNnn5rbfoUlE0Jd_uploads_git_blob_d9e80ffbcef8a4adc6d29edd78618add5df6[[#This Row],[Cantidad Ordenada]]</f>
        <v>40</v>
      </c>
      <c r="J18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80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01" spans="1:11" x14ac:dyDescent="0.35">
      <c r="A1801">
        <v>728</v>
      </c>
      <c r="B1801">
        <v>9</v>
      </c>
      <c r="C1801" t="s">
        <v>33</v>
      </c>
      <c r="D1801" t="s">
        <v>1808</v>
      </c>
      <c r="E1801">
        <v>19</v>
      </c>
      <c r="F1801">
        <v>32</v>
      </c>
      <c r="G1801">
        <v>3</v>
      </c>
      <c r="H1801">
        <v>22</v>
      </c>
      <c r="I1801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8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801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802" spans="1:11" x14ac:dyDescent="0.35">
      <c r="A1802">
        <v>728</v>
      </c>
      <c r="B1802">
        <v>9</v>
      </c>
      <c r="C1802" t="s">
        <v>45</v>
      </c>
      <c r="D1802" t="s">
        <v>1814</v>
      </c>
      <c r="E1802">
        <v>10</v>
      </c>
      <c r="F1802">
        <v>18</v>
      </c>
      <c r="G1802">
        <v>1</v>
      </c>
      <c r="H1802">
        <v>42</v>
      </c>
      <c r="I1802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8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802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803" spans="1:11" x14ac:dyDescent="0.35">
      <c r="A1803">
        <v>728</v>
      </c>
      <c r="B1803">
        <v>9</v>
      </c>
      <c r="C1803" t="s">
        <v>17</v>
      </c>
      <c r="D1803" t="s">
        <v>1800</v>
      </c>
      <c r="E1803">
        <v>16</v>
      </c>
      <c r="F1803">
        <v>27</v>
      </c>
      <c r="G1803">
        <v>3</v>
      </c>
      <c r="H1803">
        <v>8</v>
      </c>
      <c r="I1803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8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803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804" spans="1:11" x14ac:dyDescent="0.35">
      <c r="A1804">
        <v>729</v>
      </c>
      <c r="B1804">
        <v>20</v>
      </c>
      <c r="C1804" t="s">
        <v>37</v>
      </c>
      <c r="D1804" t="s">
        <v>1810</v>
      </c>
      <c r="E1804">
        <v>20</v>
      </c>
      <c r="F1804">
        <v>34</v>
      </c>
      <c r="G1804">
        <v>2</v>
      </c>
      <c r="H1804">
        <v>57</v>
      </c>
      <c r="I1804">
        <f>spaces_3iWczBNnn5rbfoUlE0Jd_uploads_git_blob_d9e80ffbcef8a4adc6d29edd78618add5df6[[#This Row],[Precio Unitario]]*spaces_3iWczBNnn5rbfoUlE0Jd_uploads_git_blob_d9e80ffbcef8a4adc6d29edd78618add5df6[[#This Row],[Cantidad Ordenada]]</f>
        <v>68</v>
      </c>
      <c r="J180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804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805" spans="1:11" x14ac:dyDescent="0.35">
      <c r="A1805">
        <v>729</v>
      </c>
      <c r="B1805">
        <v>20</v>
      </c>
      <c r="C1805" t="s">
        <v>39</v>
      </c>
      <c r="D1805" t="s">
        <v>1812</v>
      </c>
      <c r="E1805">
        <v>12</v>
      </c>
      <c r="F1805">
        <v>20</v>
      </c>
      <c r="G1805">
        <v>3</v>
      </c>
      <c r="H1805">
        <v>8</v>
      </c>
      <c r="I180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80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0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06" spans="1:11" x14ac:dyDescent="0.35">
      <c r="A1806">
        <v>730</v>
      </c>
      <c r="B1806">
        <v>8</v>
      </c>
      <c r="C1806" t="s">
        <v>12</v>
      </c>
      <c r="D1806" t="s">
        <v>1797</v>
      </c>
      <c r="E1806">
        <v>18</v>
      </c>
      <c r="F1806">
        <v>30</v>
      </c>
      <c r="G1806">
        <v>3</v>
      </c>
      <c r="H1806">
        <v>32</v>
      </c>
      <c r="I1806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80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80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07" spans="1:11" x14ac:dyDescent="0.35">
      <c r="A1807">
        <v>730</v>
      </c>
      <c r="B1807">
        <v>8</v>
      </c>
      <c r="C1807" t="s">
        <v>9</v>
      </c>
      <c r="D1807" t="s">
        <v>1798</v>
      </c>
      <c r="E1807">
        <v>14</v>
      </c>
      <c r="F1807">
        <v>24</v>
      </c>
      <c r="G1807">
        <v>1</v>
      </c>
      <c r="H1807">
        <v>47</v>
      </c>
      <c r="I1807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80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807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808" spans="1:11" x14ac:dyDescent="0.35">
      <c r="A1808">
        <v>731</v>
      </c>
      <c r="B1808">
        <v>17</v>
      </c>
      <c r="C1808" t="s">
        <v>33</v>
      </c>
      <c r="D1808" t="s">
        <v>1808</v>
      </c>
      <c r="E1808">
        <v>19</v>
      </c>
      <c r="F1808">
        <v>32</v>
      </c>
      <c r="G1808">
        <v>2</v>
      </c>
      <c r="H1808">
        <v>47</v>
      </c>
      <c r="I1808">
        <f>spaces_3iWczBNnn5rbfoUlE0Jd_uploads_git_blob_d9e80ffbcef8a4adc6d29edd78618add5df6[[#This Row],[Precio Unitario]]*spaces_3iWczBNnn5rbfoUlE0Jd_uploads_git_blob_d9e80ffbcef8a4adc6d29edd78618add5df6[[#This Row],[Cantidad Ordenada]]</f>
        <v>64</v>
      </c>
      <c r="J180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808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809" spans="1:11" x14ac:dyDescent="0.35">
      <c r="A1809">
        <v>732</v>
      </c>
      <c r="B1809">
        <v>12</v>
      </c>
      <c r="C1809" t="s">
        <v>47</v>
      </c>
      <c r="D1809" t="s">
        <v>1815</v>
      </c>
      <c r="E1809">
        <v>15</v>
      </c>
      <c r="F1809">
        <v>26</v>
      </c>
      <c r="G1809">
        <v>3</v>
      </c>
      <c r="H1809">
        <v>36</v>
      </c>
      <c r="I1809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80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809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810" spans="1:11" x14ac:dyDescent="0.35">
      <c r="A1810">
        <v>732</v>
      </c>
      <c r="B1810">
        <v>12</v>
      </c>
      <c r="C1810" t="s">
        <v>21</v>
      </c>
      <c r="D1810" t="s">
        <v>1801</v>
      </c>
      <c r="E1810">
        <v>22</v>
      </c>
      <c r="F1810">
        <v>36</v>
      </c>
      <c r="G1810">
        <v>3</v>
      </c>
      <c r="H1810">
        <v>56</v>
      </c>
      <c r="I1810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81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810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811" spans="1:11" x14ac:dyDescent="0.35">
      <c r="A1811">
        <v>732</v>
      </c>
      <c r="B1811">
        <v>12</v>
      </c>
      <c r="C1811" t="s">
        <v>19</v>
      </c>
      <c r="D1811" t="s">
        <v>1802</v>
      </c>
      <c r="E1811">
        <v>25</v>
      </c>
      <c r="F1811">
        <v>40</v>
      </c>
      <c r="G1811">
        <v>3</v>
      </c>
      <c r="H1811">
        <v>29</v>
      </c>
      <c r="I1811">
        <f>spaces_3iWczBNnn5rbfoUlE0Jd_uploads_git_blob_d9e80ffbcef8a4adc6d29edd78618add5df6[[#This Row],[Precio Unitario]]*spaces_3iWczBNnn5rbfoUlE0Jd_uploads_git_blob_d9e80ffbcef8a4adc6d29edd78618add5df6[[#This Row],[Cantidad Ordenada]]</f>
        <v>120</v>
      </c>
      <c r="J181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45</v>
      </c>
      <c r="K1811" s="5">
        <f>(spaces_3iWczBNnn5rbfoUlE0Jd_uploads_git_blob_d9e80ffbcef8a4adc6d29edd78618add5df6[[#This Row],[Ganancia neta]]/spaces_3iWczBNnn5rbfoUlE0Jd_uploads_git_blob_d9e80ffbcef8a4adc6d29edd78618add5df6[[#This Row],[Ganancia bruta]])</f>
        <v>0.375</v>
      </c>
    </row>
    <row r="1812" spans="1:11" x14ac:dyDescent="0.35">
      <c r="A1812">
        <v>733</v>
      </c>
      <c r="B1812">
        <v>14</v>
      </c>
      <c r="C1812" t="s">
        <v>21</v>
      </c>
      <c r="D1812" t="s">
        <v>1801</v>
      </c>
      <c r="E1812">
        <v>22</v>
      </c>
      <c r="F1812">
        <v>36</v>
      </c>
      <c r="G1812">
        <v>3</v>
      </c>
      <c r="H1812">
        <v>31</v>
      </c>
      <c r="I1812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81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81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813" spans="1:11" x14ac:dyDescent="0.35">
      <c r="A1813">
        <v>733</v>
      </c>
      <c r="B1813">
        <v>14</v>
      </c>
      <c r="C1813" t="s">
        <v>17</v>
      </c>
      <c r="D1813" t="s">
        <v>1800</v>
      </c>
      <c r="E1813">
        <v>16</v>
      </c>
      <c r="F1813">
        <v>27</v>
      </c>
      <c r="G1813">
        <v>2</v>
      </c>
      <c r="H1813">
        <v>9</v>
      </c>
      <c r="I1813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81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813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814" spans="1:11" x14ac:dyDescent="0.35">
      <c r="A1814">
        <v>733</v>
      </c>
      <c r="B1814">
        <v>14</v>
      </c>
      <c r="C1814" t="s">
        <v>9</v>
      </c>
      <c r="D1814" t="s">
        <v>1798</v>
      </c>
      <c r="E1814">
        <v>14</v>
      </c>
      <c r="F1814">
        <v>24</v>
      </c>
      <c r="G1814">
        <v>1</v>
      </c>
      <c r="H1814">
        <v>34</v>
      </c>
      <c r="I1814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81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814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815" spans="1:11" x14ac:dyDescent="0.35">
      <c r="A1815">
        <v>734</v>
      </c>
      <c r="B1815">
        <v>14</v>
      </c>
      <c r="C1815" t="s">
        <v>29</v>
      </c>
      <c r="D1815" t="s">
        <v>1806</v>
      </c>
      <c r="E1815">
        <v>11</v>
      </c>
      <c r="F1815">
        <v>19</v>
      </c>
      <c r="G1815">
        <v>1</v>
      </c>
      <c r="H1815">
        <v>25</v>
      </c>
      <c r="I1815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81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815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816" spans="1:11" x14ac:dyDescent="0.35">
      <c r="A1816">
        <v>734</v>
      </c>
      <c r="B1816">
        <v>14</v>
      </c>
      <c r="C1816" t="s">
        <v>33</v>
      </c>
      <c r="D1816" t="s">
        <v>1808</v>
      </c>
      <c r="E1816">
        <v>19</v>
      </c>
      <c r="F1816">
        <v>32</v>
      </c>
      <c r="G1816">
        <v>3</v>
      </c>
      <c r="H1816">
        <v>11</v>
      </c>
      <c r="I1816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81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816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817" spans="1:11" x14ac:dyDescent="0.35">
      <c r="A1817">
        <v>734</v>
      </c>
      <c r="B1817">
        <v>14</v>
      </c>
      <c r="C1817" t="s">
        <v>9</v>
      </c>
      <c r="D1817" t="s">
        <v>1798</v>
      </c>
      <c r="E1817">
        <v>14</v>
      </c>
      <c r="F1817">
        <v>24</v>
      </c>
      <c r="G1817">
        <v>1</v>
      </c>
      <c r="H1817">
        <v>16</v>
      </c>
      <c r="I1817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81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817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818" spans="1:11" x14ac:dyDescent="0.35">
      <c r="A1818">
        <v>735</v>
      </c>
      <c r="B1818">
        <v>20</v>
      </c>
      <c r="C1818" t="s">
        <v>41</v>
      </c>
      <c r="D1818" t="s">
        <v>1811</v>
      </c>
      <c r="E1818">
        <v>14</v>
      </c>
      <c r="F1818">
        <v>23</v>
      </c>
      <c r="G1818">
        <v>2</v>
      </c>
      <c r="H1818">
        <v>30</v>
      </c>
      <c r="I1818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81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81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819" spans="1:11" x14ac:dyDescent="0.35">
      <c r="A1819">
        <v>735</v>
      </c>
      <c r="B1819">
        <v>20</v>
      </c>
      <c r="C1819" t="s">
        <v>33</v>
      </c>
      <c r="D1819" t="s">
        <v>1808</v>
      </c>
      <c r="E1819">
        <v>19</v>
      </c>
      <c r="F1819">
        <v>32</v>
      </c>
      <c r="G1819">
        <v>3</v>
      </c>
      <c r="H1819">
        <v>57</v>
      </c>
      <c r="I1819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81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819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820" spans="1:11" x14ac:dyDescent="0.35">
      <c r="A1820">
        <v>736</v>
      </c>
      <c r="B1820">
        <v>17</v>
      </c>
      <c r="C1820" t="s">
        <v>27</v>
      </c>
      <c r="D1820" t="s">
        <v>1805</v>
      </c>
      <c r="E1820">
        <v>16</v>
      </c>
      <c r="F1820">
        <v>28</v>
      </c>
      <c r="G1820">
        <v>2</v>
      </c>
      <c r="H1820">
        <v>43</v>
      </c>
      <c r="I1820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82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20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821" spans="1:11" x14ac:dyDescent="0.35">
      <c r="A1821">
        <v>736</v>
      </c>
      <c r="B1821">
        <v>17</v>
      </c>
      <c r="C1821" t="s">
        <v>15</v>
      </c>
      <c r="D1821" t="s">
        <v>1799</v>
      </c>
      <c r="E1821">
        <v>19</v>
      </c>
      <c r="F1821">
        <v>31</v>
      </c>
      <c r="G1821">
        <v>3</v>
      </c>
      <c r="H1821">
        <v>27</v>
      </c>
      <c r="I1821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82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821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822" spans="1:11" x14ac:dyDescent="0.35">
      <c r="A1822">
        <v>736</v>
      </c>
      <c r="B1822">
        <v>17</v>
      </c>
      <c r="C1822" t="s">
        <v>35</v>
      </c>
      <c r="D1822" t="s">
        <v>1809</v>
      </c>
      <c r="E1822">
        <v>13</v>
      </c>
      <c r="F1822">
        <v>22</v>
      </c>
      <c r="G1822">
        <v>3</v>
      </c>
      <c r="H1822">
        <v>22</v>
      </c>
      <c r="I1822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82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822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823" spans="1:11" x14ac:dyDescent="0.35">
      <c r="A1823">
        <v>737</v>
      </c>
      <c r="B1823">
        <v>6</v>
      </c>
      <c r="C1823" t="s">
        <v>12</v>
      </c>
      <c r="D1823" t="s">
        <v>1797</v>
      </c>
      <c r="E1823">
        <v>18</v>
      </c>
      <c r="F1823">
        <v>30</v>
      </c>
      <c r="G1823">
        <v>2</v>
      </c>
      <c r="H1823">
        <v>5</v>
      </c>
      <c r="I1823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82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23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24" spans="1:11" x14ac:dyDescent="0.35">
      <c r="A1824">
        <v>737</v>
      </c>
      <c r="B1824">
        <v>6</v>
      </c>
      <c r="C1824" t="s">
        <v>23</v>
      </c>
      <c r="D1824" t="s">
        <v>1803</v>
      </c>
      <c r="E1824">
        <v>17</v>
      </c>
      <c r="F1824">
        <v>29</v>
      </c>
      <c r="G1824">
        <v>2</v>
      </c>
      <c r="H1824">
        <v>17</v>
      </c>
      <c r="I1824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82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24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825" spans="1:11" x14ac:dyDescent="0.35">
      <c r="A1825">
        <v>738</v>
      </c>
      <c r="B1825">
        <v>15</v>
      </c>
      <c r="C1825" t="s">
        <v>47</v>
      </c>
      <c r="D1825" t="s">
        <v>1815</v>
      </c>
      <c r="E1825">
        <v>15</v>
      </c>
      <c r="F1825">
        <v>26</v>
      </c>
      <c r="G1825">
        <v>2</v>
      </c>
      <c r="H1825">
        <v>59</v>
      </c>
      <c r="I1825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82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825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826" spans="1:11" x14ac:dyDescent="0.35">
      <c r="A1826">
        <v>738</v>
      </c>
      <c r="B1826">
        <v>15</v>
      </c>
      <c r="C1826" t="s">
        <v>27</v>
      </c>
      <c r="D1826" t="s">
        <v>1805</v>
      </c>
      <c r="E1826">
        <v>16</v>
      </c>
      <c r="F1826">
        <v>28</v>
      </c>
      <c r="G1826">
        <v>1</v>
      </c>
      <c r="H1826">
        <v>15</v>
      </c>
      <c r="I1826">
        <f>spaces_3iWczBNnn5rbfoUlE0Jd_uploads_git_blob_d9e80ffbcef8a4adc6d29edd78618add5df6[[#This Row],[Precio Unitario]]*spaces_3iWczBNnn5rbfoUlE0Jd_uploads_git_blob_d9e80ffbcef8a4adc6d29edd78618add5df6[[#This Row],[Cantidad Ordenada]]</f>
        <v>28</v>
      </c>
      <c r="J182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82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827" spans="1:11" x14ac:dyDescent="0.35">
      <c r="A1827">
        <v>738</v>
      </c>
      <c r="B1827">
        <v>15</v>
      </c>
      <c r="C1827" t="s">
        <v>45</v>
      </c>
      <c r="D1827" t="s">
        <v>1814</v>
      </c>
      <c r="E1827">
        <v>10</v>
      </c>
      <c r="F1827">
        <v>18</v>
      </c>
      <c r="G1827">
        <v>3</v>
      </c>
      <c r="H1827">
        <v>20</v>
      </c>
      <c r="I1827">
        <f>spaces_3iWczBNnn5rbfoUlE0Jd_uploads_git_blob_d9e80ffbcef8a4adc6d29edd78618add5df6[[#This Row],[Precio Unitario]]*spaces_3iWczBNnn5rbfoUlE0Jd_uploads_git_blob_d9e80ffbcef8a4adc6d29edd78618add5df6[[#This Row],[Cantidad Ordenada]]</f>
        <v>54</v>
      </c>
      <c r="J182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27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828" spans="1:11" x14ac:dyDescent="0.35">
      <c r="A1828">
        <v>739</v>
      </c>
      <c r="B1828">
        <v>10</v>
      </c>
      <c r="C1828" t="s">
        <v>41</v>
      </c>
      <c r="D1828" t="s">
        <v>1811</v>
      </c>
      <c r="E1828">
        <v>14</v>
      </c>
      <c r="F1828">
        <v>23</v>
      </c>
      <c r="G1828">
        <v>2</v>
      </c>
      <c r="H1828">
        <v>54</v>
      </c>
      <c r="I1828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82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82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829" spans="1:11" x14ac:dyDescent="0.35">
      <c r="A1829">
        <v>740</v>
      </c>
      <c r="B1829">
        <v>16</v>
      </c>
      <c r="C1829" t="s">
        <v>41</v>
      </c>
      <c r="D1829" t="s">
        <v>1811</v>
      </c>
      <c r="E1829">
        <v>14</v>
      </c>
      <c r="F1829">
        <v>23</v>
      </c>
      <c r="G1829">
        <v>3</v>
      </c>
      <c r="H1829">
        <v>21</v>
      </c>
      <c r="I1829">
        <f>spaces_3iWczBNnn5rbfoUlE0Jd_uploads_git_blob_d9e80ffbcef8a4adc6d29edd78618add5df6[[#This Row],[Precio Unitario]]*spaces_3iWczBNnn5rbfoUlE0Jd_uploads_git_blob_d9e80ffbcef8a4adc6d29edd78618add5df6[[#This Row],[Cantidad Ordenada]]</f>
        <v>69</v>
      </c>
      <c r="J182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829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830" spans="1:11" x14ac:dyDescent="0.35">
      <c r="A1830">
        <v>740</v>
      </c>
      <c r="B1830">
        <v>16</v>
      </c>
      <c r="C1830" t="s">
        <v>33</v>
      </c>
      <c r="D1830" t="s">
        <v>1808</v>
      </c>
      <c r="E1830">
        <v>19</v>
      </c>
      <c r="F1830">
        <v>32</v>
      </c>
      <c r="G1830">
        <v>1</v>
      </c>
      <c r="H1830">
        <v>16</v>
      </c>
      <c r="I1830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83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83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831" spans="1:11" x14ac:dyDescent="0.35">
      <c r="A1831">
        <v>740</v>
      </c>
      <c r="B1831">
        <v>16</v>
      </c>
      <c r="C1831" t="s">
        <v>27</v>
      </c>
      <c r="D1831" t="s">
        <v>1805</v>
      </c>
      <c r="E1831">
        <v>16</v>
      </c>
      <c r="F1831">
        <v>28</v>
      </c>
      <c r="G1831">
        <v>3</v>
      </c>
      <c r="H1831">
        <v>31</v>
      </c>
      <c r="I1831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83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831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832" spans="1:11" x14ac:dyDescent="0.35">
      <c r="A1832">
        <v>740</v>
      </c>
      <c r="B1832">
        <v>16</v>
      </c>
      <c r="C1832" t="s">
        <v>21</v>
      </c>
      <c r="D1832" t="s">
        <v>1801</v>
      </c>
      <c r="E1832">
        <v>22</v>
      </c>
      <c r="F1832">
        <v>36</v>
      </c>
      <c r="G1832">
        <v>3</v>
      </c>
      <c r="H1832">
        <v>45</v>
      </c>
      <c r="I1832">
        <f>spaces_3iWczBNnn5rbfoUlE0Jd_uploads_git_blob_d9e80ffbcef8a4adc6d29edd78618add5df6[[#This Row],[Precio Unitario]]*spaces_3iWczBNnn5rbfoUlE0Jd_uploads_git_blob_d9e80ffbcef8a4adc6d29edd78618add5df6[[#This Row],[Cantidad Ordenada]]</f>
        <v>108</v>
      </c>
      <c r="J183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832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833" spans="1:11" x14ac:dyDescent="0.35">
      <c r="A1833">
        <v>741</v>
      </c>
      <c r="B1833">
        <v>14</v>
      </c>
      <c r="C1833" t="s">
        <v>25</v>
      </c>
      <c r="D1833" t="s">
        <v>1804</v>
      </c>
      <c r="E1833">
        <v>20</v>
      </c>
      <c r="F1833">
        <v>33</v>
      </c>
      <c r="G1833">
        <v>3</v>
      </c>
      <c r="H1833">
        <v>39</v>
      </c>
      <c r="I1833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83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833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834" spans="1:11" x14ac:dyDescent="0.35">
      <c r="A1834">
        <v>741</v>
      </c>
      <c r="B1834">
        <v>14</v>
      </c>
      <c r="C1834" t="s">
        <v>27</v>
      </c>
      <c r="D1834" t="s">
        <v>1805</v>
      </c>
      <c r="E1834">
        <v>16</v>
      </c>
      <c r="F1834">
        <v>28</v>
      </c>
      <c r="G1834">
        <v>2</v>
      </c>
      <c r="H1834">
        <v>34</v>
      </c>
      <c r="I1834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83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3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835" spans="1:11" x14ac:dyDescent="0.35">
      <c r="A1835">
        <v>741</v>
      </c>
      <c r="B1835">
        <v>14</v>
      </c>
      <c r="C1835" t="s">
        <v>9</v>
      </c>
      <c r="D1835" t="s">
        <v>1798</v>
      </c>
      <c r="E1835">
        <v>14</v>
      </c>
      <c r="F1835">
        <v>24</v>
      </c>
      <c r="G1835">
        <v>3</v>
      </c>
      <c r="H1835">
        <v>52</v>
      </c>
      <c r="I1835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83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835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836" spans="1:11" x14ac:dyDescent="0.35">
      <c r="A1836">
        <v>741</v>
      </c>
      <c r="B1836">
        <v>14</v>
      </c>
      <c r="C1836" t="s">
        <v>23</v>
      </c>
      <c r="D1836" t="s">
        <v>1803</v>
      </c>
      <c r="E1836">
        <v>17</v>
      </c>
      <c r="F1836">
        <v>29</v>
      </c>
      <c r="G1836">
        <v>2</v>
      </c>
      <c r="H1836">
        <v>40</v>
      </c>
      <c r="I1836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83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36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837" spans="1:11" x14ac:dyDescent="0.35">
      <c r="A1837">
        <v>742</v>
      </c>
      <c r="B1837">
        <v>20</v>
      </c>
      <c r="C1837" t="s">
        <v>47</v>
      </c>
      <c r="D1837" t="s">
        <v>1815</v>
      </c>
      <c r="E1837">
        <v>15</v>
      </c>
      <c r="F1837">
        <v>26</v>
      </c>
      <c r="G1837">
        <v>1</v>
      </c>
      <c r="H1837">
        <v>26</v>
      </c>
      <c r="I1837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83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837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838" spans="1:11" x14ac:dyDescent="0.35">
      <c r="A1838">
        <v>742</v>
      </c>
      <c r="B1838">
        <v>20</v>
      </c>
      <c r="C1838" t="s">
        <v>29</v>
      </c>
      <c r="D1838" t="s">
        <v>1806</v>
      </c>
      <c r="E1838">
        <v>11</v>
      </c>
      <c r="F1838">
        <v>19</v>
      </c>
      <c r="G1838">
        <v>1</v>
      </c>
      <c r="H1838">
        <v>35</v>
      </c>
      <c r="I1838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83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838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839" spans="1:11" x14ac:dyDescent="0.35">
      <c r="A1839">
        <v>742</v>
      </c>
      <c r="B1839">
        <v>20</v>
      </c>
      <c r="C1839" t="s">
        <v>15</v>
      </c>
      <c r="D1839" t="s">
        <v>1799</v>
      </c>
      <c r="E1839">
        <v>19</v>
      </c>
      <c r="F1839">
        <v>31</v>
      </c>
      <c r="G1839">
        <v>1</v>
      </c>
      <c r="H1839">
        <v>41</v>
      </c>
      <c r="I1839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83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839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840" spans="1:11" x14ac:dyDescent="0.35">
      <c r="A1840">
        <v>742</v>
      </c>
      <c r="B1840">
        <v>20</v>
      </c>
      <c r="C1840" t="s">
        <v>12</v>
      </c>
      <c r="D1840" t="s">
        <v>1797</v>
      </c>
      <c r="E1840">
        <v>18</v>
      </c>
      <c r="F1840">
        <v>30</v>
      </c>
      <c r="G1840">
        <v>3</v>
      </c>
      <c r="H1840">
        <v>43</v>
      </c>
      <c r="I1840">
        <f>spaces_3iWczBNnn5rbfoUlE0Jd_uploads_git_blob_d9e80ffbcef8a4adc6d29edd78618add5df6[[#This Row],[Precio Unitario]]*spaces_3iWczBNnn5rbfoUlE0Jd_uploads_git_blob_d9e80ffbcef8a4adc6d29edd78618add5df6[[#This Row],[Cantidad Ordenada]]</f>
        <v>90</v>
      </c>
      <c r="J184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84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41" spans="1:11" x14ac:dyDescent="0.35">
      <c r="A1841">
        <v>743</v>
      </c>
      <c r="B1841">
        <v>19</v>
      </c>
      <c r="C1841" t="s">
        <v>47</v>
      </c>
      <c r="D1841" t="s">
        <v>1815</v>
      </c>
      <c r="E1841">
        <v>15</v>
      </c>
      <c r="F1841">
        <v>26</v>
      </c>
      <c r="G1841">
        <v>2</v>
      </c>
      <c r="H1841">
        <v>59</v>
      </c>
      <c r="I1841">
        <f>spaces_3iWczBNnn5rbfoUlE0Jd_uploads_git_blob_d9e80ffbcef8a4adc6d29edd78618add5df6[[#This Row],[Precio Unitario]]*spaces_3iWczBNnn5rbfoUlE0Jd_uploads_git_blob_d9e80ffbcef8a4adc6d29edd78618add5df6[[#This Row],[Cantidad Ordenada]]</f>
        <v>52</v>
      </c>
      <c r="J184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22</v>
      </c>
      <c r="K1841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842" spans="1:11" x14ac:dyDescent="0.35">
      <c r="A1842">
        <v>743</v>
      </c>
      <c r="B1842">
        <v>19</v>
      </c>
      <c r="C1842" t="s">
        <v>41</v>
      </c>
      <c r="D1842" t="s">
        <v>1811</v>
      </c>
      <c r="E1842">
        <v>14</v>
      </c>
      <c r="F1842">
        <v>23</v>
      </c>
      <c r="G1842">
        <v>2</v>
      </c>
      <c r="H1842">
        <v>43</v>
      </c>
      <c r="I1842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84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842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843" spans="1:11" x14ac:dyDescent="0.35">
      <c r="A1843">
        <v>743</v>
      </c>
      <c r="B1843">
        <v>19</v>
      </c>
      <c r="C1843" t="s">
        <v>45</v>
      </c>
      <c r="D1843" t="s">
        <v>1814</v>
      </c>
      <c r="E1843">
        <v>10</v>
      </c>
      <c r="F1843">
        <v>18</v>
      </c>
      <c r="G1843">
        <v>2</v>
      </c>
      <c r="H1843">
        <v>41</v>
      </c>
      <c r="I1843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84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843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844" spans="1:11" x14ac:dyDescent="0.35">
      <c r="A1844">
        <v>744</v>
      </c>
      <c r="B1844">
        <v>11</v>
      </c>
      <c r="C1844" t="s">
        <v>45</v>
      </c>
      <c r="D1844" t="s">
        <v>1814</v>
      </c>
      <c r="E1844">
        <v>10</v>
      </c>
      <c r="F1844">
        <v>18</v>
      </c>
      <c r="G1844">
        <v>1</v>
      </c>
      <c r="H1844">
        <v>57</v>
      </c>
      <c r="I1844">
        <f>spaces_3iWczBNnn5rbfoUlE0Jd_uploads_git_blob_d9e80ffbcef8a4adc6d29edd78618add5df6[[#This Row],[Precio Unitario]]*spaces_3iWczBNnn5rbfoUlE0Jd_uploads_git_blob_d9e80ffbcef8a4adc6d29edd78618add5df6[[#This Row],[Cantidad Ordenada]]</f>
        <v>18</v>
      </c>
      <c r="J184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844" s="5">
        <f>(spaces_3iWczBNnn5rbfoUlE0Jd_uploads_git_blob_d9e80ffbcef8a4adc6d29edd78618add5df6[[#This Row],[Ganancia neta]]/spaces_3iWczBNnn5rbfoUlE0Jd_uploads_git_blob_d9e80ffbcef8a4adc6d29edd78618add5df6[[#This Row],[Ganancia bruta]])</f>
        <v>0.44444444444444442</v>
      </c>
    </row>
    <row r="1845" spans="1:11" x14ac:dyDescent="0.35">
      <c r="A1845">
        <v>744</v>
      </c>
      <c r="B1845">
        <v>11</v>
      </c>
      <c r="C1845" t="s">
        <v>23</v>
      </c>
      <c r="D1845" t="s">
        <v>1803</v>
      </c>
      <c r="E1845">
        <v>17</v>
      </c>
      <c r="F1845">
        <v>29</v>
      </c>
      <c r="G1845">
        <v>2</v>
      </c>
      <c r="H1845">
        <v>10</v>
      </c>
      <c r="I1845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84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45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846" spans="1:11" x14ac:dyDescent="0.35">
      <c r="A1846">
        <v>745</v>
      </c>
      <c r="B1846">
        <v>3</v>
      </c>
      <c r="C1846" t="s">
        <v>49</v>
      </c>
      <c r="D1846" t="s">
        <v>1816</v>
      </c>
      <c r="E1846">
        <v>15</v>
      </c>
      <c r="F1846">
        <v>25</v>
      </c>
      <c r="G1846">
        <v>2</v>
      </c>
      <c r="H1846">
        <v>23</v>
      </c>
      <c r="I1846">
        <f>spaces_3iWczBNnn5rbfoUlE0Jd_uploads_git_blob_d9e80ffbcef8a4adc6d29edd78618add5df6[[#This Row],[Precio Unitario]]*spaces_3iWczBNnn5rbfoUlE0Jd_uploads_git_blob_d9e80ffbcef8a4adc6d29edd78618add5df6[[#This Row],[Cantidad Ordenada]]</f>
        <v>50</v>
      </c>
      <c r="J184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84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47" spans="1:11" x14ac:dyDescent="0.35">
      <c r="A1847">
        <v>745</v>
      </c>
      <c r="B1847">
        <v>3</v>
      </c>
      <c r="C1847" t="s">
        <v>17</v>
      </c>
      <c r="D1847" t="s">
        <v>1800</v>
      </c>
      <c r="E1847">
        <v>16</v>
      </c>
      <c r="F1847">
        <v>27</v>
      </c>
      <c r="G1847">
        <v>3</v>
      </c>
      <c r="H1847">
        <v>7</v>
      </c>
      <c r="I1847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84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84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848" spans="1:11" x14ac:dyDescent="0.35">
      <c r="A1848">
        <v>745</v>
      </c>
      <c r="B1848">
        <v>3</v>
      </c>
      <c r="C1848" t="s">
        <v>9</v>
      </c>
      <c r="D1848" t="s">
        <v>1798</v>
      </c>
      <c r="E1848">
        <v>14</v>
      </c>
      <c r="F1848">
        <v>24</v>
      </c>
      <c r="G1848">
        <v>2</v>
      </c>
      <c r="H1848">
        <v>9</v>
      </c>
      <c r="I1848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84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84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849" spans="1:11" x14ac:dyDescent="0.35">
      <c r="A1849">
        <v>745</v>
      </c>
      <c r="B1849">
        <v>3</v>
      </c>
      <c r="C1849" t="s">
        <v>31</v>
      </c>
      <c r="D1849" t="s">
        <v>1807</v>
      </c>
      <c r="E1849">
        <v>21</v>
      </c>
      <c r="F1849">
        <v>35</v>
      </c>
      <c r="G1849">
        <v>3</v>
      </c>
      <c r="H1849">
        <v>34</v>
      </c>
      <c r="I1849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84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84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50" spans="1:11" x14ac:dyDescent="0.35">
      <c r="A1850">
        <v>746</v>
      </c>
      <c r="B1850">
        <v>13</v>
      </c>
      <c r="C1850" t="s">
        <v>33</v>
      </c>
      <c r="D1850" t="s">
        <v>1808</v>
      </c>
      <c r="E1850">
        <v>19</v>
      </c>
      <c r="F1850">
        <v>32</v>
      </c>
      <c r="G1850">
        <v>3</v>
      </c>
      <c r="H1850">
        <v>43</v>
      </c>
      <c r="I1850">
        <f>spaces_3iWczBNnn5rbfoUlE0Jd_uploads_git_blob_d9e80ffbcef8a4adc6d29edd78618add5df6[[#This Row],[Precio Unitario]]*spaces_3iWczBNnn5rbfoUlE0Jd_uploads_git_blob_d9e80ffbcef8a4adc6d29edd78618add5df6[[#This Row],[Cantidad Ordenada]]</f>
        <v>96</v>
      </c>
      <c r="J185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850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851" spans="1:11" x14ac:dyDescent="0.35">
      <c r="A1851">
        <v>746</v>
      </c>
      <c r="B1851">
        <v>13</v>
      </c>
      <c r="C1851" t="s">
        <v>31</v>
      </c>
      <c r="D1851" t="s">
        <v>1807</v>
      </c>
      <c r="E1851">
        <v>21</v>
      </c>
      <c r="F1851">
        <v>35</v>
      </c>
      <c r="G1851">
        <v>3</v>
      </c>
      <c r="H1851">
        <v>34</v>
      </c>
      <c r="I1851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85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85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52" spans="1:11" x14ac:dyDescent="0.35">
      <c r="A1852">
        <v>747</v>
      </c>
      <c r="B1852">
        <v>16</v>
      </c>
      <c r="C1852" t="s">
        <v>49</v>
      </c>
      <c r="D1852" t="s">
        <v>1816</v>
      </c>
      <c r="E1852">
        <v>15</v>
      </c>
      <c r="F1852">
        <v>25</v>
      </c>
      <c r="G1852">
        <v>1</v>
      </c>
      <c r="H1852">
        <v>28</v>
      </c>
      <c r="I1852">
        <f>spaces_3iWczBNnn5rbfoUlE0Jd_uploads_git_blob_d9e80ffbcef8a4adc6d29edd78618add5df6[[#This Row],[Precio Unitario]]*spaces_3iWczBNnn5rbfoUlE0Jd_uploads_git_blob_d9e80ffbcef8a4adc6d29edd78618add5df6[[#This Row],[Cantidad Ordenada]]</f>
        <v>25</v>
      </c>
      <c r="J185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85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53" spans="1:11" x14ac:dyDescent="0.35">
      <c r="A1853">
        <v>748</v>
      </c>
      <c r="B1853">
        <v>2</v>
      </c>
      <c r="C1853" t="s">
        <v>47</v>
      </c>
      <c r="D1853" t="s">
        <v>1815</v>
      </c>
      <c r="E1853">
        <v>15</v>
      </c>
      <c r="F1853">
        <v>26</v>
      </c>
      <c r="G1853">
        <v>3</v>
      </c>
      <c r="H1853">
        <v>32</v>
      </c>
      <c r="I1853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85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85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854" spans="1:11" x14ac:dyDescent="0.35">
      <c r="A1854">
        <v>748</v>
      </c>
      <c r="B1854">
        <v>2</v>
      </c>
      <c r="C1854" t="s">
        <v>33</v>
      </c>
      <c r="D1854" t="s">
        <v>1808</v>
      </c>
      <c r="E1854">
        <v>19</v>
      </c>
      <c r="F1854">
        <v>32</v>
      </c>
      <c r="G1854">
        <v>1</v>
      </c>
      <c r="H1854">
        <v>5</v>
      </c>
      <c r="I1854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85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854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855" spans="1:11" x14ac:dyDescent="0.35">
      <c r="A1855">
        <v>749</v>
      </c>
      <c r="B1855">
        <v>1</v>
      </c>
      <c r="C1855" t="s">
        <v>31</v>
      </c>
      <c r="D1855" t="s">
        <v>1807</v>
      </c>
      <c r="E1855">
        <v>21</v>
      </c>
      <c r="F1855">
        <v>35</v>
      </c>
      <c r="G1855">
        <v>2</v>
      </c>
      <c r="H1855">
        <v>8</v>
      </c>
      <c r="I1855">
        <f>spaces_3iWczBNnn5rbfoUlE0Jd_uploads_git_blob_d9e80ffbcef8a4adc6d29edd78618add5df6[[#This Row],[Precio Unitario]]*spaces_3iWczBNnn5rbfoUlE0Jd_uploads_git_blob_d9e80ffbcef8a4adc6d29edd78618add5df6[[#This Row],[Cantidad Ordenada]]</f>
        <v>70</v>
      </c>
      <c r="J185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28</v>
      </c>
      <c r="K185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56" spans="1:11" x14ac:dyDescent="0.35">
      <c r="A1856">
        <v>750</v>
      </c>
      <c r="B1856">
        <v>6</v>
      </c>
      <c r="C1856" t="s">
        <v>47</v>
      </c>
      <c r="D1856" t="s">
        <v>1815</v>
      </c>
      <c r="E1856">
        <v>15</v>
      </c>
      <c r="F1856">
        <v>26</v>
      </c>
      <c r="G1856">
        <v>1</v>
      </c>
      <c r="H1856">
        <v>39</v>
      </c>
      <c r="I1856">
        <f>spaces_3iWczBNnn5rbfoUlE0Jd_uploads_git_blob_d9e80ffbcef8a4adc6d29edd78618add5df6[[#This Row],[Precio Unitario]]*spaces_3iWczBNnn5rbfoUlE0Jd_uploads_git_blob_d9e80ffbcef8a4adc6d29edd78618add5df6[[#This Row],[Cantidad Ordenada]]</f>
        <v>26</v>
      </c>
      <c r="J185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856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857" spans="1:11" x14ac:dyDescent="0.35">
      <c r="A1857">
        <v>750</v>
      </c>
      <c r="B1857">
        <v>6</v>
      </c>
      <c r="C1857" t="s">
        <v>15</v>
      </c>
      <c r="D1857" t="s">
        <v>1799</v>
      </c>
      <c r="E1857">
        <v>19</v>
      </c>
      <c r="F1857">
        <v>31</v>
      </c>
      <c r="G1857">
        <v>3</v>
      </c>
      <c r="H1857">
        <v>47</v>
      </c>
      <c r="I1857">
        <f>spaces_3iWczBNnn5rbfoUlE0Jd_uploads_git_blob_d9e80ffbcef8a4adc6d29edd78618add5df6[[#This Row],[Precio Unitario]]*spaces_3iWczBNnn5rbfoUlE0Jd_uploads_git_blob_d9e80ffbcef8a4adc6d29edd78618add5df6[[#This Row],[Cantidad Ordenada]]</f>
        <v>93</v>
      </c>
      <c r="J185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857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858" spans="1:11" x14ac:dyDescent="0.35">
      <c r="A1858">
        <v>751</v>
      </c>
      <c r="B1858">
        <v>17</v>
      </c>
      <c r="C1858" t="s">
        <v>49</v>
      </c>
      <c r="D1858" t="s">
        <v>1816</v>
      </c>
      <c r="E1858">
        <v>15</v>
      </c>
      <c r="F1858">
        <v>25</v>
      </c>
      <c r="G1858">
        <v>3</v>
      </c>
      <c r="H1858">
        <v>31</v>
      </c>
      <c r="I1858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85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85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59" spans="1:11" x14ac:dyDescent="0.35">
      <c r="A1859">
        <v>751</v>
      </c>
      <c r="B1859">
        <v>17</v>
      </c>
      <c r="C1859" t="s">
        <v>35</v>
      </c>
      <c r="D1859" t="s">
        <v>1809</v>
      </c>
      <c r="E1859">
        <v>13</v>
      </c>
      <c r="F1859">
        <v>22</v>
      </c>
      <c r="G1859">
        <v>3</v>
      </c>
      <c r="H1859">
        <v>19</v>
      </c>
      <c r="I1859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85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27</v>
      </c>
      <c r="K1859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860" spans="1:11" x14ac:dyDescent="0.35">
      <c r="A1860">
        <v>751</v>
      </c>
      <c r="B1860">
        <v>17</v>
      </c>
      <c r="C1860" t="s">
        <v>23</v>
      </c>
      <c r="D1860" t="s">
        <v>1803</v>
      </c>
      <c r="E1860">
        <v>17</v>
      </c>
      <c r="F1860">
        <v>29</v>
      </c>
      <c r="G1860">
        <v>1</v>
      </c>
      <c r="H1860">
        <v>37</v>
      </c>
      <c r="I1860">
        <f>spaces_3iWczBNnn5rbfoUlE0Jd_uploads_git_blob_d9e80ffbcef8a4adc6d29edd78618add5df6[[#This Row],[Precio Unitario]]*spaces_3iWczBNnn5rbfoUlE0Jd_uploads_git_blob_d9e80ffbcef8a4adc6d29edd78618add5df6[[#This Row],[Cantidad Ordenada]]</f>
        <v>29</v>
      </c>
      <c r="J186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860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861" spans="1:11" x14ac:dyDescent="0.35">
      <c r="A1861">
        <v>752</v>
      </c>
      <c r="B1861">
        <v>3</v>
      </c>
      <c r="C1861" t="s">
        <v>12</v>
      </c>
      <c r="D1861" t="s">
        <v>1797</v>
      </c>
      <c r="E1861">
        <v>18</v>
      </c>
      <c r="F1861">
        <v>30</v>
      </c>
      <c r="G1861">
        <v>2</v>
      </c>
      <c r="H1861">
        <v>30</v>
      </c>
      <c r="I1861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86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61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62" spans="1:11" x14ac:dyDescent="0.35">
      <c r="A1862">
        <v>753</v>
      </c>
      <c r="B1862">
        <v>11</v>
      </c>
      <c r="C1862" t="s">
        <v>41</v>
      </c>
      <c r="D1862" t="s">
        <v>1811</v>
      </c>
      <c r="E1862">
        <v>14</v>
      </c>
      <c r="F1862">
        <v>23</v>
      </c>
      <c r="G1862">
        <v>1</v>
      </c>
      <c r="H1862">
        <v>23</v>
      </c>
      <c r="I1862">
        <f>spaces_3iWczBNnn5rbfoUlE0Jd_uploads_git_blob_d9e80ffbcef8a4adc6d29edd78618add5df6[[#This Row],[Precio Unitario]]*spaces_3iWczBNnn5rbfoUlE0Jd_uploads_git_blob_d9e80ffbcef8a4adc6d29edd78618add5df6[[#This Row],[Cantidad Ordenada]]</f>
        <v>23</v>
      </c>
      <c r="J186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862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863" spans="1:11" x14ac:dyDescent="0.35">
      <c r="A1863">
        <v>753</v>
      </c>
      <c r="B1863">
        <v>11</v>
      </c>
      <c r="C1863" t="s">
        <v>33</v>
      </c>
      <c r="D1863" t="s">
        <v>1808</v>
      </c>
      <c r="E1863">
        <v>19</v>
      </c>
      <c r="F1863">
        <v>32</v>
      </c>
      <c r="G1863">
        <v>1</v>
      </c>
      <c r="H1863">
        <v>35</v>
      </c>
      <c r="I1863">
        <f>spaces_3iWczBNnn5rbfoUlE0Jd_uploads_git_blob_d9e80ffbcef8a4adc6d29edd78618add5df6[[#This Row],[Precio Unitario]]*spaces_3iWczBNnn5rbfoUlE0Jd_uploads_git_blob_d9e80ffbcef8a4adc6d29edd78618add5df6[[#This Row],[Cantidad Ordenada]]</f>
        <v>32</v>
      </c>
      <c r="J186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13</v>
      </c>
      <c r="K1863" s="5">
        <f>(spaces_3iWczBNnn5rbfoUlE0Jd_uploads_git_blob_d9e80ffbcef8a4adc6d29edd78618add5df6[[#This Row],[Ganancia neta]]/spaces_3iWczBNnn5rbfoUlE0Jd_uploads_git_blob_d9e80ffbcef8a4adc6d29edd78618add5df6[[#This Row],[Ganancia bruta]])</f>
        <v>0.40625</v>
      </c>
    </row>
    <row r="1864" spans="1:11" x14ac:dyDescent="0.35">
      <c r="A1864">
        <v>753</v>
      </c>
      <c r="B1864">
        <v>11</v>
      </c>
      <c r="C1864" t="s">
        <v>21</v>
      </c>
      <c r="D1864" t="s">
        <v>1801</v>
      </c>
      <c r="E1864">
        <v>22</v>
      </c>
      <c r="F1864">
        <v>36</v>
      </c>
      <c r="G1864">
        <v>1</v>
      </c>
      <c r="H1864">
        <v>46</v>
      </c>
      <c r="I1864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86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864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865" spans="1:11" x14ac:dyDescent="0.35">
      <c r="A1865">
        <v>753</v>
      </c>
      <c r="B1865">
        <v>11</v>
      </c>
      <c r="C1865" t="s">
        <v>9</v>
      </c>
      <c r="D1865" t="s">
        <v>1798</v>
      </c>
      <c r="E1865">
        <v>14</v>
      </c>
      <c r="F1865">
        <v>24</v>
      </c>
      <c r="G1865">
        <v>3</v>
      </c>
      <c r="H1865">
        <v>24</v>
      </c>
      <c r="I1865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86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865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866" spans="1:11" x14ac:dyDescent="0.35">
      <c r="A1866">
        <v>754</v>
      </c>
      <c r="B1866">
        <v>8</v>
      </c>
      <c r="C1866" t="s">
        <v>27</v>
      </c>
      <c r="D1866" t="s">
        <v>1805</v>
      </c>
      <c r="E1866">
        <v>16</v>
      </c>
      <c r="F1866">
        <v>28</v>
      </c>
      <c r="G1866">
        <v>3</v>
      </c>
      <c r="H1866">
        <v>52</v>
      </c>
      <c r="I1866">
        <f>spaces_3iWczBNnn5rbfoUlE0Jd_uploads_git_blob_d9e80ffbcef8a4adc6d29edd78618add5df6[[#This Row],[Precio Unitario]]*spaces_3iWczBNnn5rbfoUlE0Jd_uploads_git_blob_d9e80ffbcef8a4adc6d29edd78618add5df6[[#This Row],[Cantidad Ordenada]]</f>
        <v>84</v>
      </c>
      <c r="J186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866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867" spans="1:11" x14ac:dyDescent="0.35">
      <c r="A1867">
        <v>754</v>
      </c>
      <c r="B1867">
        <v>8</v>
      </c>
      <c r="C1867" t="s">
        <v>17</v>
      </c>
      <c r="D1867" t="s">
        <v>1800</v>
      </c>
      <c r="E1867">
        <v>16</v>
      </c>
      <c r="F1867">
        <v>27</v>
      </c>
      <c r="G1867">
        <v>3</v>
      </c>
      <c r="H1867">
        <v>11</v>
      </c>
      <c r="I1867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86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867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868" spans="1:11" x14ac:dyDescent="0.35">
      <c r="A1868">
        <v>754</v>
      </c>
      <c r="B1868">
        <v>8</v>
      </c>
      <c r="C1868" t="s">
        <v>9</v>
      </c>
      <c r="D1868" t="s">
        <v>1798</v>
      </c>
      <c r="E1868">
        <v>14</v>
      </c>
      <c r="F1868">
        <v>24</v>
      </c>
      <c r="G1868">
        <v>3</v>
      </c>
      <c r="H1868">
        <v>26</v>
      </c>
      <c r="I1868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86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868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869" spans="1:11" x14ac:dyDescent="0.35">
      <c r="A1869">
        <v>755</v>
      </c>
      <c r="B1869">
        <v>12</v>
      </c>
      <c r="C1869" t="s">
        <v>49</v>
      </c>
      <c r="D1869" t="s">
        <v>1816</v>
      </c>
      <c r="E1869">
        <v>15</v>
      </c>
      <c r="F1869">
        <v>25</v>
      </c>
      <c r="G1869">
        <v>3</v>
      </c>
      <c r="H1869">
        <v>37</v>
      </c>
      <c r="I1869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86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86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70" spans="1:11" x14ac:dyDescent="0.35">
      <c r="A1870">
        <v>755</v>
      </c>
      <c r="B1870">
        <v>12</v>
      </c>
      <c r="C1870" t="s">
        <v>29</v>
      </c>
      <c r="D1870" t="s">
        <v>1806</v>
      </c>
      <c r="E1870">
        <v>11</v>
      </c>
      <c r="F1870">
        <v>19</v>
      </c>
      <c r="G1870">
        <v>3</v>
      </c>
      <c r="H1870">
        <v>46</v>
      </c>
      <c r="I1870">
        <f>spaces_3iWczBNnn5rbfoUlE0Jd_uploads_git_blob_d9e80ffbcef8a4adc6d29edd78618add5df6[[#This Row],[Precio Unitario]]*spaces_3iWczBNnn5rbfoUlE0Jd_uploads_git_blob_d9e80ffbcef8a4adc6d29edd78618add5df6[[#This Row],[Cantidad Ordenada]]</f>
        <v>57</v>
      </c>
      <c r="J187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70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871" spans="1:11" x14ac:dyDescent="0.35">
      <c r="A1871">
        <v>755</v>
      </c>
      <c r="B1871">
        <v>12</v>
      </c>
      <c r="C1871" t="s">
        <v>43</v>
      </c>
      <c r="D1871" t="s">
        <v>1813</v>
      </c>
      <c r="E1871">
        <v>13</v>
      </c>
      <c r="F1871">
        <v>21</v>
      </c>
      <c r="G1871">
        <v>1</v>
      </c>
      <c r="H1871">
        <v>6</v>
      </c>
      <c r="I1871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87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87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872" spans="1:11" x14ac:dyDescent="0.35">
      <c r="A1872">
        <v>755</v>
      </c>
      <c r="B1872">
        <v>12</v>
      </c>
      <c r="C1872" t="s">
        <v>23</v>
      </c>
      <c r="D1872" t="s">
        <v>1803</v>
      </c>
      <c r="E1872">
        <v>17</v>
      </c>
      <c r="F1872">
        <v>29</v>
      </c>
      <c r="G1872">
        <v>2</v>
      </c>
      <c r="H1872">
        <v>20</v>
      </c>
      <c r="I1872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87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72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873" spans="1:11" x14ac:dyDescent="0.35">
      <c r="A1873">
        <v>756</v>
      </c>
      <c r="B1873">
        <v>11</v>
      </c>
      <c r="C1873" t="s">
        <v>29</v>
      </c>
      <c r="D1873" t="s">
        <v>1806</v>
      </c>
      <c r="E1873">
        <v>11</v>
      </c>
      <c r="F1873">
        <v>19</v>
      </c>
      <c r="G1873">
        <v>1</v>
      </c>
      <c r="H1873">
        <v>13</v>
      </c>
      <c r="I1873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87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873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874" spans="1:11" x14ac:dyDescent="0.35">
      <c r="A1874">
        <v>756</v>
      </c>
      <c r="B1874">
        <v>11</v>
      </c>
      <c r="C1874" t="s">
        <v>15</v>
      </c>
      <c r="D1874" t="s">
        <v>1799</v>
      </c>
      <c r="E1874">
        <v>19</v>
      </c>
      <c r="F1874">
        <v>31</v>
      </c>
      <c r="G1874">
        <v>1</v>
      </c>
      <c r="H1874">
        <v>21</v>
      </c>
      <c r="I1874">
        <f>spaces_3iWczBNnn5rbfoUlE0Jd_uploads_git_blob_d9e80ffbcef8a4adc6d29edd78618add5df6[[#This Row],[Precio Unitario]]*spaces_3iWczBNnn5rbfoUlE0Jd_uploads_git_blob_d9e80ffbcef8a4adc6d29edd78618add5df6[[#This Row],[Cantidad Ordenada]]</f>
        <v>31</v>
      </c>
      <c r="J187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874" s="5">
        <f>(spaces_3iWczBNnn5rbfoUlE0Jd_uploads_git_blob_d9e80ffbcef8a4adc6d29edd78618add5df6[[#This Row],[Ganancia neta]]/spaces_3iWczBNnn5rbfoUlE0Jd_uploads_git_blob_d9e80ffbcef8a4adc6d29edd78618add5df6[[#This Row],[Ganancia bruta]])</f>
        <v>0.38709677419354838</v>
      </c>
    </row>
    <row r="1875" spans="1:11" x14ac:dyDescent="0.35">
      <c r="A1875">
        <v>757</v>
      </c>
      <c r="B1875">
        <v>3</v>
      </c>
      <c r="C1875" t="s">
        <v>12</v>
      </c>
      <c r="D1875" t="s">
        <v>1797</v>
      </c>
      <c r="E1875">
        <v>18</v>
      </c>
      <c r="F1875">
        <v>30</v>
      </c>
      <c r="G1875">
        <v>2</v>
      </c>
      <c r="H1875">
        <v>40</v>
      </c>
      <c r="I1875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87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75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76" spans="1:11" x14ac:dyDescent="0.35">
      <c r="A1876">
        <v>758</v>
      </c>
      <c r="B1876">
        <v>18</v>
      </c>
      <c r="C1876" t="s">
        <v>12</v>
      </c>
      <c r="D1876" t="s">
        <v>1797</v>
      </c>
      <c r="E1876">
        <v>18</v>
      </c>
      <c r="F1876">
        <v>30</v>
      </c>
      <c r="G1876">
        <v>1</v>
      </c>
      <c r="H1876">
        <v>32</v>
      </c>
      <c r="I1876">
        <f>spaces_3iWczBNnn5rbfoUlE0Jd_uploads_git_blob_d9e80ffbcef8a4adc6d29edd78618add5df6[[#This Row],[Precio Unitario]]*spaces_3iWczBNnn5rbfoUlE0Jd_uploads_git_blob_d9e80ffbcef8a4adc6d29edd78618add5df6[[#This Row],[Cantidad Ordenada]]</f>
        <v>30</v>
      </c>
      <c r="J187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12</v>
      </c>
      <c r="K1876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77" spans="1:11" x14ac:dyDescent="0.35">
      <c r="A1877">
        <v>758</v>
      </c>
      <c r="B1877">
        <v>18</v>
      </c>
      <c r="C1877" t="s">
        <v>35</v>
      </c>
      <c r="D1877" t="s">
        <v>1809</v>
      </c>
      <c r="E1877">
        <v>13</v>
      </c>
      <c r="F1877">
        <v>22</v>
      </c>
      <c r="G1877">
        <v>1</v>
      </c>
      <c r="H1877">
        <v>9</v>
      </c>
      <c r="I1877">
        <f>spaces_3iWczBNnn5rbfoUlE0Jd_uploads_git_blob_d9e80ffbcef8a4adc6d29edd78618add5df6[[#This Row],[Precio Unitario]]*spaces_3iWczBNnn5rbfoUlE0Jd_uploads_git_blob_d9e80ffbcef8a4adc6d29edd78618add5df6[[#This Row],[Cantidad Ordenada]]</f>
        <v>22</v>
      </c>
      <c r="J187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9</v>
      </c>
      <c r="K1877" s="5">
        <f>(spaces_3iWczBNnn5rbfoUlE0Jd_uploads_git_blob_d9e80ffbcef8a4adc6d29edd78618add5df6[[#This Row],[Ganancia neta]]/spaces_3iWczBNnn5rbfoUlE0Jd_uploads_git_blob_d9e80ffbcef8a4adc6d29edd78618add5df6[[#This Row],[Ganancia bruta]])</f>
        <v>0.40909090909090912</v>
      </c>
    </row>
    <row r="1878" spans="1:11" x14ac:dyDescent="0.35">
      <c r="A1878">
        <v>759</v>
      </c>
      <c r="B1878">
        <v>20</v>
      </c>
      <c r="C1878" t="s">
        <v>49</v>
      </c>
      <c r="D1878" t="s">
        <v>1816</v>
      </c>
      <c r="E1878">
        <v>15</v>
      </c>
      <c r="F1878">
        <v>25</v>
      </c>
      <c r="G1878">
        <v>3</v>
      </c>
      <c r="H1878">
        <v>41</v>
      </c>
      <c r="I1878">
        <f>spaces_3iWczBNnn5rbfoUlE0Jd_uploads_git_blob_d9e80ffbcef8a4adc6d29edd78618add5df6[[#This Row],[Precio Unitario]]*spaces_3iWczBNnn5rbfoUlE0Jd_uploads_git_blob_d9e80ffbcef8a4adc6d29edd78618add5df6[[#This Row],[Cantidad Ordenada]]</f>
        <v>75</v>
      </c>
      <c r="J187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878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79" spans="1:11" x14ac:dyDescent="0.35">
      <c r="A1879">
        <v>759</v>
      </c>
      <c r="B1879">
        <v>20</v>
      </c>
      <c r="C1879" t="s">
        <v>25</v>
      </c>
      <c r="D1879" t="s">
        <v>1804</v>
      </c>
      <c r="E1879">
        <v>20</v>
      </c>
      <c r="F1879">
        <v>33</v>
      </c>
      <c r="G1879">
        <v>3</v>
      </c>
      <c r="H1879">
        <v>48</v>
      </c>
      <c r="I1879">
        <f>spaces_3iWczBNnn5rbfoUlE0Jd_uploads_git_blob_d9e80ffbcef8a4adc6d29edd78618add5df6[[#This Row],[Precio Unitario]]*spaces_3iWczBNnn5rbfoUlE0Jd_uploads_git_blob_d9e80ffbcef8a4adc6d29edd78618add5df6[[#This Row],[Cantidad Ordenada]]</f>
        <v>99</v>
      </c>
      <c r="J187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39</v>
      </c>
      <c r="K1879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880" spans="1:11" x14ac:dyDescent="0.35">
      <c r="A1880">
        <v>759</v>
      </c>
      <c r="B1880">
        <v>20</v>
      </c>
      <c r="C1880" t="s">
        <v>17</v>
      </c>
      <c r="D1880" t="s">
        <v>1800</v>
      </c>
      <c r="E1880">
        <v>16</v>
      </c>
      <c r="F1880">
        <v>27</v>
      </c>
      <c r="G1880">
        <v>3</v>
      </c>
      <c r="H1880">
        <v>51</v>
      </c>
      <c r="I1880">
        <f>spaces_3iWczBNnn5rbfoUlE0Jd_uploads_git_blob_d9e80ffbcef8a4adc6d29edd78618add5df6[[#This Row],[Precio Unitario]]*spaces_3iWczBNnn5rbfoUlE0Jd_uploads_git_blob_d9e80ffbcef8a4adc6d29edd78618add5df6[[#This Row],[Cantidad Ordenada]]</f>
        <v>81</v>
      </c>
      <c r="J188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880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881" spans="1:11" x14ac:dyDescent="0.35">
      <c r="A1881">
        <v>759</v>
      </c>
      <c r="B1881">
        <v>20</v>
      </c>
      <c r="C1881" t="s">
        <v>23</v>
      </c>
      <c r="D1881" t="s">
        <v>1803</v>
      </c>
      <c r="E1881">
        <v>17</v>
      </c>
      <c r="F1881">
        <v>29</v>
      </c>
      <c r="G1881">
        <v>3</v>
      </c>
      <c r="H1881">
        <v>56</v>
      </c>
      <c r="I1881">
        <f>spaces_3iWczBNnn5rbfoUlE0Jd_uploads_git_blob_d9e80ffbcef8a4adc6d29edd78618add5df6[[#This Row],[Precio Unitario]]*spaces_3iWczBNnn5rbfoUlE0Jd_uploads_git_blob_d9e80ffbcef8a4adc6d29edd78618add5df6[[#This Row],[Cantidad Ordenada]]</f>
        <v>87</v>
      </c>
      <c r="J188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36</v>
      </c>
      <c r="K1881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  <row r="1882" spans="1:11" x14ac:dyDescent="0.35">
      <c r="A1882">
        <v>760</v>
      </c>
      <c r="B1882">
        <v>5</v>
      </c>
      <c r="C1882" t="s">
        <v>31</v>
      </c>
      <c r="D1882" t="s">
        <v>1807</v>
      </c>
      <c r="E1882">
        <v>21</v>
      </c>
      <c r="F1882">
        <v>35</v>
      </c>
      <c r="G1882">
        <v>3</v>
      </c>
      <c r="H1882">
        <v>20</v>
      </c>
      <c r="I1882">
        <f>spaces_3iWczBNnn5rbfoUlE0Jd_uploads_git_blob_d9e80ffbcef8a4adc6d29edd78618add5df6[[#This Row],[Precio Unitario]]*spaces_3iWczBNnn5rbfoUlE0Jd_uploads_git_blob_d9e80ffbcef8a4adc6d29edd78618add5df6[[#This Row],[Cantidad Ordenada]]</f>
        <v>105</v>
      </c>
      <c r="J188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42</v>
      </c>
      <c r="K1882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883" spans="1:11" x14ac:dyDescent="0.35">
      <c r="A1883">
        <v>761</v>
      </c>
      <c r="B1883">
        <v>4</v>
      </c>
      <c r="C1883" t="s">
        <v>41</v>
      </c>
      <c r="D1883" t="s">
        <v>1811</v>
      </c>
      <c r="E1883">
        <v>14</v>
      </c>
      <c r="F1883">
        <v>23</v>
      </c>
      <c r="G1883">
        <v>2</v>
      </c>
      <c r="H1883">
        <v>28</v>
      </c>
      <c r="I1883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88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883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884" spans="1:11" x14ac:dyDescent="0.35">
      <c r="A1884">
        <v>761</v>
      </c>
      <c r="B1884">
        <v>4</v>
      </c>
      <c r="C1884" t="s">
        <v>27</v>
      </c>
      <c r="D1884" t="s">
        <v>1805</v>
      </c>
      <c r="E1884">
        <v>16</v>
      </c>
      <c r="F1884">
        <v>28</v>
      </c>
      <c r="G1884">
        <v>2</v>
      </c>
      <c r="H1884">
        <v>20</v>
      </c>
      <c r="I1884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88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84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885" spans="1:11" x14ac:dyDescent="0.35">
      <c r="A1885">
        <v>761</v>
      </c>
      <c r="B1885">
        <v>4</v>
      </c>
      <c r="C1885" t="s">
        <v>9</v>
      </c>
      <c r="D1885" t="s">
        <v>1798</v>
      </c>
      <c r="E1885">
        <v>14</v>
      </c>
      <c r="F1885">
        <v>24</v>
      </c>
      <c r="G1885">
        <v>3</v>
      </c>
      <c r="H1885">
        <v>54</v>
      </c>
      <c r="I1885">
        <f>spaces_3iWczBNnn5rbfoUlE0Jd_uploads_git_blob_d9e80ffbcef8a4adc6d29edd78618add5df6[[#This Row],[Precio Unitario]]*spaces_3iWczBNnn5rbfoUlE0Jd_uploads_git_blob_d9e80ffbcef8a4adc6d29edd78618add5df6[[#This Row],[Cantidad Ordenada]]</f>
        <v>72</v>
      </c>
      <c r="J188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30</v>
      </c>
      <c r="K1885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886" spans="1:11" x14ac:dyDescent="0.35">
      <c r="A1886">
        <v>762</v>
      </c>
      <c r="B1886">
        <v>4</v>
      </c>
      <c r="C1886" t="s">
        <v>47</v>
      </c>
      <c r="D1886" t="s">
        <v>1815</v>
      </c>
      <c r="E1886">
        <v>15</v>
      </c>
      <c r="F1886">
        <v>26</v>
      </c>
      <c r="G1886">
        <v>3</v>
      </c>
      <c r="H1886">
        <v>9</v>
      </c>
      <c r="I1886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88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886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887" spans="1:11" x14ac:dyDescent="0.35">
      <c r="A1887">
        <v>762</v>
      </c>
      <c r="B1887">
        <v>4</v>
      </c>
      <c r="C1887" t="s">
        <v>43</v>
      </c>
      <c r="D1887" t="s">
        <v>1813</v>
      </c>
      <c r="E1887">
        <v>13</v>
      </c>
      <c r="F1887">
        <v>21</v>
      </c>
      <c r="G1887">
        <v>1</v>
      </c>
      <c r="H1887">
        <v>20</v>
      </c>
      <c r="I1887">
        <f>spaces_3iWczBNnn5rbfoUlE0Jd_uploads_git_blob_d9e80ffbcef8a4adc6d29edd78618add5df6[[#This Row],[Precio Unitario]]*spaces_3iWczBNnn5rbfoUlE0Jd_uploads_git_blob_d9e80ffbcef8a4adc6d29edd78618add5df6[[#This Row],[Cantidad Ordenada]]</f>
        <v>21</v>
      </c>
      <c r="J188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887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888" spans="1:11" x14ac:dyDescent="0.35">
      <c r="A1888">
        <v>763</v>
      </c>
      <c r="B1888">
        <v>18</v>
      </c>
      <c r="C1888" t="s">
        <v>25</v>
      </c>
      <c r="D1888" t="s">
        <v>1804</v>
      </c>
      <c r="E1888">
        <v>20</v>
      </c>
      <c r="F1888">
        <v>33</v>
      </c>
      <c r="G1888">
        <v>2</v>
      </c>
      <c r="H1888">
        <v>14</v>
      </c>
      <c r="I1888">
        <f>spaces_3iWczBNnn5rbfoUlE0Jd_uploads_git_blob_d9e80ffbcef8a4adc6d29edd78618add5df6[[#This Row],[Precio Unitario]]*spaces_3iWczBNnn5rbfoUlE0Jd_uploads_git_blob_d9e80ffbcef8a4adc6d29edd78618add5df6[[#This Row],[Cantidad Ordenada]]</f>
        <v>66</v>
      </c>
      <c r="J188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26</v>
      </c>
      <c r="K1888" s="5">
        <f>(spaces_3iWczBNnn5rbfoUlE0Jd_uploads_git_blob_d9e80ffbcef8a4adc6d29edd78618add5df6[[#This Row],[Ganancia neta]]/spaces_3iWczBNnn5rbfoUlE0Jd_uploads_git_blob_d9e80ffbcef8a4adc6d29edd78618add5df6[[#This Row],[Ganancia bruta]])</f>
        <v>0.39393939393939392</v>
      </c>
    </row>
    <row r="1889" spans="1:11" x14ac:dyDescent="0.35">
      <c r="A1889">
        <v>763</v>
      </c>
      <c r="B1889">
        <v>18</v>
      </c>
      <c r="C1889" t="s">
        <v>29</v>
      </c>
      <c r="D1889" t="s">
        <v>1806</v>
      </c>
      <c r="E1889">
        <v>11</v>
      </c>
      <c r="F1889">
        <v>19</v>
      </c>
      <c r="G1889">
        <v>2</v>
      </c>
      <c r="H1889">
        <v>18</v>
      </c>
      <c r="I1889">
        <f>spaces_3iWczBNnn5rbfoUlE0Jd_uploads_git_blob_d9e80ffbcef8a4adc6d29edd78618add5df6[[#This Row],[Precio Unitario]]*spaces_3iWczBNnn5rbfoUlE0Jd_uploads_git_blob_d9e80ffbcef8a4adc6d29edd78618add5df6[[#This Row],[Cantidad Ordenada]]</f>
        <v>38</v>
      </c>
      <c r="J188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16</v>
      </c>
      <c r="K1889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890" spans="1:11" x14ac:dyDescent="0.35">
      <c r="A1890">
        <v>764</v>
      </c>
      <c r="B1890">
        <v>20</v>
      </c>
      <c r="C1890" t="s">
        <v>37</v>
      </c>
      <c r="D1890" t="s">
        <v>1810</v>
      </c>
      <c r="E1890">
        <v>20</v>
      </c>
      <c r="F1890">
        <v>34</v>
      </c>
      <c r="G1890">
        <v>1</v>
      </c>
      <c r="H1890">
        <v>24</v>
      </c>
      <c r="I1890">
        <f>spaces_3iWczBNnn5rbfoUlE0Jd_uploads_git_blob_d9e80ffbcef8a4adc6d29edd78618add5df6[[#This Row],[Precio Unitario]]*spaces_3iWczBNnn5rbfoUlE0Jd_uploads_git_blob_d9e80ffbcef8a4adc6d29edd78618add5df6[[#This Row],[Cantidad Ordenada]]</f>
        <v>34</v>
      </c>
      <c r="J189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890" s="5">
        <f>(spaces_3iWczBNnn5rbfoUlE0Jd_uploads_git_blob_d9e80ffbcef8a4adc6d29edd78618add5df6[[#This Row],[Ganancia neta]]/spaces_3iWczBNnn5rbfoUlE0Jd_uploads_git_blob_d9e80ffbcef8a4adc6d29edd78618add5df6[[#This Row],[Ganancia bruta]])</f>
        <v>0.41176470588235292</v>
      </c>
    </row>
    <row r="1891" spans="1:11" x14ac:dyDescent="0.35">
      <c r="A1891">
        <v>764</v>
      </c>
      <c r="B1891">
        <v>20</v>
      </c>
      <c r="C1891" t="s">
        <v>17</v>
      </c>
      <c r="D1891" t="s">
        <v>1800</v>
      </c>
      <c r="E1891">
        <v>16</v>
      </c>
      <c r="F1891">
        <v>27</v>
      </c>
      <c r="G1891">
        <v>1</v>
      </c>
      <c r="H1891">
        <v>53</v>
      </c>
      <c r="I1891">
        <f>spaces_3iWczBNnn5rbfoUlE0Jd_uploads_git_blob_d9e80ffbcef8a4adc6d29edd78618add5df6[[#This Row],[Precio Unitario]]*spaces_3iWczBNnn5rbfoUlE0Jd_uploads_git_blob_d9e80ffbcef8a4adc6d29edd78618add5df6[[#This Row],[Cantidad Ordenada]]</f>
        <v>27</v>
      </c>
      <c r="J189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11</v>
      </c>
      <c r="K1891" s="5">
        <f>(spaces_3iWczBNnn5rbfoUlE0Jd_uploads_git_blob_d9e80ffbcef8a4adc6d29edd78618add5df6[[#This Row],[Ganancia neta]]/spaces_3iWczBNnn5rbfoUlE0Jd_uploads_git_blob_d9e80ffbcef8a4adc6d29edd78618add5df6[[#This Row],[Ganancia bruta]])</f>
        <v>0.40740740740740738</v>
      </c>
    </row>
    <row r="1892" spans="1:11" x14ac:dyDescent="0.35">
      <c r="A1892">
        <v>764</v>
      </c>
      <c r="B1892">
        <v>20</v>
      </c>
      <c r="C1892" t="s">
        <v>9</v>
      </c>
      <c r="D1892" t="s">
        <v>1798</v>
      </c>
      <c r="E1892">
        <v>14</v>
      </c>
      <c r="F1892">
        <v>24</v>
      </c>
      <c r="G1892">
        <v>1</v>
      </c>
      <c r="H1892">
        <v>35</v>
      </c>
      <c r="I1892">
        <f>spaces_3iWczBNnn5rbfoUlE0Jd_uploads_git_blob_d9e80ffbcef8a4adc6d29edd78618add5df6[[#This Row],[Precio Unitario]]*spaces_3iWczBNnn5rbfoUlE0Jd_uploads_git_blob_d9e80ffbcef8a4adc6d29edd78618add5df6[[#This Row],[Cantidad Ordenada]]</f>
        <v>24</v>
      </c>
      <c r="J189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10</v>
      </c>
      <c r="K189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893" spans="1:11" x14ac:dyDescent="0.35">
      <c r="A1893">
        <v>765</v>
      </c>
      <c r="B1893">
        <v>20</v>
      </c>
      <c r="C1893" t="s">
        <v>47</v>
      </c>
      <c r="D1893" t="s">
        <v>1815</v>
      </c>
      <c r="E1893">
        <v>15</v>
      </c>
      <c r="F1893">
        <v>26</v>
      </c>
      <c r="G1893">
        <v>3</v>
      </c>
      <c r="H1893">
        <v>55</v>
      </c>
      <c r="I1893">
        <f>spaces_3iWczBNnn5rbfoUlE0Jd_uploads_git_blob_d9e80ffbcef8a4adc6d29edd78618add5df6[[#This Row],[Precio Unitario]]*spaces_3iWczBNnn5rbfoUlE0Jd_uploads_git_blob_d9e80ffbcef8a4adc6d29edd78618add5df6[[#This Row],[Cantidad Ordenada]]</f>
        <v>78</v>
      </c>
      <c r="J189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33</v>
      </c>
      <c r="K1893" s="5">
        <f>(spaces_3iWczBNnn5rbfoUlE0Jd_uploads_git_blob_d9e80ffbcef8a4adc6d29edd78618add5df6[[#This Row],[Ganancia neta]]/spaces_3iWczBNnn5rbfoUlE0Jd_uploads_git_blob_d9e80ffbcef8a4adc6d29edd78618add5df6[[#This Row],[Ganancia bruta]])</f>
        <v>0.42307692307692307</v>
      </c>
    </row>
    <row r="1894" spans="1:11" x14ac:dyDescent="0.35">
      <c r="A1894">
        <v>765</v>
      </c>
      <c r="B1894">
        <v>20</v>
      </c>
      <c r="C1894" t="s">
        <v>43</v>
      </c>
      <c r="D1894" t="s">
        <v>1813</v>
      </c>
      <c r="E1894">
        <v>13</v>
      </c>
      <c r="F1894">
        <v>21</v>
      </c>
      <c r="G1894">
        <v>3</v>
      </c>
      <c r="H1894">
        <v>52</v>
      </c>
      <c r="I1894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894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94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895" spans="1:11" x14ac:dyDescent="0.35">
      <c r="A1895">
        <v>765</v>
      </c>
      <c r="B1895">
        <v>20</v>
      </c>
      <c r="C1895" t="s">
        <v>27</v>
      </c>
      <c r="D1895" t="s">
        <v>1805</v>
      </c>
      <c r="E1895">
        <v>16</v>
      </c>
      <c r="F1895">
        <v>28</v>
      </c>
      <c r="G1895">
        <v>2</v>
      </c>
      <c r="H1895">
        <v>14</v>
      </c>
      <c r="I1895">
        <f>spaces_3iWczBNnn5rbfoUlE0Jd_uploads_git_blob_d9e80ffbcef8a4adc6d29edd78618add5df6[[#This Row],[Precio Unitario]]*spaces_3iWczBNnn5rbfoUlE0Jd_uploads_git_blob_d9e80ffbcef8a4adc6d29edd78618add5df6[[#This Row],[Cantidad Ordenada]]</f>
        <v>56</v>
      </c>
      <c r="J1895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95" s="5">
        <f>(spaces_3iWczBNnn5rbfoUlE0Jd_uploads_git_blob_d9e80ffbcef8a4adc6d29edd78618add5df6[[#This Row],[Ganancia neta]]/spaces_3iWczBNnn5rbfoUlE0Jd_uploads_git_blob_d9e80ffbcef8a4adc6d29edd78618add5df6[[#This Row],[Ganancia bruta]])</f>
        <v>0.42857142857142855</v>
      </c>
    </row>
    <row r="1896" spans="1:11" x14ac:dyDescent="0.35">
      <c r="A1896">
        <v>765</v>
      </c>
      <c r="B1896">
        <v>20</v>
      </c>
      <c r="C1896" t="s">
        <v>21</v>
      </c>
      <c r="D1896" t="s">
        <v>1801</v>
      </c>
      <c r="E1896">
        <v>22</v>
      </c>
      <c r="F1896">
        <v>36</v>
      </c>
      <c r="G1896">
        <v>1</v>
      </c>
      <c r="H1896">
        <v>43</v>
      </c>
      <c r="I1896">
        <f>spaces_3iWczBNnn5rbfoUlE0Jd_uploads_git_blob_d9e80ffbcef8a4adc6d29edd78618add5df6[[#This Row],[Precio Unitario]]*spaces_3iWczBNnn5rbfoUlE0Jd_uploads_git_blob_d9e80ffbcef8a4adc6d29edd78618add5df6[[#This Row],[Cantidad Ordenada]]</f>
        <v>36</v>
      </c>
      <c r="J1896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14</v>
      </c>
      <c r="K1896" s="5">
        <f>(spaces_3iWczBNnn5rbfoUlE0Jd_uploads_git_blob_d9e80ffbcef8a4adc6d29edd78618add5df6[[#This Row],[Ganancia neta]]/spaces_3iWczBNnn5rbfoUlE0Jd_uploads_git_blob_d9e80ffbcef8a4adc6d29edd78618add5df6[[#This Row],[Ganancia bruta]])</f>
        <v>0.3888888888888889</v>
      </c>
    </row>
    <row r="1897" spans="1:11" x14ac:dyDescent="0.35">
      <c r="A1897">
        <v>766</v>
      </c>
      <c r="B1897">
        <v>17</v>
      </c>
      <c r="C1897" t="s">
        <v>29</v>
      </c>
      <c r="D1897" t="s">
        <v>1806</v>
      </c>
      <c r="E1897">
        <v>11</v>
      </c>
      <c r="F1897">
        <v>19</v>
      </c>
      <c r="G1897">
        <v>1</v>
      </c>
      <c r="H1897">
        <v>59</v>
      </c>
      <c r="I1897">
        <f>spaces_3iWczBNnn5rbfoUlE0Jd_uploads_git_blob_d9e80ffbcef8a4adc6d29edd78618add5df6[[#This Row],[Precio Unitario]]*spaces_3iWczBNnn5rbfoUlE0Jd_uploads_git_blob_d9e80ffbcef8a4adc6d29edd78618add5df6[[#This Row],[Cantidad Ordenada]]</f>
        <v>19</v>
      </c>
      <c r="J1897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8</v>
      </c>
      <c r="K1897" s="5">
        <f>(spaces_3iWczBNnn5rbfoUlE0Jd_uploads_git_blob_d9e80ffbcef8a4adc6d29edd78618add5df6[[#This Row],[Ganancia neta]]/spaces_3iWczBNnn5rbfoUlE0Jd_uploads_git_blob_d9e80ffbcef8a4adc6d29edd78618add5df6[[#This Row],[Ganancia bruta]])</f>
        <v>0.42105263157894735</v>
      </c>
    </row>
    <row r="1898" spans="1:11" x14ac:dyDescent="0.35">
      <c r="A1898">
        <v>766</v>
      </c>
      <c r="B1898">
        <v>17</v>
      </c>
      <c r="C1898" t="s">
        <v>41</v>
      </c>
      <c r="D1898" t="s">
        <v>1811</v>
      </c>
      <c r="E1898">
        <v>14</v>
      </c>
      <c r="F1898">
        <v>23</v>
      </c>
      <c r="G1898">
        <v>2</v>
      </c>
      <c r="H1898">
        <v>16</v>
      </c>
      <c r="I1898">
        <f>spaces_3iWczBNnn5rbfoUlE0Jd_uploads_git_blob_d9e80ffbcef8a4adc6d29edd78618add5df6[[#This Row],[Precio Unitario]]*spaces_3iWczBNnn5rbfoUlE0Jd_uploads_git_blob_d9e80ffbcef8a4adc6d29edd78618add5df6[[#This Row],[Cantidad Ordenada]]</f>
        <v>46</v>
      </c>
      <c r="J1898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18</v>
      </c>
      <c r="K1898" s="5">
        <f>(spaces_3iWczBNnn5rbfoUlE0Jd_uploads_git_blob_d9e80ffbcef8a4adc6d29edd78618add5df6[[#This Row],[Ganancia neta]]/spaces_3iWczBNnn5rbfoUlE0Jd_uploads_git_blob_d9e80ffbcef8a4adc6d29edd78618add5df6[[#This Row],[Ganancia bruta]])</f>
        <v>0.39130434782608697</v>
      </c>
    </row>
    <row r="1899" spans="1:11" x14ac:dyDescent="0.35">
      <c r="A1899">
        <v>766</v>
      </c>
      <c r="B1899">
        <v>17</v>
      </c>
      <c r="C1899" t="s">
        <v>12</v>
      </c>
      <c r="D1899" t="s">
        <v>1797</v>
      </c>
      <c r="E1899">
        <v>18</v>
      </c>
      <c r="F1899">
        <v>30</v>
      </c>
      <c r="G1899">
        <v>2</v>
      </c>
      <c r="H1899">
        <v>52</v>
      </c>
      <c r="I1899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899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899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900" spans="1:11" x14ac:dyDescent="0.35">
      <c r="A1900">
        <v>766</v>
      </c>
      <c r="B1900">
        <v>17</v>
      </c>
      <c r="C1900" t="s">
        <v>39</v>
      </c>
      <c r="D1900" t="s">
        <v>1812</v>
      </c>
      <c r="E1900">
        <v>12</v>
      </c>
      <c r="F1900">
        <v>20</v>
      </c>
      <c r="G1900">
        <v>3</v>
      </c>
      <c r="H1900">
        <v>7</v>
      </c>
      <c r="I1900">
        <f>spaces_3iWczBNnn5rbfoUlE0Jd_uploads_git_blob_d9e80ffbcef8a4adc6d29edd78618add5df6[[#This Row],[Precio Unitario]]*spaces_3iWczBNnn5rbfoUlE0Jd_uploads_git_blob_d9e80ffbcef8a4adc6d29edd78618add5df6[[#This Row],[Cantidad Ordenada]]</f>
        <v>60</v>
      </c>
      <c r="J1900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900" s="5">
        <f>(spaces_3iWczBNnn5rbfoUlE0Jd_uploads_git_blob_d9e80ffbcef8a4adc6d29edd78618add5df6[[#This Row],[Ganancia neta]]/spaces_3iWczBNnn5rbfoUlE0Jd_uploads_git_blob_d9e80ffbcef8a4adc6d29edd78618add5df6[[#This Row],[Ganancia bruta]])</f>
        <v>0.4</v>
      </c>
    </row>
    <row r="1901" spans="1:11" x14ac:dyDescent="0.35">
      <c r="A1901">
        <v>767</v>
      </c>
      <c r="B1901">
        <v>10</v>
      </c>
      <c r="C1901" t="s">
        <v>43</v>
      </c>
      <c r="D1901" t="s">
        <v>1813</v>
      </c>
      <c r="E1901">
        <v>13</v>
      </c>
      <c r="F1901">
        <v>21</v>
      </c>
      <c r="G1901">
        <v>3</v>
      </c>
      <c r="H1901">
        <v>43</v>
      </c>
      <c r="I1901">
        <f>spaces_3iWczBNnn5rbfoUlE0Jd_uploads_git_blob_d9e80ffbcef8a4adc6d29edd78618add5df6[[#This Row],[Precio Unitario]]*spaces_3iWczBNnn5rbfoUlE0Jd_uploads_git_blob_d9e80ffbcef8a4adc6d29edd78618add5df6[[#This Row],[Cantidad Ordenada]]</f>
        <v>63</v>
      </c>
      <c r="J1901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901" s="5">
        <f>(spaces_3iWczBNnn5rbfoUlE0Jd_uploads_git_blob_d9e80ffbcef8a4adc6d29edd78618add5df6[[#This Row],[Ganancia neta]]/spaces_3iWczBNnn5rbfoUlE0Jd_uploads_git_blob_d9e80ffbcef8a4adc6d29edd78618add5df6[[#This Row],[Ganancia bruta]])</f>
        <v>0.38095238095238093</v>
      </c>
    </row>
    <row r="1902" spans="1:11" x14ac:dyDescent="0.35">
      <c r="A1902">
        <v>767</v>
      </c>
      <c r="B1902">
        <v>10</v>
      </c>
      <c r="C1902" t="s">
        <v>9</v>
      </c>
      <c r="D1902" t="s">
        <v>1798</v>
      </c>
      <c r="E1902">
        <v>14</v>
      </c>
      <c r="F1902">
        <v>24</v>
      </c>
      <c r="G1902">
        <v>2</v>
      </c>
      <c r="H1902">
        <v>30</v>
      </c>
      <c r="I1902">
        <f>spaces_3iWczBNnn5rbfoUlE0Jd_uploads_git_blob_d9e80ffbcef8a4adc6d29edd78618add5df6[[#This Row],[Precio Unitario]]*spaces_3iWczBNnn5rbfoUlE0Jd_uploads_git_blob_d9e80ffbcef8a4adc6d29edd78618add5df6[[#This Row],[Cantidad Ordenada]]</f>
        <v>48</v>
      </c>
      <c r="J1902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20</v>
      </c>
      <c r="K1902" s="5">
        <f>(spaces_3iWczBNnn5rbfoUlE0Jd_uploads_git_blob_d9e80ffbcef8a4adc6d29edd78618add5df6[[#This Row],[Ganancia neta]]/spaces_3iWczBNnn5rbfoUlE0Jd_uploads_git_blob_d9e80ffbcef8a4adc6d29edd78618add5df6[[#This Row],[Ganancia bruta]])</f>
        <v>0.41666666666666669</v>
      </c>
    </row>
    <row r="1903" spans="1:11" x14ac:dyDescent="0.35">
      <c r="A1903">
        <v>767</v>
      </c>
      <c r="B1903">
        <v>10</v>
      </c>
      <c r="C1903" t="s">
        <v>23</v>
      </c>
      <c r="D1903" t="s">
        <v>1803</v>
      </c>
      <c r="E1903">
        <v>17</v>
      </c>
      <c r="F1903">
        <v>29</v>
      </c>
      <c r="G1903">
        <v>2</v>
      </c>
      <c r="H1903">
        <v>12</v>
      </c>
      <c r="I1903">
        <f>spaces_3iWczBNnn5rbfoUlE0Jd_uploads_git_blob_d9e80ffbcef8a4adc6d29edd78618add5df6[[#This Row],[Precio Unitario]]*spaces_3iWczBNnn5rbfoUlE0Jd_uploads_git_blob_d9e80ffbcef8a4adc6d29edd78618add5df6[[#This Row],[Cantidad Ordenada]]</f>
        <v>58</v>
      </c>
      <c r="J1903">
        <f>(spaces_3iWczBNnn5rbfoUlE0Jd_uploads_git_blob_d9e80ffbcef8a4adc6d29edd78618add5df6[[#This Row],[Precio Unitario]]-spaces_3iWczBNnn5rbfoUlE0Jd_uploads_git_blob_d9e80ffbcef8a4adc6d29edd78618add5df6[[#This Row],[Costo Unitario]])*spaces_3iWczBNnn5rbfoUlE0Jd_uploads_git_blob_d9e80ffbcef8a4adc6d29edd78618add5df6[[#This Row],[Cantidad Ordenada]]</f>
        <v>24</v>
      </c>
      <c r="K1903" s="5">
        <f>(spaces_3iWczBNnn5rbfoUlE0Jd_uploads_git_blob_d9e80ffbcef8a4adc6d29edd78618add5df6[[#This Row],[Ganancia neta]]/spaces_3iWczBNnn5rbfoUlE0Jd_uploads_git_blob_d9e80ffbcef8a4adc6d29edd78618add5df6[[#This Row],[Ganancia bruta]])</f>
        <v>0.41379310344827586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6D3B-647F-464A-87F0-9235AAF47DAB}">
  <dimension ref="A1:U768"/>
  <sheetViews>
    <sheetView topLeftCell="F2" workbookViewId="0">
      <selection activeCell="P2" sqref="P2"/>
    </sheetView>
  </sheetViews>
  <sheetFormatPr baseColWidth="10" defaultRowHeight="14.5" x14ac:dyDescent="0.35"/>
  <cols>
    <col min="4" max="4" width="16.26953125" bestFit="1" customWidth="1"/>
    <col min="5" max="5" width="15.08984375" bestFit="1" customWidth="1"/>
    <col min="12" max="12" width="31.90625" bestFit="1" customWidth="1"/>
    <col min="14" max="14" width="18.81640625" bestFit="1" customWidth="1"/>
    <col min="16" max="16" width="18.81640625" bestFit="1" customWidth="1"/>
    <col min="19" max="19" width="18.81640625" bestFit="1" customWidth="1"/>
    <col min="20" max="20" width="11.7265625" bestFit="1" customWidth="1"/>
    <col min="21" max="21" width="11.08984375" bestFit="1" customWidth="1"/>
  </cols>
  <sheetData>
    <row r="1" spans="1:21" x14ac:dyDescent="0.35">
      <c r="A1" s="29" t="s">
        <v>51</v>
      </c>
      <c r="B1" s="15" t="s">
        <v>52</v>
      </c>
      <c r="C1" s="15" t="s">
        <v>53</v>
      </c>
      <c r="D1" s="15" t="s">
        <v>54</v>
      </c>
      <c r="E1" s="15" t="s">
        <v>55</v>
      </c>
      <c r="F1" s="15" t="s">
        <v>56</v>
      </c>
      <c r="G1" s="15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t="s">
        <v>1821</v>
      </c>
      <c r="O1" t="s">
        <v>1244</v>
      </c>
      <c r="P1" t="s">
        <v>1245</v>
      </c>
      <c r="Q1" t="s">
        <v>1246</v>
      </c>
      <c r="R1" t="s">
        <v>1247</v>
      </c>
      <c r="S1" t="s">
        <v>1260</v>
      </c>
      <c r="T1" t="s">
        <v>1261</v>
      </c>
      <c r="U1" t="s">
        <v>1817</v>
      </c>
    </row>
    <row r="2" spans="1:21" x14ac:dyDescent="0.35">
      <c r="A2" s="27">
        <v>10</v>
      </c>
      <c r="B2" s="11" t="s">
        <v>862</v>
      </c>
      <c r="C2" s="11">
        <v>6</v>
      </c>
      <c r="D2" s="12">
        <v>45017.046527777777</v>
      </c>
      <c r="E2" s="12">
        <v>45017.159722222219</v>
      </c>
      <c r="F2" s="11" t="s">
        <v>170</v>
      </c>
      <c r="G2" s="11" t="s">
        <v>86</v>
      </c>
      <c r="H2" s="11" t="s">
        <v>109</v>
      </c>
      <c r="I2" s="16">
        <v>48.55</v>
      </c>
      <c r="J2" s="11" t="s">
        <v>94</v>
      </c>
      <c r="K2" s="11">
        <v>1</v>
      </c>
      <c r="L2" s="11" t="s">
        <v>181</v>
      </c>
      <c r="M2" s="11" t="s">
        <v>1262</v>
      </c>
      <c r="N2">
        <f>_xlfn.XLOOKUP(spaces_3iWczBNnn5rbfoUlE0Jd_uploads_git_blob_9864c7f811c613c3faab876659c6423__25[[#This Row],[Número de Orden]],Cocinadinamica!B3:B771,Cocinadinamica!C3:C771)</f>
        <v>56</v>
      </c>
      <c r="O2" s="7">
        <f>spaces_3iWczBNnn5rbfoUlE0Jd_uploads_git_blob_9864c7f811c613c3faab876659c6423__25[[#This Row],[Hora de Llegada]]</f>
        <v>45017.046527777777</v>
      </c>
      <c r="P2" s="9">
        <f>spaces_3iWczBNnn5rbfoUlE0Jd_uploads_git_blob_9864c7f811c613c3faab876659c6423__25[[#This Row],[Hora de Llegada]]</f>
        <v>45017.046527777777</v>
      </c>
      <c r="Q2" s="9">
        <f>spaces_3iWczBNnn5rbfoUlE0Jd_uploads_git_blob_9864c7f811c613c3faab876659c6423__25[[#This Row],[Hora de Salida]]</f>
        <v>45017.159722222219</v>
      </c>
      <c r="R2" s="9" cm="1">
        <f t="array" ref="R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0.1131944444423425</v>
      </c>
      <c r="S2" s="9">
        <f>_xlfn.XLOOKUP(spaces_3iWczBNnn5rbfoUlE0Jd_uploads_git_blob_9864c7f811c613c3faab876659c6423__25[[#This Row],[Número de Orden]],Cocinadinamica!E3:E771,Cocinadinamica!F3:F771)/1440</f>
        <v>3.9583333333333331E-2</v>
      </c>
      <c r="T2" s="9" cm="1">
        <f t="array" ref="T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7.361111110900917E-2</v>
      </c>
      <c r="U2" s="9" t="str" cm="1">
        <f t="array" ref="U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" spans="1:21" x14ac:dyDescent="0.35">
      <c r="A3" s="28">
        <v>6</v>
      </c>
      <c r="B3" s="13" t="s">
        <v>863</v>
      </c>
      <c r="C3" s="13">
        <v>6</v>
      </c>
      <c r="D3" s="14">
        <v>45017.061111111114</v>
      </c>
      <c r="E3" s="14">
        <v>45017.15902777778</v>
      </c>
      <c r="F3" s="13" t="s">
        <v>223</v>
      </c>
      <c r="G3" s="13" t="s">
        <v>163</v>
      </c>
      <c r="H3" s="13" t="s">
        <v>87</v>
      </c>
      <c r="I3" s="17">
        <v>43.3</v>
      </c>
      <c r="J3" s="13" t="s">
        <v>94</v>
      </c>
      <c r="K3" s="13">
        <v>2</v>
      </c>
      <c r="L3" s="13" t="s">
        <v>110</v>
      </c>
      <c r="M3" s="13" t="s">
        <v>1263</v>
      </c>
      <c r="N3">
        <f>_xlfn.XLOOKUP(spaces_3iWczBNnn5rbfoUlE0Jd_uploads_git_blob_9864c7f811c613c3faab876659c6423__25[[#This Row],[Número de Orden]],Cocinadinamica!B4:B772,Cocinadinamica!C4:C772)</f>
        <v>23</v>
      </c>
      <c r="O3" s="7">
        <f>spaces_3iWczBNnn5rbfoUlE0Jd_uploads_git_blob_9864c7f811c613c3faab876659c6423__25[[#This Row],[Hora de Llegada]]</f>
        <v>45017.061111111114</v>
      </c>
      <c r="P3" s="9">
        <f>spaces_3iWczBNnn5rbfoUlE0Jd_uploads_git_blob_9864c7f811c613c3faab876659c6423__25[[#This Row],[Hora de Llegada]]</f>
        <v>45017.061111111114</v>
      </c>
      <c r="Q3" s="9">
        <f>spaces_3iWczBNnn5rbfoUlE0Jd_uploads_git_blob_9864c7f811c613c3faab876659c6423__25[[#This Row],[Hora de Salida]]</f>
        <v>45017.15902777778</v>
      </c>
      <c r="R3" s="9" cm="1">
        <f t="array" ref="R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9.7916666665696539E-2</v>
      </c>
      <c r="S3" s="9">
        <f>_xlfn.XLOOKUP(spaces_3iWczBNnn5rbfoUlE0Jd_uploads_git_blob_9864c7f811c613c3faab876659c6423__25[[#This Row],[Número de Orden]],Cocinadinamica!E4:E772,Cocinadinamica!F4:F772)/1440</f>
        <v>5.9027777777777776E-2</v>
      </c>
      <c r="T3" s="9" cm="1">
        <f t="array" ref="T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3.8888888887918763E-2</v>
      </c>
      <c r="U3" s="9" t="str" cm="1">
        <f t="array" ref="U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" spans="1:21" x14ac:dyDescent="0.35">
      <c r="A4" s="27">
        <v>20</v>
      </c>
      <c r="B4" s="11" t="s">
        <v>864</v>
      </c>
      <c r="C4" s="11">
        <v>1</v>
      </c>
      <c r="D4" s="12">
        <v>45017.020138888889</v>
      </c>
      <c r="E4" s="12">
        <v>45017.163888888892</v>
      </c>
      <c r="F4" s="11" t="s">
        <v>100</v>
      </c>
      <c r="G4" s="11" t="s">
        <v>163</v>
      </c>
      <c r="H4" s="11" t="s">
        <v>74</v>
      </c>
      <c r="I4" s="16">
        <v>30.87</v>
      </c>
      <c r="J4" s="11" t="s">
        <v>75</v>
      </c>
      <c r="K4" s="11">
        <v>3</v>
      </c>
      <c r="L4" s="11" t="s">
        <v>89</v>
      </c>
      <c r="M4" s="11" t="s">
        <v>1264</v>
      </c>
      <c r="N4">
        <f>_xlfn.XLOOKUP(spaces_3iWczBNnn5rbfoUlE0Jd_uploads_git_blob_9864c7f811c613c3faab876659c6423__25[[#This Row],[Número de Orden]],Cocinadinamica!B5:B773,Cocinadinamica!C5:C773)</f>
        <v>65</v>
      </c>
      <c r="O4" s="7">
        <f>spaces_3iWczBNnn5rbfoUlE0Jd_uploads_git_blob_9864c7f811c613c3faab876659c6423__25[[#This Row],[Hora de Llegada]]</f>
        <v>45017.020138888889</v>
      </c>
      <c r="P4" s="9">
        <f>spaces_3iWczBNnn5rbfoUlE0Jd_uploads_git_blob_9864c7f811c613c3faab876659c6423__25[[#This Row],[Hora de Llegada]]</f>
        <v>45017.020138888889</v>
      </c>
      <c r="Q4" s="9">
        <f>spaces_3iWczBNnn5rbfoUlE0Jd_uploads_git_blob_9864c7f811c613c3faab876659c6423__25[[#This Row],[Hora de Salida]]</f>
        <v>45017.163888888892</v>
      </c>
      <c r="R4" s="9" cm="1">
        <f t="array" ref="R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0.14375000000291038</v>
      </c>
      <c r="S4" s="9">
        <f>_xlfn.XLOOKUP(spaces_3iWczBNnn5rbfoUlE0Jd_uploads_git_blob_9864c7f811c613c3faab876659c6423__25[[#This Row],[Número de Orden]],Cocinadinamica!E5:E773,Cocinadinamica!F5:F773)/1440</f>
        <v>8.7499999999999994E-2</v>
      </c>
      <c r="T4" s="9" cm="1">
        <f t="array" ref="T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5.6250000002910389E-2</v>
      </c>
      <c r="U4" s="9" t="str" cm="1">
        <f t="array" ref="U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" spans="1:21" x14ac:dyDescent="0.35">
      <c r="A5" s="28">
        <v>3</v>
      </c>
      <c r="B5" s="13" t="s">
        <v>865</v>
      </c>
      <c r="C5" s="13">
        <v>1</v>
      </c>
      <c r="D5" s="14">
        <v>45017.127083333333</v>
      </c>
      <c r="E5" s="14">
        <v>45017.188194444447</v>
      </c>
      <c r="F5" s="13" t="s">
        <v>85</v>
      </c>
      <c r="G5" s="13" t="s">
        <v>86</v>
      </c>
      <c r="H5" s="13" t="s">
        <v>74</v>
      </c>
      <c r="I5" s="17">
        <v>34.68</v>
      </c>
      <c r="J5" s="13" t="s">
        <v>75</v>
      </c>
      <c r="K5" s="13">
        <v>4</v>
      </c>
      <c r="L5" s="13" t="s">
        <v>221</v>
      </c>
      <c r="M5" s="13" t="s">
        <v>1265</v>
      </c>
      <c r="N5">
        <f>_xlfn.XLOOKUP(spaces_3iWczBNnn5rbfoUlE0Jd_uploads_git_blob_9864c7f811c613c3faab876659c6423__25[[#This Row],[Número de Orden]],Cocinadinamica!B6:B774,Cocinadinamica!C6:C774)</f>
        <v>75</v>
      </c>
      <c r="O5" s="7">
        <f>spaces_3iWczBNnn5rbfoUlE0Jd_uploads_git_blob_9864c7f811c613c3faab876659c6423__25[[#This Row],[Hora de Llegada]]</f>
        <v>45017.127083333333</v>
      </c>
      <c r="P5" s="9">
        <f>spaces_3iWczBNnn5rbfoUlE0Jd_uploads_git_blob_9864c7f811c613c3faab876659c6423__25[[#This Row],[Hora de Llegada]]</f>
        <v>45017.127083333333</v>
      </c>
      <c r="Q5" s="9">
        <f>spaces_3iWczBNnn5rbfoUlE0Jd_uploads_git_blob_9864c7f811c613c3faab876659c6423__25[[#This Row],[Hora de Salida]]</f>
        <v>45017.188194444447</v>
      </c>
      <c r="R5" s="9" cm="1">
        <f t="array" ref="R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6.1111111113859806E-2</v>
      </c>
      <c r="S5" s="9">
        <f>_xlfn.XLOOKUP(spaces_3iWczBNnn5rbfoUlE0Jd_uploads_git_blob_9864c7f811c613c3faab876659c6423__25[[#This Row],[Número de Orden]],Cocinadinamica!E6:E774,Cocinadinamica!F6:F774)/1440</f>
        <v>2.7777777777777776E-2</v>
      </c>
      <c r="T5" s="9" cm="1">
        <f t="array" ref="T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3.333333333608203E-2</v>
      </c>
      <c r="U5" s="9" t="str" cm="1">
        <f t="array" ref="U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" spans="1:21" x14ac:dyDescent="0.35">
      <c r="A6" s="27">
        <v>8</v>
      </c>
      <c r="B6" s="11" t="s">
        <v>866</v>
      </c>
      <c r="C6" s="11">
        <v>2</v>
      </c>
      <c r="D6" s="12">
        <v>45017.000694444447</v>
      </c>
      <c r="E6" s="12">
        <v>45017.087500000001</v>
      </c>
      <c r="F6" s="11" t="s">
        <v>72</v>
      </c>
      <c r="G6" s="11" t="s">
        <v>86</v>
      </c>
      <c r="H6" s="11" t="s">
        <v>74</v>
      </c>
      <c r="I6" s="16">
        <v>24.33</v>
      </c>
      <c r="J6" s="11" t="s">
        <v>75</v>
      </c>
      <c r="K6" s="11">
        <v>5</v>
      </c>
      <c r="L6" s="11" t="s">
        <v>76</v>
      </c>
      <c r="M6" s="11" t="s">
        <v>1266</v>
      </c>
      <c r="N6">
        <f>_xlfn.XLOOKUP(spaces_3iWczBNnn5rbfoUlE0Jd_uploads_git_blob_9864c7f811c613c3faab876659c6423__25[[#This Row],[Número de Orden]],Cocinadinamica!B7:B775,Cocinadinamica!C7:C775)</f>
        <v>28</v>
      </c>
      <c r="O6" s="7">
        <f>spaces_3iWczBNnn5rbfoUlE0Jd_uploads_git_blob_9864c7f811c613c3faab876659c6423__25[[#This Row],[Hora de Llegada]]</f>
        <v>45017.000694444447</v>
      </c>
      <c r="P6" s="9">
        <f>spaces_3iWczBNnn5rbfoUlE0Jd_uploads_git_blob_9864c7f811c613c3faab876659c6423__25[[#This Row],[Hora de Llegada]]</f>
        <v>45017.000694444447</v>
      </c>
      <c r="Q6" s="9">
        <f>spaces_3iWczBNnn5rbfoUlE0Jd_uploads_git_blob_9864c7f811c613c3faab876659c6423__25[[#This Row],[Hora de Salida]]</f>
        <v>45017.087500000001</v>
      </c>
      <c r="R6" s="9" cm="1">
        <f t="array" ref="R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8.6805555554747116E-2</v>
      </c>
      <c r="S6" s="9">
        <f>_xlfn.XLOOKUP(spaces_3iWczBNnn5rbfoUlE0Jd_uploads_git_blob_9864c7f811c613c3faab876659c6423__25[[#This Row],[Número de Orden]],Cocinadinamica!E7:E775,Cocinadinamica!F7:F775)/1440</f>
        <v>1.1805555555555555E-2</v>
      </c>
      <c r="T6" s="9" cm="1">
        <f t="array" ref="T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7.4999999999191561E-2</v>
      </c>
      <c r="U6" s="9" t="str" cm="1">
        <f t="array" ref="U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" spans="1:21" x14ac:dyDescent="0.35">
      <c r="A7" s="28">
        <v>7</v>
      </c>
      <c r="B7" s="13" t="s">
        <v>71</v>
      </c>
      <c r="C7" s="13">
        <v>5</v>
      </c>
      <c r="D7" s="14">
        <v>45017.058333333334</v>
      </c>
      <c r="E7" s="14">
        <v>45017.147222222222</v>
      </c>
      <c r="F7" s="13" t="s">
        <v>72</v>
      </c>
      <c r="G7" s="13" t="s">
        <v>73</v>
      </c>
      <c r="H7" s="13" t="s">
        <v>74</v>
      </c>
      <c r="I7" s="17">
        <v>26.57</v>
      </c>
      <c r="J7" s="13" t="s">
        <v>75</v>
      </c>
      <c r="K7" s="13">
        <v>6</v>
      </c>
      <c r="L7" s="13" t="s">
        <v>76</v>
      </c>
      <c r="M7" s="13" t="s">
        <v>31</v>
      </c>
      <c r="N7">
        <f>_xlfn.XLOOKUP(spaces_3iWczBNnn5rbfoUlE0Jd_uploads_git_blob_9864c7f811c613c3faab876659c6423__25[[#This Row],[Número de Orden]],Cocinadinamica!B8:B776,Cocinadinamica!C8:C776)</f>
        <v>28</v>
      </c>
      <c r="O7" s="7">
        <f>spaces_3iWczBNnn5rbfoUlE0Jd_uploads_git_blob_9864c7f811c613c3faab876659c6423__25[[#This Row],[Hora de Llegada]]</f>
        <v>45017.058333333334</v>
      </c>
      <c r="P7" s="9">
        <f>spaces_3iWczBNnn5rbfoUlE0Jd_uploads_git_blob_9864c7f811c613c3faab876659c6423__25[[#This Row],[Hora de Llegada]]</f>
        <v>45017.058333333334</v>
      </c>
      <c r="Q7" s="9">
        <f>spaces_3iWczBNnn5rbfoUlE0Jd_uploads_git_blob_9864c7f811c613c3faab876659c6423__25[[#This Row],[Hora de Salida]]</f>
        <v>45017.147222222222</v>
      </c>
      <c r="R7" s="9" cm="1">
        <f t="array" ref="R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8.8888888887595385E-2</v>
      </c>
      <c r="S7" s="9">
        <f>_xlfn.XLOOKUP(spaces_3iWczBNnn5rbfoUlE0Jd_uploads_git_blob_9864c7f811c613c3faab876659c6423__25[[#This Row],[Número de Orden]],Cocinadinamica!E8:E776,Cocinadinamica!F8:F776)/1440</f>
        <v>7.6388888888888886E-3</v>
      </c>
      <c r="T7" s="9" cm="1">
        <f t="array" ref="T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8.1249999998706496E-2</v>
      </c>
      <c r="U7" s="9" t="str" cm="1">
        <f t="array" ref="U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" spans="1:21" x14ac:dyDescent="0.35">
      <c r="A8" s="27">
        <v>17</v>
      </c>
      <c r="B8" s="11" t="s">
        <v>867</v>
      </c>
      <c r="C8" s="11">
        <v>6</v>
      </c>
      <c r="D8" s="12">
        <v>45017.081250000003</v>
      </c>
      <c r="E8" s="12">
        <v>45017.181944444441</v>
      </c>
      <c r="F8" s="11" t="s">
        <v>100</v>
      </c>
      <c r="G8" s="11" t="s">
        <v>73</v>
      </c>
      <c r="H8" s="11" t="s">
        <v>74</v>
      </c>
      <c r="I8" s="16">
        <v>10.54</v>
      </c>
      <c r="J8" s="11" t="s">
        <v>88</v>
      </c>
      <c r="K8" s="11">
        <v>7</v>
      </c>
      <c r="L8" s="11" t="s">
        <v>275</v>
      </c>
      <c r="M8" s="11" t="s">
        <v>1267</v>
      </c>
      <c r="N8">
        <f>_xlfn.XLOOKUP(spaces_3iWczBNnn5rbfoUlE0Jd_uploads_git_blob_9864c7f811c613c3faab876659c6423__25[[#This Row],[Número de Orden]],Cocinadinamica!B9:B777,Cocinadinamica!C9:C777)</f>
        <v>68</v>
      </c>
      <c r="O8" s="7">
        <f>spaces_3iWczBNnn5rbfoUlE0Jd_uploads_git_blob_9864c7f811c613c3faab876659c6423__25[[#This Row],[Hora de Llegada]]</f>
        <v>45017.081250000003</v>
      </c>
      <c r="P8" s="9">
        <f>spaces_3iWczBNnn5rbfoUlE0Jd_uploads_git_blob_9864c7f811c613c3faab876659c6423__25[[#This Row],[Hora de Llegada]]</f>
        <v>45017.081250000003</v>
      </c>
      <c r="Q8" s="9">
        <f>spaces_3iWczBNnn5rbfoUlE0Jd_uploads_git_blob_9864c7f811c613c3faab876659c6423__25[[#This Row],[Hora de Salida]]</f>
        <v>45017.181944444441</v>
      </c>
      <c r="R8" s="9" cm="1">
        <f t="array" ref="R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0.11111111110221827</v>
      </c>
      <c r="S8" s="9">
        <f>_xlfn.XLOOKUP(spaces_3iWczBNnn5rbfoUlE0Jd_uploads_git_blob_9864c7f811c613c3faab876659c6423__25[[#This Row],[Número de Orden]],Cocinadinamica!E9:E777,Cocinadinamica!F9:F777)/1440</f>
        <v>2.8472222222222222E-2</v>
      </c>
      <c r="T8" s="9" cm="1">
        <f t="array" ref="T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8.2638888879996056E-2</v>
      </c>
      <c r="U8" s="9" t="str" cm="1">
        <f t="array" ref="U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9" spans="1:21" x14ac:dyDescent="0.35">
      <c r="A9" s="28">
        <v>11</v>
      </c>
      <c r="B9" s="13" t="s">
        <v>868</v>
      </c>
      <c r="C9" s="13">
        <v>1</v>
      </c>
      <c r="D9" s="14">
        <v>45017.09097222222</v>
      </c>
      <c r="E9" s="14">
        <v>45017.200694444444</v>
      </c>
      <c r="F9" s="13" t="s">
        <v>100</v>
      </c>
      <c r="G9" s="13" t="s">
        <v>163</v>
      </c>
      <c r="H9" s="13" t="s">
        <v>74</v>
      </c>
      <c r="I9" s="17">
        <v>49.18</v>
      </c>
      <c r="J9" s="13" t="s">
        <v>94</v>
      </c>
      <c r="K9" s="13">
        <v>8</v>
      </c>
      <c r="L9" s="13" t="s">
        <v>221</v>
      </c>
      <c r="M9" s="13" t="s">
        <v>1268</v>
      </c>
      <c r="N9">
        <f>_xlfn.XLOOKUP(spaces_3iWczBNnn5rbfoUlE0Jd_uploads_git_blob_9864c7f811c613c3faab876659c6423__25[[#This Row],[Número de Orden]],Cocinadinamica!B10:B778,Cocinadinamica!C10:C778)</f>
        <v>96</v>
      </c>
      <c r="O9" s="7">
        <f>spaces_3iWczBNnn5rbfoUlE0Jd_uploads_git_blob_9864c7f811c613c3faab876659c6423__25[[#This Row],[Hora de Llegada]]</f>
        <v>45017.09097222222</v>
      </c>
      <c r="P9" s="9">
        <f>spaces_3iWczBNnn5rbfoUlE0Jd_uploads_git_blob_9864c7f811c613c3faab876659c6423__25[[#This Row],[Hora de Llegada]]</f>
        <v>45017.09097222222</v>
      </c>
      <c r="Q9" s="9">
        <f>spaces_3iWczBNnn5rbfoUlE0Jd_uploads_git_blob_9864c7f811c613c3faab876659c6423__25[[#This Row],[Hora de Salida]]</f>
        <v>45017.200694444444</v>
      </c>
      <c r="R9" s="9" cm="1">
        <f t="array" ref="R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0.10972222222335404</v>
      </c>
      <c r="S9" s="9">
        <f>_xlfn.XLOOKUP(spaces_3iWczBNnn5rbfoUlE0Jd_uploads_git_blob_9864c7f811c613c3faab876659c6423__25[[#This Row],[Número de Orden]],Cocinadinamica!E10:E778,Cocinadinamica!F10:F778)/1440</f>
        <v>3.8194444444444448E-2</v>
      </c>
      <c r="T9" s="9" cm="1">
        <f t="array" ref="T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7.152777777890959E-2</v>
      </c>
      <c r="U9" s="9" t="str" cm="1">
        <f t="array" ref="U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0" spans="1:21" x14ac:dyDescent="0.35">
      <c r="A10" s="27">
        <v>15</v>
      </c>
      <c r="B10" s="11" t="s">
        <v>624</v>
      </c>
      <c r="C10" s="11">
        <v>5</v>
      </c>
      <c r="D10" s="12">
        <v>45017.085416666669</v>
      </c>
      <c r="E10" s="12">
        <v>45017.184027777781</v>
      </c>
      <c r="F10" s="11" t="s">
        <v>100</v>
      </c>
      <c r="G10" s="11" t="s">
        <v>86</v>
      </c>
      <c r="H10" s="11" t="s">
        <v>109</v>
      </c>
      <c r="I10" s="16">
        <v>46.85</v>
      </c>
      <c r="J10" s="11" t="s">
        <v>75</v>
      </c>
      <c r="K10" s="11">
        <v>9</v>
      </c>
      <c r="L10" s="11" t="s">
        <v>95</v>
      </c>
      <c r="M10" s="11" t="s">
        <v>1269</v>
      </c>
      <c r="N10">
        <f>_xlfn.XLOOKUP(spaces_3iWczBNnn5rbfoUlE0Jd_uploads_git_blob_9864c7f811c613c3faab876659c6423__25[[#This Row],[Número de Orden]],Cocinadinamica!B11:B779,Cocinadinamica!C11:C779)</f>
        <v>69</v>
      </c>
      <c r="O10" s="7">
        <f>spaces_3iWczBNnn5rbfoUlE0Jd_uploads_git_blob_9864c7f811c613c3faab876659c6423__25[[#This Row],[Hora de Llegada]]</f>
        <v>45017.085416666669</v>
      </c>
      <c r="P10" s="9">
        <f>spaces_3iWczBNnn5rbfoUlE0Jd_uploads_git_blob_9864c7f811c613c3faab876659c6423__25[[#This Row],[Hora de Llegada]]</f>
        <v>45017.085416666669</v>
      </c>
      <c r="Q10" s="9">
        <f>spaces_3iWczBNnn5rbfoUlE0Jd_uploads_git_blob_9864c7f811c613c3faab876659c6423__25[[#This Row],[Hora de Salida]]</f>
        <v>45017.184027777781</v>
      </c>
      <c r="R10" s="9" cm="1">
        <f t="array" ref="R1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9.8611111112404615E-2</v>
      </c>
      <c r="S10" s="9">
        <f>_xlfn.XLOOKUP(spaces_3iWczBNnn5rbfoUlE0Jd_uploads_git_blob_9864c7f811c613c3faab876659c6423__25[[#This Row],[Número de Orden]],Cocinadinamica!E11:E779,Cocinadinamica!F11:F779)/1440</f>
        <v>0.10138888888888889</v>
      </c>
      <c r="T10" s="9" cm="1">
        <f t="array" ref="T1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0" s="9" t="str" cm="1">
        <f t="array" ref="U1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1" spans="1:21" x14ac:dyDescent="0.35">
      <c r="A11" s="28">
        <v>17</v>
      </c>
      <c r="B11" s="13" t="s">
        <v>869</v>
      </c>
      <c r="C11" s="13">
        <v>1</v>
      </c>
      <c r="D11" s="14">
        <v>45017.001388888886</v>
      </c>
      <c r="E11" s="14">
        <v>45017.078472222223</v>
      </c>
      <c r="F11" s="13" t="s">
        <v>72</v>
      </c>
      <c r="G11" s="13" t="s">
        <v>86</v>
      </c>
      <c r="H11" s="13" t="s">
        <v>74</v>
      </c>
      <c r="I11" s="17">
        <v>16.600000000000001</v>
      </c>
      <c r="J11" s="13" t="s">
        <v>88</v>
      </c>
      <c r="K11" s="13">
        <v>10</v>
      </c>
      <c r="L11" s="13" t="s">
        <v>174</v>
      </c>
      <c r="M11" s="13" t="s">
        <v>1270</v>
      </c>
      <c r="N11">
        <f>_xlfn.XLOOKUP(spaces_3iWczBNnn5rbfoUlE0Jd_uploads_git_blob_9864c7f811c613c3faab876659c6423__25[[#This Row],[Número de Orden]],Cocinadinamica!B12:B780,Cocinadinamica!C12:C780)</f>
        <v>58</v>
      </c>
      <c r="O11" s="7">
        <f>spaces_3iWczBNnn5rbfoUlE0Jd_uploads_git_blob_9864c7f811c613c3faab876659c6423__25[[#This Row],[Hora de Llegada]]</f>
        <v>45017.001388888886</v>
      </c>
      <c r="P11" s="9">
        <f>spaces_3iWczBNnn5rbfoUlE0Jd_uploads_git_blob_9864c7f811c613c3faab876659c6423__25[[#This Row],[Hora de Llegada]]</f>
        <v>45017.001388888886</v>
      </c>
      <c r="Q11" s="9">
        <f>spaces_3iWczBNnn5rbfoUlE0Jd_uploads_git_blob_9864c7f811c613c3faab876659c6423__25[[#This Row],[Hora de Salida]]</f>
        <v>45017.078472222223</v>
      </c>
      <c r="R11" s="9" cm="1">
        <f t="array" ref="R1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8.7500000001455192E-2</v>
      </c>
      <c r="S11" s="9">
        <f>_xlfn.XLOOKUP(spaces_3iWczBNnn5rbfoUlE0Jd_uploads_git_blob_9864c7f811c613c3faab876659c6423__25[[#This Row],[Número de Orden]],Cocinadinamica!E12:E780,Cocinadinamica!F12:F780)/1440</f>
        <v>2.013888888888889E-2</v>
      </c>
      <c r="T11" s="9" cm="1">
        <f t="array" ref="T1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6.7361111112566305E-2</v>
      </c>
      <c r="U11" s="9" t="str" cm="1">
        <f t="array" ref="U1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2" spans="1:21" x14ac:dyDescent="0.35">
      <c r="A12" s="27">
        <v>14</v>
      </c>
      <c r="B12" s="11" t="s">
        <v>340</v>
      </c>
      <c r="C12" s="11">
        <v>1</v>
      </c>
      <c r="D12" s="12">
        <v>45017.156944444447</v>
      </c>
      <c r="E12" s="12">
        <v>45017.272916666669</v>
      </c>
      <c r="F12" s="11" t="s">
        <v>223</v>
      </c>
      <c r="G12" s="11" t="s">
        <v>86</v>
      </c>
      <c r="H12" s="11" t="s">
        <v>74</v>
      </c>
      <c r="I12" s="16">
        <v>32.89</v>
      </c>
      <c r="J12" s="11" t="s">
        <v>75</v>
      </c>
      <c r="K12" s="11">
        <v>11</v>
      </c>
      <c r="L12" s="11" t="s">
        <v>76</v>
      </c>
      <c r="M12" s="11" t="s">
        <v>1271</v>
      </c>
      <c r="N12">
        <f>_xlfn.XLOOKUP(spaces_3iWczBNnn5rbfoUlE0Jd_uploads_git_blob_9864c7f811c613c3faab876659c6423__25[[#This Row],[Número de Orden]],Cocinadinamica!B13:B781,Cocinadinamica!C13:C781)</f>
        <v>36</v>
      </c>
      <c r="O12" s="7">
        <f>spaces_3iWczBNnn5rbfoUlE0Jd_uploads_git_blob_9864c7f811c613c3faab876659c6423__25[[#This Row],[Hora de Llegada]]</f>
        <v>45017.156944444447</v>
      </c>
      <c r="P12" s="9">
        <f>spaces_3iWczBNnn5rbfoUlE0Jd_uploads_git_blob_9864c7f811c613c3faab876659c6423__25[[#This Row],[Hora de Llegada]]</f>
        <v>45017.156944444447</v>
      </c>
      <c r="Q12" s="9">
        <f>spaces_3iWczBNnn5rbfoUlE0Jd_uploads_git_blob_9864c7f811c613c3faab876659c6423__25[[#This Row],[Hora de Salida]]</f>
        <v>45017.272916666669</v>
      </c>
      <c r="R12" s="9" cm="1">
        <f t="array" ref="R1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0.11597222222189885</v>
      </c>
      <c r="S12" s="9">
        <f>_xlfn.XLOOKUP(spaces_3iWczBNnn5rbfoUlE0Jd_uploads_git_blob_9864c7f811c613c3faab876659c6423__25[[#This Row],[Número de Orden]],Cocinadinamica!E13:E781,Cocinadinamica!F13:F781)/1440</f>
        <v>3.888888888888889E-2</v>
      </c>
      <c r="T12" s="9" cm="1">
        <f t="array" ref="T1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7.7083333333009957E-2</v>
      </c>
      <c r="U12" s="9" t="str" cm="1">
        <f t="array" ref="U1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3" spans="1:21" x14ac:dyDescent="0.35">
      <c r="A13" s="28">
        <v>14</v>
      </c>
      <c r="B13" s="13" t="s">
        <v>870</v>
      </c>
      <c r="C13" s="13">
        <v>6</v>
      </c>
      <c r="D13" s="14">
        <v>45017.00277777778</v>
      </c>
      <c r="E13" s="14">
        <v>45017.140972222223</v>
      </c>
      <c r="F13" s="13" t="s">
        <v>72</v>
      </c>
      <c r="G13" s="13" t="s">
        <v>73</v>
      </c>
      <c r="H13" s="13" t="s">
        <v>74</v>
      </c>
      <c r="I13" s="17">
        <v>45.27</v>
      </c>
      <c r="J13" s="13" t="s">
        <v>88</v>
      </c>
      <c r="K13" s="13">
        <v>12</v>
      </c>
      <c r="L13" s="13" t="s">
        <v>110</v>
      </c>
      <c r="M13" s="13" t="s">
        <v>1272</v>
      </c>
      <c r="N13">
        <f>_xlfn.XLOOKUP(spaces_3iWczBNnn5rbfoUlE0Jd_uploads_git_blob_9864c7f811c613c3faab876659c6423__25[[#This Row],[Número de Orden]],Cocinadinamica!B14:B782,Cocinadinamica!C14:C782)</f>
        <v>127</v>
      </c>
      <c r="O13" s="7">
        <f>spaces_3iWczBNnn5rbfoUlE0Jd_uploads_git_blob_9864c7f811c613c3faab876659c6423__25[[#This Row],[Hora de Llegada]]</f>
        <v>45017.00277777778</v>
      </c>
      <c r="P13" s="9">
        <f>spaces_3iWczBNnn5rbfoUlE0Jd_uploads_git_blob_9864c7f811c613c3faab876659c6423__25[[#This Row],[Hora de Llegada]]</f>
        <v>45017.00277777778</v>
      </c>
      <c r="Q13" s="9">
        <f>spaces_3iWczBNnn5rbfoUlE0Jd_uploads_git_blob_9864c7f811c613c3faab876659c6423__25[[#This Row],[Hora de Salida]]</f>
        <v>45017.140972222223</v>
      </c>
      <c r="R13" s="9" cm="1">
        <f t="array" ref="R1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0.14861111110803904</v>
      </c>
      <c r="S13" s="9">
        <f>_xlfn.XLOOKUP(spaces_3iWczBNnn5rbfoUlE0Jd_uploads_git_blob_9864c7f811c613c3faab876659c6423__25[[#This Row],[Número de Orden]],Cocinadinamica!E14:E782,Cocinadinamica!F14:F782)/1440</f>
        <v>6.5972222222222224E-2</v>
      </c>
      <c r="T13" s="9" cm="1">
        <f t="array" ref="T1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8.2638888885816816E-2</v>
      </c>
      <c r="U13" s="9" t="str" cm="1">
        <f t="array" ref="U1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4" spans="1:21" x14ac:dyDescent="0.35">
      <c r="A14" s="27" t="s">
        <v>83</v>
      </c>
      <c r="B14" s="11" t="s">
        <v>84</v>
      </c>
      <c r="C14" s="11">
        <v>1</v>
      </c>
      <c r="D14" s="12">
        <v>45017.131249999999</v>
      </c>
      <c r="E14" s="12">
        <v>45017.230555555558</v>
      </c>
      <c r="F14" s="11" t="s">
        <v>85</v>
      </c>
      <c r="G14" s="11" t="s">
        <v>86</v>
      </c>
      <c r="H14" s="11" t="s">
        <v>87</v>
      </c>
      <c r="I14" s="16">
        <v>22.06</v>
      </c>
      <c r="J14" s="11" t="s">
        <v>88</v>
      </c>
      <c r="K14" s="11">
        <v>13</v>
      </c>
      <c r="L14" s="11" t="s">
        <v>89</v>
      </c>
      <c r="M14" s="11" t="s">
        <v>23</v>
      </c>
      <c r="N14">
        <f>_xlfn.XLOOKUP(spaces_3iWczBNnn5rbfoUlE0Jd_uploads_git_blob_9864c7f811c613c3faab876659c6423__25[[#This Row],[Número de Orden]],Cocinadinamica!B15:B783,Cocinadinamica!C15:C783)</f>
        <v>36</v>
      </c>
      <c r="O14" s="7">
        <f>spaces_3iWczBNnn5rbfoUlE0Jd_uploads_git_blob_9864c7f811c613c3faab876659c6423__25[[#This Row],[Hora de Llegada]]</f>
        <v>45017.131249999999</v>
      </c>
      <c r="P14" s="9">
        <f>spaces_3iWczBNnn5rbfoUlE0Jd_uploads_git_blob_9864c7f811c613c3faab876659c6423__25[[#This Row],[Hora de Llegada]]</f>
        <v>45017.131249999999</v>
      </c>
      <c r="Q14" s="9">
        <f>spaces_3iWczBNnn5rbfoUlE0Jd_uploads_git_blob_9864c7f811c613c3faab876659c6423__25[[#This Row],[Hora de Salida]]</f>
        <v>45017.230555555558</v>
      </c>
      <c r="R14" s="9" cm="1">
        <f t="array" ref="R1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0.10972222222335404</v>
      </c>
      <c r="S14" s="9">
        <f>_xlfn.XLOOKUP(spaces_3iWczBNnn5rbfoUlE0Jd_uploads_git_blob_9864c7f811c613c3faab876659c6423__25[[#This Row],[Número de Orden]],Cocinadinamica!E15:E783,Cocinadinamica!F15:F783)/1440</f>
        <v>4.0972222222222222E-2</v>
      </c>
      <c r="T14" s="9" cm="1">
        <f t="array" ref="T1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6.8750000001131822E-2</v>
      </c>
      <c r="U14" s="9" t="str" cm="1">
        <f t="array" ref="U1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" spans="1:21" x14ac:dyDescent="0.35">
      <c r="A15" s="28">
        <v>16</v>
      </c>
      <c r="B15" s="13" t="s">
        <v>459</v>
      </c>
      <c r="C15" s="13">
        <v>6</v>
      </c>
      <c r="D15" s="14">
        <v>45017.012499999997</v>
      </c>
      <c r="E15" s="14">
        <v>45017.081944444442</v>
      </c>
      <c r="F15" s="13" t="s">
        <v>100</v>
      </c>
      <c r="G15" s="13" t="s">
        <v>86</v>
      </c>
      <c r="H15" s="13" t="s">
        <v>87</v>
      </c>
      <c r="I15" s="17">
        <v>48.76</v>
      </c>
      <c r="J15" s="13" t="s">
        <v>75</v>
      </c>
      <c r="K15" s="13">
        <v>14</v>
      </c>
      <c r="L15" s="13" t="s">
        <v>76</v>
      </c>
      <c r="M15" s="13" t="s">
        <v>1273</v>
      </c>
      <c r="N15">
        <f>_xlfn.XLOOKUP(spaces_3iWczBNnn5rbfoUlE0Jd_uploads_git_blob_9864c7f811c613c3faab876659c6423__25[[#This Row],[Número de Orden]],Cocinadinamica!B16:B784,Cocinadinamica!C16:C784)</f>
        <v>51</v>
      </c>
      <c r="O15" s="7">
        <f>spaces_3iWczBNnn5rbfoUlE0Jd_uploads_git_blob_9864c7f811c613c3faab876659c6423__25[[#This Row],[Hora de Llegada]]</f>
        <v>45017.012499999997</v>
      </c>
      <c r="P15" s="9">
        <f>spaces_3iWczBNnn5rbfoUlE0Jd_uploads_git_blob_9864c7f811c613c3faab876659c6423__25[[#This Row],[Hora de Llegada]]</f>
        <v>45017.012499999997</v>
      </c>
      <c r="Q15" s="9">
        <f>spaces_3iWczBNnn5rbfoUlE0Jd_uploads_git_blob_9864c7f811c613c3faab876659c6423__25[[#This Row],[Hora de Salida]]</f>
        <v>45017.081944444442</v>
      </c>
      <c r="R15" s="9" cm="1">
        <f t="array" ref="R1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6.9444444445252884E-2</v>
      </c>
      <c r="S15" s="9">
        <f>_xlfn.XLOOKUP(spaces_3iWczBNnn5rbfoUlE0Jd_uploads_git_blob_9864c7f811c613c3faab876659c6423__25[[#This Row],[Número de Orden]],Cocinadinamica!E16:E784,Cocinadinamica!F16:F784)/1440</f>
        <v>0.10694444444444444</v>
      </c>
      <c r="T15" s="9" cm="1">
        <f t="array" ref="T1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5" s="9" t="str" cm="1">
        <f t="array" ref="U1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6" spans="1:21" x14ac:dyDescent="0.35">
      <c r="A16" s="27">
        <v>6</v>
      </c>
      <c r="B16" s="11" t="s">
        <v>660</v>
      </c>
      <c r="C16" s="11">
        <v>4</v>
      </c>
      <c r="D16" s="12">
        <v>45017.14166666667</v>
      </c>
      <c r="E16" s="12">
        <v>45017.207638888889</v>
      </c>
      <c r="F16" s="11" t="s">
        <v>223</v>
      </c>
      <c r="G16" s="11" t="s">
        <v>163</v>
      </c>
      <c r="H16" s="11" t="s">
        <v>74</v>
      </c>
      <c r="I16" s="16">
        <v>28.77</v>
      </c>
      <c r="J16" s="11" t="s">
        <v>88</v>
      </c>
      <c r="K16" s="11">
        <v>15</v>
      </c>
      <c r="L16" s="11" t="s">
        <v>174</v>
      </c>
      <c r="M16" s="11" t="s">
        <v>1274</v>
      </c>
      <c r="N16">
        <f>_xlfn.XLOOKUP(spaces_3iWczBNnn5rbfoUlE0Jd_uploads_git_blob_9864c7f811c613c3faab876659c6423__25[[#This Row],[Número de Orden]],Cocinadinamica!B17:B785,Cocinadinamica!C17:C785)</f>
        <v>90</v>
      </c>
      <c r="O16" s="7">
        <f>spaces_3iWczBNnn5rbfoUlE0Jd_uploads_git_blob_9864c7f811c613c3faab876659c6423__25[[#This Row],[Hora de Llegada]]</f>
        <v>45017.14166666667</v>
      </c>
      <c r="P16" s="9">
        <f>spaces_3iWczBNnn5rbfoUlE0Jd_uploads_git_blob_9864c7f811c613c3faab876659c6423__25[[#This Row],[Hora de Llegada]]</f>
        <v>45017.14166666667</v>
      </c>
      <c r="Q16" s="9">
        <f>spaces_3iWczBNnn5rbfoUlE0Jd_uploads_git_blob_9864c7f811c613c3faab876659c6423__25[[#This Row],[Hora de Salida]]</f>
        <v>45017.207638888889</v>
      </c>
      <c r="R16" s="9" cm="1">
        <f t="array" ref="R1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7.6388888883229811E-2</v>
      </c>
      <c r="S16" s="9">
        <f>_xlfn.XLOOKUP(spaces_3iWczBNnn5rbfoUlE0Jd_uploads_git_blob_9864c7f811c613c3faab876659c6423__25[[#This Row],[Número de Orden]],Cocinadinamica!E17:E785,Cocinadinamica!F17:F785)/1440</f>
        <v>7.1527777777777773E-2</v>
      </c>
      <c r="T16" s="9" cm="1">
        <f t="array" ref="T1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4.8611111054520373E-3</v>
      </c>
      <c r="U16" s="9" t="str" cm="1">
        <f t="array" ref="U1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" spans="1:21" x14ac:dyDescent="0.35">
      <c r="A17" s="28" t="s">
        <v>92</v>
      </c>
      <c r="B17" s="13" t="s">
        <v>93</v>
      </c>
      <c r="C17" s="13">
        <v>5</v>
      </c>
      <c r="D17" s="14">
        <v>45017.104861111111</v>
      </c>
      <c r="E17" s="14">
        <v>45017.183333333334</v>
      </c>
      <c r="F17" s="13" t="s">
        <v>72</v>
      </c>
      <c r="G17" s="13" t="s">
        <v>86</v>
      </c>
      <c r="H17" s="13" t="s">
        <v>87</v>
      </c>
      <c r="I17" s="17">
        <v>3.79</v>
      </c>
      <c r="J17" s="13" t="s">
        <v>94</v>
      </c>
      <c r="K17" s="13">
        <v>16</v>
      </c>
      <c r="L17" s="13" t="s">
        <v>95</v>
      </c>
      <c r="M17" s="13" t="s">
        <v>27</v>
      </c>
      <c r="N17">
        <f>_xlfn.XLOOKUP(spaces_3iWczBNnn5rbfoUlE0Jd_uploads_git_blob_9864c7f811c613c3faab876659c6423__25[[#This Row],[Número de Orden]],Cocinadinamica!B18:B786,Cocinadinamica!C18:C786)</f>
        <v>12</v>
      </c>
      <c r="O17" s="7">
        <f>spaces_3iWczBNnn5rbfoUlE0Jd_uploads_git_blob_9864c7f811c613c3faab876659c6423__25[[#This Row],[Hora de Llegada]]</f>
        <v>45017.104861111111</v>
      </c>
      <c r="P17" s="9">
        <f>spaces_3iWczBNnn5rbfoUlE0Jd_uploads_git_blob_9864c7f811c613c3faab876659c6423__25[[#This Row],[Hora de Llegada]]</f>
        <v>45017.104861111111</v>
      </c>
      <c r="Q17" s="9">
        <f>spaces_3iWczBNnn5rbfoUlE0Jd_uploads_git_blob_9864c7f811c613c3faab876659c6423__25[[#This Row],[Hora de Salida]]</f>
        <v>45017.183333333334</v>
      </c>
      <c r="R17" s="9" cm="1">
        <f t="array" ref="R1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7.8472222223354038E-2</v>
      </c>
      <c r="S17" s="9">
        <f>_xlfn.XLOOKUP(spaces_3iWczBNnn5rbfoUlE0Jd_uploads_git_blob_9864c7f811c613c3faab876659c6423__25[[#This Row],[Número de Orden]],Cocinadinamica!E18:E786,Cocinadinamica!F18:F786)/1440</f>
        <v>2.6388888888888889E-2</v>
      </c>
      <c r="T17" s="9" cm="1">
        <f t="array" ref="T1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5.2083333334465146E-2</v>
      </c>
      <c r="U17" s="9" t="str" cm="1">
        <f t="array" ref="U1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" spans="1:21" x14ac:dyDescent="0.35">
      <c r="A18" s="27">
        <v>14</v>
      </c>
      <c r="B18" s="11" t="s">
        <v>871</v>
      </c>
      <c r="C18" s="11">
        <v>6</v>
      </c>
      <c r="D18" s="12">
        <v>45017.006249999999</v>
      </c>
      <c r="E18" s="12">
        <v>45017.143750000003</v>
      </c>
      <c r="F18" s="11" t="s">
        <v>100</v>
      </c>
      <c r="G18" s="11" t="s">
        <v>163</v>
      </c>
      <c r="H18" s="11" t="s">
        <v>74</v>
      </c>
      <c r="I18" s="16">
        <v>12.17</v>
      </c>
      <c r="J18" s="11" t="s">
        <v>75</v>
      </c>
      <c r="K18" s="11">
        <v>17</v>
      </c>
      <c r="L18" s="11" t="s">
        <v>187</v>
      </c>
      <c r="M18" s="11" t="s">
        <v>1275</v>
      </c>
      <c r="N18">
        <f>_xlfn.XLOOKUP(spaces_3iWczBNnn5rbfoUlE0Jd_uploads_git_blob_9864c7f811c613c3faab876659c6423__25[[#This Row],[Número de Orden]],Cocinadinamica!B19:B787,Cocinadinamica!C19:C787)</f>
        <v>57</v>
      </c>
      <c r="O18" s="7">
        <f>spaces_3iWczBNnn5rbfoUlE0Jd_uploads_git_blob_9864c7f811c613c3faab876659c6423__25[[#This Row],[Hora de Llegada]]</f>
        <v>45017.006249999999</v>
      </c>
      <c r="P18" s="9">
        <f>spaces_3iWczBNnn5rbfoUlE0Jd_uploads_git_blob_9864c7f811c613c3faab876659c6423__25[[#This Row],[Hora de Llegada]]</f>
        <v>45017.006249999999</v>
      </c>
      <c r="Q18" s="9">
        <f>spaces_3iWczBNnn5rbfoUlE0Jd_uploads_git_blob_9864c7f811c613c3faab876659c6423__25[[#This Row],[Hora de Salida]]</f>
        <v>45017.143750000003</v>
      </c>
      <c r="R18" s="9" cm="1">
        <f t="array" ref="R1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0.13750000000436557</v>
      </c>
      <c r="S18" s="9">
        <f>_xlfn.XLOOKUP(spaces_3iWczBNnn5rbfoUlE0Jd_uploads_git_blob_9864c7f811c613c3faab876659c6423__25[[#This Row],[Número de Orden]],Cocinadinamica!E19:E787,Cocinadinamica!F19:F787)/1440</f>
        <v>0.10972222222222222</v>
      </c>
      <c r="T18" s="9" cm="1">
        <f t="array" ref="T1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2.7777777782143354E-2</v>
      </c>
      <c r="U18" s="9" t="str" cm="1">
        <f t="array" ref="U1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" spans="1:21" x14ac:dyDescent="0.35">
      <c r="A19" s="28">
        <v>9</v>
      </c>
      <c r="B19" s="13" t="s">
        <v>872</v>
      </c>
      <c r="C19" s="13">
        <v>2</v>
      </c>
      <c r="D19" s="14">
        <v>45017.087500000001</v>
      </c>
      <c r="E19" s="14">
        <v>45017.18472222222</v>
      </c>
      <c r="F19" s="13" t="s">
        <v>100</v>
      </c>
      <c r="G19" s="13" t="s">
        <v>163</v>
      </c>
      <c r="H19" s="13" t="s">
        <v>74</v>
      </c>
      <c r="I19" s="17">
        <v>33.090000000000003</v>
      </c>
      <c r="J19" s="13" t="s">
        <v>75</v>
      </c>
      <c r="K19" s="13">
        <v>18</v>
      </c>
      <c r="L19" s="13" t="s">
        <v>110</v>
      </c>
      <c r="M19" s="13" t="s">
        <v>1276</v>
      </c>
      <c r="N19">
        <f>_xlfn.XLOOKUP(spaces_3iWczBNnn5rbfoUlE0Jd_uploads_git_blob_9864c7f811c613c3faab876659c6423__25[[#This Row],[Número de Orden]],Cocinadinamica!B20:B788,Cocinadinamica!C20:C788)</f>
        <v>101</v>
      </c>
      <c r="O19" s="7">
        <f>spaces_3iWczBNnn5rbfoUlE0Jd_uploads_git_blob_9864c7f811c613c3faab876659c6423__25[[#This Row],[Hora de Llegada]]</f>
        <v>45017.087500000001</v>
      </c>
      <c r="P19" s="9">
        <f>spaces_3iWczBNnn5rbfoUlE0Jd_uploads_git_blob_9864c7f811c613c3faab876659c6423__25[[#This Row],[Hora de Llegada]]</f>
        <v>45017.087500000001</v>
      </c>
      <c r="Q19" s="9">
        <f>spaces_3iWczBNnn5rbfoUlE0Jd_uploads_git_blob_9864c7f811c613c3faab876659c6423__25[[#This Row],[Hora de Salida]]</f>
        <v>45017.18472222222</v>
      </c>
      <c r="R19" s="9" cm="1">
        <f t="array" ref="R1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9.7222222218988463E-2</v>
      </c>
      <c r="S19" s="9">
        <f>_xlfn.XLOOKUP(spaces_3iWczBNnn5rbfoUlE0Jd_uploads_git_blob_9864c7f811c613c3faab876659c6423__25[[#This Row],[Número de Orden]],Cocinadinamica!E20:E788,Cocinadinamica!F20:F788)/1440</f>
        <v>9.3055555555555558E-2</v>
      </c>
      <c r="T19" s="9" cm="1">
        <f t="array" ref="T1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4.1666666634329053E-3</v>
      </c>
      <c r="U19" s="9" t="str" cm="1">
        <f t="array" ref="U1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0" spans="1:21" x14ac:dyDescent="0.35">
      <c r="A20" s="27" t="s">
        <v>98</v>
      </c>
      <c r="B20" s="11" t="s">
        <v>99</v>
      </c>
      <c r="C20" s="11">
        <v>3</v>
      </c>
      <c r="D20" s="12">
        <v>45017.024305555555</v>
      </c>
      <c r="E20" s="12">
        <v>45017.145138888889</v>
      </c>
      <c r="F20" s="11" t="s">
        <v>100</v>
      </c>
      <c r="G20" s="11" t="s">
        <v>86</v>
      </c>
      <c r="H20" s="11" t="s">
        <v>74</v>
      </c>
      <c r="I20" s="16">
        <v>17.45</v>
      </c>
      <c r="J20" s="11" t="s">
        <v>75</v>
      </c>
      <c r="K20" s="11">
        <v>19</v>
      </c>
      <c r="L20" s="11" t="s">
        <v>101</v>
      </c>
      <c r="M20" s="11" t="s">
        <v>19</v>
      </c>
      <c r="N20">
        <f>_xlfn.XLOOKUP(spaces_3iWczBNnn5rbfoUlE0Jd_uploads_git_blob_9864c7f811c613c3faab876659c6423__25[[#This Row],[Número de Orden]],Cocinadinamica!B21:B789,Cocinadinamica!C21:C789)</f>
        <v>30</v>
      </c>
      <c r="O20" s="7">
        <f>spaces_3iWczBNnn5rbfoUlE0Jd_uploads_git_blob_9864c7f811c613c3faab876659c6423__25[[#This Row],[Hora de Llegada]]</f>
        <v>45017.024305555555</v>
      </c>
      <c r="P20" s="9">
        <f>spaces_3iWczBNnn5rbfoUlE0Jd_uploads_git_blob_9864c7f811c613c3faab876659c6423__25[[#This Row],[Hora de Llegada]]</f>
        <v>45017.024305555555</v>
      </c>
      <c r="Q20" s="9">
        <f>spaces_3iWczBNnn5rbfoUlE0Jd_uploads_git_blob_9864c7f811c613c3faab876659c6423__25[[#This Row],[Hora de Salida]]</f>
        <v>45017.145138888889</v>
      </c>
      <c r="R20" s="9" cm="1">
        <f t="array" ref="R2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0.12083333333430346</v>
      </c>
      <c r="S20" s="9">
        <f>_xlfn.XLOOKUP(spaces_3iWczBNnn5rbfoUlE0Jd_uploads_git_blob_9864c7f811c613c3faab876659c6423__25[[#This Row],[Número de Orden]],Cocinadinamica!E21:E789,Cocinadinamica!F21:F789)/1440</f>
        <v>3.0555555555555555E-2</v>
      </c>
      <c r="T20" s="9" cm="1">
        <f t="array" ref="T2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9.0277777778747903E-2</v>
      </c>
      <c r="U20" s="9" t="str" cm="1">
        <f t="array" ref="U2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1" spans="1:21" x14ac:dyDescent="0.35">
      <c r="A21" s="28">
        <v>8</v>
      </c>
      <c r="B21" s="13" t="s">
        <v>873</v>
      </c>
      <c r="C21" s="13">
        <v>2</v>
      </c>
      <c r="D21" s="14">
        <v>45017.059027777781</v>
      </c>
      <c r="E21" s="14">
        <v>45017.216666666667</v>
      </c>
      <c r="F21" s="13" t="s">
        <v>170</v>
      </c>
      <c r="G21" s="13" t="s">
        <v>86</v>
      </c>
      <c r="H21" s="13" t="s">
        <v>74</v>
      </c>
      <c r="I21" s="17">
        <v>31.7</v>
      </c>
      <c r="J21" s="13" t="s">
        <v>94</v>
      </c>
      <c r="K21" s="13">
        <v>20</v>
      </c>
      <c r="L21" s="13" t="s">
        <v>101</v>
      </c>
      <c r="M21" s="13" t="s">
        <v>1277</v>
      </c>
      <c r="N21">
        <f>_xlfn.XLOOKUP(spaces_3iWczBNnn5rbfoUlE0Jd_uploads_git_blob_9864c7f811c613c3faab876659c6423__25[[#This Row],[Número de Orden]],Cocinadinamica!B22:B790,Cocinadinamica!C22:C790)</f>
        <v>71</v>
      </c>
      <c r="O21" s="7">
        <f>spaces_3iWczBNnn5rbfoUlE0Jd_uploads_git_blob_9864c7f811c613c3faab876659c6423__25[[#This Row],[Hora de Llegada]]</f>
        <v>45017.059027777781</v>
      </c>
      <c r="P21" s="9">
        <f>spaces_3iWczBNnn5rbfoUlE0Jd_uploads_git_blob_9864c7f811c613c3faab876659c6423__25[[#This Row],[Hora de Llegada]]</f>
        <v>45017.059027777781</v>
      </c>
      <c r="Q21" s="9">
        <f>spaces_3iWczBNnn5rbfoUlE0Jd_uploads_git_blob_9864c7f811c613c3faab876659c6423__25[[#This Row],[Hora de Salida]]</f>
        <v>45017.216666666667</v>
      </c>
      <c r="R21" s="9" cm="1">
        <f t="array" ref="R2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0.15763888888614019</v>
      </c>
      <c r="S21" s="9">
        <f>_xlfn.XLOOKUP(spaces_3iWczBNnn5rbfoUlE0Jd_uploads_git_blob_9864c7f811c613c3faab876659c6423__25[[#This Row],[Número de Orden]],Cocinadinamica!E22:E790,Cocinadinamica!F22:F790)/1440</f>
        <v>4.8611111111111112E-2</v>
      </c>
      <c r="T21" s="9" cm="1">
        <f t="array" ref="T2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0.10902777777502909</v>
      </c>
      <c r="U21" s="9" t="str" cm="1">
        <f t="array" ref="U2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2" spans="1:21" x14ac:dyDescent="0.35">
      <c r="A22" s="27">
        <v>12</v>
      </c>
      <c r="B22" s="11" t="s">
        <v>874</v>
      </c>
      <c r="C22" s="11">
        <v>2</v>
      </c>
      <c r="D22" s="12">
        <v>45017.152083333334</v>
      </c>
      <c r="E22" s="12">
        <v>45017.244444444441</v>
      </c>
      <c r="F22" s="11" t="s">
        <v>170</v>
      </c>
      <c r="G22" s="11" t="s">
        <v>86</v>
      </c>
      <c r="H22" s="11" t="s">
        <v>74</v>
      </c>
      <c r="I22" s="16">
        <v>20.53</v>
      </c>
      <c r="J22" s="11" t="s">
        <v>94</v>
      </c>
      <c r="K22" s="11">
        <v>21</v>
      </c>
      <c r="L22" s="11" t="s">
        <v>174</v>
      </c>
      <c r="M22" s="11" t="s">
        <v>1278</v>
      </c>
      <c r="N22">
        <f>_xlfn.XLOOKUP(spaces_3iWczBNnn5rbfoUlE0Jd_uploads_git_blob_9864c7f811c613c3faab876659c6423__25[[#This Row],[Número de Orden]],Cocinadinamica!B23:B791,Cocinadinamica!C23:C791)</f>
        <v>107</v>
      </c>
      <c r="O22" s="7">
        <f>spaces_3iWczBNnn5rbfoUlE0Jd_uploads_git_blob_9864c7f811c613c3faab876659c6423__25[[#This Row],[Hora de Llegada]]</f>
        <v>45017.152083333334</v>
      </c>
      <c r="P22" s="9">
        <f>spaces_3iWczBNnn5rbfoUlE0Jd_uploads_git_blob_9864c7f811c613c3faab876659c6423__25[[#This Row],[Hora de Llegada]]</f>
        <v>45017.152083333334</v>
      </c>
      <c r="Q22" s="9">
        <f>spaces_3iWczBNnn5rbfoUlE0Jd_uploads_git_blob_9864c7f811c613c3faab876659c6423__25[[#This Row],[Hora de Salida]]</f>
        <v>45017.244444444441</v>
      </c>
      <c r="R22" s="9" cm="1">
        <f t="array" ref="R2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9.2361111106583849E-2</v>
      </c>
      <c r="S22" s="9">
        <f>_xlfn.XLOOKUP(spaces_3iWczBNnn5rbfoUlE0Jd_uploads_git_blob_9864c7f811c613c3faab876659c6423__25[[#This Row],[Número de Orden]],Cocinadinamica!E23:E791,Cocinadinamica!F23:F791)/1440</f>
        <v>0.10555555555555556</v>
      </c>
      <c r="T22" s="9" cm="1">
        <f t="array" ref="T2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2" s="9" t="str" cm="1">
        <f t="array" ref="U2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3" spans="1:21" x14ac:dyDescent="0.35">
      <c r="A23" s="28">
        <v>15</v>
      </c>
      <c r="B23" s="13" t="s">
        <v>667</v>
      </c>
      <c r="C23" s="13">
        <v>1</v>
      </c>
      <c r="D23" s="14">
        <v>45017.094444444447</v>
      </c>
      <c r="E23" s="14">
        <v>45017.199305555558</v>
      </c>
      <c r="F23" s="13" t="s">
        <v>72</v>
      </c>
      <c r="G23" s="13" t="s">
        <v>86</v>
      </c>
      <c r="H23" s="13" t="s">
        <v>74</v>
      </c>
      <c r="I23" s="17">
        <v>45.41</v>
      </c>
      <c r="J23" s="13" t="s">
        <v>75</v>
      </c>
      <c r="K23" s="13">
        <v>22</v>
      </c>
      <c r="L23" s="13" t="s">
        <v>187</v>
      </c>
      <c r="M23" s="13" t="s">
        <v>1279</v>
      </c>
      <c r="N23">
        <f>_xlfn.XLOOKUP(spaces_3iWczBNnn5rbfoUlE0Jd_uploads_git_blob_9864c7f811c613c3faab876659c6423__25[[#This Row],[Número de Orden]],Cocinadinamica!B24:B792,Cocinadinamica!C24:C792)</f>
        <v>88</v>
      </c>
      <c r="O23" s="7">
        <f>spaces_3iWczBNnn5rbfoUlE0Jd_uploads_git_blob_9864c7f811c613c3faab876659c6423__25[[#This Row],[Hora de Llegada]]</f>
        <v>45017.094444444447</v>
      </c>
      <c r="P23" s="9">
        <f>spaces_3iWczBNnn5rbfoUlE0Jd_uploads_git_blob_9864c7f811c613c3faab876659c6423__25[[#This Row],[Hora de Llegada]]</f>
        <v>45017.094444444447</v>
      </c>
      <c r="Q23" s="9">
        <f>spaces_3iWczBNnn5rbfoUlE0Jd_uploads_git_blob_9864c7f811c613c3faab876659c6423__25[[#This Row],[Hora de Salida]]</f>
        <v>45017.199305555558</v>
      </c>
      <c r="R23" s="9" cm="1">
        <f t="array" ref="R2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0.10486111111094942</v>
      </c>
      <c r="S23" s="9">
        <f>_xlfn.XLOOKUP(spaces_3iWczBNnn5rbfoUlE0Jd_uploads_git_blob_9864c7f811c613c3faab876659c6423__25[[#This Row],[Número de Orden]],Cocinadinamica!E24:E792,Cocinadinamica!F24:F792)/1440</f>
        <v>8.5416666666666669E-2</v>
      </c>
      <c r="T23" s="9" cm="1">
        <f t="array" ref="T2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1.9444444444282755E-2</v>
      </c>
      <c r="U23" s="9" t="str" cm="1">
        <f t="array" ref="U2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4" spans="1:21" x14ac:dyDescent="0.35">
      <c r="A24" s="27">
        <v>1</v>
      </c>
      <c r="B24" s="11" t="s">
        <v>875</v>
      </c>
      <c r="C24" s="11">
        <v>5</v>
      </c>
      <c r="D24" s="12">
        <v>45017.113888888889</v>
      </c>
      <c r="E24" s="12">
        <v>45017.17291666667</v>
      </c>
      <c r="F24" s="11" t="s">
        <v>85</v>
      </c>
      <c r="G24" s="11" t="s">
        <v>73</v>
      </c>
      <c r="H24" s="11" t="s">
        <v>74</v>
      </c>
      <c r="I24" s="16">
        <v>38.46</v>
      </c>
      <c r="J24" s="11" t="s">
        <v>75</v>
      </c>
      <c r="K24" s="11">
        <v>23</v>
      </c>
      <c r="L24" s="11" t="s">
        <v>101</v>
      </c>
      <c r="M24" s="11" t="s">
        <v>1280</v>
      </c>
      <c r="N24">
        <f>_xlfn.XLOOKUP(spaces_3iWczBNnn5rbfoUlE0Jd_uploads_git_blob_9864c7f811c613c3faab876659c6423__25[[#This Row],[Número de Orden]],Cocinadinamica!B25:B793,Cocinadinamica!C25:C793)</f>
        <v>57</v>
      </c>
      <c r="O24" s="7">
        <f>spaces_3iWczBNnn5rbfoUlE0Jd_uploads_git_blob_9864c7f811c613c3faab876659c6423__25[[#This Row],[Hora de Llegada]]</f>
        <v>45017.113888888889</v>
      </c>
      <c r="P24" s="9">
        <f>spaces_3iWczBNnn5rbfoUlE0Jd_uploads_git_blob_9864c7f811c613c3faab876659c6423__25[[#This Row],[Hora de Llegada]]</f>
        <v>45017.113888888889</v>
      </c>
      <c r="Q24" s="9">
        <f>spaces_3iWczBNnn5rbfoUlE0Jd_uploads_git_blob_9864c7f811c613c3faab876659c6423__25[[#This Row],[Hora de Salida]]</f>
        <v>45017.17291666667</v>
      </c>
      <c r="R24" s="9" cm="1">
        <f t="array" ref="R2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5.9027777781011537E-2</v>
      </c>
      <c r="S24" s="9">
        <f>_xlfn.XLOOKUP(spaces_3iWczBNnn5rbfoUlE0Jd_uploads_git_blob_9864c7f811c613c3faab876659c6423__25[[#This Row],[Número de Orden]],Cocinadinamica!E25:E793,Cocinadinamica!F25:F793)/1440</f>
        <v>4.3749999999999997E-2</v>
      </c>
      <c r="T24" s="9" cm="1">
        <f t="array" ref="T2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1.5277777781011539E-2</v>
      </c>
      <c r="U24" s="9" t="str" cm="1">
        <f t="array" ref="U2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" spans="1:21" x14ac:dyDescent="0.35">
      <c r="A25" s="28">
        <v>5</v>
      </c>
      <c r="B25" s="13" t="s">
        <v>876</v>
      </c>
      <c r="C25" s="13">
        <v>5</v>
      </c>
      <c r="D25" s="14">
        <v>45017.125694444447</v>
      </c>
      <c r="E25" s="14">
        <v>45017.263888888891</v>
      </c>
      <c r="F25" s="13" t="s">
        <v>170</v>
      </c>
      <c r="G25" s="13" t="s">
        <v>86</v>
      </c>
      <c r="H25" s="13" t="s">
        <v>74</v>
      </c>
      <c r="I25" s="17">
        <v>38.18</v>
      </c>
      <c r="J25" s="13" t="s">
        <v>88</v>
      </c>
      <c r="K25" s="13">
        <v>24</v>
      </c>
      <c r="L25" s="13" t="s">
        <v>275</v>
      </c>
      <c r="M25" s="13" t="s">
        <v>1281</v>
      </c>
      <c r="N25">
        <f>_xlfn.XLOOKUP(spaces_3iWczBNnn5rbfoUlE0Jd_uploads_git_blob_9864c7f811c613c3faab876659c6423__25[[#This Row],[Número de Orden]],Cocinadinamica!B26:B794,Cocinadinamica!C26:C794)</f>
        <v>93</v>
      </c>
      <c r="O25" s="7">
        <f>spaces_3iWczBNnn5rbfoUlE0Jd_uploads_git_blob_9864c7f811c613c3faab876659c6423__25[[#This Row],[Hora de Llegada]]</f>
        <v>45017.125694444447</v>
      </c>
      <c r="P25" s="9">
        <f>spaces_3iWczBNnn5rbfoUlE0Jd_uploads_git_blob_9864c7f811c613c3faab876659c6423__25[[#This Row],[Hora de Llegada]]</f>
        <v>45017.125694444447</v>
      </c>
      <c r="Q25" s="9">
        <f>spaces_3iWczBNnn5rbfoUlE0Jd_uploads_git_blob_9864c7f811c613c3faab876659c6423__25[[#This Row],[Hora de Salida]]</f>
        <v>45017.263888888891</v>
      </c>
      <c r="R25" s="9" cm="1">
        <f t="array" ref="R2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0.14861111110803904</v>
      </c>
      <c r="S25" s="9">
        <f>_xlfn.XLOOKUP(spaces_3iWczBNnn5rbfoUlE0Jd_uploads_git_blob_9864c7f811c613c3faab876659c6423__25[[#This Row],[Número de Orden]],Cocinadinamica!E26:E794,Cocinadinamica!F26:F794)/1440</f>
        <v>0.125</v>
      </c>
      <c r="T25" s="9" cm="1">
        <f t="array" ref="T2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2.361111110803904E-2</v>
      </c>
      <c r="U25" s="9" t="str" cm="1">
        <f t="array" ref="U2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6" spans="1:21" x14ac:dyDescent="0.35">
      <c r="A26" s="27" t="s">
        <v>107</v>
      </c>
      <c r="B26" s="11" t="s">
        <v>108</v>
      </c>
      <c r="C26" s="11">
        <v>5</v>
      </c>
      <c r="D26" s="12">
        <v>45017.125694444447</v>
      </c>
      <c r="E26" s="12">
        <v>45017.207638888889</v>
      </c>
      <c r="F26" s="11" t="s">
        <v>85</v>
      </c>
      <c r="G26" s="11" t="s">
        <v>73</v>
      </c>
      <c r="H26" s="11" t="s">
        <v>109</v>
      </c>
      <c r="I26" s="16">
        <v>46.15</v>
      </c>
      <c r="J26" s="11" t="s">
        <v>88</v>
      </c>
      <c r="K26" s="11">
        <v>25</v>
      </c>
      <c r="L26" s="11" t="s">
        <v>110</v>
      </c>
      <c r="M26" s="11" t="s">
        <v>37</v>
      </c>
      <c r="N26">
        <f>_xlfn.XLOOKUP(spaces_3iWczBNnn5rbfoUlE0Jd_uploads_git_blob_9864c7f811c613c3faab876659c6423__25[[#This Row],[Número de Orden]],Cocinadinamica!B27:B795,Cocinadinamica!C27:C795)</f>
        <v>14</v>
      </c>
      <c r="O26" s="7">
        <f>spaces_3iWczBNnn5rbfoUlE0Jd_uploads_git_blob_9864c7f811c613c3faab876659c6423__25[[#This Row],[Hora de Llegada]]</f>
        <v>45017.125694444447</v>
      </c>
      <c r="P26" s="9">
        <f>spaces_3iWczBNnn5rbfoUlE0Jd_uploads_git_blob_9864c7f811c613c3faab876659c6423__25[[#This Row],[Hora de Llegada]]</f>
        <v>45017.125694444447</v>
      </c>
      <c r="Q26" s="9">
        <f>spaces_3iWczBNnn5rbfoUlE0Jd_uploads_git_blob_9864c7f811c613c3faab876659c6423__25[[#This Row],[Hora de Salida]]</f>
        <v>45017.207638888889</v>
      </c>
      <c r="R26" s="9" cm="1">
        <f t="array" ref="R2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9.2361111106583849E-2</v>
      </c>
      <c r="S26" s="9">
        <f>_xlfn.XLOOKUP(spaces_3iWczBNnn5rbfoUlE0Jd_uploads_git_blob_9864c7f811c613c3faab876659c6423__25[[#This Row],[Número de Orden]],Cocinadinamica!E27:E795,Cocinadinamica!F27:F795)/1440</f>
        <v>2.4305555555555556E-2</v>
      </c>
      <c r="T26" s="9" cm="1">
        <f t="array" ref="T2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6.8055555551028296E-2</v>
      </c>
      <c r="U26" s="9" t="str" cm="1">
        <f t="array" ref="U2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" spans="1:21" x14ac:dyDescent="0.35">
      <c r="A27" s="28">
        <v>18</v>
      </c>
      <c r="B27" s="13" t="s">
        <v>877</v>
      </c>
      <c r="C27" s="13">
        <v>2</v>
      </c>
      <c r="D27" s="14">
        <v>45017.086111111108</v>
      </c>
      <c r="E27" s="14">
        <v>45017.240972222222</v>
      </c>
      <c r="F27" s="13" t="s">
        <v>85</v>
      </c>
      <c r="G27" s="13" t="s">
        <v>163</v>
      </c>
      <c r="H27" s="13" t="s">
        <v>74</v>
      </c>
      <c r="I27" s="17">
        <v>10.37</v>
      </c>
      <c r="J27" s="13" t="s">
        <v>88</v>
      </c>
      <c r="K27" s="13">
        <v>26</v>
      </c>
      <c r="L27" s="13" t="s">
        <v>174</v>
      </c>
      <c r="M27" s="13" t="s">
        <v>1282</v>
      </c>
      <c r="N27">
        <f>_xlfn.XLOOKUP(spaces_3iWczBNnn5rbfoUlE0Jd_uploads_git_blob_9864c7f811c613c3faab876659c6423__25[[#This Row],[Número de Orden]],Cocinadinamica!B28:B796,Cocinadinamica!C28:C796)</f>
        <v>52</v>
      </c>
      <c r="O27" s="7">
        <f>spaces_3iWczBNnn5rbfoUlE0Jd_uploads_git_blob_9864c7f811c613c3faab876659c6423__25[[#This Row],[Hora de Llegada]]</f>
        <v>45017.086111111108</v>
      </c>
      <c r="P27" s="9">
        <f>spaces_3iWczBNnn5rbfoUlE0Jd_uploads_git_blob_9864c7f811c613c3faab876659c6423__25[[#This Row],[Hora de Llegada]]</f>
        <v>45017.086111111108</v>
      </c>
      <c r="Q27" s="9">
        <f>spaces_3iWczBNnn5rbfoUlE0Jd_uploads_git_blob_9864c7f811c613c3faab876659c6423__25[[#This Row],[Hora de Salida]]</f>
        <v>45017.240972222222</v>
      </c>
      <c r="R27" s="9" cm="1">
        <f t="array" ref="R2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0.16527777777810115</v>
      </c>
      <c r="S27" s="9">
        <f>_xlfn.XLOOKUP(spaces_3iWczBNnn5rbfoUlE0Jd_uploads_git_blob_9864c7f811c613c3faab876659c6423__25[[#This Row],[Número de Orden]],Cocinadinamica!E28:E796,Cocinadinamica!F28:F796)/1440</f>
        <v>7.5694444444444439E-2</v>
      </c>
      <c r="T27" s="9" cm="1">
        <f t="array" ref="T2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8.9583333333656714E-2</v>
      </c>
      <c r="U27" s="9" t="str" cm="1">
        <f t="array" ref="U2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8" spans="1:21" x14ac:dyDescent="0.35">
      <c r="A28" s="27">
        <v>4</v>
      </c>
      <c r="B28" s="11" t="s">
        <v>378</v>
      </c>
      <c r="C28" s="11">
        <v>2</v>
      </c>
      <c r="D28" s="12">
        <v>45017.054861111108</v>
      </c>
      <c r="E28" s="12">
        <v>45017.102083333331</v>
      </c>
      <c r="F28" s="11" t="s">
        <v>85</v>
      </c>
      <c r="G28" s="11" t="s">
        <v>86</v>
      </c>
      <c r="H28" s="11" t="s">
        <v>74</v>
      </c>
      <c r="I28" s="16">
        <v>19.27</v>
      </c>
      <c r="J28" s="11" t="s">
        <v>88</v>
      </c>
      <c r="K28" s="11">
        <v>27</v>
      </c>
      <c r="L28" s="11" t="s">
        <v>89</v>
      </c>
      <c r="M28" s="11" t="s">
        <v>1283</v>
      </c>
      <c r="N28">
        <f>_xlfn.XLOOKUP(spaces_3iWczBNnn5rbfoUlE0Jd_uploads_git_blob_9864c7f811c613c3faab876659c6423__25[[#This Row],[Número de Orden]],Cocinadinamica!B29:B797,Cocinadinamica!C29:C797)</f>
        <v>25</v>
      </c>
      <c r="O28" s="7">
        <f>spaces_3iWczBNnn5rbfoUlE0Jd_uploads_git_blob_9864c7f811c613c3faab876659c6423__25[[#This Row],[Hora de Llegada]]</f>
        <v>45017.054861111108</v>
      </c>
      <c r="P28" s="9">
        <f>spaces_3iWczBNnn5rbfoUlE0Jd_uploads_git_blob_9864c7f811c613c3faab876659c6423__25[[#This Row],[Hora de Llegada]]</f>
        <v>45017.054861111108</v>
      </c>
      <c r="Q28" s="9">
        <f>spaces_3iWczBNnn5rbfoUlE0Jd_uploads_git_blob_9864c7f811c613c3faab876659c6423__25[[#This Row],[Hora de Salida]]</f>
        <v>45017.102083333331</v>
      </c>
      <c r="R28" s="9" cm="1">
        <f t="array" ref="R2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5.7638888887595385E-2</v>
      </c>
      <c r="S28" s="9">
        <f>_xlfn.XLOOKUP(spaces_3iWczBNnn5rbfoUlE0Jd_uploads_git_blob_9864c7f811c613c3faab876659c6423__25[[#This Row],[Número de Orden]],Cocinadinamica!E29:E797,Cocinadinamica!F29:F797)/1440</f>
        <v>3.8194444444444448E-2</v>
      </c>
      <c r="T28" s="9" cm="1">
        <f t="array" ref="T2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1.9444444443150938E-2</v>
      </c>
      <c r="U28" s="9" t="str" cm="1">
        <f t="array" ref="U2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9" spans="1:21" x14ac:dyDescent="0.35">
      <c r="A29" s="28">
        <v>2</v>
      </c>
      <c r="B29" s="13" t="s">
        <v>878</v>
      </c>
      <c r="C29" s="13">
        <v>2</v>
      </c>
      <c r="D29" s="14">
        <v>45017.03402777778</v>
      </c>
      <c r="E29" s="14">
        <v>45017.136111111111</v>
      </c>
      <c r="F29" s="13" t="s">
        <v>72</v>
      </c>
      <c r="G29" s="13" t="s">
        <v>73</v>
      </c>
      <c r="H29" s="13" t="s">
        <v>74</v>
      </c>
      <c r="I29" s="17">
        <v>41.22</v>
      </c>
      <c r="J29" s="13" t="s">
        <v>94</v>
      </c>
      <c r="K29" s="13">
        <v>28</v>
      </c>
      <c r="L29" s="13" t="s">
        <v>164</v>
      </c>
      <c r="M29" s="13" t="s">
        <v>1284</v>
      </c>
      <c r="N29">
        <f>_xlfn.XLOOKUP(spaces_3iWczBNnn5rbfoUlE0Jd_uploads_git_blob_9864c7f811c613c3faab876659c6423__25[[#This Row],[Número de Orden]],Cocinadinamica!B30:B798,Cocinadinamica!C30:C798)</f>
        <v>40</v>
      </c>
      <c r="O29" s="7">
        <f>spaces_3iWczBNnn5rbfoUlE0Jd_uploads_git_blob_9864c7f811c613c3faab876659c6423__25[[#This Row],[Hora de Llegada]]</f>
        <v>45017.03402777778</v>
      </c>
      <c r="P29" s="9">
        <f>spaces_3iWczBNnn5rbfoUlE0Jd_uploads_git_blob_9864c7f811c613c3faab876659c6423__25[[#This Row],[Hora de Llegada]]</f>
        <v>45017.03402777778</v>
      </c>
      <c r="Q29" s="9">
        <f>spaces_3iWczBNnn5rbfoUlE0Jd_uploads_git_blob_9864c7f811c613c3faab876659c6423__25[[#This Row],[Hora de Salida]]</f>
        <v>45017.136111111111</v>
      </c>
      <c r="R29" s="9" cm="1">
        <f t="array" ref="R2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29" s="9">
        <f>_xlfn.XLOOKUP(spaces_3iWczBNnn5rbfoUlE0Jd_uploads_git_blob_9864c7f811c613c3faab876659c6423__25[[#This Row],[Número de Orden]],Cocinadinamica!E30:E798,Cocinadinamica!F30:F798)/1440</f>
        <v>3.888888888888889E-2</v>
      </c>
      <c r="T29" s="9" cm="1">
        <f t="array" ref="T2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6.3194444442504188E-2</v>
      </c>
      <c r="U29" s="9" t="str" cm="1">
        <f t="array" ref="U2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0" spans="1:21" x14ac:dyDescent="0.35">
      <c r="A30" s="27">
        <v>20</v>
      </c>
      <c r="B30" s="11" t="s">
        <v>879</v>
      </c>
      <c r="C30" s="11">
        <v>5</v>
      </c>
      <c r="D30" s="12">
        <v>45017.126388888886</v>
      </c>
      <c r="E30" s="12">
        <v>45017.256944444445</v>
      </c>
      <c r="F30" s="11" t="s">
        <v>100</v>
      </c>
      <c r="G30" s="11" t="s">
        <v>86</v>
      </c>
      <c r="H30" s="11" t="s">
        <v>74</v>
      </c>
      <c r="I30" s="16">
        <v>14.83</v>
      </c>
      <c r="J30" s="11" t="s">
        <v>88</v>
      </c>
      <c r="K30" s="11">
        <v>29</v>
      </c>
      <c r="L30" s="11" t="s">
        <v>187</v>
      </c>
      <c r="M30" s="11" t="s">
        <v>1285</v>
      </c>
      <c r="N30">
        <f>_xlfn.XLOOKUP(spaces_3iWczBNnn5rbfoUlE0Jd_uploads_git_blob_9864c7f811c613c3faab876659c6423__25[[#This Row],[Número de Orden]],Cocinadinamica!B31:B799,Cocinadinamica!C31:C799)</f>
        <v>70</v>
      </c>
      <c r="O30" s="7">
        <f>spaces_3iWczBNnn5rbfoUlE0Jd_uploads_git_blob_9864c7f811c613c3faab876659c6423__25[[#This Row],[Hora de Llegada]]</f>
        <v>45017.126388888886</v>
      </c>
      <c r="P30" s="9">
        <f>spaces_3iWczBNnn5rbfoUlE0Jd_uploads_git_blob_9864c7f811c613c3faab876659c6423__25[[#This Row],[Hora de Llegada]]</f>
        <v>45017.126388888886</v>
      </c>
      <c r="Q30" s="9">
        <f>spaces_3iWczBNnn5rbfoUlE0Jd_uploads_git_blob_9864c7f811c613c3faab876659c6423__25[[#This Row],[Hora de Salida]]</f>
        <v>45017.256944444445</v>
      </c>
      <c r="R30" s="9" cm="1">
        <f t="array" ref="R3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0.14097222222335404</v>
      </c>
      <c r="S30" s="9">
        <f>_xlfn.XLOOKUP(spaces_3iWczBNnn5rbfoUlE0Jd_uploads_git_blob_9864c7f811c613c3faab876659c6423__25[[#This Row],[Número de Orden]],Cocinadinamica!E31:E799,Cocinadinamica!F31:F799)/1440</f>
        <v>4.9305555555555554E-2</v>
      </c>
      <c r="T30" s="9" cm="1">
        <f t="array" ref="T3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9.1666666667798491E-2</v>
      </c>
      <c r="U30" s="9" t="str" cm="1">
        <f t="array" ref="U3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" spans="1:21" x14ac:dyDescent="0.35">
      <c r="A31" s="28">
        <v>14</v>
      </c>
      <c r="B31" s="13" t="s">
        <v>880</v>
      </c>
      <c r="C31" s="13">
        <v>4</v>
      </c>
      <c r="D31" s="14">
        <v>45017.121527777781</v>
      </c>
      <c r="E31" s="14">
        <v>45017.259027777778</v>
      </c>
      <c r="F31" s="13" t="s">
        <v>72</v>
      </c>
      <c r="G31" s="13" t="s">
        <v>86</v>
      </c>
      <c r="H31" s="13" t="s">
        <v>87</v>
      </c>
      <c r="I31" s="17">
        <v>26.29</v>
      </c>
      <c r="J31" s="13" t="s">
        <v>75</v>
      </c>
      <c r="K31" s="13">
        <v>30</v>
      </c>
      <c r="L31" s="13" t="s">
        <v>275</v>
      </c>
      <c r="M31" s="13" t="s">
        <v>1286</v>
      </c>
      <c r="N31">
        <f>_xlfn.XLOOKUP(spaces_3iWczBNnn5rbfoUlE0Jd_uploads_git_blob_9864c7f811c613c3faab876659c6423__25[[#This Row],[Número de Orden]],Cocinadinamica!B32:B800,Cocinadinamica!C32:C800)</f>
        <v>46</v>
      </c>
      <c r="O31" s="7">
        <f>spaces_3iWczBNnn5rbfoUlE0Jd_uploads_git_blob_9864c7f811c613c3faab876659c6423__25[[#This Row],[Hora de Llegada]]</f>
        <v>45017.121527777781</v>
      </c>
      <c r="P31" s="9">
        <f>spaces_3iWczBNnn5rbfoUlE0Jd_uploads_git_blob_9864c7f811c613c3faab876659c6423__25[[#This Row],[Hora de Llegada]]</f>
        <v>45017.121527777781</v>
      </c>
      <c r="Q31" s="9">
        <f>spaces_3iWczBNnn5rbfoUlE0Jd_uploads_git_blob_9864c7f811c613c3faab876659c6423__25[[#This Row],[Hora de Salida]]</f>
        <v>45017.259027777778</v>
      </c>
      <c r="R31" s="9" cm="1">
        <f t="array" ref="R3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0.13749999999708962</v>
      </c>
      <c r="S31" s="9">
        <f>_xlfn.XLOOKUP(spaces_3iWczBNnn5rbfoUlE0Jd_uploads_git_blob_9864c7f811c613c3faab876659c6423__25[[#This Row],[Número de Orden]],Cocinadinamica!E32:E800,Cocinadinamica!F32:F800)/1440</f>
        <v>4.791666666666667E-2</v>
      </c>
      <c r="T31" s="9" cm="1">
        <f t="array" ref="T3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8.9583333330422954E-2</v>
      </c>
      <c r="U31" s="9" t="str" cm="1">
        <f t="array" ref="U3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" spans="1:21" x14ac:dyDescent="0.35">
      <c r="A32" s="27">
        <v>13</v>
      </c>
      <c r="B32" s="11" t="s">
        <v>881</v>
      </c>
      <c r="C32" s="11">
        <v>3</v>
      </c>
      <c r="D32" s="12">
        <v>45017.118750000001</v>
      </c>
      <c r="E32" s="12">
        <v>45017.251388888886</v>
      </c>
      <c r="F32" s="11" t="s">
        <v>100</v>
      </c>
      <c r="G32" s="11" t="s">
        <v>163</v>
      </c>
      <c r="H32" s="11" t="s">
        <v>74</v>
      </c>
      <c r="I32" s="16">
        <v>19.809999999999999</v>
      </c>
      <c r="J32" s="11" t="s">
        <v>88</v>
      </c>
      <c r="K32" s="11">
        <v>31</v>
      </c>
      <c r="L32" s="11" t="s">
        <v>164</v>
      </c>
      <c r="M32" s="11" t="s">
        <v>1287</v>
      </c>
      <c r="N32">
        <f>_xlfn.XLOOKUP(spaces_3iWczBNnn5rbfoUlE0Jd_uploads_git_blob_9864c7f811c613c3faab876659c6423__25[[#This Row],[Número de Orden]],Cocinadinamica!B33:B801,Cocinadinamica!C33:C801)</f>
        <v>28</v>
      </c>
      <c r="O32" s="7">
        <f>spaces_3iWczBNnn5rbfoUlE0Jd_uploads_git_blob_9864c7f811c613c3faab876659c6423__25[[#This Row],[Hora de Llegada]]</f>
        <v>45017.118750000001</v>
      </c>
      <c r="P32" s="9">
        <f>spaces_3iWczBNnn5rbfoUlE0Jd_uploads_git_blob_9864c7f811c613c3faab876659c6423__25[[#This Row],[Hora de Llegada]]</f>
        <v>45017.118750000001</v>
      </c>
      <c r="Q32" s="9">
        <f>spaces_3iWczBNnn5rbfoUlE0Jd_uploads_git_blob_9864c7f811c613c3faab876659c6423__25[[#This Row],[Hora de Salida]]</f>
        <v>45017.251388888886</v>
      </c>
      <c r="R32" s="9" cm="1">
        <f t="array" ref="R3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0.14305555554892635</v>
      </c>
      <c r="S32" s="9">
        <f>_xlfn.XLOOKUP(spaces_3iWczBNnn5rbfoUlE0Jd_uploads_git_blob_9864c7f811c613c3faab876659c6423__25[[#This Row],[Número de Orden]],Cocinadinamica!E33:E801,Cocinadinamica!F33:F801)/1440</f>
        <v>7.2916666666666671E-2</v>
      </c>
      <c r="T32" s="9" cm="1">
        <f t="array" ref="T3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7.0138888882259678E-2</v>
      </c>
      <c r="U32" s="9" t="str" cm="1">
        <f t="array" ref="U3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" spans="1:21" x14ac:dyDescent="0.35">
      <c r="A33" s="28">
        <v>5</v>
      </c>
      <c r="B33" s="13" t="s">
        <v>566</v>
      </c>
      <c r="C33" s="13">
        <v>1</v>
      </c>
      <c r="D33" s="14">
        <v>45017.130555555559</v>
      </c>
      <c r="E33" s="14">
        <v>45017.28402777778</v>
      </c>
      <c r="F33" s="13" t="s">
        <v>223</v>
      </c>
      <c r="G33" s="13" t="s">
        <v>86</v>
      </c>
      <c r="H33" s="13" t="s">
        <v>74</v>
      </c>
      <c r="I33" s="17">
        <v>28.25</v>
      </c>
      <c r="J33" s="13" t="s">
        <v>88</v>
      </c>
      <c r="K33" s="13">
        <v>32</v>
      </c>
      <c r="L33" s="13" t="s">
        <v>174</v>
      </c>
      <c r="M33" s="13" t="s">
        <v>1288</v>
      </c>
      <c r="N33">
        <f>_xlfn.XLOOKUP(spaces_3iWczBNnn5rbfoUlE0Jd_uploads_git_blob_9864c7f811c613c3faab876659c6423__25[[#This Row],[Número de Orden]],Cocinadinamica!B34:B802,Cocinadinamica!C34:C802)</f>
        <v>88</v>
      </c>
      <c r="O33" s="7">
        <f>spaces_3iWczBNnn5rbfoUlE0Jd_uploads_git_blob_9864c7f811c613c3faab876659c6423__25[[#This Row],[Hora de Llegada]]</f>
        <v>45017.130555555559</v>
      </c>
      <c r="P33" s="9">
        <f>spaces_3iWczBNnn5rbfoUlE0Jd_uploads_git_blob_9864c7f811c613c3faab876659c6423__25[[#This Row],[Hora de Llegada]]</f>
        <v>45017.130555555559</v>
      </c>
      <c r="Q33" s="9">
        <f>spaces_3iWczBNnn5rbfoUlE0Jd_uploads_git_blob_9864c7f811c613c3faab876659c6423__25[[#This Row],[Hora de Salida]]</f>
        <v>45017.28402777778</v>
      </c>
      <c r="R33" s="9" cm="1">
        <f t="array" ref="R3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0.163888888884685</v>
      </c>
      <c r="S33" s="9">
        <f>_xlfn.XLOOKUP(spaces_3iWczBNnn5rbfoUlE0Jd_uploads_git_blob_9864c7f811c613c3faab876659c6423__25[[#This Row],[Número de Orden]],Cocinadinamica!E34:E802,Cocinadinamica!F34:F802)/1440</f>
        <v>8.8888888888888892E-2</v>
      </c>
      <c r="T33" s="9" cm="1">
        <f t="array" ref="T3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7.499999999579611E-2</v>
      </c>
      <c r="U33" s="9" t="str" cm="1">
        <f t="array" ref="U3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" spans="1:21" x14ac:dyDescent="0.35">
      <c r="A34" s="27">
        <v>4</v>
      </c>
      <c r="B34" s="11" t="s">
        <v>787</v>
      </c>
      <c r="C34" s="11">
        <v>5</v>
      </c>
      <c r="D34" s="12">
        <v>45017.147916666669</v>
      </c>
      <c r="E34" s="12">
        <v>45017.26458333333</v>
      </c>
      <c r="F34" s="11" t="s">
        <v>72</v>
      </c>
      <c r="G34" s="11" t="s">
        <v>73</v>
      </c>
      <c r="H34" s="11" t="s">
        <v>109</v>
      </c>
      <c r="I34" s="16">
        <v>20.38</v>
      </c>
      <c r="J34" s="11" t="s">
        <v>88</v>
      </c>
      <c r="K34" s="11">
        <v>33</v>
      </c>
      <c r="L34" s="11" t="s">
        <v>76</v>
      </c>
      <c r="M34" s="11" t="s">
        <v>1289</v>
      </c>
      <c r="N34">
        <f>_xlfn.XLOOKUP(spaces_3iWczBNnn5rbfoUlE0Jd_uploads_git_blob_9864c7f811c613c3faab876659c6423__25[[#This Row],[Número de Orden]],Cocinadinamica!B35:B803,Cocinadinamica!C35:C803)</f>
        <v>125</v>
      </c>
      <c r="O34" s="7">
        <f>spaces_3iWczBNnn5rbfoUlE0Jd_uploads_git_blob_9864c7f811c613c3faab876659c6423__25[[#This Row],[Hora de Llegada]]</f>
        <v>45017.147916666669</v>
      </c>
      <c r="P34" s="9">
        <f>spaces_3iWczBNnn5rbfoUlE0Jd_uploads_git_blob_9864c7f811c613c3faab876659c6423__25[[#This Row],[Hora de Llegada]]</f>
        <v>45017.147916666669</v>
      </c>
      <c r="Q34" s="9">
        <f>spaces_3iWczBNnn5rbfoUlE0Jd_uploads_git_blob_9864c7f811c613c3faab876659c6423__25[[#This Row],[Hora de Salida]]</f>
        <v>45017.26458333333</v>
      </c>
      <c r="R34" s="9" cm="1">
        <f t="array" ref="R3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0.12708333332557231</v>
      </c>
      <c r="S34" s="9">
        <f>_xlfn.XLOOKUP(spaces_3iWczBNnn5rbfoUlE0Jd_uploads_git_blob_9864c7f811c613c3faab876659c6423__25[[#This Row],[Número de Orden]],Cocinadinamica!E35:E803,Cocinadinamica!F35:F803)/1440</f>
        <v>9.0277777777777776E-2</v>
      </c>
      <c r="T34" s="9" cm="1">
        <f t="array" ref="T3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3.6805555547794536E-2</v>
      </c>
      <c r="U34" s="9" t="str" cm="1">
        <f t="array" ref="U3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" spans="1:21" x14ac:dyDescent="0.35">
      <c r="A35" s="28">
        <v>15</v>
      </c>
      <c r="B35" s="13" t="s">
        <v>882</v>
      </c>
      <c r="C35" s="13">
        <v>1</v>
      </c>
      <c r="D35" s="14">
        <v>45017.094444444447</v>
      </c>
      <c r="E35" s="14">
        <v>45017.254861111112</v>
      </c>
      <c r="F35" s="13" t="s">
        <v>72</v>
      </c>
      <c r="G35" s="13" t="s">
        <v>163</v>
      </c>
      <c r="H35" s="13" t="s">
        <v>74</v>
      </c>
      <c r="I35" s="17">
        <v>13.08</v>
      </c>
      <c r="J35" s="13" t="s">
        <v>75</v>
      </c>
      <c r="K35" s="13">
        <v>34</v>
      </c>
      <c r="L35" s="13" t="s">
        <v>76</v>
      </c>
      <c r="M35" s="13" t="s">
        <v>1290</v>
      </c>
      <c r="N35">
        <f>_xlfn.XLOOKUP(spaces_3iWczBNnn5rbfoUlE0Jd_uploads_git_blob_9864c7f811c613c3faab876659c6423__25[[#This Row],[Número de Orden]],Cocinadinamica!B36:B804,Cocinadinamica!C36:C804)</f>
        <v>47</v>
      </c>
      <c r="O35" s="7">
        <f>spaces_3iWczBNnn5rbfoUlE0Jd_uploads_git_blob_9864c7f811c613c3faab876659c6423__25[[#This Row],[Hora de Llegada]]</f>
        <v>45017.094444444447</v>
      </c>
      <c r="P35" s="9">
        <f>spaces_3iWczBNnn5rbfoUlE0Jd_uploads_git_blob_9864c7f811c613c3faab876659c6423__25[[#This Row],[Hora de Llegada]]</f>
        <v>45017.094444444447</v>
      </c>
      <c r="Q35" s="9">
        <f>spaces_3iWczBNnn5rbfoUlE0Jd_uploads_git_blob_9864c7f811c613c3faab876659c6423__25[[#This Row],[Hora de Salida]]</f>
        <v>45017.254861111112</v>
      </c>
      <c r="R35" s="9" cm="1">
        <f t="array" ref="R3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0.16041666666569654</v>
      </c>
      <c r="S35" s="9">
        <f>_xlfn.XLOOKUP(spaces_3iWczBNnn5rbfoUlE0Jd_uploads_git_blob_9864c7f811c613c3faab876659c6423__25[[#This Row],[Número de Orden]],Cocinadinamica!E36:E804,Cocinadinamica!F36:F804)/1440</f>
        <v>4.5138888888888888E-2</v>
      </c>
      <c r="T35" s="9" cm="1">
        <f t="array" ref="T3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0.11527777777680764</v>
      </c>
      <c r="U35" s="9" t="str" cm="1">
        <f t="array" ref="U3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" spans="1:21" x14ac:dyDescent="0.35">
      <c r="A36" s="27">
        <v>13</v>
      </c>
      <c r="B36" s="11" t="s">
        <v>883</v>
      </c>
      <c r="C36" s="11">
        <v>2</v>
      </c>
      <c r="D36" s="12">
        <v>45017.137499999997</v>
      </c>
      <c r="E36" s="12">
        <v>45017.246527777781</v>
      </c>
      <c r="F36" s="11" t="s">
        <v>170</v>
      </c>
      <c r="G36" s="11" t="s">
        <v>86</v>
      </c>
      <c r="H36" s="11" t="s">
        <v>74</v>
      </c>
      <c r="I36" s="16">
        <v>15.75</v>
      </c>
      <c r="J36" s="11" t="s">
        <v>88</v>
      </c>
      <c r="K36" s="11">
        <v>35</v>
      </c>
      <c r="L36" s="11" t="s">
        <v>76</v>
      </c>
      <c r="M36" s="11" t="s">
        <v>1291</v>
      </c>
      <c r="N36">
        <f>_xlfn.XLOOKUP(spaces_3iWczBNnn5rbfoUlE0Jd_uploads_git_blob_9864c7f811c613c3faab876659c6423__25[[#This Row],[Número de Orden]],Cocinadinamica!B37:B805,Cocinadinamica!C37:C805)</f>
        <v>85</v>
      </c>
      <c r="O36" s="7">
        <f>spaces_3iWczBNnn5rbfoUlE0Jd_uploads_git_blob_9864c7f811c613c3faab876659c6423__25[[#This Row],[Hora de Llegada]]</f>
        <v>45017.137499999997</v>
      </c>
      <c r="P36" s="9">
        <f>spaces_3iWczBNnn5rbfoUlE0Jd_uploads_git_blob_9864c7f811c613c3faab876659c6423__25[[#This Row],[Hora de Llegada]]</f>
        <v>45017.137499999997</v>
      </c>
      <c r="Q36" s="9">
        <f>spaces_3iWczBNnn5rbfoUlE0Jd_uploads_git_blob_9864c7f811c613c3faab876659c6423__25[[#This Row],[Hora de Salida]]</f>
        <v>45017.246527777781</v>
      </c>
      <c r="R36" s="9" cm="1">
        <f t="array" ref="R3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0.11944444444816327</v>
      </c>
      <c r="S36" s="9">
        <f>_xlfn.XLOOKUP(spaces_3iWczBNnn5rbfoUlE0Jd_uploads_git_blob_9864c7f811c613c3faab876659c6423__25[[#This Row],[Número de Orden]],Cocinadinamica!E37:E805,Cocinadinamica!F37:F805)/1440</f>
        <v>4.5138888888888888E-2</v>
      </c>
      <c r="T36" s="9" cm="1">
        <f t="array" ref="T3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7.4305555559274372E-2</v>
      </c>
      <c r="U36" s="9" t="str" cm="1">
        <f t="array" ref="U3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" spans="1:21" x14ac:dyDescent="0.35">
      <c r="A37" s="28" t="s">
        <v>121</v>
      </c>
      <c r="B37" s="13" t="s">
        <v>122</v>
      </c>
      <c r="C37" s="13">
        <v>5</v>
      </c>
      <c r="D37" s="14">
        <v>45017.143750000003</v>
      </c>
      <c r="E37" s="14">
        <v>45017.268055555556</v>
      </c>
      <c r="F37" s="13" t="s">
        <v>100</v>
      </c>
      <c r="G37" s="13" t="s">
        <v>86</v>
      </c>
      <c r="H37" s="13" t="s">
        <v>74</v>
      </c>
      <c r="I37" s="17">
        <v>45.28</v>
      </c>
      <c r="J37" s="13" t="s">
        <v>88</v>
      </c>
      <c r="K37" s="13">
        <v>36</v>
      </c>
      <c r="L37" s="13" t="s">
        <v>95</v>
      </c>
      <c r="M37" s="13" t="s">
        <v>12</v>
      </c>
      <c r="N37">
        <f>_xlfn.XLOOKUP(spaces_3iWczBNnn5rbfoUlE0Jd_uploads_git_blob_9864c7f811c613c3faab876659c6423__25[[#This Row],[Número de Orden]],Cocinadinamica!B38:B806,Cocinadinamica!C38:C806)</f>
        <v>12</v>
      </c>
      <c r="O37" s="7">
        <f>spaces_3iWczBNnn5rbfoUlE0Jd_uploads_git_blob_9864c7f811c613c3faab876659c6423__25[[#This Row],[Hora de Llegada]]</f>
        <v>45017.143750000003</v>
      </c>
      <c r="P37" s="9">
        <f>spaces_3iWczBNnn5rbfoUlE0Jd_uploads_git_blob_9864c7f811c613c3faab876659c6423__25[[#This Row],[Hora de Llegada]]</f>
        <v>45017.143750000003</v>
      </c>
      <c r="Q37" s="9">
        <f>spaces_3iWczBNnn5rbfoUlE0Jd_uploads_git_blob_9864c7f811c613c3faab876659c6423__25[[#This Row],[Hora de Salida]]</f>
        <v>45017.268055555556</v>
      </c>
      <c r="R37" s="9" cm="1">
        <f t="array" ref="R3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0.13472222221753327</v>
      </c>
      <c r="S37" s="9">
        <f>_xlfn.XLOOKUP(spaces_3iWczBNnn5rbfoUlE0Jd_uploads_git_blob_9864c7f811c613c3faab876659c6423__25[[#This Row],[Número de Orden]],Cocinadinamica!E38:E806,Cocinadinamica!F38:F806)/1440</f>
        <v>2.6388888888888889E-2</v>
      </c>
      <c r="T37" s="9" cm="1">
        <f t="array" ref="T3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0.10833333332864438</v>
      </c>
      <c r="U37" s="9" t="str" cm="1">
        <f t="array" ref="U3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" spans="1:21" x14ac:dyDescent="0.35">
      <c r="A38" s="27" t="s">
        <v>92</v>
      </c>
      <c r="B38" s="11" t="s">
        <v>123</v>
      </c>
      <c r="C38" s="11">
        <v>1</v>
      </c>
      <c r="D38" s="12">
        <v>45017.14166666667</v>
      </c>
      <c r="E38" s="12">
        <v>45017.251388888886</v>
      </c>
      <c r="F38" s="11" t="s">
        <v>85</v>
      </c>
      <c r="G38" s="11" t="s">
        <v>73</v>
      </c>
      <c r="H38" s="11" t="s">
        <v>74</v>
      </c>
      <c r="I38" s="16">
        <v>10.39</v>
      </c>
      <c r="J38" s="11" t="s">
        <v>88</v>
      </c>
      <c r="K38" s="11">
        <v>37</v>
      </c>
      <c r="L38" s="11" t="s">
        <v>89</v>
      </c>
      <c r="M38" s="11" t="s">
        <v>43</v>
      </c>
      <c r="N38">
        <f>_xlfn.XLOOKUP(spaces_3iWczBNnn5rbfoUlE0Jd_uploads_git_blob_9864c7f811c613c3faab876659c6423__25[[#This Row],[Número de Orden]],Cocinadinamica!B39:B807,Cocinadinamica!C39:C807)</f>
        <v>8</v>
      </c>
      <c r="O38" s="7">
        <f>spaces_3iWczBNnn5rbfoUlE0Jd_uploads_git_blob_9864c7f811c613c3faab876659c6423__25[[#This Row],[Hora de Llegada]]</f>
        <v>45017.14166666667</v>
      </c>
      <c r="P38" s="9">
        <f>spaces_3iWczBNnn5rbfoUlE0Jd_uploads_git_blob_9864c7f811c613c3faab876659c6423__25[[#This Row],[Hora de Llegada]]</f>
        <v>45017.14166666667</v>
      </c>
      <c r="Q38" s="9">
        <f>spaces_3iWczBNnn5rbfoUlE0Jd_uploads_git_blob_9864c7f811c613c3faab876659c6423__25[[#This Row],[Hora de Salida]]</f>
        <v>45017.251388888886</v>
      </c>
      <c r="R38" s="9" cm="1">
        <f t="array" ref="R3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0.12013888888031943</v>
      </c>
      <c r="S38" s="9">
        <f>_xlfn.XLOOKUP(spaces_3iWczBNnn5rbfoUlE0Jd_uploads_git_blob_9864c7f811c613c3faab876659c6423__25[[#This Row],[Número de Orden]],Cocinadinamica!E39:E807,Cocinadinamica!F39:F807)/1440</f>
        <v>3.2638888888888891E-2</v>
      </c>
      <c r="T38" s="9" cm="1">
        <f t="array" ref="T3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8.7499999991430544E-2</v>
      </c>
      <c r="U38" s="9" t="str" cm="1">
        <f t="array" ref="U3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" spans="1:21" x14ac:dyDescent="0.35">
      <c r="A39" s="28">
        <v>10</v>
      </c>
      <c r="B39" s="13" t="s">
        <v>884</v>
      </c>
      <c r="C39" s="13">
        <v>6</v>
      </c>
      <c r="D39" s="14">
        <v>45017.109722222223</v>
      </c>
      <c r="E39" s="14">
        <v>45017.161805555559</v>
      </c>
      <c r="F39" s="13" t="s">
        <v>72</v>
      </c>
      <c r="G39" s="13" t="s">
        <v>86</v>
      </c>
      <c r="H39" s="13" t="s">
        <v>109</v>
      </c>
      <c r="I39" s="17">
        <v>16.309999999999999</v>
      </c>
      <c r="J39" s="13" t="s">
        <v>94</v>
      </c>
      <c r="K39" s="13">
        <v>38</v>
      </c>
      <c r="L39" s="13" t="s">
        <v>101</v>
      </c>
      <c r="M39" s="13" t="s">
        <v>1292</v>
      </c>
      <c r="N39">
        <f>_xlfn.XLOOKUP(spaces_3iWczBNnn5rbfoUlE0Jd_uploads_git_blob_9864c7f811c613c3faab876659c6423__25[[#This Row],[Número de Orden]],Cocinadinamica!B40:B808,Cocinadinamica!C40:C808)</f>
        <v>92</v>
      </c>
      <c r="O39" s="7">
        <f>spaces_3iWczBNnn5rbfoUlE0Jd_uploads_git_blob_9864c7f811c613c3faab876659c6423__25[[#This Row],[Hora de Llegada]]</f>
        <v>45017.109722222223</v>
      </c>
      <c r="P39" s="9">
        <f>spaces_3iWczBNnn5rbfoUlE0Jd_uploads_git_blob_9864c7f811c613c3faab876659c6423__25[[#This Row],[Hora de Llegada]]</f>
        <v>45017.109722222223</v>
      </c>
      <c r="Q39" s="9">
        <f>spaces_3iWczBNnn5rbfoUlE0Jd_uploads_git_blob_9864c7f811c613c3faab876659c6423__25[[#This Row],[Hora de Salida]]</f>
        <v>45017.161805555559</v>
      </c>
      <c r="R39" s="9" cm="1">
        <f t="array" ref="R3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5.2083333335758653E-2</v>
      </c>
      <c r="S39" s="9">
        <f>_xlfn.XLOOKUP(spaces_3iWczBNnn5rbfoUlE0Jd_uploads_git_blob_9864c7f811c613c3faab876659c6423__25[[#This Row],[Número de Orden]],Cocinadinamica!E40:E808,Cocinadinamica!F40:F808)/1440</f>
        <v>6.805555555555555E-2</v>
      </c>
      <c r="T39" s="9" cm="1">
        <f t="array" ref="T3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39" s="9" t="str" cm="1">
        <f t="array" ref="U3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0" spans="1:21" x14ac:dyDescent="0.35">
      <c r="A40" s="27" t="s">
        <v>125</v>
      </c>
      <c r="B40" s="11" t="s">
        <v>126</v>
      </c>
      <c r="C40" s="11">
        <v>3</v>
      </c>
      <c r="D40" s="12">
        <v>45017.15347222222</v>
      </c>
      <c r="E40" s="12">
        <v>45017.318749999999</v>
      </c>
      <c r="F40" s="11" t="s">
        <v>100</v>
      </c>
      <c r="G40" s="11" t="s">
        <v>73</v>
      </c>
      <c r="H40" s="11" t="s">
        <v>87</v>
      </c>
      <c r="I40" s="16">
        <v>48.36</v>
      </c>
      <c r="J40" s="11" t="s">
        <v>88</v>
      </c>
      <c r="K40" s="11">
        <v>39</v>
      </c>
      <c r="L40" s="11" t="s">
        <v>95</v>
      </c>
      <c r="M40" s="11" t="s">
        <v>21</v>
      </c>
      <c r="N40">
        <f>_xlfn.XLOOKUP(spaces_3iWczBNnn5rbfoUlE0Jd_uploads_git_blob_9864c7f811c613c3faab876659c6423__25[[#This Row],[Número de Orden]],Cocinadinamica!B41:B809,Cocinadinamica!C41:C809)</f>
        <v>42</v>
      </c>
      <c r="O40" s="7">
        <f>spaces_3iWczBNnn5rbfoUlE0Jd_uploads_git_blob_9864c7f811c613c3faab876659c6423__25[[#This Row],[Hora de Llegada]]</f>
        <v>45017.15347222222</v>
      </c>
      <c r="P40" s="9">
        <f>spaces_3iWczBNnn5rbfoUlE0Jd_uploads_git_blob_9864c7f811c613c3faab876659c6423__25[[#This Row],[Hora de Llegada]]</f>
        <v>45017.15347222222</v>
      </c>
      <c r="Q40" s="9">
        <f>spaces_3iWczBNnn5rbfoUlE0Jd_uploads_git_blob_9864c7f811c613c3faab876659c6423__25[[#This Row],[Hora de Salida]]</f>
        <v>45017.318749999999</v>
      </c>
      <c r="R40" s="9" cm="1">
        <f t="array" ref="R4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0.1756944444423425</v>
      </c>
      <c r="S40" s="9">
        <f>_xlfn.XLOOKUP(spaces_3iWczBNnn5rbfoUlE0Jd_uploads_git_blob_9864c7f811c613c3faab876659c6423__25[[#This Row],[Número de Orden]],Cocinadinamica!E41:E809,Cocinadinamica!F41:F809)/1440</f>
        <v>3.9583333333333331E-2</v>
      </c>
      <c r="T40" s="9" cm="1">
        <f t="array" ref="T4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0.13611111110900917</v>
      </c>
      <c r="U40" s="9" t="str" cm="1">
        <f t="array" ref="U4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1" spans="1:21" x14ac:dyDescent="0.35">
      <c r="A41" s="28">
        <v>1</v>
      </c>
      <c r="B41" s="13" t="s">
        <v>672</v>
      </c>
      <c r="C41" s="13">
        <v>1</v>
      </c>
      <c r="D41" s="14">
        <v>45017.083333333336</v>
      </c>
      <c r="E41" s="14">
        <v>45017.170138888891</v>
      </c>
      <c r="F41" s="13" t="s">
        <v>170</v>
      </c>
      <c r="G41" s="13" t="s">
        <v>86</v>
      </c>
      <c r="H41" s="13" t="s">
        <v>87</v>
      </c>
      <c r="I41" s="17">
        <v>13.68</v>
      </c>
      <c r="J41" s="13" t="s">
        <v>75</v>
      </c>
      <c r="K41" s="13">
        <v>40</v>
      </c>
      <c r="L41" s="13" t="s">
        <v>164</v>
      </c>
      <c r="M41" s="13" t="s">
        <v>1293</v>
      </c>
      <c r="N41">
        <f>_xlfn.XLOOKUP(spaces_3iWczBNnn5rbfoUlE0Jd_uploads_git_blob_9864c7f811c613c3faab876659c6423__25[[#This Row],[Número de Orden]],Cocinadinamica!B42:B810,Cocinadinamica!C42:C810)</f>
        <v>61</v>
      </c>
      <c r="O41" s="7">
        <f>spaces_3iWczBNnn5rbfoUlE0Jd_uploads_git_blob_9864c7f811c613c3faab876659c6423__25[[#This Row],[Hora de Llegada]]</f>
        <v>45017.083333333336</v>
      </c>
      <c r="P41" s="9">
        <f>spaces_3iWczBNnn5rbfoUlE0Jd_uploads_git_blob_9864c7f811c613c3faab876659c6423__25[[#This Row],[Hora de Llegada]]</f>
        <v>45017.083333333336</v>
      </c>
      <c r="Q41" s="9">
        <f>spaces_3iWczBNnn5rbfoUlE0Jd_uploads_git_blob_9864c7f811c613c3faab876659c6423__25[[#This Row],[Hora de Salida]]</f>
        <v>45017.170138888891</v>
      </c>
      <c r="R41" s="9" cm="1">
        <f t="array" ref="R4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8.6805555554747116E-2</v>
      </c>
      <c r="S41" s="9">
        <f>_xlfn.XLOOKUP(spaces_3iWczBNnn5rbfoUlE0Jd_uploads_git_blob_9864c7f811c613c3faab876659c6423__25[[#This Row],[Número de Orden]],Cocinadinamica!E42:E810,Cocinadinamica!F42:F810)/1440</f>
        <v>5.4166666666666669E-2</v>
      </c>
      <c r="T41" s="9" cm="1">
        <f t="array" ref="T4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3.2638888888080447E-2</v>
      </c>
      <c r="U41" s="9" t="str" cm="1">
        <f t="array" ref="U4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2" spans="1:21" x14ac:dyDescent="0.35">
      <c r="A42" s="27">
        <v>7</v>
      </c>
      <c r="B42" s="11" t="s">
        <v>885</v>
      </c>
      <c r="C42" s="11">
        <v>4</v>
      </c>
      <c r="D42" s="12">
        <v>45017.093055555553</v>
      </c>
      <c r="E42" s="12">
        <v>45017.180555555555</v>
      </c>
      <c r="F42" s="11" t="s">
        <v>100</v>
      </c>
      <c r="G42" s="11" t="s">
        <v>86</v>
      </c>
      <c r="H42" s="11" t="s">
        <v>74</v>
      </c>
      <c r="I42" s="16">
        <v>15.24</v>
      </c>
      <c r="J42" s="11" t="s">
        <v>88</v>
      </c>
      <c r="K42" s="11">
        <v>41</v>
      </c>
      <c r="L42" s="11" t="s">
        <v>76</v>
      </c>
      <c r="M42" s="11" t="s">
        <v>1294</v>
      </c>
      <c r="N42">
        <f>_xlfn.XLOOKUP(spaces_3iWczBNnn5rbfoUlE0Jd_uploads_git_blob_9864c7f811c613c3faab876659c6423__25[[#This Row],[Número de Orden]],Cocinadinamica!B43:B811,Cocinadinamica!C43:C811)</f>
        <v>84</v>
      </c>
      <c r="O42" s="7">
        <f>spaces_3iWczBNnn5rbfoUlE0Jd_uploads_git_blob_9864c7f811c613c3faab876659c6423__25[[#This Row],[Hora de Llegada]]</f>
        <v>45017.093055555553</v>
      </c>
      <c r="P42" s="9">
        <f>spaces_3iWczBNnn5rbfoUlE0Jd_uploads_git_blob_9864c7f811c613c3faab876659c6423__25[[#This Row],[Hora de Llegada]]</f>
        <v>45017.093055555553</v>
      </c>
      <c r="Q42" s="9">
        <f>spaces_3iWczBNnn5rbfoUlE0Jd_uploads_git_blob_9864c7f811c613c3faab876659c6423__25[[#This Row],[Hora de Salida]]</f>
        <v>45017.180555555555</v>
      </c>
      <c r="R42" s="9" cm="1">
        <f t="array" ref="R4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9.7916666665696539E-2</v>
      </c>
      <c r="S42" s="9">
        <f>_xlfn.XLOOKUP(spaces_3iWczBNnn5rbfoUlE0Jd_uploads_git_blob_9864c7f811c613c3faab876659c6423__25[[#This Row],[Número de Orden]],Cocinadinamica!E43:E811,Cocinadinamica!F43:F811)/1440</f>
        <v>6.1805555555555558E-2</v>
      </c>
      <c r="T42" s="9" cm="1">
        <f t="array" ref="T4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3.6111111110140981E-2</v>
      </c>
      <c r="U42" s="9" t="str" cm="1">
        <f t="array" ref="U4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" spans="1:21" x14ac:dyDescent="0.35">
      <c r="A43" s="28">
        <v>14</v>
      </c>
      <c r="B43" s="13" t="s">
        <v>342</v>
      </c>
      <c r="C43" s="13">
        <v>1</v>
      </c>
      <c r="D43" s="14">
        <v>45017.017361111109</v>
      </c>
      <c r="E43" s="14">
        <v>45017.073611111111</v>
      </c>
      <c r="F43" s="13" t="s">
        <v>100</v>
      </c>
      <c r="G43" s="13" t="s">
        <v>86</v>
      </c>
      <c r="H43" s="13" t="s">
        <v>74</v>
      </c>
      <c r="I43" s="17">
        <v>49.58</v>
      </c>
      <c r="J43" s="13" t="s">
        <v>94</v>
      </c>
      <c r="K43" s="13">
        <v>42</v>
      </c>
      <c r="L43" s="13" t="s">
        <v>95</v>
      </c>
      <c r="M43" s="13" t="s">
        <v>1295</v>
      </c>
      <c r="N43">
        <f>_xlfn.XLOOKUP(spaces_3iWczBNnn5rbfoUlE0Jd_uploads_git_blob_9864c7f811c613c3faab876659c6423__25[[#This Row],[Número de Orden]],Cocinadinamica!B44:B812,Cocinadinamica!C44:C812)</f>
        <v>39</v>
      </c>
      <c r="O43" s="7">
        <f>spaces_3iWczBNnn5rbfoUlE0Jd_uploads_git_blob_9864c7f811c613c3faab876659c6423__25[[#This Row],[Hora de Llegada]]</f>
        <v>45017.017361111109</v>
      </c>
      <c r="P43" s="9">
        <f>spaces_3iWczBNnn5rbfoUlE0Jd_uploads_git_blob_9864c7f811c613c3faab876659c6423__25[[#This Row],[Hora de Llegada]]</f>
        <v>45017.017361111109</v>
      </c>
      <c r="Q43" s="9">
        <f>spaces_3iWczBNnn5rbfoUlE0Jd_uploads_git_blob_9864c7f811c613c3faab876659c6423__25[[#This Row],[Hora de Salida]]</f>
        <v>45017.073611111111</v>
      </c>
      <c r="R43" s="9" cm="1">
        <f t="array" ref="R4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5.6250000001455192E-2</v>
      </c>
      <c r="S43" s="9">
        <f>_xlfn.XLOOKUP(spaces_3iWczBNnn5rbfoUlE0Jd_uploads_git_blob_9864c7f811c613c3faab876659c6423__25[[#This Row],[Número de Orden]],Cocinadinamica!E44:E812,Cocinadinamica!F44:F812)/1440</f>
        <v>4.791666666666667E-2</v>
      </c>
      <c r="T43" s="9" cm="1">
        <f t="array" ref="T4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8.3333333347885216E-3</v>
      </c>
      <c r="U43" s="9" t="str" cm="1">
        <f t="array" ref="U4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4" spans="1:21" x14ac:dyDescent="0.35">
      <c r="A44" s="27">
        <v>8</v>
      </c>
      <c r="B44" s="11" t="s">
        <v>886</v>
      </c>
      <c r="C44" s="11">
        <v>6</v>
      </c>
      <c r="D44" s="12">
        <v>45017.043055555558</v>
      </c>
      <c r="E44" s="12">
        <v>45017.134722222225</v>
      </c>
      <c r="F44" s="11" t="s">
        <v>72</v>
      </c>
      <c r="G44" s="11" t="s">
        <v>86</v>
      </c>
      <c r="H44" s="11" t="s">
        <v>74</v>
      </c>
      <c r="I44" s="16">
        <v>32.19</v>
      </c>
      <c r="J44" s="11" t="s">
        <v>88</v>
      </c>
      <c r="K44" s="11">
        <v>43</v>
      </c>
      <c r="L44" s="11" t="s">
        <v>76</v>
      </c>
      <c r="M44" s="11" t="s">
        <v>1296</v>
      </c>
      <c r="N44">
        <f>_xlfn.XLOOKUP(spaces_3iWczBNnn5rbfoUlE0Jd_uploads_git_blob_9864c7f811c613c3faab876659c6423__25[[#This Row],[Número de Orden]],Cocinadinamica!B45:B813,Cocinadinamica!C45:C813)</f>
        <v>83</v>
      </c>
      <c r="O44" s="7">
        <f>spaces_3iWczBNnn5rbfoUlE0Jd_uploads_git_blob_9864c7f811c613c3faab876659c6423__25[[#This Row],[Hora de Llegada]]</f>
        <v>45017.043055555558</v>
      </c>
      <c r="P44" s="9">
        <f>spaces_3iWczBNnn5rbfoUlE0Jd_uploads_git_blob_9864c7f811c613c3faab876659c6423__25[[#This Row],[Hora de Llegada]]</f>
        <v>45017.043055555558</v>
      </c>
      <c r="Q44" s="9">
        <f>spaces_3iWczBNnn5rbfoUlE0Jd_uploads_git_blob_9864c7f811c613c3faab876659c6423__25[[#This Row],[Hora de Salida]]</f>
        <v>45017.134722222225</v>
      </c>
      <c r="R44" s="9" cm="1">
        <f t="array" ref="R4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44" s="9">
        <f>_xlfn.XLOOKUP(spaces_3iWczBNnn5rbfoUlE0Jd_uploads_git_blob_9864c7f811c613c3faab876659c6423__25[[#This Row],[Número de Orden]],Cocinadinamica!E45:E813,Cocinadinamica!F45:F813)/1440</f>
        <v>0.10138888888888889</v>
      </c>
      <c r="T44" s="9" cm="1">
        <f t="array" ref="T4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6.9444444250418846E-4</v>
      </c>
      <c r="U44" s="9" t="str" cm="1">
        <f t="array" ref="U4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5" spans="1:21" x14ac:dyDescent="0.35">
      <c r="A45" s="28">
        <v>18</v>
      </c>
      <c r="B45" s="13" t="s">
        <v>672</v>
      </c>
      <c r="C45" s="13">
        <v>1</v>
      </c>
      <c r="D45" s="14">
        <v>45017.129166666666</v>
      </c>
      <c r="E45" s="14">
        <v>45017.262499999997</v>
      </c>
      <c r="F45" s="13" t="s">
        <v>72</v>
      </c>
      <c r="G45" s="13" t="s">
        <v>86</v>
      </c>
      <c r="H45" s="13" t="s">
        <v>74</v>
      </c>
      <c r="I45" s="17">
        <v>42.6</v>
      </c>
      <c r="J45" s="13" t="s">
        <v>75</v>
      </c>
      <c r="K45" s="13">
        <v>44</v>
      </c>
      <c r="L45" s="13" t="s">
        <v>181</v>
      </c>
      <c r="M45" s="13" t="s">
        <v>1297</v>
      </c>
      <c r="N45">
        <f>_xlfn.XLOOKUP(spaces_3iWczBNnn5rbfoUlE0Jd_uploads_git_blob_9864c7f811c613c3faab876659c6423__25[[#This Row],[Número de Orden]],Cocinadinamica!B46:B814,Cocinadinamica!C46:C814)</f>
        <v>49</v>
      </c>
      <c r="O45" s="7">
        <f>spaces_3iWczBNnn5rbfoUlE0Jd_uploads_git_blob_9864c7f811c613c3faab876659c6423__25[[#This Row],[Hora de Llegada]]</f>
        <v>45017.129166666666</v>
      </c>
      <c r="P45" s="9">
        <f>spaces_3iWczBNnn5rbfoUlE0Jd_uploads_git_blob_9864c7f811c613c3faab876659c6423__25[[#This Row],[Hora de Llegada]]</f>
        <v>45017.129166666666</v>
      </c>
      <c r="Q45" s="9">
        <f>spaces_3iWczBNnn5rbfoUlE0Jd_uploads_git_blob_9864c7f811c613c3faab876659c6423__25[[#This Row],[Hora de Salida]]</f>
        <v>45017.262499999997</v>
      </c>
      <c r="R45" s="9" cm="1">
        <f t="array" ref="R4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0.13333333333139308</v>
      </c>
      <c r="S45" s="9">
        <f>_xlfn.XLOOKUP(spaces_3iWczBNnn5rbfoUlE0Jd_uploads_git_blob_9864c7f811c613c3faab876659c6423__25[[#This Row],[Número de Orden]],Cocinadinamica!E46:E814,Cocinadinamica!F46:F814)/1440</f>
        <v>5.9027777777777776E-2</v>
      </c>
      <c r="T45" s="9" cm="1">
        <f t="array" ref="T4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7.4305555553615302E-2</v>
      </c>
      <c r="U45" s="9" t="str" cm="1">
        <f t="array" ref="U4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" spans="1:21" x14ac:dyDescent="0.35">
      <c r="A46" s="27" t="s">
        <v>132</v>
      </c>
      <c r="B46" s="11" t="s">
        <v>133</v>
      </c>
      <c r="C46" s="11">
        <v>2</v>
      </c>
      <c r="D46" s="12">
        <v>45017.09375</v>
      </c>
      <c r="E46" s="12">
        <v>45017.167361111111</v>
      </c>
      <c r="F46" s="11" t="s">
        <v>100</v>
      </c>
      <c r="G46" s="11" t="s">
        <v>86</v>
      </c>
      <c r="H46" s="11" t="s">
        <v>74</v>
      </c>
      <c r="I46" s="16">
        <v>25.41</v>
      </c>
      <c r="J46" s="11" t="s">
        <v>94</v>
      </c>
      <c r="K46" s="11">
        <v>45</v>
      </c>
      <c r="L46" s="11" t="s">
        <v>76</v>
      </c>
      <c r="M46" s="11" t="s">
        <v>45</v>
      </c>
      <c r="N46">
        <f>_xlfn.XLOOKUP(spaces_3iWczBNnn5rbfoUlE0Jd_uploads_git_blob_9864c7f811c613c3faab876659c6423__25[[#This Row],[Número de Orden]],Cocinadinamica!B47:B815,Cocinadinamica!C47:C815)</f>
        <v>24</v>
      </c>
      <c r="O46" s="7">
        <f>spaces_3iWczBNnn5rbfoUlE0Jd_uploads_git_blob_9864c7f811c613c3faab876659c6423__25[[#This Row],[Hora de Llegada]]</f>
        <v>45017.09375</v>
      </c>
      <c r="P46" s="9">
        <f>spaces_3iWczBNnn5rbfoUlE0Jd_uploads_git_blob_9864c7f811c613c3faab876659c6423__25[[#This Row],[Hora de Llegada]]</f>
        <v>45017.09375</v>
      </c>
      <c r="Q46" s="9">
        <f>spaces_3iWczBNnn5rbfoUlE0Jd_uploads_git_blob_9864c7f811c613c3faab876659c6423__25[[#This Row],[Hora de Salida]]</f>
        <v>45017.167361111111</v>
      </c>
      <c r="R46" s="9" cm="1">
        <f t="array" ref="R4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7.3611111110949423E-2</v>
      </c>
      <c r="S46" s="9">
        <f>_xlfn.XLOOKUP(spaces_3iWczBNnn5rbfoUlE0Jd_uploads_git_blob_9864c7f811c613c3faab876659c6423__25[[#This Row],[Número de Orden]],Cocinadinamica!E47:E815,Cocinadinamica!F47:F815)/1440</f>
        <v>3.2638888888888891E-2</v>
      </c>
      <c r="T46" s="9" cm="1">
        <f t="array" ref="T4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4.0972222222060532E-2</v>
      </c>
      <c r="U46" s="9" t="str" cm="1">
        <f t="array" ref="U4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7" spans="1:21" x14ac:dyDescent="0.35">
      <c r="A47" s="28">
        <v>10</v>
      </c>
      <c r="B47" s="13" t="s">
        <v>743</v>
      </c>
      <c r="C47" s="13">
        <v>1</v>
      </c>
      <c r="D47" s="14">
        <v>45017.074305555558</v>
      </c>
      <c r="E47" s="14">
        <v>45017.152083333334</v>
      </c>
      <c r="F47" s="13" t="s">
        <v>85</v>
      </c>
      <c r="G47" s="13" t="s">
        <v>86</v>
      </c>
      <c r="H47" s="13" t="s">
        <v>74</v>
      </c>
      <c r="I47" s="17">
        <v>27.97</v>
      </c>
      <c r="J47" s="13" t="s">
        <v>75</v>
      </c>
      <c r="K47" s="13">
        <v>46</v>
      </c>
      <c r="L47" s="13" t="s">
        <v>101</v>
      </c>
      <c r="M47" s="13" t="s">
        <v>1298</v>
      </c>
      <c r="N47">
        <f>_xlfn.XLOOKUP(spaces_3iWczBNnn5rbfoUlE0Jd_uploads_git_blob_9864c7f811c613c3faab876659c6423__25[[#This Row],[Número de Orden]],Cocinadinamica!B48:B816,Cocinadinamica!C48:C816)</f>
        <v>56</v>
      </c>
      <c r="O47" s="7">
        <f>spaces_3iWczBNnn5rbfoUlE0Jd_uploads_git_blob_9864c7f811c613c3faab876659c6423__25[[#This Row],[Hora de Llegada]]</f>
        <v>45017.074305555558</v>
      </c>
      <c r="P47" s="9">
        <f>spaces_3iWczBNnn5rbfoUlE0Jd_uploads_git_blob_9864c7f811c613c3faab876659c6423__25[[#This Row],[Hora de Llegada]]</f>
        <v>45017.074305555558</v>
      </c>
      <c r="Q47" s="9">
        <f>spaces_3iWczBNnn5rbfoUlE0Jd_uploads_git_blob_9864c7f811c613c3faab876659c6423__25[[#This Row],[Hora de Salida]]</f>
        <v>45017.152083333334</v>
      </c>
      <c r="R47" s="9" cm="1">
        <f t="array" ref="R4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7.7777777776645962E-2</v>
      </c>
      <c r="S47" s="9">
        <f>_xlfn.XLOOKUP(spaces_3iWczBNnn5rbfoUlE0Jd_uploads_git_blob_9864c7f811c613c3faab876659c6423__25[[#This Row],[Número de Orden]],Cocinadinamica!E48:E816,Cocinadinamica!F48:F816)/1440</f>
        <v>5.9722222222222225E-2</v>
      </c>
      <c r="T47" s="9" cm="1">
        <f t="array" ref="T4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1.8055555554423737E-2</v>
      </c>
      <c r="U47" s="9" t="str" cm="1">
        <f t="array" ref="U4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" spans="1:21" x14ac:dyDescent="0.35">
      <c r="A48" s="27">
        <v>18</v>
      </c>
      <c r="B48" s="11" t="s">
        <v>887</v>
      </c>
      <c r="C48" s="11">
        <v>3</v>
      </c>
      <c r="D48" s="12">
        <v>45017.145833333336</v>
      </c>
      <c r="E48" s="12">
        <v>45017.311805555553</v>
      </c>
      <c r="F48" s="11" t="s">
        <v>100</v>
      </c>
      <c r="G48" s="11" t="s">
        <v>86</v>
      </c>
      <c r="H48" s="11" t="s">
        <v>74</v>
      </c>
      <c r="I48" s="16">
        <v>10.98</v>
      </c>
      <c r="J48" s="11" t="s">
        <v>88</v>
      </c>
      <c r="K48" s="11">
        <v>47</v>
      </c>
      <c r="L48" s="11" t="s">
        <v>89</v>
      </c>
      <c r="M48" s="11" t="s">
        <v>1299</v>
      </c>
      <c r="N48">
        <f>_xlfn.XLOOKUP(spaces_3iWczBNnn5rbfoUlE0Jd_uploads_git_blob_9864c7f811c613c3faab876659c6423__25[[#This Row],[Número de Orden]],Cocinadinamica!B49:B817,Cocinadinamica!C49:C817)</f>
        <v>43</v>
      </c>
      <c r="O48" s="7">
        <f>spaces_3iWczBNnn5rbfoUlE0Jd_uploads_git_blob_9864c7f811c613c3faab876659c6423__25[[#This Row],[Hora de Llegada]]</f>
        <v>45017.145833333336</v>
      </c>
      <c r="P48" s="9">
        <f>spaces_3iWczBNnn5rbfoUlE0Jd_uploads_git_blob_9864c7f811c613c3faab876659c6423__25[[#This Row],[Hora de Llegada]]</f>
        <v>45017.145833333336</v>
      </c>
      <c r="Q48" s="9">
        <f>spaces_3iWczBNnn5rbfoUlE0Jd_uploads_git_blob_9864c7f811c613c3faab876659c6423__25[[#This Row],[Hora de Salida]]</f>
        <v>45017.311805555553</v>
      </c>
      <c r="R48" s="9" cm="1">
        <f t="array" ref="R4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0.17638888888177462</v>
      </c>
      <c r="S48" s="9">
        <f>_xlfn.XLOOKUP(spaces_3iWczBNnn5rbfoUlE0Jd_uploads_git_blob_9864c7f811c613c3faab876659c6423__25[[#This Row],[Número de Orden]],Cocinadinamica!E49:E817,Cocinadinamica!F49:F817)/1440</f>
        <v>6.0416666666666667E-2</v>
      </c>
      <c r="T48" s="9" cm="1">
        <f t="array" ref="T4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0.11597222221510795</v>
      </c>
      <c r="U48" s="9" t="str" cm="1">
        <f t="array" ref="U4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9" spans="1:21" x14ac:dyDescent="0.35">
      <c r="A49" s="28">
        <v>17</v>
      </c>
      <c r="B49" s="13" t="s">
        <v>888</v>
      </c>
      <c r="C49" s="13">
        <v>2</v>
      </c>
      <c r="D49" s="14">
        <v>45017.019444444442</v>
      </c>
      <c r="E49" s="14">
        <v>45017.168055555558</v>
      </c>
      <c r="F49" s="13" t="s">
        <v>170</v>
      </c>
      <c r="G49" s="13" t="s">
        <v>163</v>
      </c>
      <c r="H49" s="13" t="s">
        <v>74</v>
      </c>
      <c r="I49" s="17">
        <v>25.31</v>
      </c>
      <c r="J49" s="13" t="s">
        <v>75</v>
      </c>
      <c r="K49" s="13">
        <v>48</v>
      </c>
      <c r="L49" s="13" t="s">
        <v>95</v>
      </c>
      <c r="M49" s="13" t="s">
        <v>1300</v>
      </c>
      <c r="N49">
        <f>_xlfn.XLOOKUP(spaces_3iWczBNnn5rbfoUlE0Jd_uploads_git_blob_9864c7f811c613c3faab876659c6423__25[[#This Row],[Número de Orden]],Cocinadinamica!B50:B818,Cocinadinamica!C50:C818)</f>
        <v>64</v>
      </c>
      <c r="O49" s="7">
        <f>spaces_3iWczBNnn5rbfoUlE0Jd_uploads_git_blob_9864c7f811c613c3faab876659c6423__25[[#This Row],[Hora de Llegada]]</f>
        <v>45017.019444444442</v>
      </c>
      <c r="P49" s="9">
        <f>spaces_3iWczBNnn5rbfoUlE0Jd_uploads_git_blob_9864c7f811c613c3faab876659c6423__25[[#This Row],[Hora de Llegada]]</f>
        <v>45017.019444444442</v>
      </c>
      <c r="Q49" s="9">
        <f>spaces_3iWczBNnn5rbfoUlE0Jd_uploads_git_blob_9864c7f811c613c3faab876659c6423__25[[#This Row],[Hora de Salida]]</f>
        <v>45017.168055555558</v>
      </c>
      <c r="R49" s="9" cm="1">
        <f t="array" ref="R4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0.148611111115315</v>
      </c>
      <c r="S49" s="9">
        <f>_xlfn.XLOOKUP(spaces_3iWczBNnn5rbfoUlE0Jd_uploads_git_blob_9864c7f811c613c3faab876659c6423__25[[#This Row],[Número de Orden]],Cocinadinamica!E50:E818,Cocinadinamica!F50:F818)/1440</f>
        <v>8.611111111111111E-2</v>
      </c>
      <c r="T49" s="9" cm="1">
        <f t="array" ref="T4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6.2500000004203887E-2</v>
      </c>
      <c r="U49" s="9" t="str" cm="1">
        <f t="array" ref="U4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0" spans="1:21" x14ac:dyDescent="0.35">
      <c r="A50" s="27">
        <v>8</v>
      </c>
      <c r="B50" s="11" t="s">
        <v>410</v>
      </c>
      <c r="C50" s="11">
        <v>3</v>
      </c>
      <c r="D50" s="12">
        <v>45017.072222222225</v>
      </c>
      <c r="E50" s="12">
        <v>45017.228472222225</v>
      </c>
      <c r="F50" s="11" t="s">
        <v>100</v>
      </c>
      <c r="G50" s="11" t="s">
        <v>86</v>
      </c>
      <c r="H50" s="11" t="s">
        <v>74</v>
      </c>
      <c r="I50" s="16">
        <v>20.92</v>
      </c>
      <c r="J50" s="11" t="s">
        <v>75</v>
      </c>
      <c r="K50" s="11">
        <v>49</v>
      </c>
      <c r="L50" s="11" t="s">
        <v>174</v>
      </c>
      <c r="M50" s="11" t="s">
        <v>1301</v>
      </c>
      <c r="N50">
        <f>_xlfn.XLOOKUP(spaces_3iWczBNnn5rbfoUlE0Jd_uploads_git_blob_9864c7f811c613c3faab876659c6423__25[[#This Row],[Número de Orden]],Cocinadinamica!B51:B819,Cocinadinamica!C51:C819)</f>
        <v>77</v>
      </c>
      <c r="O50" s="7">
        <f>spaces_3iWczBNnn5rbfoUlE0Jd_uploads_git_blob_9864c7f811c613c3faab876659c6423__25[[#This Row],[Hora de Llegada]]</f>
        <v>45017.072222222225</v>
      </c>
      <c r="P50" s="9">
        <f>spaces_3iWczBNnn5rbfoUlE0Jd_uploads_git_blob_9864c7f811c613c3faab876659c6423__25[[#This Row],[Hora de Llegada]]</f>
        <v>45017.072222222225</v>
      </c>
      <c r="Q50" s="9">
        <f>spaces_3iWczBNnn5rbfoUlE0Jd_uploads_git_blob_9864c7f811c613c3faab876659c6423__25[[#This Row],[Hora de Salida]]</f>
        <v>45017.228472222225</v>
      </c>
      <c r="R50" s="9" cm="1">
        <f t="array" ref="R5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50" s="9">
        <f>_xlfn.XLOOKUP(spaces_3iWczBNnn5rbfoUlE0Jd_uploads_git_blob_9864c7f811c613c3faab876659c6423__25[[#This Row],[Número de Orden]],Cocinadinamica!E51:E819,Cocinadinamica!F51:F819)/1440</f>
        <v>5.6250000000000001E-2</v>
      </c>
      <c r="T50" s="9" cm="1">
        <f t="array" ref="T5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</v>
      </c>
      <c r="U50" s="9" t="str" cm="1">
        <f t="array" ref="U5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" spans="1:21" x14ac:dyDescent="0.35">
      <c r="A51" s="28">
        <v>19</v>
      </c>
      <c r="B51" s="13" t="s">
        <v>889</v>
      </c>
      <c r="C51" s="13">
        <v>5</v>
      </c>
      <c r="D51" s="14">
        <v>45017.162499999999</v>
      </c>
      <c r="E51" s="14">
        <v>45017.289583333331</v>
      </c>
      <c r="F51" s="13" t="s">
        <v>72</v>
      </c>
      <c r="G51" s="13" t="s">
        <v>86</v>
      </c>
      <c r="H51" s="13" t="s">
        <v>109</v>
      </c>
      <c r="I51" s="17">
        <v>16.739999999999998</v>
      </c>
      <c r="J51" s="13" t="s">
        <v>88</v>
      </c>
      <c r="K51" s="13">
        <v>50</v>
      </c>
      <c r="L51" s="13" t="s">
        <v>164</v>
      </c>
      <c r="M51" s="13" t="s">
        <v>1302</v>
      </c>
      <c r="N51">
        <f>_xlfn.XLOOKUP(spaces_3iWczBNnn5rbfoUlE0Jd_uploads_git_blob_9864c7f811c613c3faab876659c6423__25[[#This Row],[Número de Orden]],Cocinadinamica!B52:B820,Cocinadinamica!C52:C820)</f>
        <v>31</v>
      </c>
      <c r="O51" s="7">
        <f>spaces_3iWczBNnn5rbfoUlE0Jd_uploads_git_blob_9864c7f811c613c3faab876659c6423__25[[#This Row],[Hora de Llegada]]</f>
        <v>45017.162499999999</v>
      </c>
      <c r="P51" s="9">
        <f>spaces_3iWczBNnn5rbfoUlE0Jd_uploads_git_blob_9864c7f811c613c3faab876659c6423__25[[#This Row],[Hora de Llegada]]</f>
        <v>45017.162499999999</v>
      </c>
      <c r="Q51" s="9">
        <f>spaces_3iWczBNnn5rbfoUlE0Jd_uploads_git_blob_9864c7f811c613c3faab876659c6423__25[[#This Row],[Hora de Salida]]</f>
        <v>45017.289583333331</v>
      </c>
      <c r="R51" s="9" cm="1">
        <f t="array" ref="R5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0.13749999999708962</v>
      </c>
      <c r="S51" s="9">
        <f>_xlfn.XLOOKUP(spaces_3iWczBNnn5rbfoUlE0Jd_uploads_git_blob_9864c7f811c613c3faab876659c6423__25[[#This Row],[Número de Orden]],Cocinadinamica!E52:E820,Cocinadinamica!F52:F820)/1440</f>
        <v>1.4583333333333334E-2</v>
      </c>
      <c r="T51" s="9" cm="1">
        <f t="array" ref="T5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0.12291666666375628</v>
      </c>
      <c r="U51" s="9" t="str" cm="1">
        <f t="array" ref="U5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" spans="1:21" x14ac:dyDescent="0.35">
      <c r="A52" s="27">
        <v>12</v>
      </c>
      <c r="B52" s="11" t="s">
        <v>890</v>
      </c>
      <c r="C52" s="11">
        <v>1</v>
      </c>
      <c r="D52" s="12">
        <v>45017.070833333331</v>
      </c>
      <c r="E52" s="12">
        <v>45017.126388888886</v>
      </c>
      <c r="F52" s="11" t="s">
        <v>85</v>
      </c>
      <c r="G52" s="11" t="s">
        <v>73</v>
      </c>
      <c r="H52" s="11" t="s">
        <v>74</v>
      </c>
      <c r="I52" s="16">
        <v>37.08</v>
      </c>
      <c r="J52" s="11" t="s">
        <v>94</v>
      </c>
      <c r="K52" s="11">
        <v>51</v>
      </c>
      <c r="L52" s="11" t="s">
        <v>181</v>
      </c>
      <c r="M52" s="11" t="s">
        <v>1303</v>
      </c>
      <c r="N52">
        <f>_xlfn.XLOOKUP(spaces_3iWczBNnn5rbfoUlE0Jd_uploads_git_blob_9864c7f811c613c3faab876659c6423__25[[#This Row],[Número de Orden]],Cocinadinamica!B53:B821,Cocinadinamica!C53:C821)</f>
        <v>91</v>
      </c>
      <c r="O52" s="7">
        <f>spaces_3iWczBNnn5rbfoUlE0Jd_uploads_git_blob_9864c7f811c613c3faab876659c6423__25[[#This Row],[Hora de Llegada]]</f>
        <v>45017.070833333331</v>
      </c>
      <c r="P52" s="9">
        <f>spaces_3iWczBNnn5rbfoUlE0Jd_uploads_git_blob_9864c7f811c613c3faab876659c6423__25[[#This Row],[Hora de Llegada]]</f>
        <v>45017.070833333331</v>
      </c>
      <c r="Q52" s="9">
        <f>spaces_3iWczBNnn5rbfoUlE0Jd_uploads_git_blob_9864c7f811c613c3faab876659c6423__25[[#This Row],[Hora de Salida]]</f>
        <v>45017.126388888886</v>
      </c>
      <c r="R52" s="9" cm="1">
        <f t="array" ref="R5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5.5555555554747116E-2</v>
      </c>
      <c r="S52" s="9">
        <f>_xlfn.XLOOKUP(spaces_3iWczBNnn5rbfoUlE0Jd_uploads_git_blob_9864c7f811c613c3faab876659c6423__25[[#This Row],[Número de Orden]],Cocinadinamica!E53:E821,Cocinadinamica!F53:F821)/1440</f>
        <v>0.11388888888888889</v>
      </c>
      <c r="T52" s="9" cm="1">
        <f t="array" ref="T5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2" s="9" t="str" cm="1">
        <f t="array" ref="U5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3" spans="1:21" x14ac:dyDescent="0.35">
      <c r="A53" s="28">
        <v>7</v>
      </c>
      <c r="B53" s="13" t="s">
        <v>891</v>
      </c>
      <c r="C53" s="13">
        <v>4</v>
      </c>
      <c r="D53" s="14">
        <v>45017.000694444447</v>
      </c>
      <c r="E53" s="14">
        <v>45017.049305555556</v>
      </c>
      <c r="F53" s="13" t="s">
        <v>170</v>
      </c>
      <c r="G53" s="13" t="s">
        <v>86</v>
      </c>
      <c r="H53" s="13" t="s">
        <v>74</v>
      </c>
      <c r="I53" s="17">
        <v>46.88</v>
      </c>
      <c r="J53" s="13" t="s">
        <v>75</v>
      </c>
      <c r="K53" s="13">
        <v>52</v>
      </c>
      <c r="L53" s="13" t="s">
        <v>221</v>
      </c>
      <c r="M53" s="13" t="s">
        <v>1304</v>
      </c>
      <c r="N53">
        <f>_xlfn.XLOOKUP(spaces_3iWczBNnn5rbfoUlE0Jd_uploads_git_blob_9864c7f811c613c3faab876659c6423__25[[#This Row],[Número de Orden]],Cocinadinamica!B54:B822,Cocinadinamica!C54:C822)</f>
        <v>105</v>
      </c>
      <c r="O53" s="7">
        <f>spaces_3iWczBNnn5rbfoUlE0Jd_uploads_git_blob_9864c7f811c613c3faab876659c6423__25[[#This Row],[Hora de Llegada]]</f>
        <v>45017.000694444447</v>
      </c>
      <c r="P53" s="9">
        <f>spaces_3iWczBNnn5rbfoUlE0Jd_uploads_git_blob_9864c7f811c613c3faab876659c6423__25[[#This Row],[Hora de Llegada]]</f>
        <v>45017.000694444447</v>
      </c>
      <c r="Q53" s="9">
        <f>spaces_3iWczBNnn5rbfoUlE0Jd_uploads_git_blob_9864c7f811c613c3faab876659c6423__25[[#This Row],[Hora de Salida]]</f>
        <v>45017.049305555556</v>
      </c>
      <c r="R53" s="9" cm="1">
        <f t="array" ref="R5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4.8611111109494232E-2</v>
      </c>
      <c r="S53" s="9">
        <f>_xlfn.XLOOKUP(spaces_3iWczBNnn5rbfoUlE0Jd_uploads_git_blob_9864c7f811c613c3faab876659c6423__25[[#This Row],[Número de Orden]],Cocinadinamica!E54:E822,Cocinadinamica!F54:F822)/1440</f>
        <v>4.3055555555555555E-2</v>
      </c>
      <c r="T53" s="9" cm="1">
        <f t="array" ref="T5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5.5555555539386764E-3</v>
      </c>
      <c r="U53" s="9" t="str" cm="1">
        <f t="array" ref="U5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" spans="1:21" x14ac:dyDescent="0.35">
      <c r="A54" s="27">
        <v>16</v>
      </c>
      <c r="B54" s="11" t="s">
        <v>892</v>
      </c>
      <c r="C54" s="11">
        <v>5</v>
      </c>
      <c r="D54" s="12">
        <v>45017.125694444447</v>
      </c>
      <c r="E54" s="12">
        <v>45017.197222222225</v>
      </c>
      <c r="F54" s="11" t="s">
        <v>85</v>
      </c>
      <c r="G54" s="11" t="s">
        <v>86</v>
      </c>
      <c r="H54" s="11" t="s">
        <v>109</v>
      </c>
      <c r="I54" s="16">
        <v>36.880000000000003</v>
      </c>
      <c r="J54" s="11" t="s">
        <v>75</v>
      </c>
      <c r="K54" s="11">
        <v>53</v>
      </c>
      <c r="L54" s="11" t="s">
        <v>221</v>
      </c>
      <c r="M54" s="11" t="s">
        <v>1305</v>
      </c>
      <c r="N54">
        <f>_xlfn.XLOOKUP(spaces_3iWczBNnn5rbfoUlE0Jd_uploads_git_blob_9864c7f811c613c3faab876659c6423__25[[#This Row],[Número de Orden]],Cocinadinamica!B55:B823,Cocinadinamica!C55:C823)</f>
        <v>105</v>
      </c>
      <c r="O54" s="7">
        <f>spaces_3iWczBNnn5rbfoUlE0Jd_uploads_git_blob_9864c7f811c613c3faab876659c6423__25[[#This Row],[Hora de Llegada]]</f>
        <v>45017.125694444447</v>
      </c>
      <c r="P54" s="9">
        <f>spaces_3iWczBNnn5rbfoUlE0Jd_uploads_git_blob_9864c7f811c613c3faab876659c6423__25[[#This Row],[Hora de Llegada]]</f>
        <v>45017.125694444447</v>
      </c>
      <c r="Q54" s="9">
        <f>spaces_3iWczBNnn5rbfoUlE0Jd_uploads_git_blob_9864c7f811c613c3faab876659c6423__25[[#This Row],[Hora de Salida]]</f>
        <v>45017.197222222225</v>
      </c>
      <c r="R54" s="9" cm="1">
        <f t="array" ref="R5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7.1527777778101154E-2</v>
      </c>
      <c r="S54" s="9">
        <f>_xlfn.XLOOKUP(spaces_3iWczBNnn5rbfoUlE0Jd_uploads_git_blob_9864c7f811c613c3faab876659c6423__25[[#This Row],[Número de Orden]],Cocinadinamica!E55:E823,Cocinadinamica!F55:F823)/1440</f>
        <v>7.7777777777777779E-2</v>
      </c>
      <c r="T54" s="9" cm="1">
        <f t="array" ref="T5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4" s="9" t="str" cm="1">
        <f t="array" ref="U5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5" spans="1:21" x14ac:dyDescent="0.35">
      <c r="A55" s="28">
        <v>6</v>
      </c>
      <c r="B55" s="13" t="s">
        <v>893</v>
      </c>
      <c r="C55" s="13">
        <v>6</v>
      </c>
      <c r="D55" s="14">
        <v>45017.027777777781</v>
      </c>
      <c r="E55" s="14">
        <v>45017.176388888889</v>
      </c>
      <c r="F55" s="13" t="s">
        <v>72</v>
      </c>
      <c r="G55" s="13" t="s">
        <v>73</v>
      </c>
      <c r="H55" s="13" t="s">
        <v>74</v>
      </c>
      <c r="I55" s="17">
        <v>23.36</v>
      </c>
      <c r="J55" s="13" t="s">
        <v>94</v>
      </c>
      <c r="K55" s="13">
        <v>54</v>
      </c>
      <c r="L55" s="13" t="s">
        <v>95</v>
      </c>
      <c r="M55" s="13" t="s">
        <v>1306</v>
      </c>
      <c r="N55">
        <f>_xlfn.XLOOKUP(spaces_3iWczBNnn5rbfoUlE0Jd_uploads_git_blob_9864c7f811c613c3faab876659c6423__25[[#This Row],[Número de Orden]],Cocinadinamica!B56:B824,Cocinadinamica!C56:C824)</f>
        <v>75</v>
      </c>
      <c r="O55" s="7">
        <f>spaces_3iWczBNnn5rbfoUlE0Jd_uploads_git_blob_9864c7f811c613c3faab876659c6423__25[[#This Row],[Hora de Llegada]]</f>
        <v>45017.027777777781</v>
      </c>
      <c r="P55" s="9">
        <f>spaces_3iWczBNnn5rbfoUlE0Jd_uploads_git_blob_9864c7f811c613c3faab876659c6423__25[[#This Row],[Hora de Llegada]]</f>
        <v>45017.027777777781</v>
      </c>
      <c r="Q55" s="9">
        <f>spaces_3iWczBNnn5rbfoUlE0Jd_uploads_git_blob_9864c7f811c613c3faab876659c6423__25[[#This Row],[Hora de Salida]]</f>
        <v>45017.176388888889</v>
      </c>
      <c r="R55" s="9" cm="1">
        <f t="array" ref="R5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0.14861111110803904</v>
      </c>
      <c r="S55" s="9">
        <f>_xlfn.XLOOKUP(spaces_3iWczBNnn5rbfoUlE0Jd_uploads_git_blob_9864c7f811c613c3faab876659c6423__25[[#This Row],[Número de Orden]],Cocinadinamica!E56:E824,Cocinadinamica!F56:F824)/1440</f>
        <v>0.14097222222222222</v>
      </c>
      <c r="T55" s="9" cm="1">
        <f t="array" ref="T5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7.6388888858168191E-3</v>
      </c>
      <c r="U55" s="9" t="str" cm="1">
        <f t="array" ref="U5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" spans="1:21" x14ac:dyDescent="0.35">
      <c r="A56" s="27">
        <v>20</v>
      </c>
      <c r="B56" s="11" t="s">
        <v>894</v>
      </c>
      <c r="C56" s="11">
        <v>5</v>
      </c>
      <c r="D56" s="12">
        <v>45017.0625</v>
      </c>
      <c r="E56" s="12">
        <v>45017.208333333336</v>
      </c>
      <c r="F56" s="11" t="s">
        <v>72</v>
      </c>
      <c r="G56" s="11" t="s">
        <v>73</v>
      </c>
      <c r="H56" s="11" t="s">
        <v>74</v>
      </c>
      <c r="I56" s="16">
        <v>45.49</v>
      </c>
      <c r="J56" s="11" t="s">
        <v>88</v>
      </c>
      <c r="K56" s="11">
        <v>55</v>
      </c>
      <c r="L56" s="11" t="s">
        <v>76</v>
      </c>
      <c r="M56" s="11" t="s">
        <v>1307</v>
      </c>
      <c r="N56">
        <f>_xlfn.XLOOKUP(spaces_3iWczBNnn5rbfoUlE0Jd_uploads_git_blob_9864c7f811c613c3faab876659c6423__25[[#This Row],[Número de Orden]],Cocinadinamica!B57:B825,Cocinadinamica!C57:C825)</f>
        <v>102</v>
      </c>
      <c r="O56" s="7">
        <f>spaces_3iWczBNnn5rbfoUlE0Jd_uploads_git_blob_9864c7f811c613c3faab876659c6423__25[[#This Row],[Hora de Llegada]]</f>
        <v>45017.0625</v>
      </c>
      <c r="P56" s="9">
        <f>spaces_3iWczBNnn5rbfoUlE0Jd_uploads_git_blob_9864c7f811c613c3faab876659c6423__25[[#This Row],[Hora de Llegada]]</f>
        <v>45017.0625</v>
      </c>
      <c r="Q56" s="9">
        <f>spaces_3iWczBNnn5rbfoUlE0Jd_uploads_git_blob_9864c7f811c613c3faab876659c6423__25[[#This Row],[Hora de Salida]]</f>
        <v>45017.208333333336</v>
      </c>
      <c r="R56" s="9" cm="1">
        <f t="array" ref="R5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56" s="9">
        <f>_xlfn.XLOOKUP(spaces_3iWczBNnn5rbfoUlE0Jd_uploads_git_blob_9864c7f811c613c3faab876659c6423__25[[#This Row],[Número de Orden]],Cocinadinamica!E57:E825,Cocinadinamica!F57:F825)/1440</f>
        <v>6.6666666666666666E-2</v>
      </c>
      <c r="T56" s="9" cm="1">
        <f t="array" ref="T5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8.9583333333333334E-2</v>
      </c>
      <c r="U56" s="9" t="str" cm="1">
        <f t="array" ref="U5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" spans="1:21" x14ac:dyDescent="0.35">
      <c r="A57" s="28">
        <v>1</v>
      </c>
      <c r="B57" s="13" t="s">
        <v>660</v>
      </c>
      <c r="C57" s="13">
        <v>3</v>
      </c>
      <c r="D57" s="14">
        <v>45017.055555555555</v>
      </c>
      <c r="E57" s="14">
        <v>45017.206250000003</v>
      </c>
      <c r="F57" s="13" t="s">
        <v>85</v>
      </c>
      <c r="G57" s="13" t="s">
        <v>86</v>
      </c>
      <c r="H57" s="13" t="s">
        <v>109</v>
      </c>
      <c r="I57" s="17">
        <v>43.2</v>
      </c>
      <c r="J57" s="13" t="s">
        <v>75</v>
      </c>
      <c r="K57" s="13">
        <v>56</v>
      </c>
      <c r="L57" s="13" t="s">
        <v>187</v>
      </c>
      <c r="M57" s="13" t="s">
        <v>1287</v>
      </c>
      <c r="N57">
        <f>_xlfn.XLOOKUP(spaces_3iWczBNnn5rbfoUlE0Jd_uploads_git_blob_9864c7f811c613c3faab876659c6423__25[[#This Row],[Número de Orden]],Cocinadinamica!B58:B826,Cocinadinamica!C58:C826)</f>
        <v>20</v>
      </c>
      <c r="O57" s="7">
        <f>spaces_3iWczBNnn5rbfoUlE0Jd_uploads_git_blob_9864c7f811c613c3faab876659c6423__25[[#This Row],[Hora de Llegada]]</f>
        <v>45017.055555555555</v>
      </c>
      <c r="P57" s="9">
        <f>spaces_3iWczBNnn5rbfoUlE0Jd_uploads_git_blob_9864c7f811c613c3faab876659c6423__25[[#This Row],[Hora de Llegada]]</f>
        <v>45017.055555555555</v>
      </c>
      <c r="Q57" s="9">
        <f>spaces_3iWczBNnn5rbfoUlE0Jd_uploads_git_blob_9864c7f811c613c3faab876659c6423__25[[#This Row],[Hora de Salida]]</f>
        <v>45017.206250000003</v>
      </c>
      <c r="R57" s="9" cm="1">
        <f t="array" ref="R5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0.15069444444816327</v>
      </c>
      <c r="S57" s="9">
        <f>_xlfn.XLOOKUP(spaces_3iWczBNnn5rbfoUlE0Jd_uploads_git_blob_9864c7f811c613c3faab876659c6423__25[[#This Row],[Número de Orden]],Cocinadinamica!E58:E826,Cocinadinamica!F58:F826)/1440</f>
        <v>5.4166666666666669E-2</v>
      </c>
      <c r="T57" s="9" cm="1">
        <f t="array" ref="T5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9.6527777781496599E-2</v>
      </c>
      <c r="U57" s="9" t="str" cm="1">
        <f t="array" ref="U5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" spans="1:21" x14ac:dyDescent="0.35">
      <c r="A58" s="27">
        <v>18</v>
      </c>
      <c r="B58" s="11" t="s">
        <v>895</v>
      </c>
      <c r="C58" s="11">
        <v>2</v>
      </c>
      <c r="D58" s="12">
        <v>45017.12777777778</v>
      </c>
      <c r="E58" s="12">
        <v>45017.202777777777</v>
      </c>
      <c r="F58" s="11" t="s">
        <v>100</v>
      </c>
      <c r="G58" s="11" t="s">
        <v>86</v>
      </c>
      <c r="H58" s="11" t="s">
        <v>74</v>
      </c>
      <c r="I58" s="16">
        <v>45.45</v>
      </c>
      <c r="J58" s="11" t="s">
        <v>75</v>
      </c>
      <c r="K58" s="11">
        <v>57</v>
      </c>
      <c r="L58" s="11" t="s">
        <v>110</v>
      </c>
      <c r="M58" s="11" t="s">
        <v>1308</v>
      </c>
      <c r="N58">
        <f>_xlfn.XLOOKUP(spaces_3iWczBNnn5rbfoUlE0Jd_uploads_git_blob_9864c7f811c613c3faab876659c6423__25[[#This Row],[Número de Orden]],Cocinadinamica!B59:B827,Cocinadinamica!C59:C827)</f>
        <v>66</v>
      </c>
      <c r="O58" s="7">
        <f>spaces_3iWczBNnn5rbfoUlE0Jd_uploads_git_blob_9864c7f811c613c3faab876659c6423__25[[#This Row],[Hora de Llegada]]</f>
        <v>45017.12777777778</v>
      </c>
      <c r="P58" s="9">
        <f>spaces_3iWczBNnn5rbfoUlE0Jd_uploads_git_blob_9864c7f811c613c3faab876659c6423__25[[#This Row],[Hora de Llegada]]</f>
        <v>45017.12777777778</v>
      </c>
      <c r="Q58" s="9">
        <f>spaces_3iWczBNnn5rbfoUlE0Jd_uploads_git_blob_9864c7f811c613c3faab876659c6423__25[[#This Row],[Hora de Salida]]</f>
        <v>45017.202777777777</v>
      </c>
      <c r="R58" s="9" cm="1">
        <f t="array" ref="R5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7.4999999997089617E-2</v>
      </c>
      <c r="S58" s="9">
        <f>_xlfn.XLOOKUP(spaces_3iWczBNnn5rbfoUlE0Jd_uploads_git_blob_9864c7f811c613c3faab876659c6423__25[[#This Row],[Número de Orden]],Cocinadinamica!E59:E827,Cocinadinamica!F59:F827)/1440</f>
        <v>4.7222222222222221E-2</v>
      </c>
      <c r="T58" s="9" cm="1">
        <f t="array" ref="T5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2.7777777774867396E-2</v>
      </c>
      <c r="U58" s="9" t="str" cm="1">
        <f t="array" ref="U5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9" spans="1:21" x14ac:dyDescent="0.35">
      <c r="A59" s="28">
        <v>8</v>
      </c>
      <c r="B59" s="13" t="s">
        <v>896</v>
      </c>
      <c r="C59" s="13">
        <v>3</v>
      </c>
      <c r="D59" s="14">
        <v>45017.063194444447</v>
      </c>
      <c r="E59" s="14">
        <v>45017.181250000001</v>
      </c>
      <c r="F59" s="13" t="s">
        <v>223</v>
      </c>
      <c r="G59" s="13" t="s">
        <v>73</v>
      </c>
      <c r="H59" s="13" t="s">
        <v>74</v>
      </c>
      <c r="I59" s="17">
        <v>30.7</v>
      </c>
      <c r="J59" s="13" t="s">
        <v>94</v>
      </c>
      <c r="K59" s="13">
        <v>58</v>
      </c>
      <c r="L59" s="13" t="s">
        <v>89</v>
      </c>
      <c r="M59" s="13" t="s">
        <v>1309</v>
      </c>
      <c r="N59">
        <f>_xlfn.XLOOKUP(spaces_3iWczBNnn5rbfoUlE0Jd_uploads_git_blob_9864c7f811c613c3faab876659c6423__25[[#This Row],[Número de Orden]],Cocinadinamica!B60:B828,Cocinadinamica!C60:C828)</f>
        <v>33</v>
      </c>
      <c r="O59" s="7">
        <f>spaces_3iWczBNnn5rbfoUlE0Jd_uploads_git_blob_9864c7f811c613c3faab876659c6423__25[[#This Row],[Hora de Llegada]]</f>
        <v>45017.063194444447</v>
      </c>
      <c r="P59" s="9">
        <f>spaces_3iWczBNnn5rbfoUlE0Jd_uploads_git_blob_9864c7f811c613c3faab876659c6423__25[[#This Row],[Hora de Llegada]]</f>
        <v>45017.063194444447</v>
      </c>
      <c r="Q59" s="9">
        <f>spaces_3iWczBNnn5rbfoUlE0Jd_uploads_git_blob_9864c7f811c613c3faab876659c6423__25[[#This Row],[Hora de Salida]]</f>
        <v>45017.181250000001</v>
      </c>
      <c r="R59" s="9" cm="1">
        <f t="array" ref="R5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0.11805555555474712</v>
      </c>
      <c r="S59" s="9">
        <f>_xlfn.XLOOKUP(spaces_3iWczBNnn5rbfoUlE0Jd_uploads_git_blob_9864c7f811c613c3faab876659c6423__25[[#This Row],[Número de Orden]],Cocinadinamica!E60:E828,Cocinadinamica!F60:F828)/1440</f>
        <v>5.0694444444444445E-2</v>
      </c>
      <c r="T59" s="9" cm="1">
        <f t="array" ref="T5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6.7361111110302671E-2</v>
      </c>
      <c r="U59" s="9" t="str" cm="1">
        <f t="array" ref="U5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" spans="1:21" x14ac:dyDescent="0.35">
      <c r="A60" s="27">
        <v>8</v>
      </c>
      <c r="B60" s="11" t="s">
        <v>897</v>
      </c>
      <c r="C60" s="11">
        <v>4</v>
      </c>
      <c r="D60" s="12">
        <v>45017.056250000001</v>
      </c>
      <c r="E60" s="12">
        <v>45017.211111111108</v>
      </c>
      <c r="F60" s="11" t="s">
        <v>223</v>
      </c>
      <c r="G60" s="11" t="s">
        <v>86</v>
      </c>
      <c r="H60" s="11" t="s">
        <v>87</v>
      </c>
      <c r="I60" s="16">
        <v>33.89</v>
      </c>
      <c r="J60" s="11" t="s">
        <v>75</v>
      </c>
      <c r="K60" s="11">
        <v>59</v>
      </c>
      <c r="L60" s="11" t="s">
        <v>110</v>
      </c>
      <c r="M60" s="11" t="s">
        <v>1310</v>
      </c>
      <c r="N60">
        <f>_xlfn.XLOOKUP(spaces_3iWczBNnn5rbfoUlE0Jd_uploads_git_blob_9864c7f811c613c3faab876659c6423__25[[#This Row],[Número de Orden]],Cocinadinamica!B61:B829,Cocinadinamica!C61:C829)</f>
        <v>65</v>
      </c>
      <c r="O60" s="7">
        <f>spaces_3iWczBNnn5rbfoUlE0Jd_uploads_git_blob_9864c7f811c613c3faab876659c6423__25[[#This Row],[Hora de Llegada]]</f>
        <v>45017.056250000001</v>
      </c>
      <c r="P60" s="9">
        <f>spaces_3iWczBNnn5rbfoUlE0Jd_uploads_git_blob_9864c7f811c613c3faab876659c6423__25[[#This Row],[Hora de Llegada]]</f>
        <v>45017.056250000001</v>
      </c>
      <c r="Q60" s="9">
        <f>spaces_3iWczBNnn5rbfoUlE0Jd_uploads_git_blob_9864c7f811c613c3faab876659c6423__25[[#This Row],[Hora de Salida]]</f>
        <v>45017.211111111108</v>
      </c>
      <c r="R60" s="9" cm="1">
        <f t="array" ref="R6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0.15486111110658385</v>
      </c>
      <c r="S60" s="9">
        <f>_xlfn.XLOOKUP(spaces_3iWczBNnn5rbfoUlE0Jd_uploads_git_blob_9864c7f811c613c3faab876659c6423__25[[#This Row],[Número de Orden]],Cocinadinamica!E61:E829,Cocinadinamica!F61:F829)/1440</f>
        <v>3.3333333333333333E-2</v>
      </c>
      <c r="T60" s="9" cm="1">
        <f t="array" ref="T6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0.12152777777325052</v>
      </c>
      <c r="U60" s="9" t="str" cm="1">
        <f t="array" ref="U6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1" spans="1:21" x14ac:dyDescent="0.35">
      <c r="A61" s="28">
        <v>6</v>
      </c>
      <c r="B61" s="13" t="s">
        <v>612</v>
      </c>
      <c r="C61" s="13">
        <v>1</v>
      </c>
      <c r="D61" s="14">
        <v>45017.089583333334</v>
      </c>
      <c r="E61" s="14">
        <v>45017.240277777775</v>
      </c>
      <c r="F61" s="13" t="s">
        <v>223</v>
      </c>
      <c r="G61" s="13" t="s">
        <v>86</v>
      </c>
      <c r="H61" s="13" t="s">
        <v>74</v>
      </c>
      <c r="I61" s="17">
        <v>19.54</v>
      </c>
      <c r="J61" s="13" t="s">
        <v>94</v>
      </c>
      <c r="K61" s="13">
        <v>60</v>
      </c>
      <c r="L61" s="13" t="s">
        <v>95</v>
      </c>
      <c r="M61" s="13" t="s">
        <v>1311</v>
      </c>
      <c r="N61">
        <f>_xlfn.XLOOKUP(spaces_3iWczBNnn5rbfoUlE0Jd_uploads_git_blob_9864c7f811c613c3faab876659c6423__25[[#This Row],[Número de Orden]],Cocinadinamica!B62:B830,Cocinadinamica!C62:C830)</f>
        <v>42</v>
      </c>
      <c r="O61" s="7">
        <f>spaces_3iWczBNnn5rbfoUlE0Jd_uploads_git_blob_9864c7f811c613c3faab876659c6423__25[[#This Row],[Hora de Llegada]]</f>
        <v>45017.089583333334</v>
      </c>
      <c r="P61" s="9">
        <f>spaces_3iWczBNnn5rbfoUlE0Jd_uploads_git_blob_9864c7f811c613c3faab876659c6423__25[[#This Row],[Hora de Llegada]]</f>
        <v>45017.089583333334</v>
      </c>
      <c r="Q61" s="9">
        <f>spaces_3iWczBNnn5rbfoUlE0Jd_uploads_git_blob_9864c7f811c613c3faab876659c6423__25[[#This Row],[Hora de Salida]]</f>
        <v>45017.240277777775</v>
      </c>
      <c r="R61" s="9" cm="1">
        <f t="array" ref="R6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0.15069444444088731</v>
      </c>
      <c r="S61" s="9">
        <f>_xlfn.XLOOKUP(spaces_3iWczBNnn5rbfoUlE0Jd_uploads_git_blob_9864c7f811c613c3faab876659c6423__25[[#This Row],[Número de Orden]],Cocinadinamica!E62:E830,Cocinadinamica!F62:F830)/1440</f>
        <v>2.9861111111111113E-2</v>
      </c>
      <c r="T61" s="9" cm="1">
        <f t="array" ref="T6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0.12083333332977619</v>
      </c>
      <c r="U61" s="9" t="str" cm="1">
        <f t="array" ref="U6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" spans="1:21" x14ac:dyDescent="0.35">
      <c r="A62" s="27">
        <v>10</v>
      </c>
      <c r="B62" s="11" t="s">
        <v>367</v>
      </c>
      <c r="C62" s="11">
        <v>5</v>
      </c>
      <c r="D62" s="12">
        <v>45017.15902777778</v>
      </c>
      <c r="E62" s="12">
        <v>45017.265277777777</v>
      </c>
      <c r="F62" s="11" t="s">
        <v>100</v>
      </c>
      <c r="G62" s="11" t="s">
        <v>86</v>
      </c>
      <c r="H62" s="11" t="s">
        <v>74</v>
      </c>
      <c r="I62" s="16">
        <v>42.87</v>
      </c>
      <c r="J62" s="11" t="s">
        <v>88</v>
      </c>
      <c r="K62" s="11">
        <v>61</v>
      </c>
      <c r="L62" s="11" t="s">
        <v>101</v>
      </c>
      <c r="M62" s="11" t="s">
        <v>1312</v>
      </c>
      <c r="N62">
        <f>_xlfn.XLOOKUP(spaces_3iWczBNnn5rbfoUlE0Jd_uploads_git_blob_9864c7f811c613c3faab876659c6423__25[[#This Row],[Número de Orden]],Cocinadinamica!B63:B831,Cocinadinamica!C63:C831)</f>
        <v>98</v>
      </c>
      <c r="O62" s="7">
        <f>spaces_3iWczBNnn5rbfoUlE0Jd_uploads_git_blob_9864c7f811c613c3faab876659c6423__25[[#This Row],[Hora de Llegada]]</f>
        <v>45017.15902777778</v>
      </c>
      <c r="P62" s="9">
        <f>spaces_3iWczBNnn5rbfoUlE0Jd_uploads_git_blob_9864c7f811c613c3faab876659c6423__25[[#This Row],[Hora de Llegada]]</f>
        <v>45017.15902777778</v>
      </c>
      <c r="Q62" s="9">
        <f>spaces_3iWczBNnn5rbfoUlE0Jd_uploads_git_blob_9864c7f811c613c3faab876659c6423__25[[#This Row],[Hora de Salida]]</f>
        <v>45017.265277777777</v>
      </c>
      <c r="R62" s="9" cm="1">
        <f t="array" ref="R6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0.11666666666133096</v>
      </c>
      <c r="S62" s="9">
        <f>_xlfn.XLOOKUP(spaces_3iWczBNnn5rbfoUlE0Jd_uploads_git_blob_9864c7f811c613c3faab876659c6423__25[[#This Row],[Número de Orden]],Cocinadinamica!E63:E831,Cocinadinamica!F63:F831)/1440</f>
        <v>0.11041666666666666</v>
      </c>
      <c r="T62" s="9" cm="1">
        <f t="array" ref="T6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6.2499999946643015E-3</v>
      </c>
      <c r="U62" s="9" t="str" cm="1">
        <f t="array" ref="U6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3" spans="1:21" x14ac:dyDescent="0.35">
      <c r="A63" s="28">
        <v>2</v>
      </c>
      <c r="B63" s="13" t="s">
        <v>898</v>
      </c>
      <c r="C63" s="13">
        <v>1</v>
      </c>
      <c r="D63" s="14">
        <v>45017.115972222222</v>
      </c>
      <c r="E63" s="14">
        <v>45017.26666666667</v>
      </c>
      <c r="F63" s="13" t="s">
        <v>223</v>
      </c>
      <c r="G63" s="13" t="s">
        <v>73</v>
      </c>
      <c r="H63" s="13" t="s">
        <v>74</v>
      </c>
      <c r="I63" s="17">
        <v>37.93</v>
      </c>
      <c r="J63" s="13" t="s">
        <v>88</v>
      </c>
      <c r="K63" s="13">
        <v>62</v>
      </c>
      <c r="L63" s="13" t="s">
        <v>164</v>
      </c>
      <c r="M63" s="13" t="s">
        <v>1313</v>
      </c>
      <c r="N63">
        <f>_xlfn.XLOOKUP(spaces_3iWczBNnn5rbfoUlE0Jd_uploads_git_blob_9864c7f811c613c3faab876659c6423__25[[#This Row],[Número de Orden]],Cocinadinamica!B64:B832,Cocinadinamica!C64:C832)</f>
        <v>60</v>
      </c>
      <c r="O63" s="7">
        <f>spaces_3iWczBNnn5rbfoUlE0Jd_uploads_git_blob_9864c7f811c613c3faab876659c6423__25[[#This Row],[Hora de Llegada]]</f>
        <v>45017.115972222222</v>
      </c>
      <c r="P63" s="9">
        <f>spaces_3iWczBNnn5rbfoUlE0Jd_uploads_git_blob_9864c7f811c613c3faab876659c6423__25[[#This Row],[Hora de Llegada]]</f>
        <v>45017.115972222222</v>
      </c>
      <c r="Q63" s="9">
        <f>spaces_3iWczBNnn5rbfoUlE0Jd_uploads_git_blob_9864c7f811c613c3faab876659c6423__25[[#This Row],[Hora de Salida]]</f>
        <v>45017.26666666667</v>
      </c>
      <c r="R63" s="9" cm="1">
        <f t="array" ref="R6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0.16111111111240461</v>
      </c>
      <c r="S63" s="9">
        <f>_xlfn.XLOOKUP(spaces_3iWczBNnn5rbfoUlE0Jd_uploads_git_blob_9864c7f811c613c3faab876659c6423__25[[#This Row],[Número de Orden]],Cocinadinamica!E64:E832,Cocinadinamica!F64:F832)/1440</f>
        <v>0.1076388888888889</v>
      </c>
      <c r="T63" s="9" cm="1">
        <f t="array" ref="T6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5.347222222351572E-2</v>
      </c>
      <c r="U63" s="9" t="str" cm="1">
        <f t="array" ref="U6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" spans="1:21" x14ac:dyDescent="0.35">
      <c r="A64" s="27">
        <v>17</v>
      </c>
      <c r="B64" s="11" t="s">
        <v>340</v>
      </c>
      <c r="C64" s="11">
        <v>4</v>
      </c>
      <c r="D64" s="12">
        <v>45017.02847222222</v>
      </c>
      <c r="E64" s="12">
        <v>45017.17083333333</v>
      </c>
      <c r="F64" s="11" t="s">
        <v>72</v>
      </c>
      <c r="G64" s="11" t="s">
        <v>86</v>
      </c>
      <c r="H64" s="11" t="s">
        <v>74</v>
      </c>
      <c r="I64" s="16">
        <v>33.340000000000003</v>
      </c>
      <c r="J64" s="11" t="s">
        <v>94</v>
      </c>
      <c r="K64" s="11">
        <v>63</v>
      </c>
      <c r="L64" s="11" t="s">
        <v>110</v>
      </c>
      <c r="M64" s="11" t="s">
        <v>1314</v>
      </c>
      <c r="N64">
        <f>_xlfn.XLOOKUP(spaces_3iWczBNnn5rbfoUlE0Jd_uploads_git_blob_9864c7f811c613c3faab876659c6423__25[[#This Row],[Número de Orden]],Cocinadinamica!B65:B833,Cocinadinamica!C65:C833)</f>
        <v>22</v>
      </c>
      <c r="O64" s="7">
        <f>spaces_3iWczBNnn5rbfoUlE0Jd_uploads_git_blob_9864c7f811c613c3faab876659c6423__25[[#This Row],[Hora de Llegada]]</f>
        <v>45017.02847222222</v>
      </c>
      <c r="P64" s="9">
        <f>spaces_3iWczBNnn5rbfoUlE0Jd_uploads_git_blob_9864c7f811c613c3faab876659c6423__25[[#This Row],[Hora de Llegada]]</f>
        <v>45017.02847222222</v>
      </c>
      <c r="Q64" s="9">
        <f>spaces_3iWczBNnn5rbfoUlE0Jd_uploads_git_blob_9864c7f811c613c3faab876659c6423__25[[#This Row],[Hora de Salida]]</f>
        <v>45017.17083333333</v>
      </c>
      <c r="R64" s="9" cm="1">
        <f t="array" ref="R6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0.14236111110949423</v>
      </c>
      <c r="S64" s="9">
        <f>_xlfn.XLOOKUP(spaces_3iWczBNnn5rbfoUlE0Jd_uploads_git_blob_9864c7f811c613c3faab876659c6423__25[[#This Row],[Número de Orden]],Cocinadinamica!E65:E833,Cocinadinamica!F65:F833)/1440</f>
        <v>2.0833333333333332E-2</v>
      </c>
      <c r="T64" s="9" cm="1">
        <f t="array" ref="T6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0.1215277777761609</v>
      </c>
      <c r="U64" s="9" t="str" cm="1">
        <f t="array" ref="U6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" spans="1:21" x14ac:dyDescent="0.35">
      <c r="A65" s="28">
        <v>3</v>
      </c>
      <c r="B65" s="13" t="s">
        <v>899</v>
      </c>
      <c r="C65" s="13">
        <v>3</v>
      </c>
      <c r="D65" s="14">
        <v>45017.069444444445</v>
      </c>
      <c r="E65" s="14">
        <v>45017.168055555558</v>
      </c>
      <c r="F65" s="13" t="s">
        <v>85</v>
      </c>
      <c r="G65" s="13" t="s">
        <v>163</v>
      </c>
      <c r="H65" s="13" t="s">
        <v>87</v>
      </c>
      <c r="I65" s="17">
        <v>34.770000000000003</v>
      </c>
      <c r="J65" s="13" t="s">
        <v>94</v>
      </c>
      <c r="K65" s="13">
        <v>64</v>
      </c>
      <c r="L65" s="13" t="s">
        <v>76</v>
      </c>
      <c r="M65" s="13" t="s">
        <v>1315</v>
      </c>
      <c r="N65">
        <f>_xlfn.XLOOKUP(spaces_3iWczBNnn5rbfoUlE0Jd_uploads_git_blob_9864c7f811c613c3faab876659c6423__25[[#This Row],[Número de Orden]],Cocinadinamica!B66:B834,Cocinadinamica!C66:C834)</f>
        <v>111</v>
      </c>
      <c r="O65" s="7">
        <f>spaces_3iWczBNnn5rbfoUlE0Jd_uploads_git_blob_9864c7f811c613c3faab876659c6423__25[[#This Row],[Hora de Llegada]]</f>
        <v>45017.069444444445</v>
      </c>
      <c r="P65" s="9">
        <f>spaces_3iWczBNnn5rbfoUlE0Jd_uploads_git_blob_9864c7f811c613c3faab876659c6423__25[[#This Row],[Hora de Llegada]]</f>
        <v>45017.069444444445</v>
      </c>
      <c r="Q65" s="9">
        <f>spaces_3iWczBNnn5rbfoUlE0Jd_uploads_git_blob_9864c7f811c613c3faab876659c6423__25[[#This Row],[Hora de Salida]]</f>
        <v>45017.168055555558</v>
      </c>
      <c r="R65" s="9" cm="1">
        <f t="array" ref="R6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9.8611111112404615E-2</v>
      </c>
      <c r="S65" s="9">
        <f>_xlfn.XLOOKUP(spaces_3iWczBNnn5rbfoUlE0Jd_uploads_git_blob_9864c7f811c613c3faab876659c6423__25[[#This Row],[Número de Orden]],Cocinadinamica!E66:E834,Cocinadinamica!F66:F834)/1440</f>
        <v>5.6944444444444443E-2</v>
      </c>
      <c r="T65" s="9" cm="1">
        <f t="array" ref="T6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4.1666666667960171E-2</v>
      </c>
      <c r="U65" s="9" t="str" cm="1">
        <f t="array" ref="U6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" spans="1:21" x14ac:dyDescent="0.35">
      <c r="A66" s="27">
        <v>5</v>
      </c>
      <c r="B66" s="11" t="s">
        <v>745</v>
      </c>
      <c r="C66" s="11">
        <v>1</v>
      </c>
      <c r="D66" s="12">
        <v>45017.07916666667</v>
      </c>
      <c r="E66" s="12">
        <v>45017.127083333333</v>
      </c>
      <c r="F66" s="11" t="s">
        <v>170</v>
      </c>
      <c r="G66" s="11" t="s">
        <v>86</v>
      </c>
      <c r="H66" s="11" t="s">
        <v>109</v>
      </c>
      <c r="I66" s="16">
        <v>14</v>
      </c>
      <c r="J66" s="11" t="s">
        <v>88</v>
      </c>
      <c r="K66" s="11">
        <v>65</v>
      </c>
      <c r="L66" s="11" t="s">
        <v>95</v>
      </c>
      <c r="M66" s="11" t="s">
        <v>1316</v>
      </c>
      <c r="N66">
        <f>_xlfn.XLOOKUP(spaces_3iWczBNnn5rbfoUlE0Jd_uploads_git_blob_9864c7f811c613c3faab876659c6423__25[[#This Row],[Número de Orden]],Cocinadinamica!B67:B835,Cocinadinamica!C67:C835)</f>
        <v>78</v>
      </c>
      <c r="O66" s="7">
        <f>spaces_3iWczBNnn5rbfoUlE0Jd_uploads_git_blob_9864c7f811c613c3faab876659c6423__25[[#This Row],[Hora de Llegada]]</f>
        <v>45017.07916666667</v>
      </c>
      <c r="P66" s="9">
        <f>spaces_3iWczBNnn5rbfoUlE0Jd_uploads_git_blob_9864c7f811c613c3faab876659c6423__25[[#This Row],[Hora de Llegada]]</f>
        <v>45017.07916666667</v>
      </c>
      <c r="Q66" s="9">
        <f>spaces_3iWczBNnn5rbfoUlE0Jd_uploads_git_blob_9864c7f811c613c3faab876659c6423__25[[#This Row],[Hora de Salida]]</f>
        <v>45017.127083333333</v>
      </c>
      <c r="R66" s="9" cm="1">
        <f t="array" ref="R6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5.8333333327027503E-2</v>
      </c>
      <c r="S66" s="9">
        <f>_xlfn.XLOOKUP(spaces_3iWczBNnn5rbfoUlE0Jd_uploads_git_blob_9864c7f811c613c3faab876659c6423__25[[#This Row],[Número de Orden]],Cocinadinamica!E67:E835,Cocinadinamica!F67:F835)/1440</f>
        <v>0.1076388888888889</v>
      </c>
      <c r="T66" s="9" cm="1">
        <f t="array" ref="T6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6" s="9" t="str" cm="1">
        <f t="array" ref="U6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7" spans="1:21" x14ac:dyDescent="0.35">
      <c r="A67" s="28">
        <v>18</v>
      </c>
      <c r="B67" s="13" t="s">
        <v>900</v>
      </c>
      <c r="C67" s="13">
        <v>2</v>
      </c>
      <c r="D67" s="14">
        <v>45017.102777777778</v>
      </c>
      <c r="E67" s="14">
        <v>45017.262499999997</v>
      </c>
      <c r="F67" s="13" t="s">
        <v>85</v>
      </c>
      <c r="G67" s="13" t="s">
        <v>86</v>
      </c>
      <c r="H67" s="13" t="s">
        <v>74</v>
      </c>
      <c r="I67" s="17">
        <v>10.88</v>
      </c>
      <c r="J67" s="13" t="s">
        <v>94</v>
      </c>
      <c r="K67" s="13">
        <v>66</v>
      </c>
      <c r="L67" s="13" t="s">
        <v>181</v>
      </c>
      <c r="M67" s="13" t="s">
        <v>1317</v>
      </c>
      <c r="N67">
        <f>_xlfn.XLOOKUP(spaces_3iWczBNnn5rbfoUlE0Jd_uploads_git_blob_9864c7f811c613c3faab876659c6423__25[[#This Row],[Número de Orden]],Cocinadinamica!B68:B836,Cocinadinamica!C68:C836)</f>
        <v>83</v>
      </c>
      <c r="O67" s="7">
        <f>spaces_3iWczBNnn5rbfoUlE0Jd_uploads_git_blob_9864c7f811c613c3faab876659c6423__25[[#This Row],[Hora de Llegada]]</f>
        <v>45017.102777777778</v>
      </c>
      <c r="P67" s="9">
        <f>spaces_3iWczBNnn5rbfoUlE0Jd_uploads_git_blob_9864c7f811c613c3faab876659c6423__25[[#This Row],[Hora de Llegada]]</f>
        <v>45017.102777777778</v>
      </c>
      <c r="Q67" s="9">
        <f>spaces_3iWczBNnn5rbfoUlE0Jd_uploads_git_blob_9864c7f811c613c3faab876659c6423__25[[#This Row],[Hora de Salida]]</f>
        <v>45017.262499999997</v>
      </c>
      <c r="R67" s="9" cm="1">
        <f t="array" ref="R6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0.15972222221898846</v>
      </c>
      <c r="S67" s="9">
        <f>_xlfn.XLOOKUP(spaces_3iWczBNnn5rbfoUlE0Jd_uploads_git_blob_9864c7f811c613c3faab876659c6423__25[[#This Row],[Número de Orden]],Cocinadinamica!E68:E836,Cocinadinamica!F68:F836)/1440</f>
        <v>7.9166666666666663E-2</v>
      </c>
      <c r="T67" s="9" cm="1">
        <f t="array" ref="T6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8.05555555523218E-2</v>
      </c>
      <c r="U67" s="9" t="str" cm="1">
        <f t="array" ref="U6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" spans="1:21" x14ac:dyDescent="0.35">
      <c r="A68" s="27">
        <v>2</v>
      </c>
      <c r="B68" s="11" t="s">
        <v>901</v>
      </c>
      <c r="C68" s="11">
        <v>6</v>
      </c>
      <c r="D68" s="12">
        <v>45017.15625</v>
      </c>
      <c r="E68" s="12">
        <v>45017.215277777781</v>
      </c>
      <c r="F68" s="11" t="s">
        <v>100</v>
      </c>
      <c r="G68" s="11" t="s">
        <v>86</v>
      </c>
      <c r="H68" s="11" t="s">
        <v>109</v>
      </c>
      <c r="I68" s="16">
        <v>21.25</v>
      </c>
      <c r="J68" s="11" t="s">
        <v>94</v>
      </c>
      <c r="K68" s="11">
        <v>67</v>
      </c>
      <c r="L68" s="11" t="s">
        <v>76</v>
      </c>
      <c r="M68" s="11" t="s">
        <v>1318</v>
      </c>
      <c r="N68">
        <f>_xlfn.XLOOKUP(spaces_3iWczBNnn5rbfoUlE0Jd_uploads_git_blob_9864c7f811c613c3faab876659c6423__25[[#This Row],[Número de Orden]],Cocinadinamica!B69:B837,Cocinadinamica!C69:C837)</f>
        <v>102</v>
      </c>
      <c r="O68" s="7">
        <f>spaces_3iWczBNnn5rbfoUlE0Jd_uploads_git_blob_9864c7f811c613c3faab876659c6423__25[[#This Row],[Hora de Llegada]]</f>
        <v>45017.15625</v>
      </c>
      <c r="P68" s="9">
        <f>spaces_3iWczBNnn5rbfoUlE0Jd_uploads_git_blob_9864c7f811c613c3faab876659c6423__25[[#This Row],[Hora de Llegada]]</f>
        <v>45017.15625</v>
      </c>
      <c r="Q68" s="9">
        <f>spaces_3iWczBNnn5rbfoUlE0Jd_uploads_git_blob_9864c7f811c613c3faab876659c6423__25[[#This Row],[Hora de Salida]]</f>
        <v>45017.215277777781</v>
      </c>
      <c r="R68" s="9" cm="1">
        <f t="array" ref="R6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5.9027777781011537E-2</v>
      </c>
      <c r="S68" s="9">
        <f>_xlfn.XLOOKUP(spaces_3iWczBNnn5rbfoUlE0Jd_uploads_git_blob_9864c7f811c613c3faab876659c6423__25[[#This Row],[Número de Orden]],Cocinadinamica!E69:E837,Cocinadinamica!F69:F837)/1440</f>
        <v>9.0972222222222218E-2</v>
      </c>
      <c r="T68" s="9" cm="1">
        <f t="array" ref="T6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8" s="9" t="str" cm="1">
        <f t="array" ref="U6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9" spans="1:21" x14ac:dyDescent="0.35">
      <c r="A69" s="28">
        <v>8</v>
      </c>
      <c r="B69" s="13" t="s">
        <v>902</v>
      </c>
      <c r="C69" s="13">
        <v>4</v>
      </c>
      <c r="D69" s="14">
        <v>45017.001388888886</v>
      </c>
      <c r="E69" s="14">
        <v>45017.135416666664</v>
      </c>
      <c r="F69" s="13" t="s">
        <v>85</v>
      </c>
      <c r="G69" s="13" t="s">
        <v>73</v>
      </c>
      <c r="H69" s="13" t="s">
        <v>74</v>
      </c>
      <c r="I69" s="17">
        <v>45.65</v>
      </c>
      <c r="J69" s="13" t="s">
        <v>88</v>
      </c>
      <c r="K69" s="13">
        <v>68</v>
      </c>
      <c r="L69" s="13" t="s">
        <v>89</v>
      </c>
      <c r="M69" s="13" t="s">
        <v>1319</v>
      </c>
      <c r="N69">
        <f>_xlfn.XLOOKUP(spaces_3iWczBNnn5rbfoUlE0Jd_uploads_git_blob_9864c7f811c613c3faab876659c6423__25[[#This Row],[Número de Orden]],Cocinadinamica!B70:B838,Cocinadinamica!C70:C838)</f>
        <v>88</v>
      </c>
      <c r="O69" s="7">
        <f>spaces_3iWczBNnn5rbfoUlE0Jd_uploads_git_blob_9864c7f811c613c3faab876659c6423__25[[#This Row],[Hora de Llegada]]</f>
        <v>45017.001388888886</v>
      </c>
      <c r="P69" s="9">
        <f>spaces_3iWczBNnn5rbfoUlE0Jd_uploads_git_blob_9864c7f811c613c3faab876659c6423__25[[#This Row],[Hora de Llegada]]</f>
        <v>45017.001388888886</v>
      </c>
      <c r="Q69" s="9">
        <f>spaces_3iWczBNnn5rbfoUlE0Jd_uploads_git_blob_9864c7f811c613c3faab876659c6423__25[[#This Row],[Hora de Salida]]</f>
        <v>45017.135416666664</v>
      </c>
      <c r="R69" s="9" cm="1">
        <f t="array" ref="R6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0.1444444444423425</v>
      </c>
      <c r="S69" s="9">
        <f>_xlfn.XLOOKUP(spaces_3iWczBNnn5rbfoUlE0Jd_uploads_git_blob_9864c7f811c613c3faab876659c6423__25[[#This Row],[Número de Orden]],Cocinadinamica!E70:E838,Cocinadinamica!F70:F838)/1440</f>
        <v>0.10069444444444445</v>
      </c>
      <c r="T69" s="9" cm="1">
        <f t="array" ref="T6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4.3749999997898054E-2</v>
      </c>
      <c r="U69" s="9" t="str" cm="1">
        <f t="array" ref="U6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" spans="1:21" x14ac:dyDescent="0.35">
      <c r="A70" s="27">
        <v>5</v>
      </c>
      <c r="B70" s="11" t="s">
        <v>903</v>
      </c>
      <c r="C70" s="11">
        <v>4</v>
      </c>
      <c r="D70" s="12">
        <v>45017.084722222222</v>
      </c>
      <c r="E70" s="12">
        <v>45017.164583333331</v>
      </c>
      <c r="F70" s="11" t="s">
        <v>100</v>
      </c>
      <c r="G70" s="11" t="s">
        <v>86</v>
      </c>
      <c r="H70" s="11" t="s">
        <v>74</v>
      </c>
      <c r="I70" s="16">
        <v>31.49</v>
      </c>
      <c r="J70" s="11" t="s">
        <v>75</v>
      </c>
      <c r="K70" s="11">
        <v>69</v>
      </c>
      <c r="L70" s="11" t="s">
        <v>76</v>
      </c>
      <c r="M70" s="11" t="s">
        <v>1320</v>
      </c>
      <c r="N70">
        <f>_xlfn.XLOOKUP(spaces_3iWczBNnn5rbfoUlE0Jd_uploads_git_blob_9864c7f811c613c3faab876659c6423__25[[#This Row],[Número de Orden]],Cocinadinamica!B71:B839,Cocinadinamica!C71:C839)</f>
        <v>93</v>
      </c>
      <c r="O70" s="7">
        <f>spaces_3iWczBNnn5rbfoUlE0Jd_uploads_git_blob_9864c7f811c613c3faab876659c6423__25[[#This Row],[Hora de Llegada]]</f>
        <v>45017.084722222222</v>
      </c>
      <c r="P70" s="9">
        <f>spaces_3iWczBNnn5rbfoUlE0Jd_uploads_git_blob_9864c7f811c613c3faab876659c6423__25[[#This Row],[Hora de Llegada]]</f>
        <v>45017.084722222222</v>
      </c>
      <c r="Q70" s="9">
        <f>spaces_3iWczBNnn5rbfoUlE0Jd_uploads_git_blob_9864c7f811c613c3faab876659c6423__25[[#This Row],[Hora de Salida]]</f>
        <v>45017.164583333331</v>
      </c>
      <c r="R70" s="9" cm="1">
        <f t="array" ref="R7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7.9861111109494232E-2</v>
      </c>
      <c r="S70" s="9">
        <f>_xlfn.XLOOKUP(spaces_3iWczBNnn5rbfoUlE0Jd_uploads_git_blob_9864c7f811c613c3faab876659c6423__25[[#This Row],[Número de Orden]],Cocinadinamica!E71:E839,Cocinadinamica!F71:F839)/1440</f>
        <v>6.3888888888888884E-2</v>
      </c>
      <c r="T70" s="9" cm="1">
        <f t="array" ref="T7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1.5972222220605348E-2</v>
      </c>
      <c r="U70" s="9" t="str" cm="1">
        <f t="array" ref="U7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" spans="1:21" x14ac:dyDescent="0.35">
      <c r="A71" s="28">
        <v>17</v>
      </c>
      <c r="B71" s="13" t="s">
        <v>904</v>
      </c>
      <c r="C71" s="13">
        <v>4</v>
      </c>
      <c r="D71" s="14">
        <v>45017.007638888892</v>
      </c>
      <c r="E71" s="14">
        <v>45017.056944444441</v>
      </c>
      <c r="F71" s="13" t="s">
        <v>72</v>
      </c>
      <c r="G71" s="13" t="s">
        <v>86</v>
      </c>
      <c r="H71" s="13" t="s">
        <v>109</v>
      </c>
      <c r="I71" s="17">
        <v>28.26</v>
      </c>
      <c r="J71" s="13" t="s">
        <v>75</v>
      </c>
      <c r="K71" s="13">
        <v>70</v>
      </c>
      <c r="L71" s="13" t="s">
        <v>221</v>
      </c>
      <c r="M71" s="13" t="s">
        <v>1321</v>
      </c>
      <c r="N71">
        <f>_xlfn.XLOOKUP(spaces_3iWczBNnn5rbfoUlE0Jd_uploads_git_blob_9864c7f811c613c3faab876659c6423__25[[#This Row],[Número de Orden]],Cocinadinamica!B72:B840,Cocinadinamica!C72:C840)</f>
        <v>48</v>
      </c>
      <c r="O71" s="7">
        <f>spaces_3iWczBNnn5rbfoUlE0Jd_uploads_git_blob_9864c7f811c613c3faab876659c6423__25[[#This Row],[Hora de Llegada]]</f>
        <v>45017.007638888892</v>
      </c>
      <c r="P71" s="9">
        <f>spaces_3iWczBNnn5rbfoUlE0Jd_uploads_git_blob_9864c7f811c613c3faab876659c6423__25[[#This Row],[Hora de Llegada]]</f>
        <v>45017.007638888892</v>
      </c>
      <c r="Q71" s="9">
        <f>spaces_3iWczBNnn5rbfoUlE0Jd_uploads_git_blob_9864c7f811c613c3faab876659c6423__25[[#This Row],[Hora de Salida]]</f>
        <v>45017.056944444441</v>
      </c>
      <c r="R71" s="9" cm="1">
        <f t="array" ref="R7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4.930555554892635E-2</v>
      </c>
      <c r="S71" s="9">
        <f>_xlfn.XLOOKUP(spaces_3iWczBNnn5rbfoUlE0Jd_uploads_git_blob_9864c7f811c613c3faab876659c6423__25[[#This Row],[Número de Orden]],Cocinadinamica!E72:E840,Cocinadinamica!F72:F840)/1440</f>
        <v>2.7777777777777776E-2</v>
      </c>
      <c r="T71" s="9" cm="1">
        <f t="array" ref="T7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2.1527777771148573E-2</v>
      </c>
      <c r="U71" s="9" t="str" cm="1">
        <f t="array" ref="U7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" spans="1:21" x14ac:dyDescent="0.35">
      <c r="A72" s="27">
        <v>18</v>
      </c>
      <c r="B72" s="11" t="s">
        <v>905</v>
      </c>
      <c r="C72" s="11">
        <v>4</v>
      </c>
      <c r="D72" s="12">
        <v>45017.081250000003</v>
      </c>
      <c r="E72" s="12">
        <v>45017.24722222222</v>
      </c>
      <c r="F72" s="11" t="s">
        <v>170</v>
      </c>
      <c r="G72" s="11" t="s">
        <v>86</v>
      </c>
      <c r="H72" s="11" t="s">
        <v>74</v>
      </c>
      <c r="I72" s="16">
        <v>24.01</v>
      </c>
      <c r="J72" s="11" t="s">
        <v>88</v>
      </c>
      <c r="K72" s="11">
        <v>71</v>
      </c>
      <c r="L72" s="11" t="s">
        <v>221</v>
      </c>
      <c r="M72" s="11" t="s">
        <v>1322</v>
      </c>
      <c r="N72">
        <f>_xlfn.XLOOKUP(spaces_3iWczBNnn5rbfoUlE0Jd_uploads_git_blob_9864c7f811c613c3faab876659c6423__25[[#This Row],[Número de Orden]],Cocinadinamica!B73:B841,Cocinadinamica!C73:C841)</f>
        <v>54</v>
      </c>
      <c r="O72" s="7">
        <f>spaces_3iWczBNnn5rbfoUlE0Jd_uploads_git_blob_9864c7f811c613c3faab876659c6423__25[[#This Row],[Hora de Llegada]]</f>
        <v>45017.081250000003</v>
      </c>
      <c r="P72" s="9">
        <f>spaces_3iWczBNnn5rbfoUlE0Jd_uploads_git_blob_9864c7f811c613c3faab876659c6423__25[[#This Row],[Hora de Llegada]]</f>
        <v>45017.081250000003</v>
      </c>
      <c r="Q72" s="9">
        <f>spaces_3iWczBNnn5rbfoUlE0Jd_uploads_git_blob_9864c7f811c613c3faab876659c6423__25[[#This Row],[Hora de Salida]]</f>
        <v>45017.24722222222</v>
      </c>
      <c r="R72" s="9" cm="1">
        <f t="array" ref="R7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0.17638888888177462</v>
      </c>
      <c r="S72" s="9">
        <f>_xlfn.XLOOKUP(spaces_3iWczBNnn5rbfoUlE0Jd_uploads_git_blob_9864c7f811c613c3faab876659c6423__25[[#This Row],[Número de Orden]],Cocinadinamica!E73:E841,Cocinadinamica!F73:F841)/1440</f>
        <v>3.4027777777777775E-2</v>
      </c>
      <c r="T72" s="9" cm="1">
        <f t="array" ref="T7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0.14236111110399685</v>
      </c>
      <c r="U72" s="9" t="str" cm="1">
        <f t="array" ref="U7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" spans="1:21" x14ac:dyDescent="0.35">
      <c r="A73" s="28">
        <v>17</v>
      </c>
      <c r="B73" s="13" t="s">
        <v>906</v>
      </c>
      <c r="C73" s="13">
        <v>1</v>
      </c>
      <c r="D73" s="14">
        <v>45017.112500000003</v>
      </c>
      <c r="E73" s="14">
        <v>45017.243750000001</v>
      </c>
      <c r="F73" s="13" t="s">
        <v>100</v>
      </c>
      <c r="G73" s="13" t="s">
        <v>86</v>
      </c>
      <c r="H73" s="13" t="s">
        <v>74</v>
      </c>
      <c r="I73" s="17">
        <v>15.28</v>
      </c>
      <c r="J73" s="13" t="s">
        <v>94</v>
      </c>
      <c r="K73" s="13">
        <v>72</v>
      </c>
      <c r="L73" s="13" t="s">
        <v>76</v>
      </c>
      <c r="M73" s="13" t="s">
        <v>1323</v>
      </c>
      <c r="N73">
        <f>_xlfn.XLOOKUP(spaces_3iWczBNnn5rbfoUlE0Jd_uploads_git_blob_9864c7f811c613c3faab876659c6423__25[[#This Row],[Número de Orden]],Cocinadinamica!B74:B842,Cocinadinamica!C74:C842)</f>
        <v>32</v>
      </c>
      <c r="O73" s="7">
        <f>spaces_3iWczBNnn5rbfoUlE0Jd_uploads_git_blob_9864c7f811c613c3faab876659c6423__25[[#This Row],[Hora de Llegada]]</f>
        <v>45017.112500000003</v>
      </c>
      <c r="P73" s="9">
        <f>spaces_3iWczBNnn5rbfoUlE0Jd_uploads_git_blob_9864c7f811c613c3faab876659c6423__25[[#This Row],[Hora de Llegada]]</f>
        <v>45017.112500000003</v>
      </c>
      <c r="Q73" s="9">
        <f>spaces_3iWczBNnn5rbfoUlE0Jd_uploads_git_blob_9864c7f811c613c3faab876659c6423__25[[#This Row],[Hora de Salida]]</f>
        <v>45017.243750000001</v>
      </c>
      <c r="R73" s="9" cm="1">
        <f t="array" ref="R7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0.13124999999854481</v>
      </c>
      <c r="S73" s="9">
        <f>_xlfn.XLOOKUP(spaces_3iWczBNnn5rbfoUlE0Jd_uploads_git_blob_9864c7f811c613c3faab876659c6423__25[[#This Row],[Número de Orden]],Cocinadinamica!E74:E842,Cocinadinamica!F74:F842)/1440</f>
        <v>3.7499999999999999E-2</v>
      </c>
      <c r="T73" s="9" cm="1">
        <f t="array" ref="T7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9.3749999998544803E-2</v>
      </c>
      <c r="U73" s="9" t="str" cm="1">
        <f t="array" ref="U7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4" spans="1:21" x14ac:dyDescent="0.35">
      <c r="A74" s="27" t="s">
        <v>161</v>
      </c>
      <c r="B74" s="11" t="s">
        <v>162</v>
      </c>
      <c r="C74" s="11">
        <v>4</v>
      </c>
      <c r="D74" s="12">
        <v>45017.11041666667</v>
      </c>
      <c r="E74" s="12">
        <v>45017.256249999999</v>
      </c>
      <c r="F74" s="11" t="s">
        <v>72</v>
      </c>
      <c r="G74" s="11" t="s">
        <v>163</v>
      </c>
      <c r="H74" s="11" t="s">
        <v>74</v>
      </c>
      <c r="I74" s="16">
        <v>34.51</v>
      </c>
      <c r="J74" s="11" t="s">
        <v>75</v>
      </c>
      <c r="K74" s="11">
        <v>73</v>
      </c>
      <c r="L74" s="11" t="s">
        <v>164</v>
      </c>
      <c r="M74" s="11" t="s">
        <v>17</v>
      </c>
      <c r="N74">
        <f>_xlfn.XLOOKUP(spaces_3iWczBNnn5rbfoUlE0Jd_uploads_git_blob_9864c7f811c613c3faab876659c6423__25[[#This Row],[Número de Orden]],Cocinadinamica!B75:B843,Cocinadinamica!C75:C843)</f>
        <v>33</v>
      </c>
      <c r="O74" s="7">
        <f>spaces_3iWczBNnn5rbfoUlE0Jd_uploads_git_blob_9864c7f811c613c3faab876659c6423__25[[#This Row],[Hora de Llegada]]</f>
        <v>45017.11041666667</v>
      </c>
      <c r="P74" s="9">
        <f>spaces_3iWczBNnn5rbfoUlE0Jd_uploads_git_blob_9864c7f811c613c3faab876659c6423__25[[#This Row],[Hora de Llegada]]</f>
        <v>45017.11041666667</v>
      </c>
      <c r="Q74" s="9">
        <f>spaces_3iWczBNnn5rbfoUlE0Jd_uploads_git_blob_9864c7f811c613c3faab876659c6423__25[[#This Row],[Hora de Salida]]</f>
        <v>45017.256249999999</v>
      </c>
      <c r="R74" s="9" cm="1">
        <f t="array" ref="R7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0.14583333332848269</v>
      </c>
      <c r="S74" s="9">
        <f>_xlfn.XLOOKUP(spaces_3iWczBNnn5rbfoUlE0Jd_uploads_git_blob_9864c7f811c613c3faab876659c6423__25[[#This Row],[Número de Orden]],Cocinadinamica!E75:E843,Cocinadinamica!F75:F843)/1440</f>
        <v>1.3888888888888888E-2</v>
      </c>
      <c r="T74" s="9" cm="1">
        <f t="array" ref="T7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0.1319444444395938</v>
      </c>
      <c r="U74" s="9" t="str" cm="1">
        <f t="array" ref="U7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5" spans="1:21" x14ac:dyDescent="0.35">
      <c r="A75" s="28">
        <v>19</v>
      </c>
      <c r="B75" s="13" t="s">
        <v>664</v>
      </c>
      <c r="C75" s="13">
        <v>4</v>
      </c>
      <c r="D75" s="14">
        <v>45017.044444444444</v>
      </c>
      <c r="E75" s="14">
        <v>45017.175694444442</v>
      </c>
      <c r="F75" s="13" t="s">
        <v>72</v>
      </c>
      <c r="G75" s="13" t="s">
        <v>86</v>
      </c>
      <c r="H75" s="13" t="s">
        <v>74</v>
      </c>
      <c r="I75" s="17">
        <v>30.83</v>
      </c>
      <c r="J75" s="13" t="s">
        <v>75</v>
      </c>
      <c r="K75" s="13">
        <v>74</v>
      </c>
      <c r="L75" s="13" t="s">
        <v>89</v>
      </c>
      <c r="M75" s="13" t="s">
        <v>1324</v>
      </c>
      <c r="N75">
        <f>_xlfn.XLOOKUP(spaces_3iWczBNnn5rbfoUlE0Jd_uploads_git_blob_9864c7f811c613c3faab876659c6423__25[[#This Row],[Número de Orden]],Cocinadinamica!B76:B844,Cocinadinamica!C76:C844)</f>
        <v>90</v>
      </c>
      <c r="O75" s="7">
        <f>spaces_3iWczBNnn5rbfoUlE0Jd_uploads_git_blob_9864c7f811c613c3faab876659c6423__25[[#This Row],[Hora de Llegada]]</f>
        <v>45017.044444444444</v>
      </c>
      <c r="P75" s="9">
        <f>spaces_3iWczBNnn5rbfoUlE0Jd_uploads_git_blob_9864c7f811c613c3faab876659c6423__25[[#This Row],[Hora de Llegada]]</f>
        <v>45017.044444444444</v>
      </c>
      <c r="Q75" s="9">
        <f>spaces_3iWczBNnn5rbfoUlE0Jd_uploads_git_blob_9864c7f811c613c3faab876659c6423__25[[#This Row],[Hora de Salida]]</f>
        <v>45017.175694444442</v>
      </c>
      <c r="R75" s="9" cm="1">
        <f t="array" ref="R7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0.13124999999854481</v>
      </c>
      <c r="S75" s="9">
        <f>_xlfn.XLOOKUP(spaces_3iWczBNnn5rbfoUlE0Jd_uploads_git_blob_9864c7f811c613c3faab876659c6423__25[[#This Row],[Número de Orden]],Cocinadinamica!E76:E844,Cocinadinamica!F76:F844)/1440</f>
        <v>6.9444444444444448E-2</v>
      </c>
      <c r="T75" s="9" cm="1">
        <f t="array" ref="T7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6.1805555554100361E-2</v>
      </c>
      <c r="U75" s="9" t="str" cm="1">
        <f t="array" ref="U7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6" spans="1:21" x14ac:dyDescent="0.35">
      <c r="A76" s="27">
        <v>19</v>
      </c>
      <c r="B76" s="11" t="s">
        <v>907</v>
      </c>
      <c r="C76" s="11">
        <v>5</v>
      </c>
      <c r="D76" s="12">
        <v>45017.15</v>
      </c>
      <c r="E76" s="12">
        <v>45017.200694444444</v>
      </c>
      <c r="F76" s="11" t="s">
        <v>85</v>
      </c>
      <c r="G76" s="11" t="s">
        <v>86</v>
      </c>
      <c r="H76" s="11" t="s">
        <v>74</v>
      </c>
      <c r="I76" s="16">
        <v>45.23</v>
      </c>
      <c r="J76" s="11" t="s">
        <v>88</v>
      </c>
      <c r="K76" s="11">
        <v>75</v>
      </c>
      <c r="L76" s="11" t="s">
        <v>275</v>
      </c>
      <c r="M76" s="11" t="s">
        <v>1325</v>
      </c>
      <c r="N76">
        <f>_xlfn.XLOOKUP(spaces_3iWczBNnn5rbfoUlE0Jd_uploads_git_blob_9864c7f811c613c3faab876659c6423__25[[#This Row],[Número de Orden]],Cocinadinamica!B77:B845,Cocinadinamica!C77:C845)</f>
        <v>42</v>
      </c>
      <c r="O76" s="7">
        <f>spaces_3iWczBNnn5rbfoUlE0Jd_uploads_git_blob_9864c7f811c613c3faab876659c6423__25[[#This Row],[Hora de Llegada]]</f>
        <v>45017.15</v>
      </c>
      <c r="P76" s="9">
        <f>spaces_3iWczBNnn5rbfoUlE0Jd_uploads_git_blob_9864c7f811c613c3faab876659c6423__25[[#This Row],[Hora de Llegada]]</f>
        <v>45017.15</v>
      </c>
      <c r="Q76" s="9">
        <f>spaces_3iWczBNnn5rbfoUlE0Jd_uploads_git_blob_9864c7f811c613c3faab876659c6423__25[[#This Row],[Hora de Salida]]</f>
        <v>45017.200694444444</v>
      </c>
      <c r="R76" s="9" cm="1">
        <f t="array" ref="R7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6.1111111106583849E-2</v>
      </c>
      <c r="S76" s="9">
        <f>_xlfn.XLOOKUP(spaces_3iWczBNnn5rbfoUlE0Jd_uploads_git_blob_9864c7f811c613c3faab876659c6423__25[[#This Row],[Número de Orden]],Cocinadinamica!E77:E845,Cocinadinamica!F77:F845)/1440</f>
        <v>3.5416666666666666E-2</v>
      </c>
      <c r="T76" s="9" cm="1">
        <f t="array" ref="T7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2.5694444439917183E-2</v>
      </c>
      <c r="U76" s="9" t="str" cm="1">
        <f t="array" ref="U7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7" spans="1:21" x14ac:dyDescent="0.35">
      <c r="A77" s="28">
        <v>17</v>
      </c>
      <c r="B77" s="13" t="s">
        <v>908</v>
      </c>
      <c r="C77" s="13">
        <v>3</v>
      </c>
      <c r="D77" s="14">
        <v>45017.122916666667</v>
      </c>
      <c r="E77" s="14">
        <v>45017.224999999999</v>
      </c>
      <c r="F77" s="13" t="s">
        <v>223</v>
      </c>
      <c r="G77" s="13" t="s">
        <v>86</v>
      </c>
      <c r="H77" s="13" t="s">
        <v>74</v>
      </c>
      <c r="I77" s="17">
        <v>17.760000000000002</v>
      </c>
      <c r="J77" s="13" t="s">
        <v>94</v>
      </c>
      <c r="K77" s="13">
        <v>76</v>
      </c>
      <c r="L77" s="13" t="s">
        <v>164</v>
      </c>
      <c r="M77" s="13" t="s">
        <v>1326</v>
      </c>
      <c r="N77">
        <f>_xlfn.XLOOKUP(spaces_3iWczBNnn5rbfoUlE0Jd_uploads_git_blob_9864c7f811c613c3faab876659c6423__25[[#This Row],[Número de Orden]],Cocinadinamica!B78:B846,Cocinadinamica!C78:C846)</f>
        <v>65</v>
      </c>
      <c r="O77" s="7">
        <f>spaces_3iWczBNnn5rbfoUlE0Jd_uploads_git_blob_9864c7f811c613c3faab876659c6423__25[[#This Row],[Hora de Llegada]]</f>
        <v>45017.122916666667</v>
      </c>
      <c r="P77" s="9">
        <f>spaces_3iWczBNnn5rbfoUlE0Jd_uploads_git_blob_9864c7f811c613c3faab876659c6423__25[[#This Row],[Hora de Llegada]]</f>
        <v>45017.122916666667</v>
      </c>
      <c r="Q77" s="9">
        <f>spaces_3iWczBNnn5rbfoUlE0Jd_uploads_git_blob_9864c7f811c613c3faab876659c6423__25[[#This Row],[Hora de Salida]]</f>
        <v>45017.224999999999</v>
      </c>
      <c r="R77" s="9" cm="1">
        <f t="array" ref="R7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77" s="9">
        <f>_xlfn.XLOOKUP(spaces_3iWczBNnn5rbfoUlE0Jd_uploads_git_blob_9864c7f811c613c3faab876659c6423__25[[#This Row],[Número de Orden]],Cocinadinamica!E78:E846,Cocinadinamica!F78:F846)/1440</f>
        <v>6.7361111111111108E-2</v>
      </c>
      <c r="T77" s="9" cm="1">
        <f t="array" ref="T7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3.472222222028197E-2</v>
      </c>
      <c r="U77" s="9" t="str" cm="1">
        <f t="array" ref="U7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8" spans="1:21" x14ac:dyDescent="0.35">
      <c r="A78" s="27">
        <v>3</v>
      </c>
      <c r="B78" s="11" t="s">
        <v>909</v>
      </c>
      <c r="C78" s="11">
        <v>1</v>
      </c>
      <c r="D78" s="12">
        <v>45017.115277777775</v>
      </c>
      <c r="E78" s="12">
        <v>45017.260416666664</v>
      </c>
      <c r="F78" s="11" t="s">
        <v>170</v>
      </c>
      <c r="G78" s="11" t="s">
        <v>73</v>
      </c>
      <c r="H78" s="11" t="s">
        <v>74</v>
      </c>
      <c r="I78" s="16">
        <v>19.88</v>
      </c>
      <c r="J78" s="11" t="s">
        <v>75</v>
      </c>
      <c r="K78" s="11">
        <v>77</v>
      </c>
      <c r="L78" s="11" t="s">
        <v>95</v>
      </c>
      <c r="M78" s="11" t="s">
        <v>1327</v>
      </c>
      <c r="N78">
        <f>_xlfn.XLOOKUP(spaces_3iWczBNnn5rbfoUlE0Jd_uploads_git_blob_9864c7f811c613c3faab876659c6423__25[[#This Row],[Número de Orden]],Cocinadinamica!B79:B847,Cocinadinamica!C79:C847)</f>
        <v>41</v>
      </c>
      <c r="O78" s="7">
        <f>spaces_3iWczBNnn5rbfoUlE0Jd_uploads_git_blob_9864c7f811c613c3faab876659c6423__25[[#This Row],[Hora de Llegada]]</f>
        <v>45017.115277777775</v>
      </c>
      <c r="P78" s="9">
        <f>spaces_3iWczBNnn5rbfoUlE0Jd_uploads_git_blob_9864c7f811c613c3faab876659c6423__25[[#This Row],[Hora de Llegada]]</f>
        <v>45017.115277777775</v>
      </c>
      <c r="Q78" s="9">
        <f>spaces_3iWczBNnn5rbfoUlE0Jd_uploads_git_blob_9864c7f811c613c3faab876659c6423__25[[#This Row],[Hora de Salida]]</f>
        <v>45017.260416666664</v>
      </c>
      <c r="R78" s="9" cm="1">
        <f t="array" ref="R7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0.14513888888905058</v>
      </c>
      <c r="S78" s="9">
        <f>_xlfn.XLOOKUP(spaces_3iWczBNnn5rbfoUlE0Jd_uploads_git_blob_9864c7f811c613c3faab876659c6423__25[[#This Row],[Número de Orden]],Cocinadinamica!E79:E847,Cocinadinamica!F79:F847)/1440</f>
        <v>6.7361111111111108E-2</v>
      </c>
      <c r="T78" s="9" cm="1">
        <f t="array" ref="T7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7.7777777777939469E-2</v>
      </c>
      <c r="U78" s="9" t="str" cm="1">
        <f t="array" ref="U7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9" spans="1:21" x14ac:dyDescent="0.35">
      <c r="A79" s="28" t="s">
        <v>70</v>
      </c>
      <c r="B79" s="13" t="s">
        <v>169</v>
      </c>
      <c r="C79" s="13">
        <v>4</v>
      </c>
      <c r="D79" s="14">
        <v>45017.06527777778</v>
      </c>
      <c r="E79" s="14">
        <v>45017.127083333333</v>
      </c>
      <c r="F79" s="13" t="s">
        <v>170</v>
      </c>
      <c r="G79" s="13" t="s">
        <v>86</v>
      </c>
      <c r="H79" s="13" t="s">
        <v>74</v>
      </c>
      <c r="I79" s="17">
        <v>20.02</v>
      </c>
      <c r="J79" s="13" t="s">
        <v>75</v>
      </c>
      <c r="K79" s="13">
        <v>78</v>
      </c>
      <c r="L79" s="13" t="s">
        <v>110</v>
      </c>
      <c r="M79" s="13" t="s">
        <v>29</v>
      </c>
      <c r="N79">
        <f>_xlfn.XLOOKUP(spaces_3iWczBNnn5rbfoUlE0Jd_uploads_git_blob_9864c7f811c613c3faab876659c6423__25[[#This Row],[Número de Orden]],Cocinadinamica!B80:B848,Cocinadinamica!C80:C848)</f>
        <v>24</v>
      </c>
      <c r="O79" s="7">
        <f>spaces_3iWczBNnn5rbfoUlE0Jd_uploads_git_blob_9864c7f811c613c3faab876659c6423__25[[#This Row],[Hora de Llegada]]</f>
        <v>45017.06527777778</v>
      </c>
      <c r="P79" s="9">
        <f>spaces_3iWczBNnn5rbfoUlE0Jd_uploads_git_blob_9864c7f811c613c3faab876659c6423__25[[#This Row],[Hora de Llegada]]</f>
        <v>45017.06527777778</v>
      </c>
      <c r="Q79" s="9">
        <f>spaces_3iWczBNnn5rbfoUlE0Jd_uploads_git_blob_9864c7f811c613c3faab876659c6423__25[[#This Row],[Hora de Salida]]</f>
        <v>45017.127083333333</v>
      </c>
      <c r="R79" s="9" cm="1">
        <f t="array" ref="R7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6.1805555553291924E-2</v>
      </c>
      <c r="S79" s="9">
        <f>_xlfn.XLOOKUP(spaces_3iWczBNnn5rbfoUlE0Jd_uploads_git_blob_9864c7f811c613c3faab876659c6423__25[[#This Row],[Número de Orden]],Cocinadinamica!E80:E848,Cocinadinamica!F80:F848)/1440</f>
        <v>3.7499999999999999E-2</v>
      </c>
      <c r="T79" s="9" cm="1">
        <f t="array" ref="T7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2.4305555553291926E-2</v>
      </c>
      <c r="U79" s="9" t="str" cm="1">
        <f t="array" ref="U7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0" spans="1:21" x14ac:dyDescent="0.35">
      <c r="A80" s="27">
        <v>16</v>
      </c>
      <c r="B80" s="11" t="s">
        <v>910</v>
      </c>
      <c r="C80" s="11">
        <v>2</v>
      </c>
      <c r="D80" s="12">
        <v>45017.06527777778</v>
      </c>
      <c r="E80" s="12">
        <v>45017.213888888888</v>
      </c>
      <c r="F80" s="11" t="s">
        <v>170</v>
      </c>
      <c r="G80" s="11" t="s">
        <v>86</v>
      </c>
      <c r="H80" s="11" t="s">
        <v>74</v>
      </c>
      <c r="I80" s="16">
        <v>34.01</v>
      </c>
      <c r="J80" s="11" t="s">
        <v>75</v>
      </c>
      <c r="K80" s="11">
        <v>79</v>
      </c>
      <c r="L80" s="11" t="s">
        <v>275</v>
      </c>
      <c r="M80" s="11" t="s">
        <v>1328</v>
      </c>
      <c r="N80">
        <f>_xlfn.XLOOKUP(spaces_3iWczBNnn5rbfoUlE0Jd_uploads_git_blob_9864c7f811c613c3faab876659c6423__25[[#This Row],[Número de Orden]],Cocinadinamica!B81:B849,Cocinadinamica!C81:C849)</f>
        <v>123</v>
      </c>
      <c r="O80" s="7">
        <f>spaces_3iWczBNnn5rbfoUlE0Jd_uploads_git_blob_9864c7f811c613c3faab876659c6423__25[[#This Row],[Hora de Llegada]]</f>
        <v>45017.06527777778</v>
      </c>
      <c r="P80" s="9">
        <f>spaces_3iWczBNnn5rbfoUlE0Jd_uploads_git_blob_9864c7f811c613c3faab876659c6423__25[[#This Row],[Hora de Llegada]]</f>
        <v>45017.06527777778</v>
      </c>
      <c r="Q80" s="9">
        <f>spaces_3iWczBNnn5rbfoUlE0Jd_uploads_git_blob_9864c7f811c613c3faab876659c6423__25[[#This Row],[Hora de Salida]]</f>
        <v>45017.213888888888</v>
      </c>
      <c r="R80" s="9" cm="1">
        <f t="array" ref="R8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0.14861111110803904</v>
      </c>
      <c r="S80" s="9">
        <f>_xlfn.XLOOKUP(spaces_3iWczBNnn5rbfoUlE0Jd_uploads_git_blob_9864c7f811c613c3faab876659c6423__25[[#This Row],[Número de Orden]],Cocinadinamica!E81:E849,Cocinadinamica!F81:F849)/1440</f>
        <v>6.6666666666666666E-2</v>
      </c>
      <c r="T80" s="9" cm="1">
        <f t="array" ref="T8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8.1944444441372374E-2</v>
      </c>
      <c r="U80" s="9" t="str" cm="1">
        <f t="array" ref="U8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1" spans="1:21" x14ac:dyDescent="0.35">
      <c r="A81" s="28">
        <v>18</v>
      </c>
      <c r="B81" s="13" t="s">
        <v>911</v>
      </c>
      <c r="C81" s="13">
        <v>6</v>
      </c>
      <c r="D81" s="14">
        <v>45017.093055555553</v>
      </c>
      <c r="E81" s="14">
        <v>45017.156944444447</v>
      </c>
      <c r="F81" s="13" t="s">
        <v>72</v>
      </c>
      <c r="G81" s="13" t="s">
        <v>86</v>
      </c>
      <c r="H81" s="13" t="s">
        <v>74</v>
      </c>
      <c r="I81" s="17">
        <v>39.049999999999997</v>
      </c>
      <c r="J81" s="13" t="s">
        <v>75</v>
      </c>
      <c r="K81" s="13">
        <v>80</v>
      </c>
      <c r="L81" s="13" t="s">
        <v>275</v>
      </c>
      <c r="M81" s="13" t="s">
        <v>1329</v>
      </c>
      <c r="N81">
        <f>_xlfn.XLOOKUP(spaces_3iWczBNnn5rbfoUlE0Jd_uploads_git_blob_9864c7f811c613c3faab876659c6423__25[[#This Row],[Número de Orden]],Cocinadinamica!B82:B850,Cocinadinamica!C82:C850)</f>
        <v>50</v>
      </c>
      <c r="O81" s="7">
        <f>spaces_3iWczBNnn5rbfoUlE0Jd_uploads_git_blob_9864c7f811c613c3faab876659c6423__25[[#This Row],[Hora de Llegada]]</f>
        <v>45017.093055555553</v>
      </c>
      <c r="P81" s="9">
        <f>spaces_3iWczBNnn5rbfoUlE0Jd_uploads_git_blob_9864c7f811c613c3faab876659c6423__25[[#This Row],[Hora de Llegada]]</f>
        <v>45017.093055555553</v>
      </c>
      <c r="Q81" s="9">
        <f>spaces_3iWczBNnn5rbfoUlE0Jd_uploads_git_blob_9864c7f811c613c3faab876659c6423__25[[#This Row],[Hora de Salida]]</f>
        <v>45017.156944444447</v>
      </c>
      <c r="R81" s="9" cm="1">
        <f t="array" ref="R8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6.3888888893416151E-2</v>
      </c>
      <c r="S81" s="9">
        <f>_xlfn.XLOOKUP(spaces_3iWczBNnn5rbfoUlE0Jd_uploads_git_blob_9864c7f811c613c3faab876659c6423__25[[#This Row],[Número de Orden]],Cocinadinamica!E82:E850,Cocinadinamica!F82:F850)/1440</f>
        <v>4.6527777777777779E-2</v>
      </c>
      <c r="T81" s="9" cm="1">
        <f t="array" ref="T8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1.7361111115638372E-2</v>
      </c>
      <c r="U81" s="9" t="str" cm="1">
        <f t="array" ref="U8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2" spans="1:21" x14ac:dyDescent="0.35">
      <c r="A82" s="27" t="s">
        <v>132</v>
      </c>
      <c r="B82" s="11" t="s">
        <v>173</v>
      </c>
      <c r="C82" s="11">
        <v>4</v>
      </c>
      <c r="D82" s="12">
        <v>45017.152777777781</v>
      </c>
      <c r="E82" s="12">
        <v>45017.271527777775</v>
      </c>
      <c r="F82" s="11" t="s">
        <v>85</v>
      </c>
      <c r="G82" s="11" t="s">
        <v>73</v>
      </c>
      <c r="H82" s="11" t="s">
        <v>74</v>
      </c>
      <c r="I82" s="16">
        <v>23.69</v>
      </c>
      <c r="J82" s="11" t="s">
        <v>88</v>
      </c>
      <c r="K82" s="11">
        <v>81</v>
      </c>
      <c r="L82" s="11" t="s">
        <v>174</v>
      </c>
      <c r="M82" s="11" t="s">
        <v>15</v>
      </c>
      <c r="N82">
        <f>_xlfn.XLOOKUP(spaces_3iWczBNnn5rbfoUlE0Jd_uploads_git_blob_9864c7f811c613c3faab876659c6423__25[[#This Row],[Número de Orden]],Cocinadinamica!B83:B851,Cocinadinamica!C83:C851)</f>
        <v>24</v>
      </c>
      <c r="O82" s="7">
        <f>spaces_3iWczBNnn5rbfoUlE0Jd_uploads_git_blob_9864c7f811c613c3faab876659c6423__25[[#This Row],[Hora de Llegada]]</f>
        <v>45017.152777777781</v>
      </c>
      <c r="P82" s="9">
        <f>spaces_3iWczBNnn5rbfoUlE0Jd_uploads_git_blob_9864c7f811c613c3faab876659c6423__25[[#This Row],[Hora de Llegada]]</f>
        <v>45017.152777777781</v>
      </c>
      <c r="Q82" s="9">
        <f>spaces_3iWczBNnn5rbfoUlE0Jd_uploads_git_blob_9864c7f811c613c3faab876659c6423__25[[#This Row],[Hora de Salida]]</f>
        <v>45017.271527777775</v>
      </c>
      <c r="R82" s="9" cm="1">
        <f t="array" ref="R8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0.12916666665842058</v>
      </c>
      <c r="S82" s="9">
        <f>_xlfn.XLOOKUP(spaces_3iWczBNnn5rbfoUlE0Jd_uploads_git_blob_9864c7f811c613c3faab876659c6423__25[[#This Row],[Número de Orden]],Cocinadinamica!E83:E851,Cocinadinamica!F83:F851)/1440</f>
        <v>4.0972222222222222E-2</v>
      </c>
      <c r="T82" s="9" cm="1">
        <f t="array" ref="T8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8.8194444436198366E-2</v>
      </c>
      <c r="U82" s="9" t="str" cm="1">
        <f t="array" ref="U8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3" spans="1:21" x14ac:dyDescent="0.35">
      <c r="A83" s="28">
        <v>16</v>
      </c>
      <c r="B83" s="13" t="s">
        <v>912</v>
      </c>
      <c r="C83" s="13">
        <v>3</v>
      </c>
      <c r="D83" s="14">
        <v>45017.142361111109</v>
      </c>
      <c r="E83" s="14">
        <v>45017.298611111109</v>
      </c>
      <c r="F83" s="13" t="s">
        <v>85</v>
      </c>
      <c r="G83" s="13" t="s">
        <v>163</v>
      </c>
      <c r="H83" s="13" t="s">
        <v>74</v>
      </c>
      <c r="I83" s="17">
        <v>38.6</v>
      </c>
      <c r="J83" s="13" t="s">
        <v>75</v>
      </c>
      <c r="K83" s="13">
        <v>82</v>
      </c>
      <c r="L83" s="13" t="s">
        <v>221</v>
      </c>
      <c r="M83" s="13" t="s">
        <v>1330</v>
      </c>
      <c r="N83">
        <f>_xlfn.XLOOKUP(spaces_3iWczBNnn5rbfoUlE0Jd_uploads_git_blob_9864c7f811c613c3faab876659c6423__25[[#This Row],[Número de Orden]],Cocinadinamica!B84:B852,Cocinadinamica!C84:C852)</f>
        <v>32</v>
      </c>
      <c r="O83" s="7">
        <f>spaces_3iWczBNnn5rbfoUlE0Jd_uploads_git_blob_9864c7f811c613c3faab876659c6423__25[[#This Row],[Hora de Llegada]]</f>
        <v>45017.142361111109</v>
      </c>
      <c r="P83" s="9">
        <f>spaces_3iWczBNnn5rbfoUlE0Jd_uploads_git_blob_9864c7f811c613c3faab876659c6423__25[[#This Row],[Hora de Llegada]]</f>
        <v>45017.142361111109</v>
      </c>
      <c r="Q83" s="9">
        <f>spaces_3iWczBNnn5rbfoUlE0Jd_uploads_git_blob_9864c7f811c613c3faab876659c6423__25[[#This Row],[Hora de Salida]]</f>
        <v>45017.298611111109</v>
      </c>
      <c r="R83" s="9" cm="1">
        <f t="array" ref="R8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83" s="9">
        <f>_xlfn.XLOOKUP(spaces_3iWczBNnn5rbfoUlE0Jd_uploads_git_blob_9864c7f811c613c3faab876659c6423__25[[#This Row],[Número de Orden]],Cocinadinamica!E84:E852,Cocinadinamica!F84:F852)/1440</f>
        <v>1.3194444444444444E-2</v>
      </c>
      <c r="T83" s="9" cm="1">
        <f t="array" ref="T8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0.14305555555555555</v>
      </c>
      <c r="U83" s="9" t="str" cm="1">
        <f t="array" ref="U8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4" spans="1:21" x14ac:dyDescent="0.35">
      <c r="A84" s="27">
        <v>15</v>
      </c>
      <c r="B84" s="11" t="s">
        <v>913</v>
      </c>
      <c r="C84" s="11">
        <v>1</v>
      </c>
      <c r="D84" s="12">
        <v>45017.154166666667</v>
      </c>
      <c r="E84" s="12">
        <v>45017.277083333334</v>
      </c>
      <c r="F84" s="11" t="s">
        <v>223</v>
      </c>
      <c r="G84" s="11" t="s">
        <v>73</v>
      </c>
      <c r="H84" s="11" t="s">
        <v>74</v>
      </c>
      <c r="I84" s="16">
        <v>24.94</v>
      </c>
      <c r="J84" s="11" t="s">
        <v>88</v>
      </c>
      <c r="K84" s="11">
        <v>83</v>
      </c>
      <c r="L84" s="11" t="s">
        <v>164</v>
      </c>
      <c r="M84" s="11" t="s">
        <v>1331</v>
      </c>
      <c r="N84">
        <f>_xlfn.XLOOKUP(spaces_3iWczBNnn5rbfoUlE0Jd_uploads_git_blob_9864c7f811c613c3faab876659c6423__25[[#This Row],[Número de Orden]],Cocinadinamica!B85:B853,Cocinadinamica!C85:C853)</f>
        <v>69</v>
      </c>
      <c r="O84" s="7">
        <f>spaces_3iWczBNnn5rbfoUlE0Jd_uploads_git_blob_9864c7f811c613c3faab876659c6423__25[[#This Row],[Hora de Llegada]]</f>
        <v>45017.154166666667</v>
      </c>
      <c r="P84" s="9">
        <f>spaces_3iWczBNnn5rbfoUlE0Jd_uploads_git_blob_9864c7f811c613c3faab876659c6423__25[[#This Row],[Hora de Llegada]]</f>
        <v>45017.154166666667</v>
      </c>
      <c r="Q84" s="9">
        <f>spaces_3iWczBNnn5rbfoUlE0Jd_uploads_git_blob_9864c7f811c613c3faab876659c6423__25[[#This Row],[Hora de Salida]]</f>
        <v>45017.277083333334</v>
      </c>
      <c r="R84" s="9" cm="1">
        <f t="array" ref="R8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0.13333333333139308</v>
      </c>
      <c r="S84" s="9">
        <f>_xlfn.XLOOKUP(spaces_3iWczBNnn5rbfoUlE0Jd_uploads_git_blob_9864c7f811c613c3faab876659c6423__25[[#This Row],[Número de Orden]],Cocinadinamica!E85:E853,Cocinadinamica!F85:F853)/1440</f>
        <v>6.5277777777777782E-2</v>
      </c>
      <c r="T84" s="9" cm="1">
        <f t="array" ref="T8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6.8055555553615296E-2</v>
      </c>
      <c r="U84" s="9" t="str" cm="1">
        <f t="array" ref="U8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5" spans="1:21" x14ac:dyDescent="0.35">
      <c r="A85" s="28" t="s">
        <v>177</v>
      </c>
      <c r="B85" s="13" t="s">
        <v>178</v>
      </c>
      <c r="C85" s="13">
        <v>5</v>
      </c>
      <c r="D85" s="14">
        <v>45017.070833333331</v>
      </c>
      <c r="E85" s="14">
        <v>45017.137499999997</v>
      </c>
      <c r="F85" s="13" t="s">
        <v>72</v>
      </c>
      <c r="G85" s="13" t="s">
        <v>86</v>
      </c>
      <c r="H85" s="13" t="s">
        <v>74</v>
      </c>
      <c r="I85" s="17">
        <v>15.11</v>
      </c>
      <c r="J85" s="13" t="s">
        <v>88</v>
      </c>
      <c r="K85" s="13">
        <v>84</v>
      </c>
      <c r="L85" s="13" t="s">
        <v>76</v>
      </c>
      <c r="M85" s="13" t="s">
        <v>12</v>
      </c>
      <c r="N85">
        <f>_xlfn.XLOOKUP(spaces_3iWczBNnn5rbfoUlE0Jd_uploads_git_blob_9864c7f811c613c3faab876659c6423__25[[#This Row],[Número de Orden]],Cocinadinamica!B86:B854,Cocinadinamica!C86:C854)</f>
        <v>24</v>
      </c>
      <c r="O85" s="7">
        <f>spaces_3iWczBNnn5rbfoUlE0Jd_uploads_git_blob_9864c7f811c613c3faab876659c6423__25[[#This Row],[Hora de Llegada]]</f>
        <v>45017.070833333331</v>
      </c>
      <c r="P85" s="9">
        <f>spaces_3iWczBNnn5rbfoUlE0Jd_uploads_git_blob_9864c7f811c613c3faab876659c6423__25[[#This Row],[Hora de Llegada]]</f>
        <v>45017.070833333331</v>
      </c>
      <c r="Q85" s="9">
        <f>spaces_3iWczBNnn5rbfoUlE0Jd_uploads_git_blob_9864c7f811c613c3faab876659c6423__25[[#This Row],[Hora de Salida]]</f>
        <v>45017.137499999997</v>
      </c>
      <c r="R85" s="9" cm="1">
        <f t="array" ref="R8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7.7083333329937886E-2</v>
      </c>
      <c r="S85" s="9">
        <f>_xlfn.XLOOKUP(spaces_3iWczBNnn5rbfoUlE0Jd_uploads_git_blob_9864c7f811c613c3faab876659c6423__25[[#This Row],[Número de Orden]],Cocinadinamica!E86:E854,Cocinadinamica!F86:F854)/1440</f>
        <v>6.9444444444444441E-3</v>
      </c>
      <c r="T85" s="9" cm="1">
        <f t="array" ref="T8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7.0138888885493439E-2</v>
      </c>
      <c r="U85" s="9" t="str" cm="1">
        <f t="array" ref="U8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6" spans="1:21" x14ac:dyDescent="0.35">
      <c r="A86" s="27">
        <v>8</v>
      </c>
      <c r="B86" s="11" t="s">
        <v>914</v>
      </c>
      <c r="C86" s="11">
        <v>3</v>
      </c>
      <c r="D86" s="12">
        <v>45017.107638888891</v>
      </c>
      <c r="E86" s="12">
        <v>45017.188194444447</v>
      </c>
      <c r="F86" s="11" t="s">
        <v>100</v>
      </c>
      <c r="G86" s="11" t="s">
        <v>73</v>
      </c>
      <c r="H86" s="11" t="s">
        <v>74</v>
      </c>
      <c r="I86" s="16">
        <v>45.96</v>
      </c>
      <c r="J86" s="11" t="s">
        <v>75</v>
      </c>
      <c r="K86" s="11">
        <v>85</v>
      </c>
      <c r="L86" s="11" t="s">
        <v>187</v>
      </c>
      <c r="M86" s="11" t="s">
        <v>1332</v>
      </c>
      <c r="N86">
        <f>_xlfn.XLOOKUP(spaces_3iWczBNnn5rbfoUlE0Jd_uploads_git_blob_9864c7f811c613c3faab876659c6423__25[[#This Row],[Número de Orden]],Cocinadinamica!B87:B855,Cocinadinamica!C87:C855)</f>
        <v>85</v>
      </c>
      <c r="O86" s="7">
        <f>spaces_3iWczBNnn5rbfoUlE0Jd_uploads_git_blob_9864c7f811c613c3faab876659c6423__25[[#This Row],[Hora de Llegada]]</f>
        <v>45017.107638888891</v>
      </c>
      <c r="P86" s="9">
        <f>spaces_3iWczBNnn5rbfoUlE0Jd_uploads_git_blob_9864c7f811c613c3faab876659c6423__25[[#This Row],[Hora de Llegada]]</f>
        <v>45017.107638888891</v>
      </c>
      <c r="Q86" s="9">
        <f>spaces_3iWczBNnn5rbfoUlE0Jd_uploads_git_blob_9864c7f811c613c3faab876659c6423__25[[#This Row],[Hora de Salida]]</f>
        <v>45017.188194444447</v>
      </c>
      <c r="R86" s="9" cm="1">
        <f t="array" ref="R8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8.0555555556202307E-2</v>
      </c>
      <c r="S86" s="9">
        <f>_xlfn.XLOOKUP(spaces_3iWczBNnn5rbfoUlE0Jd_uploads_git_blob_9864c7f811c613c3faab876659c6423__25[[#This Row],[Número de Orden]],Cocinadinamica!E87:E855,Cocinadinamica!F87:F855)/1440</f>
        <v>9.8611111111111108E-2</v>
      </c>
      <c r="T86" s="9" cm="1">
        <f t="array" ref="T8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86" s="9" t="str" cm="1">
        <f t="array" ref="U8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87" spans="1:21" x14ac:dyDescent="0.35">
      <c r="A87" s="28" t="s">
        <v>92</v>
      </c>
      <c r="B87" s="13" t="s">
        <v>180</v>
      </c>
      <c r="C87" s="13">
        <v>3</v>
      </c>
      <c r="D87" s="14">
        <v>45017.001388888886</v>
      </c>
      <c r="E87" s="14">
        <v>45017.088888888888</v>
      </c>
      <c r="F87" s="13" t="s">
        <v>85</v>
      </c>
      <c r="G87" s="13" t="s">
        <v>86</v>
      </c>
      <c r="H87" s="13" t="s">
        <v>109</v>
      </c>
      <c r="I87" s="17">
        <v>11.84</v>
      </c>
      <c r="J87" s="13" t="s">
        <v>75</v>
      </c>
      <c r="K87" s="13">
        <v>86</v>
      </c>
      <c r="L87" s="13" t="s">
        <v>181</v>
      </c>
      <c r="M87" s="13" t="s">
        <v>49</v>
      </c>
      <c r="N87">
        <f>_xlfn.XLOOKUP(spaces_3iWczBNnn5rbfoUlE0Jd_uploads_git_blob_9864c7f811c613c3faab876659c6423__25[[#This Row],[Número de Orden]],Cocinadinamica!B88:B856,Cocinadinamica!C88:C856)</f>
        <v>20</v>
      </c>
      <c r="O87" s="7">
        <f>spaces_3iWczBNnn5rbfoUlE0Jd_uploads_git_blob_9864c7f811c613c3faab876659c6423__25[[#This Row],[Hora de Llegada]]</f>
        <v>45017.001388888886</v>
      </c>
      <c r="P87" s="9">
        <f>spaces_3iWczBNnn5rbfoUlE0Jd_uploads_git_blob_9864c7f811c613c3faab876659c6423__25[[#This Row],[Hora de Llegada]]</f>
        <v>45017.001388888886</v>
      </c>
      <c r="Q87" s="9">
        <f>spaces_3iWczBNnn5rbfoUlE0Jd_uploads_git_blob_9864c7f811c613c3faab876659c6423__25[[#This Row],[Hora de Salida]]</f>
        <v>45017.088888888888</v>
      </c>
      <c r="R87" s="9" cm="1">
        <f t="array" ref="R8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8.7500000001455192E-2</v>
      </c>
      <c r="S87" s="9">
        <f>_xlfn.XLOOKUP(spaces_3iWczBNnn5rbfoUlE0Jd_uploads_git_blob_9864c7f811c613c3faab876659c6423__25[[#This Row],[Número de Orden]],Cocinadinamica!E88:E856,Cocinadinamica!F88:F856)/1440</f>
        <v>5.5555555555555558E-3</v>
      </c>
      <c r="T87" s="9" cm="1">
        <f t="array" ref="T8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8.1944444445899642E-2</v>
      </c>
      <c r="U87" s="9" t="str" cm="1">
        <f t="array" ref="U8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8" spans="1:21" x14ac:dyDescent="0.35">
      <c r="A88" s="27">
        <v>3</v>
      </c>
      <c r="B88" s="11" t="s">
        <v>915</v>
      </c>
      <c r="C88" s="11">
        <v>2</v>
      </c>
      <c r="D88" s="12">
        <v>45017.073611111111</v>
      </c>
      <c r="E88" s="12">
        <v>45017.137499999997</v>
      </c>
      <c r="F88" s="11" t="s">
        <v>72</v>
      </c>
      <c r="G88" s="11" t="s">
        <v>86</v>
      </c>
      <c r="H88" s="11" t="s">
        <v>74</v>
      </c>
      <c r="I88" s="16">
        <v>29.46</v>
      </c>
      <c r="J88" s="11" t="s">
        <v>88</v>
      </c>
      <c r="K88" s="11">
        <v>87</v>
      </c>
      <c r="L88" s="11" t="s">
        <v>275</v>
      </c>
      <c r="M88" s="11" t="s">
        <v>1333</v>
      </c>
      <c r="N88">
        <f>_xlfn.XLOOKUP(spaces_3iWczBNnn5rbfoUlE0Jd_uploads_git_blob_9864c7f811c613c3faab876659c6423__25[[#This Row],[Número de Orden]],Cocinadinamica!B89:B857,Cocinadinamica!C89:C857)</f>
        <v>41</v>
      </c>
      <c r="O88" s="7">
        <f>spaces_3iWczBNnn5rbfoUlE0Jd_uploads_git_blob_9864c7f811c613c3faab876659c6423__25[[#This Row],[Hora de Llegada]]</f>
        <v>45017.073611111111</v>
      </c>
      <c r="P88" s="9">
        <f>spaces_3iWczBNnn5rbfoUlE0Jd_uploads_git_blob_9864c7f811c613c3faab876659c6423__25[[#This Row],[Hora de Llegada]]</f>
        <v>45017.073611111111</v>
      </c>
      <c r="Q88" s="9">
        <f>spaces_3iWczBNnn5rbfoUlE0Jd_uploads_git_blob_9864c7f811c613c3faab876659c6423__25[[#This Row],[Hora de Salida]]</f>
        <v>45017.137499999997</v>
      </c>
      <c r="R88" s="9" cm="1">
        <f t="array" ref="R8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7.4305555550381541E-2</v>
      </c>
      <c r="S88" s="9">
        <f>_xlfn.XLOOKUP(spaces_3iWczBNnn5rbfoUlE0Jd_uploads_git_blob_9864c7f811c613c3faab876659c6423__25[[#This Row],[Número de Orden]],Cocinadinamica!E89:E857,Cocinadinamica!F89:F857)/1440</f>
        <v>4.9305555555555554E-2</v>
      </c>
      <c r="T88" s="9" cm="1">
        <f t="array" ref="T8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2.4999999994825987E-2</v>
      </c>
      <c r="U88" s="9" t="str" cm="1">
        <f t="array" ref="U8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89" spans="1:21" x14ac:dyDescent="0.35">
      <c r="A89" s="28">
        <v>18</v>
      </c>
      <c r="B89" s="13" t="s">
        <v>778</v>
      </c>
      <c r="C89" s="13">
        <v>1</v>
      </c>
      <c r="D89" s="14">
        <v>45017.145833333336</v>
      </c>
      <c r="E89" s="14">
        <v>45017.277777777781</v>
      </c>
      <c r="F89" s="13" t="s">
        <v>72</v>
      </c>
      <c r="G89" s="13" t="s">
        <v>86</v>
      </c>
      <c r="H89" s="13" t="s">
        <v>109</v>
      </c>
      <c r="I89" s="17">
        <v>23.93</v>
      </c>
      <c r="J89" s="13" t="s">
        <v>94</v>
      </c>
      <c r="K89" s="13">
        <v>88</v>
      </c>
      <c r="L89" s="13" t="s">
        <v>187</v>
      </c>
      <c r="M89" s="13" t="s">
        <v>1334</v>
      </c>
      <c r="N89">
        <f>_xlfn.XLOOKUP(spaces_3iWczBNnn5rbfoUlE0Jd_uploads_git_blob_9864c7f811c613c3faab876659c6423__25[[#This Row],[Número de Orden]],Cocinadinamica!B90:B858,Cocinadinamica!C90:C858)</f>
        <v>50</v>
      </c>
      <c r="O89" s="7">
        <f>spaces_3iWczBNnn5rbfoUlE0Jd_uploads_git_blob_9864c7f811c613c3faab876659c6423__25[[#This Row],[Hora de Llegada]]</f>
        <v>45017.145833333336</v>
      </c>
      <c r="P89" s="9">
        <f>spaces_3iWczBNnn5rbfoUlE0Jd_uploads_git_blob_9864c7f811c613c3faab876659c6423__25[[#This Row],[Hora de Llegada]]</f>
        <v>45017.145833333336</v>
      </c>
      <c r="Q89" s="9">
        <f>spaces_3iWczBNnn5rbfoUlE0Jd_uploads_git_blob_9864c7f811c613c3faab876659c6423__25[[#This Row],[Hora de Salida]]</f>
        <v>45017.277777777781</v>
      </c>
      <c r="R89" s="9" cm="1">
        <f t="array" ref="R8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0.13194444444525288</v>
      </c>
      <c r="S89" s="9">
        <f>_xlfn.XLOOKUP(spaces_3iWczBNnn5rbfoUlE0Jd_uploads_git_blob_9864c7f811c613c3faab876659c6423__25[[#This Row],[Número de Orden]],Cocinadinamica!E90:E858,Cocinadinamica!F90:F858)/1440</f>
        <v>8.1250000000000003E-2</v>
      </c>
      <c r="T89" s="9" cm="1">
        <f t="array" ref="T8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5.0694444445252881E-2</v>
      </c>
      <c r="U89" s="9" t="str" cm="1">
        <f t="array" ref="U8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90" spans="1:21" x14ac:dyDescent="0.35">
      <c r="A90" s="27">
        <v>11</v>
      </c>
      <c r="B90" s="11" t="s">
        <v>367</v>
      </c>
      <c r="C90" s="11">
        <v>4</v>
      </c>
      <c r="D90" s="12">
        <v>45017.029166666667</v>
      </c>
      <c r="E90" s="12">
        <v>45017.09652777778</v>
      </c>
      <c r="F90" s="11" t="s">
        <v>85</v>
      </c>
      <c r="G90" s="11" t="s">
        <v>163</v>
      </c>
      <c r="H90" s="11" t="s">
        <v>109</v>
      </c>
      <c r="I90" s="16">
        <v>12.28</v>
      </c>
      <c r="J90" s="11" t="s">
        <v>75</v>
      </c>
      <c r="K90" s="11">
        <v>89</v>
      </c>
      <c r="L90" s="11" t="s">
        <v>174</v>
      </c>
      <c r="M90" s="11" t="s">
        <v>1335</v>
      </c>
      <c r="N90">
        <f>_xlfn.XLOOKUP(spaces_3iWczBNnn5rbfoUlE0Jd_uploads_git_blob_9864c7f811c613c3faab876659c6423__25[[#This Row],[Número de Orden]],Cocinadinamica!B91:B859,Cocinadinamica!C91:C859)</f>
        <v>64</v>
      </c>
      <c r="O90" s="7">
        <f>spaces_3iWczBNnn5rbfoUlE0Jd_uploads_git_blob_9864c7f811c613c3faab876659c6423__25[[#This Row],[Hora de Llegada]]</f>
        <v>45017.029166666667</v>
      </c>
      <c r="P90" s="9">
        <f>spaces_3iWczBNnn5rbfoUlE0Jd_uploads_git_blob_9864c7f811c613c3faab876659c6423__25[[#This Row],[Hora de Llegada]]</f>
        <v>45017.029166666667</v>
      </c>
      <c r="Q90" s="9">
        <f>spaces_3iWczBNnn5rbfoUlE0Jd_uploads_git_blob_9864c7f811c613c3faab876659c6423__25[[#This Row],[Hora de Salida]]</f>
        <v>45017.09652777778</v>
      </c>
      <c r="R90" s="9" cm="1">
        <f t="array" ref="R9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6.7361111112404615E-2</v>
      </c>
      <c r="S90" s="9">
        <f>_xlfn.XLOOKUP(spaces_3iWczBNnn5rbfoUlE0Jd_uploads_git_blob_9864c7f811c613c3faab876659c6423__25[[#This Row],[Número de Orden]],Cocinadinamica!E91:E859,Cocinadinamica!F91:F859)/1440</f>
        <v>9.8611111111111108E-2</v>
      </c>
      <c r="T90" s="9" cm="1">
        <f t="array" ref="T9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90" s="9" t="str" cm="1">
        <f t="array" ref="U9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91" spans="1:21" x14ac:dyDescent="0.35">
      <c r="A91" s="28" t="s">
        <v>185</v>
      </c>
      <c r="B91" s="13" t="s">
        <v>186</v>
      </c>
      <c r="C91" s="13">
        <v>3</v>
      </c>
      <c r="D91" s="14">
        <v>45017.053472222222</v>
      </c>
      <c r="E91" s="14">
        <v>45017.134027777778</v>
      </c>
      <c r="F91" s="13" t="s">
        <v>85</v>
      </c>
      <c r="G91" s="13" t="s">
        <v>86</v>
      </c>
      <c r="H91" s="13" t="s">
        <v>109</v>
      </c>
      <c r="I91" s="17">
        <v>30.69</v>
      </c>
      <c r="J91" s="13" t="s">
        <v>94</v>
      </c>
      <c r="K91" s="13">
        <v>90</v>
      </c>
      <c r="L91" s="13" t="s">
        <v>187</v>
      </c>
      <c r="M91" s="13" t="s">
        <v>37</v>
      </c>
      <c r="N91">
        <f>_xlfn.XLOOKUP(spaces_3iWczBNnn5rbfoUlE0Jd_uploads_git_blob_9864c7f811c613c3faab876659c6423__25[[#This Row],[Número de Orden]],Cocinadinamica!B92:B860,Cocinadinamica!C92:C860)</f>
        <v>14</v>
      </c>
      <c r="O91" s="7">
        <f>spaces_3iWczBNnn5rbfoUlE0Jd_uploads_git_blob_9864c7f811c613c3faab876659c6423__25[[#This Row],[Hora de Llegada]]</f>
        <v>45017.053472222222</v>
      </c>
      <c r="P91" s="9">
        <f>spaces_3iWczBNnn5rbfoUlE0Jd_uploads_git_blob_9864c7f811c613c3faab876659c6423__25[[#This Row],[Hora de Llegada]]</f>
        <v>45017.053472222222</v>
      </c>
      <c r="Q91" s="9">
        <f>spaces_3iWczBNnn5rbfoUlE0Jd_uploads_git_blob_9864c7f811c613c3faab876659c6423__25[[#This Row],[Hora de Salida]]</f>
        <v>45017.134027777778</v>
      </c>
      <c r="R91" s="9" cm="1">
        <f t="array" ref="R9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8.0555555556202307E-2</v>
      </c>
      <c r="S91" s="9">
        <f>_xlfn.XLOOKUP(spaces_3iWczBNnn5rbfoUlE0Jd_uploads_git_blob_9864c7f811c613c3faab876659c6423__25[[#This Row],[Número de Orden]],Cocinadinamica!E92:E860,Cocinadinamica!F92:F860)/1440</f>
        <v>3.3333333333333333E-2</v>
      </c>
      <c r="T91" s="9" cm="1">
        <f t="array" ref="T9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4.7222222222868974E-2</v>
      </c>
      <c r="U91" s="9" t="str" cm="1">
        <f t="array" ref="U9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92" spans="1:21" x14ac:dyDescent="0.35">
      <c r="A92" s="27">
        <v>1</v>
      </c>
      <c r="B92" s="11" t="s">
        <v>916</v>
      </c>
      <c r="C92" s="11">
        <v>5</v>
      </c>
      <c r="D92" s="12">
        <v>45017.151388888888</v>
      </c>
      <c r="E92" s="12">
        <v>45017.224999999999</v>
      </c>
      <c r="F92" s="11" t="s">
        <v>85</v>
      </c>
      <c r="G92" s="11" t="s">
        <v>86</v>
      </c>
      <c r="H92" s="11" t="s">
        <v>74</v>
      </c>
      <c r="I92" s="16">
        <v>39.1</v>
      </c>
      <c r="J92" s="11" t="s">
        <v>94</v>
      </c>
      <c r="K92" s="11">
        <v>91</v>
      </c>
      <c r="L92" s="11" t="s">
        <v>181</v>
      </c>
      <c r="M92" s="11" t="s">
        <v>1336</v>
      </c>
      <c r="N92">
        <f>_xlfn.XLOOKUP(spaces_3iWczBNnn5rbfoUlE0Jd_uploads_git_blob_9864c7f811c613c3faab876659c6423__25[[#This Row],[Número de Orden]],Cocinadinamica!B93:B861,Cocinadinamica!C93:C861)</f>
        <v>117</v>
      </c>
      <c r="O92" s="7">
        <f>spaces_3iWczBNnn5rbfoUlE0Jd_uploads_git_blob_9864c7f811c613c3faab876659c6423__25[[#This Row],[Hora de Llegada]]</f>
        <v>45017.151388888888</v>
      </c>
      <c r="P92" s="9">
        <f>spaces_3iWczBNnn5rbfoUlE0Jd_uploads_git_blob_9864c7f811c613c3faab876659c6423__25[[#This Row],[Hora de Llegada]]</f>
        <v>45017.151388888888</v>
      </c>
      <c r="Q92" s="9">
        <f>spaces_3iWczBNnn5rbfoUlE0Jd_uploads_git_blob_9864c7f811c613c3faab876659c6423__25[[#This Row],[Hora de Salida]]</f>
        <v>45017.224999999999</v>
      </c>
      <c r="R92" s="9" cm="1">
        <f t="array" ref="R9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7.3611111110949423E-2</v>
      </c>
      <c r="S92" s="9">
        <f>_xlfn.XLOOKUP(spaces_3iWczBNnn5rbfoUlE0Jd_uploads_git_blob_9864c7f811c613c3faab876659c6423__25[[#This Row],[Número de Orden]],Cocinadinamica!E93:E861,Cocinadinamica!F93:F861)/1440</f>
        <v>9.166666666666666E-2</v>
      </c>
      <c r="T92" s="9" cm="1">
        <f t="array" ref="T9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92" s="9" t="str" cm="1">
        <f t="array" ref="U9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93" spans="1:21" x14ac:dyDescent="0.35">
      <c r="A93" s="28">
        <v>6</v>
      </c>
      <c r="B93" s="13" t="s">
        <v>917</v>
      </c>
      <c r="C93" s="13">
        <v>2</v>
      </c>
      <c r="D93" s="14">
        <v>45017.149305555555</v>
      </c>
      <c r="E93" s="14">
        <v>45017.256249999999</v>
      </c>
      <c r="F93" s="13" t="s">
        <v>100</v>
      </c>
      <c r="G93" s="13" t="s">
        <v>163</v>
      </c>
      <c r="H93" s="13" t="s">
        <v>74</v>
      </c>
      <c r="I93" s="17">
        <v>12.75</v>
      </c>
      <c r="J93" s="13" t="s">
        <v>75</v>
      </c>
      <c r="K93" s="13">
        <v>92</v>
      </c>
      <c r="L93" s="13" t="s">
        <v>275</v>
      </c>
      <c r="M93" s="13" t="s">
        <v>1337</v>
      </c>
      <c r="N93">
        <f>_xlfn.XLOOKUP(spaces_3iWczBNnn5rbfoUlE0Jd_uploads_git_blob_9864c7f811c613c3faab876659c6423__25[[#This Row],[Número de Orden]],Cocinadinamica!B94:B862,Cocinadinamica!C94:C862)</f>
        <v>34</v>
      </c>
      <c r="O93" s="7">
        <f>spaces_3iWczBNnn5rbfoUlE0Jd_uploads_git_blob_9864c7f811c613c3faab876659c6423__25[[#This Row],[Hora de Llegada]]</f>
        <v>45017.149305555555</v>
      </c>
      <c r="P93" s="9">
        <f>spaces_3iWczBNnn5rbfoUlE0Jd_uploads_git_blob_9864c7f811c613c3faab876659c6423__25[[#This Row],[Hora de Llegada]]</f>
        <v>45017.149305555555</v>
      </c>
      <c r="Q93" s="9">
        <f>spaces_3iWczBNnn5rbfoUlE0Jd_uploads_git_blob_9864c7f811c613c3faab876659c6423__25[[#This Row],[Hora de Salida]]</f>
        <v>45017.256249999999</v>
      </c>
      <c r="R93" s="9" cm="1">
        <f t="array" ref="R9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0.10694444444379769</v>
      </c>
      <c r="S93" s="9">
        <f>_xlfn.XLOOKUP(spaces_3iWczBNnn5rbfoUlE0Jd_uploads_git_blob_9864c7f811c613c3faab876659c6423__25[[#This Row],[Número de Orden]],Cocinadinamica!E94:E862,Cocinadinamica!F94:F862)/1440</f>
        <v>2.9166666666666667E-2</v>
      </c>
      <c r="T93" s="9" cm="1">
        <f t="array" ref="T9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7.7777777777131019E-2</v>
      </c>
      <c r="U93" s="9" t="str" cm="1">
        <f t="array" ref="U9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94" spans="1:21" x14ac:dyDescent="0.35">
      <c r="A94" s="27" t="s">
        <v>83</v>
      </c>
      <c r="B94" s="11" t="s">
        <v>190</v>
      </c>
      <c r="C94" s="11">
        <v>2</v>
      </c>
      <c r="D94" s="12">
        <v>45017.068749999999</v>
      </c>
      <c r="E94" s="12">
        <v>45017.158333333333</v>
      </c>
      <c r="F94" s="11" t="s">
        <v>100</v>
      </c>
      <c r="G94" s="11" t="s">
        <v>86</v>
      </c>
      <c r="H94" s="11" t="s">
        <v>74</v>
      </c>
      <c r="I94" s="16">
        <v>45.66</v>
      </c>
      <c r="J94" s="11" t="s">
        <v>75</v>
      </c>
      <c r="K94" s="11">
        <v>93</v>
      </c>
      <c r="L94" s="11" t="s">
        <v>76</v>
      </c>
      <c r="M94" s="11" t="s">
        <v>23</v>
      </c>
      <c r="N94">
        <f>_xlfn.XLOOKUP(spaces_3iWczBNnn5rbfoUlE0Jd_uploads_git_blob_9864c7f811c613c3faab876659c6423__25[[#This Row],[Número de Orden]],Cocinadinamica!B95:B863,Cocinadinamica!C95:C863)</f>
        <v>12</v>
      </c>
      <c r="O94" s="7">
        <f>spaces_3iWczBNnn5rbfoUlE0Jd_uploads_git_blob_9864c7f811c613c3faab876659c6423__25[[#This Row],[Hora de Llegada]]</f>
        <v>45017.068749999999</v>
      </c>
      <c r="P94" s="9">
        <f>spaces_3iWczBNnn5rbfoUlE0Jd_uploads_git_blob_9864c7f811c613c3faab876659c6423__25[[#This Row],[Hora de Llegada]]</f>
        <v>45017.068749999999</v>
      </c>
      <c r="Q94" s="9">
        <f>spaces_3iWczBNnn5rbfoUlE0Jd_uploads_git_blob_9864c7f811c613c3faab876659c6423__25[[#This Row],[Hora de Salida]]</f>
        <v>45017.158333333333</v>
      </c>
      <c r="R94" s="9" cm="1">
        <f t="array" ref="R9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8.9583333334303461E-2</v>
      </c>
      <c r="S94" s="9">
        <f>_xlfn.XLOOKUP(spaces_3iWczBNnn5rbfoUlE0Jd_uploads_git_blob_9864c7f811c613c3faab876659c6423__25[[#This Row],[Número de Orden]],Cocinadinamica!E95:E863,Cocinadinamica!F95:F863)/1440</f>
        <v>1.2500000000000001E-2</v>
      </c>
      <c r="T94" s="9" cm="1">
        <f t="array" ref="T9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7.7083333334303464E-2</v>
      </c>
      <c r="U94" s="9" t="str" cm="1">
        <f t="array" ref="U9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95" spans="1:21" x14ac:dyDescent="0.35">
      <c r="A95" s="28">
        <v>12</v>
      </c>
      <c r="B95" s="13" t="s">
        <v>918</v>
      </c>
      <c r="C95" s="13">
        <v>1</v>
      </c>
      <c r="D95" s="14">
        <v>45017.077777777777</v>
      </c>
      <c r="E95" s="14">
        <v>45017.203472222223</v>
      </c>
      <c r="F95" s="13" t="s">
        <v>72</v>
      </c>
      <c r="G95" s="13" t="s">
        <v>86</v>
      </c>
      <c r="H95" s="13" t="s">
        <v>74</v>
      </c>
      <c r="I95" s="17">
        <v>28.36</v>
      </c>
      <c r="J95" s="13" t="s">
        <v>88</v>
      </c>
      <c r="K95" s="13">
        <v>94</v>
      </c>
      <c r="L95" s="13" t="s">
        <v>101</v>
      </c>
      <c r="M95" s="13" t="s">
        <v>1338</v>
      </c>
      <c r="N95">
        <f>_xlfn.XLOOKUP(spaces_3iWczBNnn5rbfoUlE0Jd_uploads_git_blob_9864c7f811c613c3faab876659c6423__25[[#This Row],[Número de Orden]],Cocinadinamica!B96:B864,Cocinadinamica!C96:C864)</f>
        <v>101</v>
      </c>
      <c r="O95" s="7">
        <f>spaces_3iWczBNnn5rbfoUlE0Jd_uploads_git_blob_9864c7f811c613c3faab876659c6423__25[[#This Row],[Hora de Llegada]]</f>
        <v>45017.077777777777</v>
      </c>
      <c r="P95" s="9">
        <f>spaces_3iWczBNnn5rbfoUlE0Jd_uploads_git_blob_9864c7f811c613c3faab876659c6423__25[[#This Row],[Hora de Llegada]]</f>
        <v>45017.077777777777</v>
      </c>
      <c r="Q95" s="9">
        <f>spaces_3iWczBNnn5rbfoUlE0Jd_uploads_git_blob_9864c7f811c613c3faab876659c6423__25[[#This Row],[Hora de Salida]]</f>
        <v>45017.203472222223</v>
      </c>
      <c r="R95" s="9" cm="1">
        <f t="array" ref="R9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0.13611111111094942</v>
      </c>
      <c r="S95" s="9">
        <f>_xlfn.XLOOKUP(spaces_3iWczBNnn5rbfoUlE0Jd_uploads_git_blob_9864c7f811c613c3faab876659c6423__25[[#This Row],[Número de Orden]],Cocinadinamica!E96:E864,Cocinadinamica!F96:F864)/1440</f>
        <v>8.9583333333333334E-2</v>
      </c>
      <c r="T95" s="9" cm="1">
        <f t="array" ref="T9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4.6527777777616089E-2</v>
      </c>
      <c r="U95" s="9" t="str" cm="1">
        <f t="array" ref="U9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96" spans="1:21" x14ac:dyDescent="0.35">
      <c r="A96" s="27">
        <v>12</v>
      </c>
      <c r="B96" s="11" t="s">
        <v>394</v>
      </c>
      <c r="C96" s="11">
        <v>5</v>
      </c>
      <c r="D96" s="12">
        <v>45017.138194444444</v>
      </c>
      <c r="E96" s="12">
        <v>45017.254861111112</v>
      </c>
      <c r="F96" s="11" t="s">
        <v>100</v>
      </c>
      <c r="G96" s="11" t="s">
        <v>73</v>
      </c>
      <c r="H96" s="11" t="s">
        <v>74</v>
      </c>
      <c r="I96" s="16">
        <v>24.68</v>
      </c>
      <c r="J96" s="11" t="s">
        <v>88</v>
      </c>
      <c r="K96" s="11">
        <v>95</v>
      </c>
      <c r="L96" s="11" t="s">
        <v>181</v>
      </c>
      <c r="M96" s="11" t="s">
        <v>1339</v>
      </c>
      <c r="N96">
        <f>_xlfn.XLOOKUP(spaces_3iWczBNnn5rbfoUlE0Jd_uploads_git_blob_9864c7f811c613c3faab876659c6423__25[[#This Row],[Número de Orden]],Cocinadinamica!B97:B865,Cocinadinamica!C97:C865)</f>
        <v>63</v>
      </c>
      <c r="O96" s="7">
        <f>spaces_3iWczBNnn5rbfoUlE0Jd_uploads_git_blob_9864c7f811c613c3faab876659c6423__25[[#This Row],[Hora de Llegada]]</f>
        <v>45017.138194444444</v>
      </c>
      <c r="P96" s="9">
        <f>spaces_3iWczBNnn5rbfoUlE0Jd_uploads_git_blob_9864c7f811c613c3faab876659c6423__25[[#This Row],[Hora de Llegada]]</f>
        <v>45017.138194444444</v>
      </c>
      <c r="Q96" s="9">
        <f>spaces_3iWczBNnn5rbfoUlE0Jd_uploads_git_blob_9864c7f811c613c3faab876659c6423__25[[#This Row],[Hora de Salida]]</f>
        <v>45017.254861111112</v>
      </c>
      <c r="R96" s="9" cm="1">
        <f t="array" ref="R9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0.12708333333284827</v>
      </c>
      <c r="S96" s="9">
        <f>_xlfn.XLOOKUP(spaces_3iWczBNnn5rbfoUlE0Jd_uploads_git_blob_9864c7f811c613c3faab876659c6423__25[[#This Row],[Número de Orden]],Cocinadinamica!E97:E865,Cocinadinamica!F97:F865)/1440</f>
        <v>2.8472222222222222E-2</v>
      </c>
      <c r="T96" s="9" cm="1">
        <f t="array" ref="T9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9.8611111110626051E-2</v>
      </c>
      <c r="U96" s="9" t="str" cm="1">
        <f t="array" ref="U9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97" spans="1:21" x14ac:dyDescent="0.35">
      <c r="A97" s="28">
        <v>16</v>
      </c>
      <c r="B97" s="13" t="s">
        <v>919</v>
      </c>
      <c r="C97" s="13">
        <v>5</v>
      </c>
      <c r="D97" s="14">
        <v>45017.082638888889</v>
      </c>
      <c r="E97" s="14">
        <v>45017.226388888892</v>
      </c>
      <c r="F97" s="13" t="s">
        <v>72</v>
      </c>
      <c r="G97" s="13" t="s">
        <v>163</v>
      </c>
      <c r="H97" s="13" t="s">
        <v>74</v>
      </c>
      <c r="I97" s="17">
        <v>33.630000000000003</v>
      </c>
      <c r="J97" s="13" t="s">
        <v>75</v>
      </c>
      <c r="K97" s="13">
        <v>96</v>
      </c>
      <c r="L97" s="13" t="s">
        <v>95</v>
      </c>
      <c r="M97" s="13" t="s">
        <v>1340</v>
      </c>
      <c r="N97">
        <f>_xlfn.XLOOKUP(spaces_3iWczBNnn5rbfoUlE0Jd_uploads_git_blob_9864c7f811c613c3faab876659c6423__25[[#This Row],[Número de Orden]],Cocinadinamica!B98:B866,Cocinadinamica!C98:C866)</f>
        <v>72</v>
      </c>
      <c r="O97" s="7">
        <f>spaces_3iWczBNnn5rbfoUlE0Jd_uploads_git_blob_9864c7f811c613c3faab876659c6423__25[[#This Row],[Hora de Llegada]]</f>
        <v>45017.082638888889</v>
      </c>
      <c r="P97" s="9">
        <f>spaces_3iWczBNnn5rbfoUlE0Jd_uploads_git_blob_9864c7f811c613c3faab876659c6423__25[[#This Row],[Hora de Llegada]]</f>
        <v>45017.082638888889</v>
      </c>
      <c r="Q97" s="9">
        <f>spaces_3iWczBNnn5rbfoUlE0Jd_uploads_git_blob_9864c7f811c613c3faab876659c6423__25[[#This Row],[Hora de Salida]]</f>
        <v>45017.226388888892</v>
      </c>
      <c r="R97" s="9" cm="1">
        <f t="array" ref="R9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0.14375000000291038</v>
      </c>
      <c r="S97" s="9">
        <f>_xlfn.XLOOKUP(spaces_3iWczBNnn5rbfoUlE0Jd_uploads_git_blob_9864c7f811c613c3faab876659c6423__25[[#This Row],[Número de Orden]],Cocinadinamica!E98:E866,Cocinadinamica!F98:F866)/1440</f>
        <v>5.2777777777777778E-2</v>
      </c>
      <c r="T97" s="9" cm="1">
        <f t="array" ref="T9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9.0972222225132598E-2</v>
      </c>
      <c r="U97" s="9" t="str" cm="1">
        <f t="array" ref="U9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98" spans="1:21" x14ac:dyDescent="0.35">
      <c r="A98" s="27">
        <v>14</v>
      </c>
      <c r="B98" s="11" t="s">
        <v>920</v>
      </c>
      <c r="C98" s="11">
        <v>2</v>
      </c>
      <c r="D98" s="12">
        <v>45017.073611111111</v>
      </c>
      <c r="E98" s="12">
        <v>45017.127083333333</v>
      </c>
      <c r="F98" s="11" t="s">
        <v>100</v>
      </c>
      <c r="G98" s="11" t="s">
        <v>73</v>
      </c>
      <c r="H98" s="11" t="s">
        <v>74</v>
      </c>
      <c r="I98" s="16">
        <v>19.22</v>
      </c>
      <c r="J98" s="11" t="s">
        <v>88</v>
      </c>
      <c r="K98" s="11">
        <v>97</v>
      </c>
      <c r="L98" s="11" t="s">
        <v>187</v>
      </c>
      <c r="M98" s="11" t="s">
        <v>1341</v>
      </c>
      <c r="N98">
        <f>_xlfn.XLOOKUP(spaces_3iWczBNnn5rbfoUlE0Jd_uploads_git_blob_9864c7f811c613c3faab876659c6423__25[[#This Row],[Número de Orden]],Cocinadinamica!B99:B867,Cocinadinamica!C99:C867)</f>
        <v>77</v>
      </c>
      <c r="O98" s="7">
        <f>spaces_3iWczBNnn5rbfoUlE0Jd_uploads_git_blob_9864c7f811c613c3faab876659c6423__25[[#This Row],[Hora de Llegada]]</f>
        <v>45017.073611111111</v>
      </c>
      <c r="P98" s="9">
        <f>spaces_3iWczBNnn5rbfoUlE0Jd_uploads_git_blob_9864c7f811c613c3faab876659c6423__25[[#This Row],[Hora de Llegada]]</f>
        <v>45017.073611111111</v>
      </c>
      <c r="Q98" s="9">
        <f>spaces_3iWczBNnn5rbfoUlE0Jd_uploads_git_blob_9864c7f811c613c3faab876659c6423__25[[#This Row],[Hora de Salida]]</f>
        <v>45017.127083333333</v>
      </c>
      <c r="R98" s="9" cm="1">
        <f t="array" ref="R9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6.3888888886140194E-2</v>
      </c>
      <c r="S98" s="9">
        <f>_xlfn.XLOOKUP(spaces_3iWczBNnn5rbfoUlE0Jd_uploads_git_blob_9864c7f811c613c3faab876659c6423__25[[#This Row],[Número de Orden]],Cocinadinamica!E99:E867,Cocinadinamica!F99:F867)/1440</f>
        <v>5.486111111111111E-2</v>
      </c>
      <c r="T98" s="9" cm="1">
        <f t="array" ref="T9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9.0277777750290833E-3</v>
      </c>
      <c r="U98" s="9" t="str" cm="1">
        <f t="array" ref="U9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99" spans="1:21" x14ac:dyDescent="0.35">
      <c r="A99" s="28">
        <v>7</v>
      </c>
      <c r="B99" s="13" t="s">
        <v>921</v>
      </c>
      <c r="C99" s="13">
        <v>3</v>
      </c>
      <c r="D99" s="14">
        <v>45017.042361111111</v>
      </c>
      <c r="E99" s="14">
        <v>45017.140277777777</v>
      </c>
      <c r="F99" s="13" t="s">
        <v>85</v>
      </c>
      <c r="G99" s="13" t="s">
        <v>86</v>
      </c>
      <c r="H99" s="13" t="s">
        <v>74</v>
      </c>
      <c r="I99" s="17">
        <v>17.149999999999999</v>
      </c>
      <c r="J99" s="13" t="s">
        <v>88</v>
      </c>
      <c r="K99" s="13">
        <v>98</v>
      </c>
      <c r="L99" s="13" t="s">
        <v>95</v>
      </c>
      <c r="M99" s="13" t="s">
        <v>1342</v>
      </c>
      <c r="N99">
        <f>_xlfn.XLOOKUP(spaces_3iWczBNnn5rbfoUlE0Jd_uploads_git_blob_9864c7f811c613c3faab876659c6423__25[[#This Row],[Número de Orden]],Cocinadinamica!B100:B868,Cocinadinamica!C100:C868)</f>
        <v>68</v>
      </c>
      <c r="O99" s="7">
        <f>spaces_3iWczBNnn5rbfoUlE0Jd_uploads_git_blob_9864c7f811c613c3faab876659c6423__25[[#This Row],[Hora de Llegada]]</f>
        <v>45017.042361111111</v>
      </c>
      <c r="P99" s="9">
        <f>spaces_3iWczBNnn5rbfoUlE0Jd_uploads_git_blob_9864c7f811c613c3faab876659c6423__25[[#This Row],[Hora de Llegada]]</f>
        <v>45017.042361111111</v>
      </c>
      <c r="Q99" s="9">
        <f>spaces_3iWczBNnn5rbfoUlE0Jd_uploads_git_blob_9864c7f811c613c3faab876659c6423__25[[#This Row],[Hora de Salida]]</f>
        <v>45017.140277777777</v>
      </c>
      <c r="R99" s="9" cm="1">
        <f t="array" ref="R9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0.10833333332993789</v>
      </c>
      <c r="S99" s="9">
        <f>_xlfn.XLOOKUP(spaces_3iWczBNnn5rbfoUlE0Jd_uploads_git_blob_9864c7f811c613c3faab876659c6423__25[[#This Row],[Número de Orden]],Cocinadinamica!E100:E868,Cocinadinamica!F100:F868)/1440</f>
        <v>9.7222222222222224E-2</v>
      </c>
      <c r="T99" s="9" cm="1">
        <f t="array" ref="T9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1.1111111107715663E-2</v>
      </c>
      <c r="U99" s="9" t="str" cm="1">
        <f t="array" ref="U9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00" spans="1:21" x14ac:dyDescent="0.35">
      <c r="A100" s="27">
        <v>2</v>
      </c>
      <c r="B100" s="11" t="s">
        <v>84</v>
      </c>
      <c r="C100" s="11">
        <v>6</v>
      </c>
      <c r="D100" s="12">
        <v>45017.098611111112</v>
      </c>
      <c r="E100" s="12">
        <v>45017.262499999997</v>
      </c>
      <c r="F100" s="11" t="s">
        <v>100</v>
      </c>
      <c r="G100" s="11" t="s">
        <v>86</v>
      </c>
      <c r="H100" s="11" t="s">
        <v>74</v>
      </c>
      <c r="I100" s="16">
        <v>33.549999999999997</v>
      </c>
      <c r="J100" s="11" t="s">
        <v>88</v>
      </c>
      <c r="K100" s="11">
        <v>99</v>
      </c>
      <c r="L100" s="11" t="s">
        <v>101</v>
      </c>
      <c r="M100" s="11" t="s">
        <v>1343</v>
      </c>
      <c r="N100">
        <f>_xlfn.XLOOKUP(spaces_3iWczBNnn5rbfoUlE0Jd_uploads_git_blob_9864c7f811c613c3faab876659c6423__25[[#This Row],[Número de Orden]],Cocinadinamica!B101:B869,Cocinadinamica!C101:C869)</f>
        <v>56</v>
      </c>
      <c r="O100" s="7">
        <f>spaces_3iWczBNnn5rbfoUlE0Jd_uploads_git_blob_9864c7f811c613c3faab876659c6423__25[[#This Row],[Hora de Llegada]]</f>
        <v>45017.098611111112</v>
      </c>
      <c r="P100" s="9">
        <f>spaces_3iWczBNnn5rbfoUlE0Jd_uploads_git_blob_9864c7f811c613c3faab876659c6423__25[[#This Row],[Hora de Llegada]]</f>
        <v>45017.098611111112</v>
      </c>
      <c r="Q100" s="9">
        <f>spaces_3iWczBNnn5rbfoUlE0Jd_uploads_git_blob_9864c7f811c613c3faab876659c6423__25[[#This Row],[Hora de Salida]]</f>
        <v>45017.262499999997</v>
      </c>
      <c r="R100" s="9" cm="1">
        <f t="array" ref="R10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0.17430555554892635</v>
      </c>
      <c r="S100" s="9">
        <f>_xlfn.XLOOKUP(spaces_3iWczBNnn5rbfoUlE0Jd_uploads_git_blob_9864c7f811c613c3faab876659c6423__25[[#This Row],[Número de Orden]],Cocinadinamica!E101:E869,Cocinadinamica!F101:F869)/1440</f>
        <v>5.9722222222222225E-2</v>
      </c>
      <c r="T100" s="9" cm="1">
        <f t="array" ref="T10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0.11458333332670412</v>
      </c>
      <c r="U100" s="9" t="str" cm="1">
        <f t="array" ref="U10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01" spans="1:21" x14ac:dyDescent="0.35">
      <c r="A101" s="28">
        <v>18</v>
      </c>
      <c r="B101" s="13" t="s">
        <v>71</v>
      </c>
      <c r="C101" s="13">
        <v>1</v>
      </c>
      <c r="D101" s="14">
        <v>45017.147222222222</v>
      </c>
      <c r="E101" s="14">
        <v>45017.28125</v>
      </c>
      <c r="F101" s="13" t="s">
        <v>223</v>
      </c>
      <c r="G101" s="13" t="s">
        <v>86</v>
      </c>
      <c r="H101" s="13" t="s">
        <v>74</v>
      </c>
      <c r="I101" s="17">
        <v>15.15</v>
      </c>
      <c r="J101" s="13" t="s">
        <v>94</v>
      </c>
      <c r="K101" s="13">
        <v>100</v>
      </c>
      <c r="L101" s="13" t="s">
        <v>221</v>
      </c>
      <c r="M101" s="13" t="s">
        <v>1344</v>
      </c>
      <c r="N101">
        <f>_xlfn.XLOOKUP(spaces_3iWczBNnn5rbfoUlE0Jd_uploads_git_blob_9864c7f811c613c3faab876659c6423__25[[#This Row],[Número de Orden]],Cocinadinamica!B102:B870,Cocinadinamica!C102:C870)</f>
        <v>68</v>
      </c>
      <c r="O101" s="7">
        <f>spaces_3iWczBNnn5rbfoUlE0Jd_uploads_git_blob_9864c7f811c613c3faab876659c6423__25[[#This Row],[Hora de Llegada]]</f>
        <v>45017.147222222222</v>
      </c>
      <c r="P101" s="9">
        <f>spaces_3iWczBNnn5rbfoUlE0Jd_uploads_git_blob_9864c7f811c613c3faab876659c6423__25[[#This Row],[Hora de Llegada]]</f>
        <v>45017.147222222222</v>
      </c>
      <c r="Q101" s="9">
        <f>spaces_3iWczBNnn5rbfoUlE0Jd_uploads_git_blob_9864c7f811c613c3faab876659c6423__25[[#This Row],[Hora de Salida]]</f>
        <v>45017.28125</v>
      </c>
      <c r="R101" s="9" cm="1">
        <f t="array" ref="R10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0.13402777777810115</v>
      </c>
      <c r="S101" s="9">
        <f>_xlfn.XLOOKUP(spaces_3iWczBNnn5rbfoUlE0Jd_uploads_git_blob_9864c7f811c613c3faab876659c6423__25[[#This Row],[Número de Orden]],Cocinadinamica!E102:E870,Cocinadinamica!F102:F870)/1440</f>
        <v>7.1527777777777773E-2</v>
      </c>
      <c r="T101" s="9" cm="1">
        <f t="array" ref="T10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6.250000000032338E-2</v>
      </c>
      <c r="U101" s="9" t="str" cm="1">
        <f t="array" ref="U10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02" spans="1:21" x14ac:dyDescent="0.35">
      <c r="A102" s="27">
        <v>1</v>
      </c>
      <c r="B102" s="11" t="s">
        <v>922</v>
      </c>
      <c r="C102" s="11">
        <v>5</v>
      </c>
      <c r="D102" s="12">
        <v>45017.009722222225</v>
      </c>
      <c r="E102" s="12">
        <v>45017.09375</v>
      </c>
      <c r="F102" s="11" t="s">
        <v>72</v>
      </c>
      <c r="G102" s="11" t="s">
        <v>86</v>
      </c>
      <c r="H102" s="11" t="s">
        <v>74</v>
      </c>
      <c r="I102" s="16">
        <v>15.09</v>
      </c>
      <c r="J102" s="11" t="s">
        <v>75</v>
      </c>
      <c r="K102" s="11">
        <v>101</v>
      </c>
      <c r="L102" s="11" t="s">
        <v>275</v>
      </c>
      <c r="M102" s="11" t="s">
        <v>1345</v>
      </c>
      <c r="N102">
        <f>_xlfn.XLOOKUP(spaces_3iWczBNnn5rbfoUlE0Jd_uploads_git_blob_9864c7f811c613c3faab876659c6423__25[[#This Row],[Número de Orden]],Cocinadinamica!B103:B871,Cocinadinamica!C103:C871)</f>
        <v>55</v>
      </c>
      <c r="O102" s="7">
        <f>spaces_3iWczBNnn5rbfoUlE0Jd_uploads_git_blob_9864c7f811c613c3faab876659c6423__25[[#This Row],[Hora de Llegada]]</f>
        <v>45017.009722222225</v>
      </c>
      <c r="P102" s="9">
        <f>spaces_3iWczBNnn5rbfoUlE0Jd_uploads_git_blob_9864c7f811c613c3faab876659c6423__25[[#This Row],[Hora de Llegada]]</f>
        <v>45017.009722222225</v>
      </c>
      <c r="Q102" s="9">
        <f>spaces_3iWczBNnn5rbfoUlE0Jd_uploads_git_blob_9864c7f811c613c3faab876659c6423__25[[#This Row],[Hora de Salida]]</f>
        <v>45017.09375</v>
      </c>
      <c r="R102" s="9" cm="1">
        <f t="array" ref="R10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8.4027777775190771E-2</v>
      </c>
      <c r="S102" s="9">
        <f>_xlfn.XLOOKUP(spaces_3iWczBNnn5rbfoUlE0Jd_uploads_git_blob_9864c7f811c613c3faab876659c6423__25[[#This Row],[Número de Orden]],Cocinadinamica!E103:E871,Cocinadinamica!F103:F871)/1440</f>
        <v>9.3055555555555558E-2</v>
      </c>
      <c r="T102" s="9" cm="1">
        <f t="array" ref="T10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02" s="9" t="str" cm="1">
        <f t="array" ref="U10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03" spans="1:21" x14ac:dyDescent="0.35">
      <c r="A103" s="28">
        <v>19</v>
      </c>
      <c r="B103" s="13" t="s">
        <v>923</v>
      </c>
      <c r="C103" s="13">
        <v>2</v>
      </c>
      <c r="D103" s="14">
        <v>45017.064583333333</v>
      </c>
      <c r="E103" s="14">
        <v>45017.176388888889</v>
      </c>
      <c r="F103" s="13" t="s">
        <v>170</v>
      </c>
      <c r="G103" s="13" t="s">
        <v>86</v>
      </c>
      <c r="H103" s="13" t="s">
        <v>74</v>
      </c>
      <c r="I103" s="17">
        <v>12.65</v>
      </c>
      <c r="J103" s="13" t="s">
        <v>94</v>
      </c>
      <c r="K103" s="13">
        <v>102</v>
      </c>
      <c r="L103" s="13" t="s">
        <v>275</v>
      </c>
      <c r="M103" s="13" t="s">
        <v>1346</v>
      </c>
      <c r="N103">
        <f>_xlfn.XLOOKUP(spaces_3iWczBNnn5rbfoUlE0Jd_uploads_git_blob_9864c7f811c613c3faab876659c6423__25[[#This Row],[Número de Orden]],Cocinadinamica!B104:B872,Cocinadinamica!C104:C872)</f>
        <v>72</v>
      </c>
      <c r="O103" s="7">
        <f>spaces_3iWczBNnn5rbfoUlE0Jd_uploads_git_blob_9864c7f811c613c3faab876659c6423__25[[#This Row],[Hora de Llegada]]</f>
        <v>45017.064583333333</v>
      </c>
      <c r="P103" s="9">
        <f>spaces_3iWczBNnn5rbfoUlE0Jd_uploads_git_blob_9864c7f811c613c3faab876659c6423__25[[#This Row],[Hora de Llegada]]</f>
        <v>45017.064583333333</v>
      </c>
      <c r="Q103" s="9">
        <f>spaces_3iWczBNnn5rbfoUlE0Jd_uploads_git_blob_9864c7f811c613c3faab876659c6423__25[[#This Row],[Hora de Salida]]</f>
        <v>45017.176388888889</v>
      </c>
      <c r="R103" s="9" cm="1">
        <f t="array" ref="R10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0.11180555555620231</v>
      </c>
      <c r="S103" s="9">
        <f>_xlfn.XLOOKUP(spaces_3iWczBNnn5rbfoUlE0Jd_uploads_git_blob_9864c7f811c613c3faab876659c6423__25[[#This Row],[Número de Orden]],Cocinadinamica!E104:E872,Cocinadinamica!F104:F872)/1440</f>
        <v>3.1944444444444442E-2</v>
      </c>
      <c r="T103" s="9" cm="1">
        <f t="array" ref="T10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7.9861111111757865E-2</v>
      </c>
      <c r="U103" s="9" t="str" cm="1">
        <f t="array" ref="U10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04" spans="1:21" x14ac:dyDescent="0.35">
      <c r="A104" s="27">
        <v>13</v>
      </c>
      <c r="B104" s="11" t="s">
        <v>924</v>
      </c>
      <c r="C104" s="11">
        <v>3</v>
      </c>
      <c r="D104" s="12">
        <v>45017.070833333331</v>
      </c>
      <c r="E104" s="12">
        <v>45017.215277777781</v>
      </c>
      <c r="F104" s="11" t="s">
        <v>72</v>
      </c>
      <c r="G104" s="11" t="s">
        <v>86</v>
      </c>
      <c r="H104" s="11" t="s">
        <v>109</v>
      </c>
      <c r="I104" s="16">
        <v>26.75</v>
      </c>
      <c r="J104" s="11" t="s">
        <v>94</v>
      </c>
      <c r="K104" s="11">
        <v>103</v>
      </c>
      <c r="L104" s="11" t="s">
        <v>89</v>
      </c>
      <c r="M104" s="11" t="s">
        <v>1347</v>
      </c>
      <c r="N104">
        <f>_xlfn.XLOOKUP(spaces_3iWczBNnn5rbfoUlE0Jd_uploads_git_blob_9864c7f811c613c3faab876659c6423__25[[#This Row],[Número de Orden]],Cocinadinamica!B105:B873,Cocinadinamica!C105:C873)</f>
        <v>30</v>
      </c>
      <c r="O104" s="7">
        <f>spaces_3iWczBNnn5rbfoUlE0Jd_uploads_git_blob_9864c7f811c613c3faab876659c6423__25[[#This Row],[Hora de Llegada]]</f>
        <v>45017.070833333331</v>
      </c>
      <c r="P104" s="9">
        <f>spaces_3iWczBNnn5rbfoUlE0Jd_uploads_git_blob_9864c7f811c613c3faab876659c6423__25[[#This Row],[Hora de Llegada]]</f>
        <v>45017.070833333331</v>
      </c>
      <c r="Q104" s="9">
        <f>spaces_3iWczBNnn5rbfoUlE0Jd_uploads_git_blob_9864c7f811c613c3faab876659c6423__25[[#This Row],[Hora de Salida]]</f>
        <v>45017.215277777781</v>
      </c>
      <c r="R104" s="9" cm="1">
        <f t="array" ref="R10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0.14444444444961846</v>
      </c>
      <c r="S104" s="9">
        <f>_xlfn.XLOOKUP(spaces_3iWczBNnn5rbfoUlE0Jd_uploads_git_blob_9864c7f811c613c3faab876659c6423__25[[#This Row],[Número de Orden]],Cocinadinamica!E105:E873,Cocinadinamica!F105:F873)/1440</f>
        <v>6.8750000000000006E-2</v>
      </c>
      <c r="T104" s="9" cm="1">
        <f t="array" ref="T10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7.5694444449618453E-2</v>
      </c>
      <c r="U104" s="9" t="str" cm="1">
        <f t="array" ref="U10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05" spans="1:21" x14ac:dyDescent="0.35">
      <c r="A105" s="28">
        <v>14</v>
      </c>
      <c r="B105" s="13" t="s">
        <v>925</v>
      </c>
      <c r="C105" s="13">
        <v>4</v>
      </c>
      <c r="D105" s="14">
        <v>45017.061111111114</v>
      </c>
      <c r="E105" s="14">
        <v>45017.113888888889</v>
      </c>
      <c r="F105" s="13" t="s">
        <v>170</v>
      </c>
      <c r="G105" s="13" t="s">
        <v>163</v>
      </c>
      <c r="H105" s="13" t="s">
        <v>109</v>
      </c>
      <c r="I105" s="17">
        <v>11.12</v>
      </c>
      <c r="J105" s="13" t="s">
        <v>94</v>
      </c>
      <c r="K105" s="13">
        <v>104</v>
      </c>
      <c r="L105" s="13" t="s">
        <v>174</v>
      </c>
      <c r="M105" s="13" t="s">
        <v>1348</v>
      </c>
      <c r="N105">
        <f>_xlfn.XLOOKUP(spaces_3iWczBNnn5rbfoUlE0Jd_uploads_git_blob_9864c7f811c613c3faab876659c6423__25[[#This Row],[Número de Orden]],Cocinadinamica!B106:B874,Cocinadinamica!C106:C874)</f>
        <v>30</v>
      </c>
      <c r="O105" s="7">
        <f>spaces_3iWczBNnn5rbfoUlE0Jd_uploads_git_blob_9864c7f811c613c3faab876659c6423__25[[#This Row],[Hora de Llegada]]</f>
        <v>45017.061111111114</v>
      </c>
      <c r="P105" s="9">
        <f>spaces_3iWczBNnn5rbfoUlE0Jd_uploads_git_blob_9864c7f811c613c3faab876659c6423__25[[#This Row],[Hora de Llegada]]</f>
        <v>45017.061111111114</v>
      </c>
      <c r="Q105" s="9">
        <f>spaces_3iWczBNnn5rbfoUlE0Jd_uploads_git_blob_9864c7f811c613c3faab876659c6423__25[[#This Row],[Hora de Salida]]</f>
        <v>45017.113888888889</v>
      </c>
      <c r="R105" s="9" cm="1">
        <f t="array" ref="R10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5.2777777775190771E-2</v>
      </c>
      <c r="S105" s="9">
        <f>_xlfn.XLOOKUP(spaces_3iWczBNnn5rbfoUlE0Jd_uploads_git_blob_9864c7f811c613c3faab876659c6423__25[[#This Row],[Número de Orden]],Cocinadinamica!E106:E874,Cocinadinamica!F106:F874)/1440</f>
        <v>3.8194444444444448E-2</v>
      </c>
      <c r="T105" s="9" cm="1">
        <f t="array" ref="T10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1.4583333330746323E-2</v>
      </c>
      <c r="U105" s="9" t="str" cm="1">
        <f t="array" ref="U10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06" spans="1:21" x14ac:dyDescent="0.35">
      <c r="A106" s="27">
        <v>14</v>
      </c>
      <c r="B106" s="11" t="s">
        <v>926</v>
      </c>
      <c r="C106" s="11">
        <v>6</v>
      </c>
      <c r="D106" s="12">
        <v>45017.054166666669</v>
      </c>
      <c r="E106" s="12">
        <v>45017.166666666664</v>
      </c>
      <c r="F106" s="11" t="s">
        <v>170</v>
      </c>
      <c r="G106" s="11" t="s">
        <v>86</v>
      </c>
      <c r="H106" s="11" t="s">
        <v>74</v>
      </c>
      <c r="I106" s="16">
        <v>15.64</v>
      </c>
      <c r="J106" s="11" t="s">
        <v>75</v>
      </c>
      <c r="K106" s="11">
        <v>105</v>
      </c>
      <c r="L106" s="11" t="s">
        <v>89</v>
      </c>
      <c r="M106" s="11" t="s">
        <v>1349</v>
      </c>
      <c r="N106">
        <f>_xlfn.XLOOKUP(spaces_3iWczBNnn5rbfoUlE0Jd_uploads_git_blob_9864c7f811c613c3faab876659c6423__25[[#This Row],[Número de Orden]],Cocinadinamica!B107:B875,Cocinadinamica!C107:C875)</f>
        <v>57</v>
      </c>
      <c r="O106" s="7">
        <f>spaces_3iWczBNnn5rbfoUlE0Jd_uploads_git_blob_9864c7f811c613c3faab876659c6423__25[[#This Row],[Hora de Llegada]]</f>
        <v>45017.054166666669</v>
      </c>
      <c r="P106" s="9">
        <f>spaces_3iWczBNnn5rbfoUlE0Jd_uploads_git_blob_9864c7f811c613c3faab876659c6423__25[[#This Row],[Hora de Llegada]]</f>
        <v>45017.054166666669</v>
      </c>
      <c r="Q106" s="9">
        <f>spaces_3iWczBNnn5rbfoUlE0Jd_uploads_git_blob_9864c7f811c613c3faab876659c6423__25[[#This Row],[Hora de Salida]]</f>
        <v>45017.166666666664</v>
      </c>
      <c r="R106" s="9" cm="1">
        <f t="array" ref="R10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0.11249999999563443</v>
      </c>
      <c r="S106" s="9">
        <f>_xlfn.XLOOKUP(spaces_3iWczBNnn5rbfoUlE0Jd_uploads_git_blob_9864c7f811c613c3faab876659c6423__25[[#This Row],[Número de Orden]],Cocinadinamica!E107:E875,Cocinadinamica!F107:F875)/1440</f>
        <v>2.9861111111111113E-2</v>
      </c>
      <c r="T106" s="9" cm="1">
        <f t="array" ref="T10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8.2638888884523309E-2</v>
      </c>
      <c r="U106" s="9" t="str" cm="1">
        <f t="array" ref="U10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07" spans="1:21" x14ac:dyDescent="0.35">
      <c r="A107" s="28" t="s">
        <v>125</v>
      </c>
      <c r="B107" s="13" t="s">
        <v>203</v>
      </c>
      <c r="C107" s="13">
        <v>3</v>
      </c>
      <c r="D107" s="14">
        <v>45017.083333333336</v>
      </c>
      <c r="E107" s="14">
        <v>45017.213888888888</v>
      </c>
      <c r="F107" s="13" t="s">
        <v>72</v>
      </c>
      <c r="G107" s="13" t="s">
        <v>163</v>
      </c>
      <c r="H107" s="13" t="s">
        <v>87</v>
      </c>
      <c r="I107" s="17">
        <v>22.72</v>
      </c>
      <c r="J107" s="13" t="s">
        <v>75</v>
      </c>
      <c r="K107" s="13">
        <v>106</v>
      </c>
      <c r="L107" s="13" t="s">
        <v>174</v>
      </c>
      <c r="M107" s="13" t="s">
        <v>37</v>
      </c>
      <c r="N107">
        <f>_xlfn.XLOOKUP(spaces_3iWczBNnn5rbfoUlE0Jd_uploads_git_blob_9864c7f811c613c3faab876659c6423__25[[#This Row],[Número de Orden]],Cocinadinamica!B108:B876,Cocinadinamica!C108:C876)</f>
        <v>28</v>
      </c>
      <c r="O107" s="7">
        <f>spaces_3iWczBNnn5rbfoUlE0Jd_uploads_git_blob_9864c7f811c613c3faab876659c6423__25[[#This Row],[Hora de Llegada]]</f>
        <v>45017.083333333336</v>
      </c>
      <c r="P107" s="9">
        <f>spaces_3iWczBNnn5rbfoUlE0Jd_uploads_git_blob_9864c7f811c613c3faab876659c6423__25[[#This Row],[Hora de Llegada]]</f>
        <v>45017.083333333336</v>
      </c>
      <c r="Q107" s="9">
        <f>spaces_3iWczBNnn5rbfoUlE0Jd_uploads_git_blob_9864c7f811c613c3faab876659c6423__25[[#This Row],[Hora de Salida]]</f>
        <v>45017.213888888888</v>
      </c>
      <c r="R107" s="9" cm="1">
        <f t="array" ref="R10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0.13055555555183673</v>
      </c>
      <c r="S107" s="9">
        <f>_xlfn.XLOOKUP(spaces_3iWczBNnn5rbfoUlE0Jd_uploads_git_blob_9864c7f811c613c3faab876659c6423__25[[#This Row],[Número de Orden]],Cocinadinamica!E108:E876,Cocinadinamica!F108:F876)/1440</f>
        <v>2.013888888888889E-2</v>
      </c>
      <c r="T107" s="9" cm="1">
        <f t="array" ref="T10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0.11041666666294785</v>
      </c>
      <c r="U107" s="9" t="str" cm="1">
        <f t="array" ref="U10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08" spans="1:21" x14ac:dyDescent="0.35">
      <c r="A108" s="27">
        <v>11</v>
      </c>
      <c r="B108" s="11" t="s">
        <v>927</v>
      </c>
      <c r="C108" s="11">
        <v>5</v>
      </c>
      <c r="D108" s="12">
        <v>45017.061805555553</v>
      </c>
      <c r="E108" s="12">
        <v>45017.123611111114</v>
      </c>
      <c r="F108" s="11" t="s">
        <v>100</v>
      </c>
      <c r="G108" s="11" t="s">
        <v>86</v>
      </c>
      <c r="H108" s="11" t="s">
        <v>109</v>
      </c>
      <c r="I108" s="16">
        <v>48.77</v>
      </c>
      <c r="J108" s="11" t="s">
        <v>94</v>
      </c>
      <c r="K108" s="11">
        <v>107</v>
      </c>
      <c r="L108" s="11" t="s">
        <v>95</v>
      </c>
      <c r="M108" s="11" t="s">
        <v>1350</v>
      </c>
      <c r="N108">
        <f>_xlfn.XLOOKUP(spaces_3iWczBNnn5rbfoUlE0Jd_uploads_git_blob_9864c7f811c613c3faab876659c6423__25[[#This Row],[Número de Orden]],Cocinadinamica!B109:B877,Cocinadinamica!C109:C877)</f>
        <v>104</v>
      </c>
      <c r="O108" s="7">
        <f>spaces_3iWczBNnn5rbfoUlE0Jd_uploads_git_blob_9864c7f811c613c3faab876659c6423__25[[#This Row],[Hora de Llegada]]</f>
        <v>45017.061805555553</v>
      </c>
      <c r="P108" s="9">
        <f>spaces_3iWczBNnn5rbfoUlE0Jd_uploads_git_blob_9864c7f811c613c3faab876659c6423__25[[#This Row],[Hora de Llegada]]</f>
        <v>45017.061805555553</v>
      </c>
      <c r="Q108" s="9">
        <f>spaces_3iWczBNnn5rbfoUlE0Jd_uploads_git_blob_9864c7f811c613c3faab876659c6423__25[[#This Row],[Hora de Salida]]</f>
        <v>45017.123611111114</v>
      </c>
      <c r="R108" s="9" cm="1">
        <f t="array" ref="R10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6.1805555560567882E-2</v>
      </c>
      <c r="S108" s="9">
        <f>_xlfn.XLOOKUP(spaces_3iWczBNnn5rbfoUlE0Jd_uploads_git_blob_9864c7f811c613c3faab876659c6423__25[[#This Row],[Número de Orden]],Cocinadinamica!E109:E877,Cocinadinamica!F109:F877)/1440</f>
        <v>9.7916666666666666E-2</v>
      </c>
      <c r="T108" s="9" cm="1">
        <f t="array" ref="T10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08" s="9" t="str" cm="1">
        <f t="array" ref="U10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09" spans="1:21" x14ac:dyDescent="0.35">
      <c r="A109" s="28">
        <v>3</v>
      </c>
      <c r="B109" s="13" t="s">
        <v>928</v>
      </c>
      <c r="C109" s="13">
        <v>3</v>
      </c>
      <c r="D109" s="14">
        <v>45017.063888888886</v>
      </c>
      <c r="E109" s="14">
        <v>45017.150694444441</v>
      </c>
      <c r="F109" s="13" t="s">
        <v>72</v>
      </c>
      <c r="G109" s="13" t="s">
        <v>163</v>
      </c>
      <c r="H109" s="13" t="s">
        <v>109</v>
      </c>
      <c r="I109" s="17">
        <v>23.26</v>
      </c>
      <c r="J109" s="13" t="s">
        <v>94</v>
      </c>
      <c r="K109" s="13">
        <v>108</v>
      </c>
      <c r="L109" s="13" t="s">
        <v>221</v>
      </c>
      <c r="M109" s="13" t="s">
        <v>1351</v>
      </c>
      <c r="N109">
        <f>_xlfn.XLOOKUP(spaces_3iWczBNnn5rbfoUlE0Jd_uploads_git_blob_9864c7f811c613c3faab876659c6423__25[[#This Row],[Número de Orden]],Cocinadinamica!B110:B878,Cocinadinamica!C110:C878)</f>
        <v>52</v>
      </c>
      <c r="O109" s="7">
        <f>spaces_3iWczBNnn5rbfoUlE0Jd_uploads_git_blob_9864c7f811c613c3faab876659c6423__25[[#This Row],[Hora de Llegada]]</f>
        <v>45017.063888888886</v>
      </c>
      <c r="P109" s="9">
        <f>spaces_3iWczBNnn5rbfoUlE0Jd_uploads_git_blob_9864c7f811c613c3faab876659c6423__25[[#This Row],[Hora de Llegada]]</f>
        <v>45017.063888888886</v>
      </c>
      <c r="Q109" s="9">
        <f>spaces_3iWczBNnn5rbfoUlE0Jd_uploads_git_blob_9864c7f811c613c3faab876659c6423__25[[#This Row],[Hora de Salida]]</f>
        <v>45017.150694444441</v>
      </c>
      <c r="R109" s="9" cm="1">
        <f t="array" ref="R10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8.6805555554747116E-2</v>
      </c>
      <c r="S109" s="9">
        <f>_xlfn.XLOOKUP(spaces_3iWczBNnn5rbfoUlE0Jd_uploads_git_blob_9864c7f811c613c3faab876659c6423__25[[#This Row],[Número de Orden]],Cocinadinamica!E110:E878,Cocinadinamica!F110:F878)/1440</f>
        <v>7.9861111111111105E-2</v>
      </c>
      <c r="T109" s="9" cm="1">
        <f t="array" ref="T10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6.9444444436360109E-3</v>
      </c>
      <c r="U109" s="9" t="str" cm="1">
        <f t="array" ref="U10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10" spans="1:21" x14ac:dyDescent="0.35">
      <c r="A110" s="27">
        <v>10</v>
      </c>
      <c r="B110" s="11" t="s">
        <v>929</v>
      </c>
      <c r="C110" s="11">
        <v>2</v>
      </c>
      <c r="D110" s="12">
        <v>45017.059027777781</v>
      </c>
      <c r="E110" s="12">
        <v>45017.101388888892</v>
      </c>
      <c r="F110" s="11" t="s">
        <v>72</v>
      </c>
      <c r="G110" s="11" t="s">
        <v>163</v>
      </c>
      <c r="H110" s="11" t="s">
        <v>74</v>
      </c>
      <c r="I110" s="16">
        <v>42.95</v>
      </c>
      <c r="J110" s="11" t="s">
        <v>75</v>
      </c>
      <c r="K110" s="11">
        <v>109</v>
      </c>
      <c r="L110" s="11" t="s">
        <v>187</v>
      </c>
      <c r="M110" s="11" t="s">
        <v>1352</v>
      </c>
      <c r="N110">
        <f>_xlfn.XLOOKUP(spaces_3iWczBNnn5rbfoUlE0Jd_uploads_git_blob_9864c7f811c613c3faab876659c6423__25[[#This Row],[Número de Orden]],Cocinadinamica!B111:B879,Cocinadinamica!C111:C879)</f>
        <v>69</v>
      </c>
      <c r="O110" s="7">
        <f>spaces_3iWczBNnn5rbfoUlE0Jd_uploads_git_blob_9864c7f811c613c3faab876659c6423__25[[#This Row],[Hora de Llegada]]</f>
        <v>45017.059027777781</v>
      </c>
      <c r="P110" s="9">
        <f>spaces_3iWczBNnn5rbfoUlE0Jd_uploads_git_blob_9864c7f811c613c3faab876659c6423__25[[#This Row],[Hora de Llegada]]</f>
        <v>45017.059027777781</v>
      </c>
      <c r="Q110" s="9">
        <f>spaces_3iWczBNnn5rbfoUlE0Jd_uploads_git_blob_9864c7f811c613c3faab876659c6423__25[[#This Row],[Hora de Salida]]</f>
        <v>45017.101388888892</v>
      </c>
      <c r="R110" s="9" cm="1">
        <f t="array" ref="R11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4.2361111110949423E-2</v>
      </c>
      <c r="S110" s="9">
        <f>_xlfn.XLOOKUP(spaces_3iWczBNnn5rbfoUlE0Jd_uploads_git_blob_9864c7f811c613c3faab876659c6423__25[[#This Row],[Número de Orden]],Cocinadinamica!E111:E879,Cocinadinamica!F111:F879)/1440</f>
        <v>8.1944444444444445E-2</v>
      </c>
      <c r="T110" s="9" cm="1">
        <f t="array" ref="T11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10" s="9" t="str" cm="1">
        <f t="array" ref="U11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11" spans="1:21" x14ac:dyDescent="0.35">
      <c r="A111" s="28">
        <v>5</v>
      </c>
      <c r="B111" s="13" t="s">
        <v>930</v>
      </c>
      <c r="C111" s="13">
        <v>1</v>
      </c>
      <c r="D111" s="14">
        <v>45017.147222222222</v>
      </c>
      <c r="E111" s="14">
        <v>45017.275694444441</v>
      </c>
      <c r="F111" s="13" t="s">
        <v>223</v>
      </c>
      <c r="G111" s="13" t="s">
        <v>86</v>
      </c>
      <c r="H111" s="13" t="s">
        <v>74</v>
      </c>
      <c r="I111" s="17">
        <v>47.91</v>
      </c>
      <c r="J111" s="13" t="s">
        <v>94</v>
      </c>
      <c r="K111" s="13">
        <v>110</v>
      </c>
      <c r="L111" s="13" t="s">
        <v>221</v>
      </c>
      <c r="M111" s="13" t="s">
        <v>1353</v>
      </c>
      <c r="N111">
        <f>_xlfn.XLOOKUP(spaces_3iWczBNnn5rbfoUlE0Jd_uploads_git_blob_9864c7f811c613c3faab876659c6423__25[[#This Row],[Número de Orden]],Cocinadinamica!B112:B880,Cocinadinamica!C112:C880)</f>
        <v>68</v>
      </c>
      <c r="O111" s="7">
        <f>spaces_3iWczBNnn5rbfoUlE0Jd_uploads_git_blob_9864c7f811c613c3faab876659c6423__25[[#This Row],[Hora de Llegada]]</f>
        <v>45017.147222222222</v>
      </c>
      <c r="P111" s="9">
        <f>spaces_3iWczBNnn5rbfoUlE0Jd_uploads_git_blob_9864c7f811c613c3faab876659c6423__25[[#This Row],[Hora de Llegada]]</f>
        <v>45017.147222222222</v>
      </c>
      <c r="Q111" s="9">
        <f>spaces_3iWczBNnn5rbfoUlE0Jd_uploads_git_blob_9864c7f811c613c3faab876659c6423__25[[#This Row],[Hora de Salida]]</f>
        <v>45017.275694444441</v>
      </c>
      <c r="R111" s="9" cm="1">
        <f t="array" ref="R11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0.12847222221898846</v>
      </c>
      <c r="S111" s="9">
        <f>_xlfn.XLOOKUP(spaces_3iWczBNnn5rbfoUlE0Jd_uploads_git_blob_9864c7f811c613c3faab876659c6423__25[[#This Row],[Número de Orden]],Cocinadinamica!E112:E880,Cocinadinamica!F112:F880)/1440</f>
        <v>8.4027777777777785E-2</v>
      </c>
      <c r="T111" s="9" cm="1">
        <f t="array" ref="T11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4.4444444441210679E-2</v>
      </c>
      <c r="U111" s="9" t="str" cm="1">
        <f t="array" ref="U11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12" spans="1:21" x14ac:dyDescent="0.35">
      <c r="A112" s="27">
        <v>3</v>
      </c>
      <c r="B112" s="11" t="s">
        <v>931</v>
      </c>
      <c r="C112" s="11">
        <v>2</v>
      </c>
      <c r="D112" s="12">
        <v>45017.074999999997</v>
      </c>
      <c r="E112" s="12">
        <v>45017.213194444441</v>
      </c>
      <c r="F112" s="11" t="s">
        <v>170</v>
      </c>
      <c r="G112" s="11" t="s">
        <v>163</v>
      </c>
      <c r="H112" s="11" t="s">
        <v>74</v>
      </c>
      <c r="I112" s="16">
        <v>18.82</v>
      </c>
      <c r="J112" s="11" t="s">
        <v>94</v>
      </c>
      <c r="K112" s="11">
        <v>111</v>
      </c>
      <c r="L112" s="11" t="s">
        <v>187</v>
      </c>
      <c r="M112" s="11" t="s">
        <v>1354</v>
      </c>
      <c r="N112">
        <f>_xlfn.XLOOKUP(spaces_3iWczBNnn5rbfoUlE0Jd_uploads_git_blob_9864c7f811c613c3faab876659c6423__25[[#This Row],[Número de Orden]],Cocinadinamica!B113:B881,Cocinadinamica!C113:C881)</f>
        <v>84</v>
      </c>
      <c r="O112" s="7">
        <f>spaces_3iWczBNnn5rbfoUlE0Jd_uploads_git_blob_9864c7f811c613c3faab876659c6423__25[[#This Row],[Hora de Llegada]]</f>
        <v>45017.074999999997</v>
      </c>
      <c r="P112" s="9">
        <f>spaces_3iWczBNnn5rbfoUlE0Jd_uploads_git_blob_9864c7f811c613c3faab876659c6423__25[[#This Row],[Hora de Llegada]]</f>
        <v>45017.074999999997</v>
      </c>
      <c r="Q112" s="9">
        <f>spaces_3iWczBNnn5rbfoUlE0Jd_uploads_git_blob_9864c7f811c613c3faab876659c6423__25[[#This Row],[Hora de Salida]]</f>
        <v>45017.213194444441</v>
      </c>
      <c r="R112" s="9" cm="1">
        <f t="array" ref="R11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0.13819444444379769</v>
      </c>
      <c r="S112" s="9">
        <f>_xlfn.XLOOKUP(spaces_3iWczBNnn5rbfoUlE0Jd_uploads_git_blob_9864c7f811c613c3faab876659c6423__25[[#This Row],[Número de Orden]],Cocinadinamica!E113:E881,Cocinadinamica!F113:F881)/1440</f>
        <v>9.5138888888888884E-2</v>
      </c>
      <c r="T112" s="9" cm="1">
        <f t="array" ref="T11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4.3055555554908809E-2</v>
      </c>
      <c r="U112" s="9" t="str" cm="1">
        <f t="array" ref="U11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13" spans="1:21" x14ac:dyDescent="0.35">
      <c r="A113" s="28" t="s">
        <v>185</v>
      </c>
      <c r="B113" s="13" t="s">
        <v>209</v>
      </c>
      <c r="C113" s="13">
        <v>2</v>
      </c>
      <c r="D113" s="14">
        <v>45017.075694444444</v>
      </c>
      <c r="E113" s="14">
        <v>45017.167361111111</v>
      </c>
      <c r="F113" s="13" t="s">
        <v>100</v>
      </c>
      <c r="G113" s="13" t="s">
        <v>73</v>
      </c>
      <c r="H113" s="13" t="s">
        <v>87</v>
      </c>
      <c r="I113" s="17">
        <v>35.36</v>
      </c>
      <c r="J113" s="13" t="s">
        <v>88</v>
      </c>
      <c r="K113" s="13">
        <v>112</v>
      </c>
      <c r="L113" s="13" t="s">
        <v>76</v>
      </c>
      <c r="M113" s="13" t="s">
        <v>39</v>
      </c>
      <c r="N113">
        <f>_xlfn.XLOOKUP(spaces_3iWczBNnn5rbfoUlE0Jd_uploads_git_blob_9864c7f811c613c3faab876659c6423__25[[#This Row],[Número de Orden]],Cocinadinamica!B114:B882,Cocinadinamica!C114:C882)</f>
        <v>8</v>
      </c>
      <c r="O113" s="7">
        <f>spaces_3iWczBNnn5rbfoUlE0Jd_uploads_git_blob_9864c7f811c613c3faab876659c6423__25[[#This Row],[Hora de Llegada]]</f>
        <v>45017.075694444444</v>
      </c>
      <c r="P113" s="9">
        <f>spaces_3iWczBNnn5rbfoUlE0Jd_uploads_git_blob_9864c7f811c613c3faab876659c6423__25[[#This Row],[Hora de Llegada]]</f>
        <v>45017.075694444444</v>
      </c>
      <c r="Q113" s="9">
        <f>spaces_3iWczBNnn5rbfoUlE0Jd_uploads_git_blob_9864c7f811c613c3faab876659c6423__25[[#This Row],[Hora de Salida]]</f>
        <v>45017.167361111111</v>
      </c>
      <c r="R113" s="9" cm="1">
        <f t="array" ref="R11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113" s="9">
        <f>_xlfn.XLOOKUP(spaces_3iWczBNnn5rbfoUlE0Jd_uploads_git_blob_9864c7f811c613c3faab876659c6423__25[[#This Row],[Número de Orden]],Cocinadinamica!E114:E882,Cocinadinamica!F114:F882)/1440</f>
        <v>1.1111111111111112E-2</v>
      </c>
      <c r="T113" s="9" cm="1">
        <f t="array" ref="T11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9.0972222220281965E-2</v>
      </c>
      <c r="U113" s="9" t="str" cm="1">
        <f t="array" ref="U11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14" spans="1:21" x14ac:dyDescent="0.35">
      <c r="A114" s="27" t="s">
        <v>210</v>
      </c>
      <c r="B114" s="11" t="s">
        <v>211</v>
      </c>
      <c r="C114" s="11">
        <v>2</v>
      </c>
      <c r="D114" s="12">
        <v>45017.05</v>
      </c>
      <c r="E114" s="12">
        <v>45017.181250000001</v>
      </c>
      <c r="F114" s="11" t="s">
        <v>170</v>
      </c>
      <c r="G114" s="11" t="s">
        <v>86</v>
      </c>
      <c r="H114" s="11" t="s">
        <v>74</v>
      </c>
      <c r="I114" s="16">
        <v>29.74</v>
      </c>
      <c r="J114" s="11" t="s">
        <v>88</v>
      </c>
      <c r="K114" s="11">
        <v>113</v>
      </c>
      <c r="L114" s="11" t="s">
        <v>89</v>
      </c>
      <c r="M114" s="11" t="s">
        <v>37</v>
      </c>
      <c r="N114">
        <f>_xlfn.XLOOKUP(spaces_3iWczBNnn5rbfoUlE0Jd_uploads_git_blob_9864c7f811c613c3faab876659c6423__25[[#This Row],[Número de Orden]],Cocinadinamica!B115:B883,Cocinadinamica!C115:C883)</f>
        <v>28</v>
      </c>
      <c r="O114" s="7">
        <f>spaces_3iWczBNnn5rbfoUlE0Jd_uploads_git_blob_9864c7f811c613c3faab876659c6423__25[[#This Row],[Hora de Llegada]]</f>
        <v>45017.05</v>
      </c>
      <c r="P114" s="9">
        <f>spaces_3iWczBNnn5rbfoUlE0Jd_uploads_git_blob_9864c7f811c613c3faab876659c6423__25[[#This Row],[Hora de Llegada]]</f>
        <v>45017.05</v>
      </c>
      <c r="Q114" s="9">
        <f>spaces_3iWczBNnn5rbfoUlE0Jd_uploads_git_blob_9864c7f811c613c3faab876659c6423__25[[#This Row],[Hora de Salida]]</f>
        <v>45017.181250000001</v>
      </c>
      <c r="R114" s="9" cm="1">
        <f t="array" ref="R11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0.14166666666278616</v>
      </c>
      <c r="S114" s="9">
        <f>_xlfn.XLOOKUP(spaces_3iWczBNnn5rbfoUlE0Jd_uploads_git_blob_9864c7f811c613c3faab876659c6423__25[[#This Row],[Número de Orden]],Cocinadinamica!E115:E883,Cocinadinamica!F115:F883)/1440</f>
        <v>3.5416666666666666E-2</v>
      </c>
      <c r="T114" s="9" cm="1">
        <f t="array" ref="T11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0.10624999999611949</v>
      </c>
      <c r="U114" s="9" t="str" cm="1">
        <f t="array" ref="U11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15" spans="1:21" x14ac:dyDescent="0.35">
      <c r="A115" s="28">
        <v>7</v>
      </c>
      <c r="B115" s="13" t="s">
        <v>932</v>
      </c>
      <c r="C115" s="13">
        <v>6</v>
      </c>
      <c r="D115" s="14">
        <v>45017.03402777778</v>
      </c>
      <c r="E115" s="14">
        <v>45017.145833333336</v>
      </c>
      <c r="F115" s="13" t="s">
        <v>223</v>
      </c>
      <c r="G115" s="13" t="s">
        <v>86</v>
      </c>
      <c r="H115" s="13" t="s">
        <v>74</v>
      </c>
      <c r="I115" s="17">
        <v>38.81</v>
      </c>
      <c r="J115" s="13" t="s">
        <v>88</v>
      </c>
      <c r="K115" s="13">
        <v>114</v>
      </c>
      <c r="L115" s="13" t="s">
        <v>101</v>
      </c>
      <c r="M115" s="13" t="s">
        <v>1355</v>
      </c>
      <c r="N115">
        <f>_xlfn.XLOOKUP(spaces_3iWczBNnn5rbfoUlE0Jd_uploads_git_blob_9864c7f811c613c3faab876659c6423__25[[#This Row],[Número de Orden]],Cocinadinamica!B116:B884,Cocinadinamica!C116:C884)</f>
        <v>105</v>
      </c>
      <c r="O115" s="7">
        <f>spaces_3iWczBNnn5rbfoUlE0Jd_uploads_git_blob_9864c7f811c613c3faab876659c6423__25[[#This Row],[Hora de Llegada]]</f>
        <v>45017.03402777778</v>
      </c>
      <c r="P115" s="9">
        <f>spaces_3iWczBNnn5rbfoUlE0Jd_uploads_git_blob_9864c7f811c613c3faab876659c6423__25[[#This Row],[Hora de Llegada]]</f>
        <v>45017.03402777778</v>
      </c>
      <c r="Q115" s="9">
        <f>spaces_3iWczBNnn5rbfoUlE0Jd_uploads_git_blob_9864c7f811c613c3faab876659c6423__25[[#This Row],[Hora de Salida]]</f>
        <v>45017.145833333336</v>
      </c>
      <c r="R115" s="9" cm="1">
        <f t="array" ref="R11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0.12222222222044365</v>
      </c>
      <c r="S115" s="9">
        <f>_xlfn.XLOOKUP(spaces_3iWczBNnn5rbfoUlE0Jd_uploads_git_blob_9864c7f811c613c3faab876659c6423__25[[#This Row],[Número de Orden]],Cocinadinamica!E116:E884,Cocinadinamica!F116:F884)/1440</f>
        <v>9.0972222222222218E-2</v>
      </c>
      <c r="T115" s="9" cm="1">
        <f t="array" ref="T11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3.1249999998221437E-2</v>
      </c>
      <c r="U115" s="9" t="str" cm="1">
        <f t="array" ref="U11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16" spans="1:21" x14ac:dyDescent="0.35">
      <c r="A116" s="27">
        <v>12</v>
      </c>
      <c r="B116" s="11" t="s">
        <v>922</v>
      </c>
      <c r="C116" s="11">
        <v>6</v>
      </c>
      <c r="D116" s="12">
        <v>45017.154861111114</v>
      </c>
      <c r="E116" s="12">
        <v>45017.268055555556</v>
      </c>
      <c r="F116" s="11" t="s">
        <v>223</v>
      </c>
      <c r="G116" s="11" t="s">
        <v>73</v>
      </c>
      <c r="H116" s="11" t="s">
        <v>109</v>
      </c>
      <c r="I116" s="16">
        <v>46.46</v>
      </c>
      <c r="J116" s="11" t="s">
        <v>88</v>
      </c>
      <c r="K116" s="11">
        <v>115</v>
      </c>
      <c r="L116" s="11" t="s">
        <v>174</v>
      </c>
      <c r="M116" s="11" t="s">
        <v>1356</v>
      </c>
      <c r="N116">
        <f>_xlfn.XLOOKUP(spaces_3iWczBNnn5rbfoUlE0Jd_uploads_git_blob_9864c7f811c613c3faab876659c6423__25[[#This Row],[Número de Orden]],Cocinadinamica!B117:B885,Cocinadinamica!C117:C885)</f>
        <v>96</v>
      </c>
      <c r="O116" s="7">
        <f>spaces_3iWczBNnn5rbfoUlE0Jd_uploads_git_blob_9864c7f811c613c3faab876659c6423__25[[#This Row],[Hora de Llegada]]</f>
        <v>45017.154861111114</v>
      </c>
      <c r="P116" s="9">
        <f>spaces_3iWczBNnn5rbfoUlE0Jd_uploads_git_blob_9864c7f811c613c3faab876659c6423__25[[#This Row],[Hora de Llegada]]</f>
        <v>45017.154861111114</v>
      </c>
      <c r="Q116" s="9">
        <f>spaces_3iWczBNnn5rbfoUlE0Jd_uploads_git_blob_9864c7f811c613c3faab876659c6423__25[[#This Row],[Hora de Salida]]</f>
        <v>45017.268055555556</v>
      </c>
      <c r="R116" s="9" cm="1">
        <f t="array" ref="R11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0.12361111110658385</v>
      </c>
      <c r="S116" s="9">
        <f>_xlfn.XLOOKUP(spaces_3iWczBNnn5rbfoUlE0Jd_uploads_git_blob_9864c7f811c613c3faab876659c6423__25[[#This Row],[Número de Orden]],Cocinadinamica!E117:E885,Cocinadinamica!F117:F885)/1440</f>
        <v>6.805555555555555E-2</v>
      </c>
      <c r="T116" s="9" cm="1">
        <f t="array" ref="T11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5.5555555551028299E-2</v>
      </c>
      <c r="U116" s="9" t="str" cm="1">
        <f t="array" ref="U11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17" spans="1:21" x14ac:dyDescent="0.35">
      <c r="A117" s="28">
        <v>8</v>
      </c>
      <c r="B117" s="13" t="s">
        <v>933</v>
      </c>
      <c r="C117" s="13">
        <v>5</v>
      </c>
      <c r="D117" s="14">
        <v>45017.135416666664</v>
      </c>
      <c r="E117" s="14">
        <v>45017.272916666669</v>
      </c>
      <c r="F117" s="13" t="s">
        <v>223</v>
      </c>
      <c r="G117" s="13" t="s">
        <v>86</v>
      </c>
      <c r="H117" s="13" t="s">
        <v>74</v>
      </c>
      <c r="I117" s="17">
        <v>47.69</v>
      </c>
      <c r="J117" s="13" t="s">
        <v>88</v>
      </c>
      <c r="K117" s="13">
        <v>116</v>
      </c>
      <c r="L117" s="13" t="s">
        <v>101</v>
      </c>
      <c r="M117" s="13" t="s">
        <v>1357</v>
      </c>
      <c r="N117">
        <f>_xlfn.XLOOKUP(spaces_3iWczBNnn5rbfoUlE0Jd_uploads_git_blob_9864c7f811c613c3faab876659c6423__25[[#This Row],[Número de Orden]],Cocinadinamica!B118:B886,Cocinadinamica!C118:C886)</f>
        <v>109</v>
      </c>
      <c r="O117" s="7">
        <f>spaces_3iWczBNnn5rbfoUlE0Jd_uploads_git_blob_9864c7f811c613c3faab876659c6423__25[[#This Row],[Hora de Llegada]]</f>
        <v>45017.135416666664</v>
      </c>
      <c r="P117" s="9">
        <f>spaces_3iWczBNnn5rbfoUlE0Jd_uploads_git_blob_9864c7f811c613c3faab876659c6423__25[[#This Row],[Hora de Llegada]]</f>
        <v>45017.135416666664</v>
      </c>
      <c r="Q117" s="9">
        <f>spaces_3iWczBNnn5rbfoUlE0Jd_uploads_git_blob_9864c7f811c613c3faab876659c6423__25[[#This Row],[Hora de Salida]]</f>
        <v>45017.272916666669</v>
      </c>
      <c r="R117" s="9" cm="1">
        <f t="array" ref="R11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0.14791666666860692</v>
      </c>
      <c r="S117" s="9">
        <f>_xlfn.XLOOKUP(spaces_3iWczBNnn5rbfoUlE0Jd_uploads_git_blob_9864c7f811c613c3faab876659c6423__25[[#This Row],[Número de Orden]],Cocinadinamica!E118:E886,Cocinadinamica!F118:F886)/1440</f>
        <v>8.9583333333333334E-2</v>
      </c>
      <c r="T117" s="9" cm="1">
        <f t="array" ref="T11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5.8333333335273588E-2</v>
      </c>
      <c r="U117" s="9" t="str" cm="1">
        <f t="array" ref="U11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18" spans="1:21" x14ac:dyDescent="0.35">
      <c r="A118" s="27" t="s">
        <v>215</v>
      </c>
      <c r="B118" s="11" t="s">
        <v>216</v>
      </c>
      <c r="C118" s="11">
        <v>4</v>
      </c>
      <c r="D118" s="12">
        <v>45017.121527777781</v>
      </c>
      <c r="E118" s="12">
        <v>45017.239583333336</v>
      </c>
      <c r="F118" s="11" t="s">
        <v>170</v>
      </c>
      <c r="G118" s="11" t="s">
        <v>163</v>
      </c>
      <c r="H118" s="11" t="s">
        <v>74</v>
      </c>
      <c r="I118" s="16">
        <v>11.65</v>
      </c>
      <c r="J118" s="11" t="s">
        <v>88</v>
      </c>
      <c r="K118" s="11">
        <v>117</v>
      </c>
      <c r="L118" s="11" t="s">
        <v>101</v>
      </c>
      <c r="M118" s="11" t="s">
        <v>31</v>
      </c>
      <c r="N118">
        <f>_xlfn.XLOOKUP(spaces_3iWczBNnn5rbfoUlE0Jd_uploads_git_blob_9864c7f811c613c3faab876659c6423__25[[#This Row],[Número de Orden]],Cocinadinamica!B119:B887,Cocinadinamica!C119:C887)</f>
        <v>28</v>
      </c>
      <c r="O118" s="7">
        <f>spaces_3iWczBNnn5rbfoUlE0Jd_uploads_git_blob_9864c7f811c613c3faab876659c6423__25[[#This Row],[Hora de Llegada]]</f>
        <v>45017.121527777781</v>
      </c>
      <c r="P118" s="9">
        <f>spaces_3iWczBNnn5rbfoUlE0Jd_uploads_git_blob_9864c7f811c613c3faab876659c6423__25[[#This Row],[Hora de Llegada]]</f>
        <v>45017.121527777781</v>
      </c>
      <c r="Q118" s="9">
        <f>spaces_3iWczBNnn5rbfoUlE0Jd_uploads_git_blob_9864c7f811c613c3faab876659c6423__25[[#This Row],[Hora de Salida]]</f>
        <v>45017.239583333336</v>
      </c>
      <c r="R118" s="9" cm="1">
        <f t="array" ref="R11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0.12847222221898846</v>
      </c>
      <c r="S118" s="9">
        <f>_xlfn.XLOOKUP(spaces_3iWczBNnn5rbfoUlE0Jd_uploads_git_blob_9864c7f811c613c3faab876659c6423__25[[#This Row],[Número de Orden]],Cocinadinamica!E119:E887,Cocinadinamica!F119:F887)/1440</f>
        <v>5.5555555555555558E-3</v>
      </c>
      <c r="T118" s="9" cm="1">
        <f t="array" ref="T11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0.12291666666343291</v>
      </c>
      <c r="U118" s="9" t="str" cm="1">
        <f t="array" ref="U11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19" spans="1:21" x14ac:dyDescent="0.35">
      <c r="A119" s="28">
        <v>13</v>
      </c>
      <c r="B119" s="13" t="s">
        <v>597</v>
      </c>
      <c r="C119" s="13">
        <v>1</v>
      </c>
      <c r="D119" s="14">
        <v>45017.023611111108</v>
      </c>
      <c r="E119" s="14">
        <v>45017.072916666664</v>
      </c>
      <c r="F119" s="13" t="s">
        <v>85</v>
      </c>
      <c r="G119" s="13" t="s">
        <v>73</v>
      </c>
      <c r="H119" s="13" t="s">
        <v>109</v>
      </c>
      <c r="I119" s="17">
        <v>49.32</v>
      </c>
      <c r="J119" s="13" t="s">
        <v>75</v>
      </c>
      <c r="K119" s="13">
        <v>118</v>
      </c>
      <c r="L119" s="13" t="s">
        <v>95</v>
      </c>
      <c r="M119" s="13" t="s">
        <v>1358</v>
      </c>
      <c r="N119">
        <f>_xlfn.XLOOKUP(spaces_3iWczBNnn5rbfoUlE0Jd_uploads_git_blob_9864c7f811c613c3faab876659c6423__25[[#This Row],[Número de Orden]],Cocinadinamica!B120:B888,Cocinadinamica!C120:C888)</f>
        <v>86</v>
      </c>
      <c r="O119" s="7">
        <f>spaces_3iWczBNnn5rbfoUlE0Jd_uploads_git_blob_9864c7f811c613c3faab876659c6423__25[[#This Row],[Hora de Llegada]]</f>
        <v>45017.023611111108</v>
      </c>
      <c r="P119" s="9">
        <f>spaces_3iWczBNnn5rbfoUlE0Jd_uploads_git_blob_9864c7f811c613c3faab876659c6423__25[[#This Row],[Hora de Llegada]]</f>
        <v>45017.023611111108</v>
      </c>
      <c r="Q119" s="9">
        <f>spaces_3iWczBNnn5rbfoUlE0Jd_uploads_git_blob_9864c7f811c613c3faab876659c6423__25[[#This Row],[Hora de Salida]]</f>
        <v>45017.072916666664</v>
      </c>
      <c r="R119" s="9" cm="1">
        <f t="array" ref="R11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4.9305555556202307E-2</v>
      </c>
      <c r="S119" s="9">
        <f>_xlfn.XLOOKUP(spaces_3iWczBNnn5rbfoUlE0Jd_uploads_git_blob_9864c7f811c613c3faab876659c6423__25[[#This Row],[Número de Orden]],Cocinadinamica!E120:E888,Cocinadinamica!F120:F888)/1440</f>
        <v>9.4444444444444442E-2</v>
      </c>
      <c r="T119" s="9" cm="1">
        <f t="array" ref="T11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19" s="9" t="str" cm="1">
        <f t="array" ref="U11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20" spans="1:21" x14ac:dyDescent="0.35">
      <c r="A120" s="27">
        <v>17</v>
      </c>
      <c r="B120" s="11" t="s">
        <v>462</v>
      </c>
      <c r="C120" s="11">
        <v>3</v>
      </c>
      <c r="D120" s="12">
        <v>45018.14166666667</v>
      </c>
      <c r="E120" s="12">
        <v>45018.210416666669</v>
      </c>
      <c r="F120" s="11" t="s">
        <v>100</v>
      </c>
      <c r="G120" s="11" t="s">
        <v>163</v>
      </c>
      <c r="H120" s="11" t="s">
        <v>74</v>
      </c>
      <c r="I120" s="16">
        <v>11.5</v>
      </c>
      <c r="J120" s="11" t="s">
        <v>94</v>
      </c>
      <c r="K120" s="11">
        <v>119</v>
      </c>
      <c r="L120" s="11" t="s">
        <v>76</v>
      </c>
      <c r="M120" s="11" t="s">
        <v>1359</v>
      </c>
      <c r="N120">
        <f>_xlfn.XLOOKUP(spaces_3iWczBNnn5rbfoUlE0Jd_uploads_git_blob_9864c7f811c613c3faab876659c6423__25[[#This Row],[Número de Orden]],Cocinadinamica!B121:B889,Cocinadinamica!C121:C889)</f>
        <v>55</v>
      </c>
      <c r="O120" s="7">
        <f>spaces_3iWczBNnn5rbfoUlE0Jd_uploads_git_blob_9864c7f811c613c3faab876659c6423__25[[#This Row],[Hora de Llegada]]</f>
        <v>45018.14166666667</v>
      </c>
      <c r="P120" s="9">
        <f>spaces_3iWczBNnn5rbfoUlE0Jd_uploads_git_blob_9864c7f811c613c3faab876659c6423__25[[#This Row],[Hora de Llegada]]</f>
        <v>45018.14166666667</v>
      </c>
      <c r="Q120" s="9">
        <f>spaces_3iWczBNnn5rbfoUlE0Jd_uploads_git_blob_9864c7f811c613c3faab876659c6423__25[[#This Row],[Hora de Salida]]</f>
        <v>45018.210416666669</v>
      </c>
      <c r="R120" s="9" cm="1">
        <f t="array" ref="R12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6.8749999998544808E-2</v>
      </c>
      <c r="S120" s="9">
        <f>_xlfn.XLOOKUP(spaces_3iWczBNnn5rbfoUlE0Jd_uploads_git_blob_9864c7f811c613c3faab876659c6423__25[[#This Row],[Número de Orden]],Cocinadinamica!E121:E889,Cocinadinamica!F121:F889)/1440</f>
        <v>3.7499999999999999E-2</v>
      </c>
      <c r="T120" s="9" cm="1">
        <f t="array" ref="T12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3.124999999854481E-2</v>
      </c>
      <c r="U120" s="9" t="str" cm="1">
        <f t="array" ref="U12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21" spans="1:21" x14ac:dyDescent="0.35">
      <c r="A121" s="28">
        <v>4</v>
      </c>
      <c r="B121" s="13" t="s">
        <v>934</v>
      </c>
      <c r="C121" s="13">
        <v>2</v>
      </c>
      <c r="D121" s="14">
        <v>45018.026388888888</v>
      </c>
      <c r="E121" s="14">
        <v>45018.070833333331</v>
      </c>
      <c r="F121" s="13" t="s">
        <v>223</v>
      </c>
      <c r="G121" s="13" t="s">
        <v>86</v>
      </c>
      <c r="H121" s="13" t="s">
        <v>87</v>
      </c>
      <c r="I121" s="17">
        <v>12.51</v>
      </c>
      <c r="J121" s="13" t="s">
        <v>94</v>
      </c>
      <c r="K121" s="13">
        <v>120</v>
      </c>
      <c r="L121" s="13" t="s">
        <v>174</v>
      </c>
      <c r="M121" s="13" t="s">
        <v>1360</v>
      </c>
      <c r="N121">
        <f>_xlfn.XLOOKUP(spaces_3iWczBNnn5rbfoUlE0Jd_uploads_git_blob_9864c7f811c613c3faab876659c6423__25[[#This Row],[Número de Orden]],Cocinadinamica!B122:B890,Cocinadinamica!C122:C890)</f>
        <v>58</v>
      </c>
      <c r="O121" s="7">
        <f>spaces_3iWczBNnn5rbfoUlE0Jd_uploads_git_blob_9864c7f811c613c3faab876659c6423__25[[#This Row],[Hora de Llegada]]</f>
        <v>45018.026388888888</v>
      </c>
      <c r="P121" s="9">
        <f>spaces_3iWczBNnn5rbfoUlE0Jd_uploads_git_blob_9864c7f811c613c3faab876659c6423__25[[#This Row],[Hora de Llegada]]</f>
        <v>45018.026388888888</v>
      </c>
      <c r="Q121" s="9">
        <f>spaces_3iWczBNnn5rbfoUlE0Jd_uploads_git_blob_9864c7f811c613c3faab876659c6423__25[[#This Row],[Hora de Salida]]</f>
        <v>45018.070833333331</v>
      </c>
      <c r="R121" s="9" cm="1">
        <f t="array" ref="R12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4.4444444443797693E-2</v>
      </c>
      <c r="S121" s="9">
        <f>_xlfn.XLOOKUP(spaces_3iWczBNnn5rbfoUlE0Jd_uploads_git_blob_9864c7f811c613c3faab876659c6423__25[[#This Row],[Número de Orden]],Cocinadinamica!E122:E890,Cocinadinamica!F122:F890)/1440</f>
        <v>6.7361111111111108E-2</v>
      </c>
      <c r="T121" s="9" cm="1">
        <f t="array" ref="T12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21" s="9" t="str" cm="1">
        <f t="array" ref="U12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22" spans="1:21" x14ac:dyDescent="0.35">
      <c r="A122" s="27" t="s">
        <v>121</v>
      </c>
      <c r="B122" s="11" t="s">
        <v>220</v>
      </c>
      <c r="C122" s="11">
        <v>4</v>
      </c>
      <c r="D122" s="12">
        <v>45018.15625</v>
      </c>
      <c r="E122" s="12">
        <v>45018.259027777778</v>
      </c>
      <c r="F122" s="11" t="s">
        <v>72</v>
      </c>
      <c r="G122" s="11" t="s">
        <v>86</v>
      </c>
      <c r="H122" s="11" t="s">
        <v>74</v>
      </c>
      <c r="I122" s="16">
        <v>1.23</v>
      </c>
      <c r="J122" s="11" t="s">
        <v>94</v>
      </c>
      <c r="K122" s="11">
        <v>121</v>
      </c>
      <c r="L122" s="11" t="s">
        <v>221</v>
      </c>
      <c r="M122" s="11" t="s">
        <v>47</v>
      </c>
      <c r="N122">
        <f>_xlfn.XLOOKUP(spaces_3iWczBNnn5rbfoUlE0Jd_uploads_git_blob_9864c7f811c613c3faab876659c6423__25[[#This Row],[Número de Orden]],Cocinadinamica!B123:B891,Cocinadinamica!C123:C891)</f>
        <v>22</v>
      </c>
      <c r="O122" s="7">
        <f>spaces_3iWczBNnn5rbfoUlE0Jd_uploads_git_blob_9864c7f811c613c3faab876659c6423__25[[#This Row],[Hora de Llegada]]</f>
        <v>45018.15625</v>
      </c>
      <c r="P122" s="9">
        <f>spaces_3iWczBNnn5rbfoUlE0Jd_uploads_git_blob_9864c7f811c613c3faab876659c6423__25[[#This Row],[Hora de Llegada]]</f>
        <v>45018.15625</v>
      </c>
      <c r="Q122" s="9">
        <f>spaces_3iWczBNnn5rbfoUlE0Jd_uploads_git_blob_9864c7f811c613c3faab876659c6423__25[[#This Row],[Hora de Salida]]</f>
        <v>45018.259027777778</v>
      </c>
      <c r="R122" s="9" cm="1">
        <f t="array" ref="R12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0.10277777777810115</v>
      </c>
      <c r="S122" s="9">
        <f>_xlfn.XLOOKUP(spaces_3iWczBNnn5rbfoUlE0Jd_uploads_git_blob_9864c7f811c613c3faab876659c6423__25[[#This Row],[Número de Orden]],Cocinadinamica!E123:E891,Cocinadinamica!F123:F891)/1440</f>
        <v>2.6388888888888889E-2</v>
      </c>
      <c r="T122" s="9" cm="1">
        <f t="array" ref="T12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7.6388888889212261E-2</v>
      </c>
      <c r="U122" s="9" t="str" cm="1">
        <f t="array" ref="U12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23" spans="1:21" x14ac:dyDescent="0.35">
      <c r="A123" s="28" t="s">
        <v>185</v>
      </c>
      <c r="B123" s="13" t="s">
        <v>222</v>
      </c>
      <c r="C123" s="13">
        <v>6</v>
      </c>
      <c r="D123" s="14">
        <v>45018.057638888888</v>
      </c>
      <c r="E123" s="14">
        <v>45018.116666666669</v>
      </c>
      <c r="F123" s="13" t="s">
        <v>223</v>
      </c>
      <c r="G123" s="13" t="s">
        <v>86</v>
      </c>
      <c r="H123" s="13" t="s">
        <v>109</v>
      </c>
      <c r="I123" s="17">
        <v>20.38</v>
      </c>
      <c r="J123" s="13" t="s">
        <v>88</v>
      </c>
      <c r="K123" s="13">
        <v>122</v>
      </c>
      <c r="L123" s="13" t="s">
        <v>110</v>
      </c>
      <c r="M123" s="13" t="s">
        <v>31</v>
      </c>
      <c r="N123">
        <f>_xlfn.XLOOKUP(spaces_3iWczBNnn5rbfoUlE0Jd_uploads_git_blob_9864c7f811c613c3faab876659c6423__25[[#This Row],[Número de Orden]],Cocinadinamica!B124:B892,Cocinadinamica!C124:C892)</f>
        <v>42</v>
      </c>
      <c r="O123" s="7">
        <f>spaces_3iWczBNnn5rbfoUlE0Jd_uploads_git_blob_9864c7f811c613c3faab876659c6423__25[[#This Row],[Hora de Llegada]]</f>
        <v>45018.057638888888</v>
      </c>
      <c r="P123" s="9">
        <f>spaces_3iWczBNnn5rbfoUlE0Jd_uploads_git_blob_9864c7f811c613c3faab876659c6423__25[[#This Row],[Hora de Llegada]]</f>
        <v>45018.057638888888</v>
      </c>
      <c r="Q123" s="9">
        <f>spaces_3iWczBNnn5rbfoUlE0Jd_uploads_git_blob_9864c7f811c613c3faab876659c6423__25[[#This Row],[Hora de Salida]]</f>
        <v>45018.116666666669</v>
      </c>
      <c r="R123" s="9" cm="1">
        <f t="array" ref="R12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6.9444444445252884E-2</v>
      </c>
      <c r="S123" s="9">
        <f>_xlfn.XLOOKUP(spaces_3iWczBNnn5rbfoUlE0Jd_uploads_git_blob_9864c7f811c613c3faab876659c6423__25[[#This Row],[Número de Orden]],Cocinadinamica!E124:E892,Cocinadinamica!F124:F892)/1440</f>
        <v>2.2222222222222223E-2</v>
      </c>
      <c r="T123" s="9" cm="1">
        <f t="array" ref="T12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4.7222222223030658E-2</v>
      </c>
      <c r="U123" s="9" t="str" cm="1">
        <f t="array" ref="U12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24" spans="1:21" x14ac:dyDescent="0.35">
      <c r="A124" s="27" t="s">
        <v>224</v>
      </c>
      <c r="B124" s="11" t="s">
        <v>225</v>
      </c>
      <c r="C124" s="11">
        <v>6</v>
      </c>
      <c r="D124" s="12">
        <v>45018.131249999999</v>
      </c>
      <c r="E124" s="12">
        <v>45018.173611111109</v>
      </c>
      <c r="F124" s="11" t="s">
        <v>72</v>
      </c>
      <c r="G124" s="11" t="s">
        <v>86</v>
      </c>
      <c r="H124" s="11" t="s">
        <v>109</v>
      </c>
      <c r="I124" s="16">
        <v>46.88</v>
      </c>
      <c r="J124" s="11" t="s">
        <v>94</v>
      </c>
      <c r="K124" s="11">
        <v>123</v>
      </c>
      <c r="L124" s="11" t="s">
        <v>164</v>
      </c>
      <c r="M124" s="11" t="s">
        <v>9</v>
      </c>
      <c r="N124">
        <f>_xlfn.XLOOKUP(spaces_3iWczBNnn5rbfoUlE0Jd_uploads_git_blob_9864c7f811c613c3faab876659c6423__25[[#This Row],[Número de Orden]],Cocinadinamica!B125:B893,Cocinadinamica!C125:C893)</f>
        <v>10</v>
      </c>
      <c r="O124" s="7">
        <f>spaces_3iWczBNnn5rbfoUlE0Jd_uploads_git_blob_9864c7f811c613c3faab876659c6423__25[[#This Row],[Hora de Llegada]]</f>
        <v>45018.131249999999</v>
      </c>
      <c r="P124" s="9">
        <f>spaces_3iWczBNnn5rbfoUlE0Jd_uploads_git_blob_9864c7f811c613c3faab876659c6423__25[[#This Row],[Hora de Llegada]]</f>
        <v>45018.131249999999</v>
      </c>
      <c r="Q124" s="9">
        <f>spaces_3iWczBNnn5rbfoUlE0Jd_uploads_git_blob_9864c7f811c613c3faab876659c6423__25[[#This Row],[Hora de Salida]]</f>
        <v>45018.173611111109</v>
      </c>
      <c r="R124" s="9" cm="1">
        <f t="array" ref="R12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4.2361111110949423E-2</v>
      </c>
      <c r="S124" s="9">
        <f>_xlfn.XLOOKUP(spaces_3iWczBNnn5rbfoUlE0Jd_uploads_git_blob_9864c7f811c613c3faab876659c6423__25[[#This Row],[Número de Orden]],Cocinadinamica!E125:E893,Cocinadinamica!F125:F893)/1440</f>
        <v>2.2916666666666665E-2</v>
      </c>
      <c r="T124" s="9" cm="1">
        <f t="array" ref="T12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1.9444444444282758E-2</v>
      </c>
      <c r="U124" s="9" t="str" cm="1">
        <f t="array" ref="U12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25" spans="1:21" x14ac:dyDescent="0.35">
      <c r="A125" s="28">
        <v>16</v>
      </c>
      <c r="B125" s="13" t="s">
        <v>935</v>
      </c>
      <c r="C125" s="13">
        <v>5</v>
      </c>
      <c r="D125" s="14">
        <v>45018.152083333334</v>
      </c>
      <c r="E125" s="14">
        <v>45018.223611111112</v>
      </c>
      <c r="F125" s="13" t="s">
        <v>170</v>
      </c>
      <c r="G125" s="13" t="s">
        <v>86</v>
      </c>
      <c r="H125" s="13" t="s">
        <v>109</v>
      </c>
      <c r="I125" s="17">
        <v>10.85</v>
      </c>
      <c r="J125" s="13" t="s">
        <v>75</v>
      </c>
      <c r="K125" s="13">
        <v>124</v>
      </c>
      <c r="L125" s="13" t="s">
        <v>181</v>
      </c>
      <c r="M125" s="13" t="s">
        <v>1361</v>
      </c>
      <c r="N125">
        <f>_xlfn.XLOOKUP(spaces_3iWczBNnn5rbfoUlE0Jd_uploads_git_blob_9864c7f811c613c3faab876659c6423__25[[#This Row],[Número de Orden]],Cocinadinamica!B126:B894,Cocinadinamica!C126:C894)</f>
        <v>89</v>
      </c>
      <c r="O125" s="7">
        <f>spaces_3iWczBNnn5rbfoUlE0Jd_uploads_git_blob_9864c7f811c613c3faab876659c6423__25[[#This Row],[Hora de Llegada]]</f>
        <v>45018.152083333334</v>
      </c>
      <c r="P125" s="9">
        <f>spaces_3iWczBNnn5rbfoUlE0Jd_uploads_git_blob_9864c7f811c613c3faab876659c6423__25[[#This Row],[Hora de Llegada]]</f>
        <v>45018.152083333334</v>
      </c>
      <c r="Q125" s="9">
        <f>spaces_3iWczBNnn5rbfoUlE0Jd_uploads_git_blob_9864c7f811c613c3faab876659c6423__25[[#This Row],[Hora de Salida]]</f>
        <v>45018.223611111112</v>
      </c>
      <c r="R125" s="9" cm="1">
        <f t="array" ref="R12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7.1527777778101154E-2</v>
      </c>
      <c r="S125" s="9">
        <f>_xlfn.XLOOKUP(spaces_3iWczBNnn5rbfoUlE0Jd_uploads_git_blob_9864c7f811c613c3faab876659c6423__25[[#This Row],[Número de Orden]],Cocinadinamica!E126:E894,Cocinadinamica!F126:F894)/1440</f>
        <v>9.583333333333334E-2</v>
      </c>
      <c r="T125" s="9" cm="1">
        <f t="array" ref="T12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25" s="9" t="str" cm="1">
        <f t="array" ref="U12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26" spans="1:21" x14ac:dyDescent="0.35">
      <c r="A126" s="27">
        <v>14</v>
      </c>
      <c r="B126" s="11" t="s">
        <v>936</v>
      </c>
      <c r="C126" s="11">
        <v>2</v>
      </c>
      <c r="D126" s="12">
        <v>45018.12222222222</v>
      </c>
      <c r="E126" s="12">
        <v>45018.259027777778</v>
      </c>
      <c r="F126" s="11" t="s">
        <v>170</v>
      </c>
      <c r="G126" s="11" t="s">
        <v>86</v>
      </c>
      <c r="H126" s="11" t="s">
        <v>74</v>
      </c>
      <c r="I126" s="16">
        <v>24.66</v>
      </c>
      <c r="J126" s="11" t="s">
        <v>75</v>
      </c>
      <c r="K126" s="11">
        <v>125</v>
      </c>
      <c r="L126" s="11" t="s">
        <v>95</v>
      </c>
      <c r="M126" s="11" t="s">
        <v>1362</v>
      </c>
      <c r="N126">
        <f>_xlfn.XLOOKUP(spaces_3iWczBNnn5rbfoUlE0Jd_uploads_git_blob_9864c7f811c613c3faab876659c6423__25[[#This Row],[Número de Orden]],Cocinadinamica!B127:B895,Cocinadinamica!C127:C895)</f>
        <v>76</v>
      </c>
      <c r="O126" s="7">
        <f>spaces_3iWczBNnn5rbfoUlE0Jd_uploads_git_blob_9864c7f811c613c3faab876659c6423__25[[#This Row],[Hora de Llegada]]</f>
        <v>45018.12222222222</v>
      </c>
      <c r="P126" s="9">
        <f>spaces_3iWczBNnn5rbfoUlE0Jd_uploads_git_blob_9864c7f811c613c3faab876659c6423__25[[#This Row],[Hora de Llegada]]</f>
        <v>45018.12222222222</v>
      </c>
      <c r="Q126" s="9">
        <f>spaces_3iWczBNnn5rbfoUlE0Jd_uploads_git_blob_9864c7f811c613c3faab876659c6423__25[[#This Row],[Hora de Salida]]</f>
        <v>45018.259027777778</v>
      </c>
      <c r="R126" s="9" cm="1">
        <f t="array" ref="R12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0.1368055555576575</v>
      </c>
      <c r="S126" s="9">
        <f>_xlfn.XLOOKUP(spaces_3iWczBNnn5rbfoUlE0Jd_uploads_git_blob_9864c7f811c613c3faab876659c6423__25[[#This Row],[Número de Orden]],Cocinadinamica!E127:E895,Cocinadinamica!F127:F895)/1440</f>
        <v>5.8333333333333334E-2</v>
      </c>
      <c r="T126" s="9" cm="1">
        <f t="array" ref="T12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7.8472222224324165E-2</v>
      </c>
      <c r="U126" s="9" t="str" cm="1">
        <f t="array" ref="U12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27" spans="1:21" x14ac:dyDescent="0.35">
      <c r="A127" s="28">
        <v>18</v>
      </c>
      <c r="B127" s="13" t="s">
        <v>937</v>
      </c>
      <c r="C127" s="13">
        <v>3</v>
      </c>
      <c r="D127" s="14">
        <v>45018.114583333336</v>
      </c>
      <c r="E127" s="14">
        <v>45018.216666666667</v>
      </c>
      <c r="F127" s="13" t="s">
        <v>223</v>
      </c>
      <c r="G127" s="13" t="s">
        <v>86</v>
      </c>
      <c r="H127" s="13" t="s">
        <v>74</v>
      </c>
      <c r="I127" s="17">
        <v>41.82</v>
      </c>
      <c r="J127" s="13" t="s">
        <v>75</v>
      </c>
      <c r="K127" s="13">
        <v>126</v>
      </c>
      <c r="L127" s="13" t="s">
        <v>76</v>
      </c>
      <c r="M127" s="13" t="s">
        <v>1363</v>
      </c>
      <c r="N127">
        <f>_xlfn.XLOOKUP(spaces_3iWczBNnn5rbfoUlE0Jd_uploads_git_blob_9864c7f811c613c3faab876659c6423__25[[#This Row],[Número de Orden]],Cocinadinamica!B128:B896,Cocinadinamica!C128:C896)</f>
        <v>68</v>
      </c>
      <c r="O127" s="7">
        <f>spaces_3iWczBNnn5rbfoUlE0Jd_uploads_git_blob_9864c7f811c613c3faab876659c6423__25[[#This Row],[Hora de Llegada]]</f>
        <v>45018.114583333336</v>
      </c>
      <c r="P127" s="9">
        <f>spaces_3iWczBNnn5rbfoUlE0Jd_uploads_git_blob_9864c7f811c613c3faab876659c6423__25[[#This Row],[Hora de Llegada]]</f>
        <v>45018.114583333336</v>
      </c>
      <c r="Q127" s="9">
        <f>spaces_3iWczBNnn5rbfoUlE0Jd_uploads_git_blob_9864c7f811c613c3faab876659c6423__25[[#This Row],[Hora de Salida]]</f>
        <v>45018.216666666667</v>
      </c>
      <c r="R127" s="9" cm="1">
        <f t="array" ref="R12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127" s="9">
        <f>_xlfn.XLOOKUP(spaces_3iWczBNnn5rbfoUlE0Jd_uploads_git_blob_9864c7f811c613c3faab876659c6423__25[[#This Row],[Número de Orden]],Cocinadinamica!E128:E896,Cocinadinamica!F128:F896)/1440</f>
        <v>9.6527777777777782E-2</v>
      </c>
      <c r="T127" s="9" cm="1">
        <f t="array" ref="T12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5.5555555536152962E-3</v>
      </c>
      <c r="U127" s="9" t="str" cm="1">
        <f t="array" ref="U12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28" spans="1:21" x14ac:dyDescent="0.35">
      <c r="A128" s="27" t="s">
        <v>185</v>
      </c>
      <c r="B128" s="11" t="s">
        <v>229</v>
      </c>
      <c r="C128" s="11">
        <v>4</v>
      </c>
      <c r="D128" s="12">
        <v>45018.029166666667</v>
      </c>
      <c r="E128" s="12">
        <v>45018.102777777778</v>
      </c>
      <c r="F128" s="11" t="s">
        <v>72</v>
      </c>
      <c r="G128" s="11" t="s">
        <v>86</v>
      </c>
      <c r="H128" s="11" t="s">
        <v>74</v>
      </c>
      <c r="I128" s="16">
        <v>32.82</v>
      </c>
      <c r="J128" s="11" t="s">
        <v>75</v>
      </c>
      <c r="K128" s="11">
        <v>127</v>
      </c>
      <c r="L128" s="11" t="s">
        <v>164</v>
      </c>
      <c r="M128" s="11" t="s">
        <v>21</v>
      </c>
      <c r="N128">
        <f>_xlfn.XLOOKUP(spaces_3iWczBNnn5rbfoUlE0Jd_uploads_git_blob_9864c7f811c613c3faab876659c6423__25[[#This Row],[Número de Orden]],Cocinadinamica!B129:B897,Cocinadinamica!C129:C897)</f>
        <v>28</v>
      </c>
      <c r="O128" s="7">
        <f>spaces_3iWczBNnn5rbfoUlE0Jd_uploads_git_blob_9864c7f811c613c3faab876659c6423__25[[#This Row],[Hora de Llegada]]</f>
        <v>45018.029166666667</v>
      </c>
      <c r="P128" s="9">
        <f>spaces_3iWczBNnn5rbfoUlE0Jd_uploads_git_blob_9864c7f811c613c3faab876659c6423__25[[#This Row],[Hora de Llegada]]</f>
        <v>45018.029166666667</v>
      </c>
      <c r="Q128" s="9">
        <f>spaces_3iWczBNnn5rbfoUlE0Jd_uploads_git_blob_9864c7f811c613c3faab876659c6423__25[[#This Row],[Hora de Salida]]</f>
        <v>45018.102777777778</v>
      </c>
      <c r="R128" s="9" cm="1">
        <f t="array" ref="R12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7.3611111110949423E-2</v>
      </c>
      <c r="S128" s="9">
        <f>_xlfn.XLOOKUP(spaces_3iWczBNnn5rbfoUlE0Jd_uploads_git_blob_9864c7f811c613c3faab876659c6423__25[[#This Row],[Número de Orden]],Cocinadinamica!E129:E897,Cocinadinamica!F129:F897)/1440</f>
        <v>2.0833333333333332E-2</v>
      </c>
      <c r="T128" s="9" cm="1">
        <f t="array" ref="T12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5.2777777777616094E-2</v>
      </c>
      <c r="U128" s="9" t="str" cm="1">
        <f t="array" ref="U12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29" spans="1:21" x14ac:dyDescent="0.35">
      <c r="A129" s="28">
        <v>2</v>
      </c>
      <c r="B129" s="13" t="s">
        <v>938</v>
      </c>
      <c r="C129" s="13">
        <v>5</v>
      </c>
      <c r="D129" s="14">
        <v>45018.063194444447</v>
      </c>
      <c r="E129" s="14">
        <v>45018.144444444442</v>
      </c>
      <c r="F129" s="13" t="s">
        <v>100</v>
      </c>
      <c r="G129" s="13" t="s">
        <v>86</v>
      </c>
      <c r="H129" s="13" t="s">
        <v>87</v>
      </c>
      <c r="I129" s="17">
        <v>49.36</v>
      </c>
      <c r="J129" s="13" t="s">
        <v>88</v>
      </c>
      <c r="K129" s="13">
        <v>128</v>
      </c>
      <c r="L129" s="13" t="s">
        <v>174</v>
      </c>
      <c r="M129" s="13" t="s">
        <v>1364</v>
      </c>
      <c r="N129">
        <f>_xlfn.XLOOKUP(spaces_3iWczBNnn5rbfoUlE0Jd_uploads_git_blob_9864c7f811c613c3faab876659c6423__25[[#This Row],[Número de Orden]],Cocinadinamica!B130:B898,Cocinadinamica!C130:C898)</f>
        <v>98</v>
      </c>
      <c r="O129" s="7">
        <f>spaces_3iWczBNnn5rbfoUlE0Jd_uploads_git_blob_9864c7f811c613c3faab876659c6423__25[[#This Row],[Hora de Llegada]]</f>
        <v>45018.063194444447</v>
      </c>
      <c r="P129" s="9">
        <f>spaces_3iWczBNnn5rbfoUlE0Jd_uploads_git_blob_9864c7f811c613c3faab876659c6423__25[[#This Row],[Hora de Llegada]]</f>
        <v>45018.063194444447</v>
      </c>
      <c r="Q129" s="9">
        <f>spaces_3iWczBNnn5rbfoUlE0Jd_uploads_git_blob_9864c7f811c613c3faab876659c6423__25[[#This Row],[Hora de Salida]]</f>
        <v>45018.144444444442</v>
      </c>
      <c r="R129" s="9" cm="1">
        <f t="array" ref="R12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9.1666666659875773E-2</v>
      </c>
      <c r="S129" s="9">
        <f>_xlfn.XLOOKUP(spaces_3iWczBNnn5rbfoUlE0Jd_uploads_git_blob_9864c7f811c613c3faab876659c6423__25[[#This Row],[Número de Orden]],Cocinadinamica!E130:E898,Cocinadinamica!F130:F898)/1440</f>
        <v>0.11944444444444445</v>
      </c>
      <c r="T129" s="9" cm="1">
        <f t="array" ref="T12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29" s="9" t="str" cm="1">
        <f t="array" ref="U12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30" spans="1:21" x14ac:dyDescent="0.35">
      <c r="A130" s="27">
        <v>16</v>
      </c>
      <c r="B130" s="11" t="s">
        <v>939</v>
      </c>
      <c r="C130" s="11">
        <v>5</v>
      </c>
      <c r="D130" s="12">
        <v>45018.02847222222</v>
      </c>
      <c r="E130" s="12">
        <v>45018.111805555556</v>
      </c>
      <c r="F130" s="11" t="s">
        <v>100</v>
      </c>
      <c r="G130" s="11" t="s">
        <v>86</v>
      </c>
      <c r="H130" s="11" t="s">
        <v>74</v>
      </c>
      <c r="I130" s="16">
        <v>49.3</v>
      </c>
      <c r="J130" s="11" t="s">
        <v>94</v>
      </c>
      <c r="K130" s="11">
        <v>129</v>
      </c>
      <c r="L130" s="11" t="s">
        <v>76</v>
      </c>
      <c r="M130" s="11" t="s">
        <v>1365</v>
      </c>
      <c r="N130">
        <f>_xlfn.XLOOKUP(spaces_3iWczBNnn5rbfoUlE0Jd_uploads_git_blob_9864c7f811c613c3faab876659c6423__25[[#This Row],[Número de Orden]],Cocinadinamica!B131:B899,Cocinadinamica!C131:C899)</f>
        <v>44</v>
      </c>
      <c r="O130" s="7">
        <f>spaces_3iWczBNnn5rbfoUlE0Jd_uploads_git_blob_9864c7f811c613c3faab876659c6423__25[[#This Row],[Hora de Llegada]]</f>
        <v>45018.02847222222</v>
      </c>
      <c r="P130" s="9">
        <f>spaces_3iWczBNnn5rbfoUlE0Jd_uploads_git_blob_9864c7f811c613c3faab876659c6423__25[[#This Row],[Hora de Llegada]]</f>
        <v>45018.02847222222</v>
      </c>
      <c r="Q130" s="9">
        <f>spaces_3iWczBNnn5rbfoUlE0Jd_uploads_git_blob_9864c7f811c613c3faab876659c6423__25[[#This Row],[Hora de Salida]]</f>
        <v>45018.111805555556</v>
      </c>
      <c r="R130" s="9" cm="1">
        <f t="array" ref="R13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8.3333333335758653E-2</v>
      </c>
      <c r="S130" s="9">
        <f>_xlfn.XLOOKUP(spaces_3iWczBNnn5rbfoUlE0Jd_uploads_git_blob_9864c7f811c613c3faab876659c6423__25[[#This Row],[Número de Orden]],Cocinadinamica!E131:E899,Cocinadinamica!F131:F899)/1440</f>
        <v>5.5555555555555552E-2</v>
      </c>
      <c r="T130" s="9" cm="1">
        <f t="array" ref="T13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2.77777777802031E-2</v>
      </c>
      <c r="U130" s="9" t="str" cm="1">
        <f t="array" ref="U13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31" spans="1:21" x14ac:dyDescent="0.35">
      <c r="A131" s="28" t="s">
        <v>232</v>
      </c>
      <c r="B131" s="13" t="s">
        <v>233</v>
      </c>
      <c r="C131" s="13">
        <v>4</v>
      </c>
      <c r="D131" s="14">
        <v>45018.018055555556</v>
      </c>
      <c r="E131" s="14">
        <v>45018.063888888886</v>
      </c>
      <c r="F131" s="13" t="s">
        <v>100</v>
      </c>
      <c r="G131" s="13" t="s">
        <v>86</v>
      </c>
      <c r="H131" s="13" t="s">
        <v>74</v>
      </c>
      <c r="I131" s="17">
        <v>38.130000000000003</v>
      </c>
      <c r="J131" s="13" t="s">
        <v>75</v>
      </c>
      <c r="K131" s="13">
        <v>130</v>
      </c>
      <c r="L131" s="13" t="s">
        <v>110</v>
      </c>
      <c r="M131" s="13" t="s">
        <v>31</v>
      </c>
      <c r="N131">
        <f>_xlfn.XLOOKUP(spaces_3iWczBNnn5rbfoUlE0Jd_uploads_git_blob_9864c7f811c613c3faab876659c6423__25[[#This Row],[Número de Orden]],Cocinadinamica!B132:B900,Cocinadinamica!C132:C900)</f>
        <v>14</v>
      </c>
      <c r="O131" s="7">
        <f>spaces_3iWczBNnn5rbfoUlE0Jd_uploads_git_blob_9864c7f811c613c3faab876659c6423__25[[#This Row],[Hora de Llegada]]</f>
        <v>45018.018055555556</v>
      </c>
      <c r="P131" s="9">
        <f>spaces_3iWczBNnn5rbfoUlE0Jd_uploads_git_blob_9864c7f811c613c3faab876659c6423__25[[#This Row],[Hora de Llegada]]</f>
        <v>45018.018055555556</v>
      </c>
      <c r="Q131" s="9">
        <f>spaces_3iWczBNnn5rbfoUlE0Jd_uploads_git_blob_9864c7f811c613c3faab876659c6423__25[[#This Row],[Hora de Salida]]</f>
        <v>45018.063888888886</v>
      </c>
      <c r="R131" s="9" cm="1">
        <f t="array" ref="R13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4.5833333329937886E-2</v>
      </c>
      <c r="S131" s="9">
        <f>_xlfn.XLOOKUP(spaces_3iWczBNnn5rbfoUlE0Jd_uploads_git_blob_9864c7f811c613c3faab876659c6423__25[[#This Row],[Número de Orden]],Cocinadinamica!E132:E900,Cocinadinamica!F132:F900)/1440</f>
        <v>1.7361111111111112E-2</v>
      </c>
      <c r="T131" s="9" cm="1">
        <f t="array" ref="T13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2.8472222218826775E-2</v>
      </c>
      <c r="U131" s="9" t="str" cm="1">
        <f t="array" ref="U13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32" spans="1:21" x14ac:dyDescent="0.35">
      <c r="A132" s="27">
        <v>7</v>
      </c>
      <c r="B132" s="11" t="s">
        <v>660</v>
      </c>
      <c r="C132" s="11">
        <v>5</v>
      </c>
      <c r="D132" s="12">
        <v>45018.029861111114</v>
      </c>
      <c r="E132" s="12">
        <v>45018.179166666669</v>
      </c>
      <c r="F132" s="11" t="s">
        <v>72</v>
      </c>
      <c r="G132" s="11" t="s">
        <v>86</v>
      </c>
      <c r="H132" s="11" t="s">
        <v>74</v>
      </c>
      <c r="I132" s="16">
        <v>42.41</v>
      </c>
      <c r="J132" s="11" t="s">
        <v>88</v>
      </c>
      <c r="K132" s="11">
        <v>131</v>
      </c>
      <c r="L132" s="11" t="s">
        <v>187</v>
      </c>
      <c r="M132" s="11" t="s">
        <v>1366</v>
      </c>
      <c r="N132">
        <f>_xlfn.XLOOKUP(spaces_3iWczBNnn5rbfoUlE0Jd_uploads_git_blob_9864c7f811c613c3faab876659c6423__25[[#This Row],[Número de Orden]],Cocinadinamica!B133:B901,Cocinadinamica!C133:C901)</f>
        <v>63</v>
      </c>
      <c r="O132" s="7">
        <f>spaces_3iWczBNnn5rbfoUlE0Jd_uploads_git_blob_9864c7f811c613c3faab876659c6423__25[[#This Row],[Hora de Llegada]]</f>
        <v>45018.029861111114</v>
      </c>
      <c r="P132" s="9">
        <f>spaces_3iWczBNnn5rbfoUlE0Jd_uploads_git_blob_9864c7f811c613c3faab876659c6423__25[[#This Row],[Hora de Llegada]]</f>
        <v>45018.029861111114</v>
      </c>
      <c r="Q132" s="9">
        <f>spaces_3iWczBNnn5rbfoUlE0Jd_uploads_git_blob_9864c7f811c613c3faab876659c6423__25[[#This Row],[Hora de Salida]]</f>
        <v>45018.179166666669</v>
      </c>
      <c r="R132" s="9" cm="1">
        <f t="array" ref="R13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0.15972222221898846</v>
      </c>
      <c r="S132" s="9">
        <f>_xlfn.XLOOKUP(spaces_3iWczBNnn5rbfoUlE0Jd_uploads_git_blob_9864c7f811c613c3faab876659c6423__25[[#This Row],[Número de Orden]],Cocinadinamica!E133:E901,Cocinadinamica!F133:F901)/1440</f>
        <v>8.3333333333333329E-2</v>
      </c>
      <c r="T132" s="9" cm="1">
        <f t="array" ref="T13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7.6388888885655135E-2</v>
      </c>
      <c r="U132" s="9" t="str" cm="1">
        <f t="array" ref="U13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33" spans="1:21" x14ac:dyDescent="0.35">
      <c r="A133" s="28">
        <v>9</v>
      </c>
      <c r="B133" s="13" t="s">
        <v>940</v>
      </c>
      <c r="C133" s="13">
        <v>2</v>
      </c>
      <c r="D133" s="14">
        <v>45018.05972222222</v>
      </c>
      <c r="E133" s="14">
        <v>45018.113194444442</v>
      </c>
      <c r="F133" s="13" t="s">
        <v>170</v>
      </c>
      <c r="G133" s="13" t="s">
        <v>73</v>
      </c>
      <c r="H133" s="13" t="s">
        <v>109</v>
      </c>
      <c r="I133" s="17">
        <v>30.96</v>
      </c>
      <c r="J133" s="13" t="s">
        <v>94</v>
      </c>
      <c r="K133" s="13">
        <v>132</v>
      </c>
      <c r="L133" s="13" t="s">
        <v>95</v>
      </c>
      <c r="M133" s="13" t="s">
        <v>1367</v>
      </c>
      <c r="N133">
        <f>_xlfn.XLOOKUP(spaces_3iWczBNnn5rbfoUlE0Jd_uploads_git_blob_9864c7f811c613c3faab876659c6423__25[[#This Row],[Número de Orden]],Cocinadinamica!B134:B902,Cocinadinamica!C134:C902)</f>
        <v>81</v>
      </c>
      <c r="O133" s="7">
        <f>spaces_3iWczBNnn5rbfoUlE0Jd_uploads_git_blob_9864c7f811c613c3faab876659c6423__25[[#This Row],[Hora de Llegada]]</f>
        <v>45018.05972222222</v>
      </c>
      <c r="P133" s="9">
        <f>spaces_3iWczBNnn5rbfoUlE0Jd_uploads_git_blob_9864c7f811c613c3faab876659c6423__25[[#This Row],[Hora de Llegada]]</f>
        <v>45018.05972222222</v>
      </c>
      <c r="Q133" s="9">
        <f>spaces_3iWczBNnn5rbfoUlE0Jd_uploads_git_blob_9864c7f811c613c3faab876659c6423__25[[#This Row],[Hora de Salida]]</f>
        <v>45018.113194444442</v>
      </c>
      <c r="R133" s="9" cm="1">
        <f t="array" ref="R13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5.3472222221898846E-2</v>
      </c>
      <c r="S133" s="9">
        <f>_xlfn.XLOOKUP(spaces_3iWczBNnn5rbfoUlE0Jd_uploads_git_blob_9864c7f811c613c3faab876659c6423__25[[#This Row],[Número de Orden]],Cocinadinamica!E134:E902,Cocinadinamica!F134:F902)/1440</f>
        <v>7.0833333333333331E-2</v>
      </c>
      <c r="T133" s="9" cm="1">
        <f t="array" ref="T13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33" s="9" t="str" cm="1">
        <f t="array" ref="U13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34" spans="1:21" x14ac:dyDescent="0.35">
      <c r="A134" s="27">
        <v>20</v>
      </c>
      <c r="B134" s="11" t="s">
        <v>398</v>
      </c>
      <c r="C134" s="11">
        <v>6</v>
      </c>
      <c r="D134" s="12">
        <v>45018.037499999999</v>
      </c>
      <c r="E134" s="12">
        <v>45018.161111111112</v>
      </c>
      <c r="F134" s="11" t="s">
        <v>100</v>
      </c>
      <c r="G134" s="11" t="s">
        <v>86</v>
      </c>
      <c r="H134" s="11" t="s">
        <v>74</v>
      </c>
      <c r="I134" s="16">
        <v>39.74</v>
      </c>
      <c r="J134" s="11" t="s">
        <v>88</v>
      </c>
      <c r="K134" s="11">
        <v>133</v>
      </c>
      <c r="L134" s="11" t="s">
        <v>101</v>
      </c>
      <c r="M134" s="11" t="s">
        <v>1368</v>
      </c>
      <c r="N134">
        <f>_xlfn.XLOOKUP(spaces_3iWczBNnn5rbfoUlE0Jd_uploads_git_blob_9864c7f811c613c3faab876659c6423__25[[#This Row],[Número de Orden]],Cocinadinamica!B135:B903,Cocinadinamica!C135:C903)</f>
        <v>75</v>
      </c>
      <c r="O134" s="7">
        <f>spaces_3iWczBNnn5rbfoUlE0Jd_uploads_git_blob_9864c7f811c613c3faab876659c6423__25[[#This Row],[Hora de Llegada]]</f>
        <v>45018.037499999999</v>
      </c>
      <c r="P134" s="9">
        <f>spaces_3iWczBNnn5rbfoUlE0Jd_uploads_git_blob_9864c7f811c613c3faab876659c6423__25[[#This Row],[Hora de Llegada]]</f>
        <v>45018.037499999999</v>
      </c>
      <c r="Q134" s="9">
        <f>spaces_3iWczBNnn5rbfoUlE0Jd_uploads_git_blob_9864c7f811c613c3faab876659c6423__25[[#This Row],[Hora de Salida]]</f>
        <v>45018.161111111112</v>
      </c>
      <c r="R134" s="9" cm="1">
        <f t="array" ref="R13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0.13402777777810115</v>
      </c>
      <c r="S134" s="9">
        <f>_xlfn.XLOOKUP(spaces_3iWczBNnn5rbfoUlE0Jd_uploads_git_blob_9864c7f811c613c3faab876659c6423__25[[#This Row],[Número de Orden]],Cocinadinamica!E135:E903,Cocinadinamica!F135:F903)/1440</f>
        <v>7.4305555555555555E-2</v>
      </c>
      <c r="T134" s="9" cm="1">
        <f t="array" ref="T13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5.9722222222545598E-2</v>
      </c>
      <c r="U134" s="9" t="str" cm="1">
        <f t="array" ref="U13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35" spans="1:21" x14ac:dyDescent="0.35">
      <c r="A135" s="28">
        <v>3</v>
      </c>
      <c r="B135" s="13" t="s">
        <v>941</v>
      </c>
      <c r="C135" s="13">
        <v>6</v>
      </c>
      <c r="D135" s="14">
        <v>45018.004861111112</v>
      </c>
      <c r="E135" s="14">
        <v>45018.161111111112</v>
      </c>
      <c r="F135" s="13" t="s">
        <v>223</v>
      </c>
      <c r="G135" s="13" t="s">
        <v>73</v>
      </c>
      <c r="H135" s="13" t="s">
        <v>74</v>
      </c>
      <c r="I135" s="17">
        <v>30.1</v>
      </c>
      <c r="J135" s="13" t="s">
        <v>75</v>
      </c>
      <c r="K135" s="13">
        <v>134</v>
      </c>
      <c r="L135" s="13" t="s">
        <v>174</v>
      </c>
      <c r="M135" s="13" t="s">
        <v>1369</v>
      </c>
      <c r="N135">
        <f>_xlfn.XLOOKUP(spaces_3iWczBNnn5rbfoUlE0Jd_uploads_git_blob_9864c7f811c613c3faab876659c6423__25[[#This Row],[Número de Orden]],Cocinadinamica!B136:B904,Cocinadinamica!C136:C904)</f>
        <v>49</v>
      </c>
      <c r="O135" s="7">
        <f>spaces_3iWczBNnn5rbfoUlE0Jd_uploads_git_blob_9864c7f811c613c3faab876659c6423__25[[#This Row],[Hora de Llegada]]</f>
        <v>45018.004861111112</v>
      </c>
      <c r="P135" s="9">
        <f>spaces_3iWczBNnn5rbfoUlE0Jd_uploads_git_blob_9864c7f811c613c3faab876659c6423__25[[#This Row],[Hora de Llegada]]</f>
        <v>45018.004861111112</v>
      </c>
      <c r="Q135" s="9">
        <f>spaces_3iWczBNnn5rbfoUlE0Jd_uploads_git_blob_9864c7f811c613c3faab876659c6423__25[[#This Row],[Hora de Salida]]</f>
        <v>45018.161111111112</v>
      </c>
      <c r="R135" s="9" cm="1">
        <f t="array" ref="R13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135" s="9">
        <f>_xlfn.XLOOKUP(spaces_3iWczBNnn5rbfoUlE0Jd_uploads_git_blob_9864c7f811c613c3faab876659c6423__25[[#This Row],[Número de Orden]],Cocinadinamica!E136:E904,Cocinadinamica!F136:F904)/1440</f>
        <v>3.3333333333333333E-2</v>
      </c>
      <c r="T135" s="9" cm="1">
        <f t="array" ref="T13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0.12291666666666667</v>
      </c>
      <c r="U135" s="9" t="str" cm="1">
        <f t="array" ref="U13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36" spans="1:21" x14ac:dyDescent="0.35">
      <c r="A136" s="27">
        <v>11</v>
      </c>
      <c r="B136" s="11" t="s">
        <v>703</v>
      </c>
      <c r="C136" s="11">
        <v>1</v>
      </c>
      <c r="D136" s="12">
        <v>45018.041666666664</v>
      </c>
      <c r="E136" s="12">
        <v>45018.125694444447</v>
      </c>
      <c r="F136" s="11" t="s">
        <v>85</v>
      </c>
      <c r="G136" s="11" t="s">
        <v>73</v>
      </c>
      <c r="H136" s="11" t="s">
        <v>74</v>
      </c>
      <c r="I136" s="16">
        <v>34.700000000000003</v>
      </c>
      <c r="J136" s="11" t="s">
        <v>88</v>
      </c>
      <c r="K136" s="11">
        <v>135</v>
      </c>
      <c r="L136" s="11" t="s">
        <v>89</v>
      </c>
      <c r="M136" s="11" t="s">
        <v>1370</v>
      </c>
      <c r="N136">
        <f>_xlfn.XLOOKUP(spaces_3iWczBNnn5rbfoUlE0Jd_uploads_git_blob_9864c7f811c613c3faab876659c6423__25[[#This Row],[Número de Orden]],Cocinadinamica!B137:B905,Cocinadinamica!C137:C905)</f>
        <v>102</v>
      </c>
      <c r="O136" s="7">
        <f>spaces_3iWczBNnn5rbfoUlE0Jd_uploads_git_blob_9864c7f811c613c3faab876659c6423__25[[#This Row],[Hora de Llegada]]</f>
        <v>45018.041666666664</v>
      </c>
      <c r="P136" s="9">
        <f>spaces_3iWczBNnn5rbfoUlE0Jd_uploads_git_blob_9864c7f811c613c3faab876659c6423__25[[#This Row],[Hora de Llegada]]</f>
        <v>45018.041666666664</v>
      </c>
      <c r="Q136" s="9">
        <f>spaces_3iWczBNnn5rbfoUlE0Jd_uploads_git_blob_9864c7f811c613c3faab876659c6423__25[[#This Row],[Hora de Salida]]</f>
        <v>45018.125694444447</v>
      </c>
      <c r="R136" s="9" cm="1">
        <f t="array" ref="R13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9.4444444446708076E-2</v>
      </c>
      <c r="S136" s="9">
        <f>_xlfn.XLOOKUP(spaces_3iWczBNnn5rbfoUlE0Jd_uploads_git_blob_9864c7f811c613c3faab876659c6423__25[[#This Row],[Número de Orden]],Cocinadinamica!E137:E905,Cocinadinamica!F137:F905)/1440</f>
        <v>6.1111111111111109E-2</v>
      </c>
      <c r="T136" s="9" cm="1">
        <f t="array" ref="T13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3.3333333335596967E-2</v>
      </c>
      <c r="U136" s="9" t="str" cm="1">
        <f t="array" ref="U13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37" spans="1:21" x14ac:dyDescent="0.35">
      <c r="A137" s="28" t="s">
        <v>185</v>
      </c>
      <c r="B137" s="13" t="s">
        <v>239</v>
      </c>
      <c r="C137" s="13">
        <v>1</v>
      </c>
      <c r="D137" s="14">
        <v>45018.076388888891</v>
      </c>
      <c r="E137" s="14">
        <v>45018.209027777775</v>
      </c>
      <c r="F137" s="13" t="s">
        <v>223</v>
      </c>
      <c r="G137" s="13" t="s">
        <v>86</v>
      </c>
      <c r="H137" s="13" t="s">
        <v>74</v>
      </c>
      <c r="I137" s="17">
        <v>30.25</v>
      </c>
      <c r="J137" s="13" t="s">
        <v>88</v>
      </c>
      <c r="K137" s="13">
        <v>136</v>
      </c>
      <c r="L137" s="13" t="s">
        <v>95</v>
      </c>
      <c r="M137" s="13" t="s">
        <v>19</v>
      </c>
      <c r="N137">
        <f>_xlfn.XLOOKUP(spaces_3iWczBNnn5rbfoUlE0Jd_uploads_git_blob_9864c7f811c613c3faab876659c6423__25[[#This Row],[Número de Orden]],Cocinadinamica!B138:B906,Cocinadinamica!C138:C906)</f>
        <v>30</v>
      </c>
      <c r="O137" s="7">
        <f>spaces_3iWczBNnn5rbfoUlE0Jd_uploads_git_blob_9864c7f811c613c3faab876659c6423__25[[#This Row],[Hora de Llegada]]</f>
        <v>45018.076388888891</v>
      </c>
      <c r="P137" s="9">
        <f>spaces_3iWczBNnn5rbfoUlE0Jd_uploads_git_blob_9864c7f811c613c3faab876659c6423__25[[#This Row],[Hora de Llegada]]</f>
        <v>45018.076388888891</v>
      </c>
      <c r="Q137" s="9">
        <f>spaces_3iWczBNnn5rbfoUlE0Jd_uploads_git_blob_9864c7f811c613c3faab876659c6423__25[[#This Row],[Hora de Salida]]</f>
        <v>45018.209027777775</v>
      </c>
      <c r="R137" s="9" cm="1">
        <f t="array" ref="R13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0.14305555554892635</v>
      </c>
      <c r="S137" s="9">
        <f>_xlfn.XLOOKUP(spaces_3iWczBNnn5rbfoUlE0Jd_uploads_git_blob_9864c7f811c613c3faab876659c6423__25[[#This Row],[Número de Orden]],Cocinadinamica!E138:E906,Cocinadinamica!F138:F906)/1440</f>
        <v>9.0277777777777769E-3</v>
      </c>
      <c r="T137" s="9" cm="1">
        <f t="array" ref="T13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0.13402777777114858</v>
      </c>
      <c r="U137" s="9" t="str" cm="1">
        <f t="array" ref="U13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38" spans="1:21" x14ac:dyDescent="0.35">
      <c r="A138" s="27" t="s">
        <v>240</v>
      </c>
      <c r="B138" s="11" t="s">
        <v>241</v>
      </c>
      <c r="C138" s="11">
        <v>3</v>
      </c>
      <c r="D138" s="12">
        <v>45018.056250000001</v>
      </c>
      <c r="E138" s="12">
        <v>45018.174305555556</v>
      </c>
      <c r="F138" s="11" t="s">
        <v>72</v>
      </c>
      <c r="G138" s="11" t="s">
        <v>163</v>
      </c>
      <c r="H138" s="11" t="s">
        <v>74</v>
      </c>
      <c r="I138" s="16">
        <v>1.24</v>
      </c>
      <c r="J138" s="11" t="s">
        <v>88</v>
      </c>
      <c r="K138" s="11">
        <v>137</v>
      </c>
      <c r="L138" s="11" t="s">
        <v>110</v>
      </c>
      <c r="M138" s="11" t="s">
        <v>43</v>
      </c>
      <c r="N138">
        <f>_xlfn.XLOOKUP(spaces_3iWczBNnn5rbfoUlE0Jd_uploads_git_blob_9864c7f811c613c3faab876659c6423__25[[#This Row],[Número de Orden]],Cocinadinamica!B139:B907,Cocinadinamica!C139:C907)</f>
        <v>24</v>
      </c>
      <c r="O138" s="7">
        <f>spaces_3iWczBNnn5rbfoUlE0Jd_uploads_git_blob_9864c7f811c613c3faab876659c6423__25[[#This Row],[Hora de Llegada]]</f>
        <v>45018.056250000001</v>
      </c>
      <c r="P138" s="9">
        <f>spaces_3iWczBNnn5rbfoUlE0Jd_uploads_git_blob_9864c7f811c613c3faab876659c6423__25[[#This Row],[Hora de Llegada]]</f>
        <v>45018.056250000001</v>
      </c>
      <c r="Q138" s="9">
        <f>spaces_3iWczBNnn5rbfoUlE0Jd_uploads_git_blob_9864c7f811c613c3faab876659c6423__25[[#This Row],[Hora de Salida]]</f>
        <v>45018.174305555556</v>
      </c>
      <c r="R138" s="9" cm="1">
        <f t="array" ref="R13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0.12847222221898846</v>
      </c>
      <c r="S138" s="9">
        <f>_xlfn.XLOOKUP(spaces_3iWczBNnn5rbfoUlE0Jd_uploads_git_blob_9864c7f811c613c3faab876659c6423__25[[#This Row],[Número de Orden]],Cocinadinamica!E139:E907,Cocinadinamica!F139:F907)/1440</f>
        <v>2.8472222222222222E-2</v>
      </c>
      <c r="T138" s="9" cm="1">
        <f t="array" ref="T13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9.9999999996766245E-2</v>
      </c>
      <c r="U138" s="9" t="str" cm="1">
        <f t="array" ref="U13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39" spans="1:21" x14ac:dyDescent="0.35">
      <c r="A139" s="28">
        <v>6</v>
      </c>
      <c r="B139" s="13" t="s">
        <v>942</v>
      </c>
      <c r="C139" s="13">
        <v>2</v>
      </c>
      <c r="D139" s="14">
        <v>45018.158333333333</v>
      </c>
      <c r="E139" s="14">
        <v>45018.214583333334</v>
      </c>
      <c r="F139" s="13" t="s">
        <v>100</v>
      </c>
      <c r="G139" s="13" t="s">
        <v>163</v>
      </c>
      <c r="H139" s="13" t="s">
        <v>109</v>
      </c>
      <c r="I139" s="17">
        <v>32.79</v>
      </c>
      <c r="J139" s="13" t="s">
        <v>88</v>
      </c>
      <c r="K139" s="13">
        <v>138</v>
      </c>
      <c r="L139" s="13" t="s">
        <v>275</v>
      </c>
      <c r="M139" s="13" t="s">
        <v>1371</v>
      </c>
      <c r="N139">
        <f>_xlfn.XLOOKUP(spaces_3iWczBNnn5rbfoUlE0Jd_uploads_git_blob_9864c7f811c613c3faab876659c6423__25[[#This Row],[Número de Orden]],Cocinadinamica!B140:B908,Cocinadinamica!C140:C908)</f>
        <v>97</v>
      </c>
      <c r="O139" s="7">
        <f>spaces_3iWczBNnn5rbfoUlE0Jd_uploads_git_blob_9864c7f811c613c3faab876659c6423__25[[#This Row],[Hora de Llegada]]</f>
        <v>45018.158333333333</v>
      </c>
      <c r="P139" s="9">
        <f>spaces_3iWczBNnn5rbfoUlE0Jd_uploads_git_blob_9864c7f811c613c3faab876659c6423__25[[#This Row],[Hora de Llegada]]</f>
        <v>45018.158333333333</v>
      </c>
      <c r="Q139" s="9">
        <f>spaces_3iWczBNnn5rbfoUlE0Jd_uploads_git_blob_9864c7f811c613c3faab876659c6423__25[[#This Row],[Hora de Salida]]</f>
        <v>45018.214583333334</v>
      </c>
      <c r="R139" s="9" cm="1">
        <f t="array" ref="R13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6.6666666665696539E-2</v>
      </c>
      <c r="S139" s="9">
        <f>_xlfn.XLOOKUP(spaces_3iWczBNnn5rbfoUlE0Jd_uploads_git_blob_9864c7f811c613c3faab876659c6423__25[[#This Row],[Número de Orden]],Cocinadinamica!E140:E908,Cocinadinamica!F140:F908)/1440</f>
        <v>6.7361111111111108E-2</v>
      </c>
      <c r="T139" s="9" cm="1">
        <f t="array" ref="T13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39" s="9" t="str" cm="1">
        <f t="array" ref="U13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40" spans="1:21" x14ac:dyDescent="0.35">
      <c r="A140" s="27" t="s">
        <v>224</v>
      </c>
      <c r="B140" s="11" t="s">
        <v>243</v>
      </c>
      <c r="C140" s="11">
        <v>3</v>
      </c>
      <c r="D140" s="12">
        <v>45018.027777777781</v>
      </c>
      <c r="E140" s="12">
        <v>45018.193749999999</v>
      </c>
      <c r="F140" s="11" t="s">
        <v>100</v>
      </c>
      <c r="G140" s="11" t="s">
        <v>86</v>
      </c>
      <c r="H140" s="11" t="s">
        <v>74</v>
      </c>
      <c r="I140" s="16">
        <v>4.72</v>
      </c>
      <c r="J140" s="11" t="s">
        <v>75</v>
      </c>
      <c r="K140" s="11">
        <v>139</v>
      </c>
      <c r="L140" s="11" t="s">
        <v>101</v>
      </c>
      <c r="M140" s="11" t="s">
        <v>31</v>
      </c>
      <c r="N140">
        <f>_xlfn.XLOOKUP(spaces_3iWczBNnn5rbfoUlE0Jd_uploads_git_blob_9864c7f811c613c3faab876659c6423__25[[#This Row],[Número de Orden]],Cocinadinamica!B141:B909,Cocinadinamica!C141:C909)</f>
        <v>14</v>
      </c>
      <c r="O140" s="7">
        <f>spaces_3iWczBNnn5rbfoUlE0Jd_uploads_git_blob_9864c7f811c613c3faab876659c6423__25[[#This Row],[Hora de Llegada]]</f>
        <v>45018.027777777781</v>
      </c>
      <c r="P140" s="9">
        <f>spaces_3iWczBNnn5rbfoUlE0Jd_uploads_git_blob_9864c7f811c613c3faab876659c6423__25[[#This Row],[Hora de Llegada]]</f>
        <v>45018.027777777781</v>
      </c>
      <c r="Q140" s="9">
        <f>spaces_3iWczBNnn5rbfoUlE0Jd_uploads_git_blob_9864c7f811c613c3faab876659c6423__25[[#This Row],[Hora de Salida]]</f>
        <v>45018.193749999999</v>
      </c>
      <c r="R140" s="9" cm="1">
        <f t="array" ref="R14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0.16597222221753327</v>
      </c>
      <c r="S140" s="9">
        <f>_xlfn.XLOOKUP(spaces_3iWczBNnn5rbfoUlE0Jd_uploads_git_blob_9864c7f811c613c3faab876659c6423__25[[#This Row],[Número de Orden]],Cocinadinamica!E141:E909,Cocinadinamica!F141:F909)/1440</f>
        <v>1.8055555555555554E-2</v>
      </c>
      <c r="T140" s="9" cm="1">
        <f t="array" ref="T14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0.14791666666197772</v>
      </c>
      <c r="U140" s="9" t="str" cm="1">
        <f t="array" ref="U14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41" spans="1:21" x14ac:dyDescent="0.35">
      <c r="A141" s="28">
        <v>11</v>
      </c>
      <c r="B141" s="13" t="s">
        <v>943</v>
      </c>
      <c r="C141" s="13">
        <v>4</v>
      </c>
      <c r="D141" s="14">
        <v>45018.15902777778</v>
      </c>
      <c r="E141" s="14">
        <v>45018.270138888889</v>
      </c>
      <c r="F141" s="13" t="s">
        <v>100</v>
      </c>
      <c r="G141" s="13" t="s">
        <v>86</v>
      </c>
      <c r="H141" s="13" t="s">
        <v>87</v>
      </c>
      <c r="I141" s="17">
        <v>32.130000000000003</v>
      </c>
      <c r="J141" s="13" t="s">
        <v>75</v>
      </c>
      <c r="K141" s="13">
        <v>140</v>
      </c>
      <c r="L141" s="13" t="s">
        <v>221</v>
      </c>
      <c r="M141" s="13" t="s">
        <v>1372</v>
      </c>
      <c r="N141">
        <f>_xlfn.XLOOKUP(spaces_3iWczBNnn5rbfoUlE0Jd_uploads_git_blob_9864c7f811c613c3faab876659c6423__25[[#This Row],[Número de Orden]],Cocinadinamica!B142:B910,Cocinadinamica!C142:C910)</f>
        <v>78</v>
      </c>
      <c r="O141" s="7">
        <f>spaces_3iWczBNnn5rbfoUlE0Jd_uploads_git_blob_9864c7f811c613c3faab876659c6423__25[[#This Row],[Hora de Llegada]]</f>
        <v>45018.15902777778</v>
      </c>
      <c r="P141" s="9">
        <f>spaces_3iWczBNnn5rbfoUlE0Jd_uploads_git_blob_9864c7f811c613c3faab876659c6423__25[[#This Row],[Hora de Llegada]]</f>
        <v>45018.15902777778</v>
      </c>
      <c r="Q141" s="9">
        <f>spaces_3iWczBNnn5rbfoUlE0Jd_uploads_git_blob_9864c7f811c613c3faab876659c6423__25[[#This Row],[Hora de Salida]]</f>
        <v>45018.270138888889</v>
      </c>
      <c r="R141" s="9" cm="1">
        <f t="array" ref="R14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0.11111111110949423</v>
      </c>
      <c r="S141" s="9">
        <f>_xlfn.XLOOKUP(spaces_3iWczBNnn5rbfoUlE0Jd_uploads_git_blob_9864c7f811c613c3faab876659c6423__25[[#This Row],[Número de Orden]],Cocinadinamica!E142:E910,Cocinadinamica!F142:F910)/1440</f>
        <v>8.1944444444444445E-2</v>
      </c>
      <c r="T141" s="9" cm="1">
        <f t="array" ref="T14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2.9166666665049787E-2</v>
      </c>
      <c r="U141" s="9" t="str" cm="1">
        <f t="array" ref="U14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42" spans="1:21" x14ac:dyDescent="0.35">
      <c r="A142" s="27" t="s">
        <v>210</v>
      </c>
      <c r="B142" s="11" t="s">
        <v>245</v>
      </c>
      <c r="C142" s="11">
        <v>4</v>
      </c>
      <c r="D142" s="12">
        <v>45018.081944444442</v>
      </c>
      <c r="E142" s="12">
        <v>45018.239583333336</v>
      </c>
      <c r="F142" s="11" t="s">
        <v>170</v>
      </c>
      <c r="G142" s="11" t="s">
        <v>163</v>
      </c>
      <c r="H142" s="11" t="s">
        <v>74</v>
      </c>
      <c r="I142" s="16">
        <v>41.56</v>
      </c>
      <c r="J142" s="11" t="s">
        <v>94</v>
      </c>
      <c r="K142" s="11">
        <v>141</v>
      </c>
      <c r="L142" s="11" t="s">
        <v>187</v>
      </c>
      <c r="M142" s="11" t="s">
        <v>43</v>
      </c>
      <c r="N142">
        <f>_xlfn.XLOOKUP(spaces_3iWczBNnn5rbfoUlE0Jd_uploads_git_blob_9864c7f811c613c3faab876659c6423__25[[#This Row],[Número de Orden]],Cocinadinamica!B143:B911,Cocinadinamica!C143:C911)</f>
        <v>8</v>
      </c>
      <c r="O142" s="7">
        <f>spaces_3iWczBNnn5rbfoUlE0Jd_uploads_git_blob_9864c7f811c613c3faab876659c6423__25[[#This Row],[Hora de Llegada]]</f>
        <v>45018.081944444442</v>
      </c>
      <c r="P142" s="9">
        <f>spaces_3iWczBNnn5rbfoUlE0Jd_uploads_git_blob_9864c7f811c613c3faab876659c6423__25[[#This Row],[Hora de Llegada]]</f>
        <v>45018.081944444442</v>
      </c>
      <c r="Q142" s="9">
        <f>spaces_3iWczBNnn5rbfoUlE0Jd_uploads_git_blob_9864c7f811c613c3faab876659c6423__25[[#This Row],[Hora de Salida]]</f>
        <v>45018.239583333336</v>
      </c>
      <c r="R142" s="9" cm="1">
        <f t="array" ref="R14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0.15763888889341615</v>
      </c>
      <c r="S142" s="9">
        <f>_xlfn.XLOOKUP(spaces_3iWczBNnn5rbfoUlE0Jd_uploads_git_blob_9864c7f811c613c3faab876659c6423__25[[#This Row],[Número de Orden]],Cocinadinamica!E143:E911,Cocinadinamica!F143:F911)/1440</f>
        <v>1.9444444444444445E-2</v>
      </c>
      <c r="T142" s="9" cm="1">
        <f t="array" ref="T14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0.13819444444897172</v>
      </c>
      <c r="U142" s="9" t="str" cm="1">
        <f t="array" ref="U14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43" spans="1:21" x14ac:dyDescent="0.35">
      <c r="A143" s="28">
        <v>14</v>
      </c>
      <c r="B143" s="13" t="s">
        <v>944</v>
      </c>
      <c r="C143" s="13">
        <v>3</v>
      </c>
      <c r="D143" s="14">
        <v>45018.086805555555</v>
      </c>
      <c r="E143" s="14">
        <v>45018.170138888891</v>
      </c>
      <c r="F143" s="13" t="s">
        <v>72</v>
      </c>
      <c r="G143" s="13" t="s">
        <v>86</v>
      </c>
      <c r="H143" s="13" t="s">
        <v>74</v>
      </c>
      <c r="I143" s="17">
        <v>16.29</v>
      </c>
      <c r="J143" s="13" t="s">
        <v>88</v>
      </c>
      <c r="K143" s="13">
        <v>142</v>
      </c>
      <c r="L143" s="13" t="s">
        <v>164</v>
      </c>
      <c r="M143" s="13" t="s">
        <v>1373</v>
      </c>
      <c r="N143">
        <f>_xlfn.XLOOKUP(spaces_3iWczBNnn5rbfoUlE0Jd_uploads_git_blob_9864c7f811c613c3faab876659c6423__25[[#This Row],[Número de Orden]],Cocinadinamica!B144:B912,Cocinadinamica!C144:C912)</f>
        <v>72</v>
      </c>
      <c r="O143" s="7">
        <f>spaces_3iWczBNnn5rbfoUlE0Jd_uploads_git_blob_9864c7f811c613c3faab876659c6423__25[[#This Row],[Hora de Llegada]]</f>
        <v>45018.086805555555</v>
      </c>
      <c r="P143" s="9">
        <f>spaces_3iWczBNnn5rbfoUlE0Jd_uploads_git_blob_9864c7f811c613c3faab876659c6423__25[[#This Row],[Hora de Llegada]]</f>
        <v>45018.086805555555</v>
      </c>
      <c r="Q143" s="9">
        <f>spaces_3iWczBNnn5rbfoUlE0Jd_uploads_git_blob_9864c7f811c613c3faab876659c6423__25[[#This Row],[Hora de Salida]]</f>
        <v>45018.170138888891</v>
      </c>
      <c r="R143" s="9" cm="1">
        <f t="array" ref="R14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9.375E-2</v>
      </c>
      <c r="S143" s="9">
        <f>_xlfn.XLOOKUP(spaces_3iWczBNnn5rbfoUlE0Jd_uploads_git_blob_9864c7f811c613c3faab876659c6423__25[[#This Row],[Número de Orden]],Cocinadinamica!E144:E912,Cocinadinamica!F144:F912)/1440</f>
        <v>4.8611111111111112E-2</v>
      </c>
      <c r="T143" s="9" cm="1">
        <f t="array" ref="T14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4.5138888888888888E-2</v>
      </c>
      <c r="U143" s="9" t="str" cm="1">
        <f t="array" ref="U14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44" spans="1:21" x14ac:dyDescent="0.35">
      <c r="A144" s="27" t="s">
        <v>247</v>
      </c>
      <c r="B144" s="11" t="s">
        <v>248</v>
      </c>
      <c r="C144" s="11">
        <v>4</v>
      </c>
      <c r="D144" s="12">
        <v>45018.022222222222</v>
      </c>
      <c r="E144" s="12">
        <v>45018.1875</v>
      </c>
      <c r="F144" s="11" t="s">
        <v>72</v>
      </c>
      <c r="G144" s="11" t="s">
        <v>86</v>
      </c>
      <c r="H144" s="11" t="s">
        <v>87</v>
      </c>
      <c r="I144" s="16">
        <v>48.26</v>
      </c>
      <c r="J144" s="11" t="s">
        <v>75</v>
      </c>
      <c r="K144" s="11">
        <v>143</v>
      </c>
      <c r="L144" s="11" t="s">
        <v>76</v>
      </c>
      <c r="M144" s="11" t="s">
        <v>49</v>
      </c>
      <c r="N144">
        <f>_xlfn.XLOOKUP(spaces_3iWczBNnn5rbfoUlE0Jd_uploads_git_blob_9864c7f811c613c3faab876659c6423__25[[#This Row],[Número de Orden]],Cocinadinamica!B145:B913,Cocinadinamica!C145:C913)</f>
        <v>20</v>
      </c>
      <c r="O144" s="7">
        <f>spaces_3iWczBNnn5rbfoUlE0Jd_uploads_git_blob_9864c7f811c613c3faab876659c6423__25[[#This Row],[Hora de Llegada]]</f>
        <v>45018.022222222222</v>
      </c>
      <c r="P144" s="9">
        <f>spaces_3iWczBNnn5rbfoUlE0Jd_uploads_git_blob_9864c7f811c613c3faab876659c6423__25[[#This Row],[Hora de Llegada]]</f>
        <v>45018.022222222222</v>
      </c>
      <c r="Q144" s="9">
        <f>spaces_3iWczBNnn5rbfoUlE0Jd_uploads_git_blob_9864c7f811c613c3faab876659c6423__25[[#This Row],[Hora de Salida]]</f>
        <v>45018.1875</v>
      </c>
      <c r="R144" s="9" cm="1">
        <f t="array" ref="R14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0.16527777777810115</v>
      </c>
      <c r="S144" s="9">
        <f>_xlfn.XLOOKUP(spaces_3iWczBNnn5rbfoUlE0Jd_uploads_git_blob_9864c7f811c613c3faab876659c6423__25[[#This Row],[Número de Orden]],Cocinadinamica!E145:E913,Cocinadinamica!F145:F913)/1440</f>
        <v>1.1111111111111112E-2</v>
      </c>
      <c r="T144" s="9" cm="1">
        <f t="array" ref="T14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0.15416666666699005</v>
      </c>
      <c r="U144" s="9" t="str" cm="1">
        <f t="array" ref="U14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45" spans="1:21" x14ac:dyDescent="0.35">
      <c r="A145" s="28">
        <v>18</v>
      </c>
      <c r="B145" s="13" t="s">
        <v>945</v>
      </c>
      <c r="C145" s="13">
        <v>1</v>
      </c>
      <c r="D145" s="14">
        <v>45018.123611111114</v>
      </c>
      <c r="E145" s="14">
        <v>45018.230555555558</v>
      </c>
      <c r="F145" s="13" t="s">
        <v>72</v>
      </c>
      <c r="G145" s="13" t="s">
        <v>73</v>
      </c>
      <c r="H145" s="13" t="s">
        <v>74</v>
      </c>
      <c r="I145" s="17">
        <v>11.22</v>
      </c>
      <c r="J145" s="13" t="s">
        <v>88</v>
      </c>
      <c r="K145" s="13">
        <v>144</v>
      </c>
      <c r="L145" s="13" t="s">
        <v>76</v>
      </c>
      <c r="M145" s="13" t="s">
        <v>1374</v>
      </c>
      <c r="N145">
        <f>_xlfn.XLOOKUP(spaces_3iWczBNnn5rbfoUlE0Jd_uploads_git_blob_9864c7f811c613c3faab876659c6423__25[[#This Row],[Número de Orden]],Cocinadinamica!B146:B914,Cocinadinamica!C146:C914)</f>
        <v>76</v>
      </c>
      <c r="O145" s="7">
        <f>spaces_3iWczBNnn5rbfoUlE0Jd_uploads_git_blob_9864c7f811c613c3faab876659c6423__25[[#This Row],[Hora de Llegada]]</f>
        <v>45018.123611111114</v>
      </c>
      <c r="P145" s="9">
        <f>spaces_3iWczBNnn5rbfoUlE0Jd_uploads_git_blob_9864c7f811c613c3faab876659c6423__25[[#This Row],[Hora de Llegada]]</f>
        <v>45018.123611111114</v>
      </c>
      <c r="Q145" s="9">
        <f>spaces_3iWczBNnn5rbfoUlE0Jd_uploads_git_blob_9864c7f811c613c3faab876659c6423__25[[#This Row],[Hora de Salida]]</f>
        <v>45018.230555555558</v>
      </c>
      <c r="R145" s="9" cm="1">
        <f t="array" ref="R14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0.11736111110803904</v>
      </c>
      <c r="S145" s="9">
        <f>_xlfn.XLOOKUP(spaces_3iWczBNnn5rbfoUlE0Jd_uploads_git_blob_9864c7f811c613c3faab876659c6423__25[[#This Row],[Número de Orden]],Cocinadinamica!E146:E914,Cocinadinamica!F146:F914)/1440</f>
        <v>0.10416666666666667</v>
      </c>
      <c r="T145" s="9" cm="1">
        <f t="array" ref="T14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1.3194444441372369E-2</v>
      </c>
      <c r="U145" s="9" t="str" cm="1">
        <f t="array" ref="U14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46" spans="1:21" x14ac:dyDescent="0.35">
      <c r="A146" s="27">
        <v>2</v>
      </c>
      <c r="B146" s="11" t="s">
        <v>946</v>
      </c>
      <c r="C146" s="11">
        <v>5</v>
      </c>
      <c r="D146" s="12">
        <v>45018.025694444441</v>
      </c>
      <c r="E146" s="12">
        <v>45018.070833333331</v>
      </c>
      <c r="F146" s="11" t="s">
        <v>100</v>
      </c>
      <c r="G146" s="11" t="s">
        <v>73</v>
      </c>
      <c r="H146" s="11" t="s">
        <v>74</v>
      </c>
      <c r="I146" s="16">
        <v>11.32</v>
      </c>
      <c r="J146" s="11" t="s">
        <v>88</v>
      </c>
      <c r="K146" s="11">
        <v>145</v>
      </c>
      <c r="L146" s="11" t="s">
        <v>275</v>
      </c>
      <c r="M146" s="11" t="s">
        <v>1375</v>
      </c>
      <c r="N146">
        <f>_xlfn.XLOOKUP(spaces_3iWczBNnn5rbfoUlE0Jd_uploads_git_blob_9864c7f811c613c3faab876659c6423__25[[#This Row],[Número de Orden]],Cocinadinamica!B147:B915,Cocinadinamica!C147:C915)</f>
        <v>51</v>
      </c>
      <c r="O146" s="7">
        <f>spaces_3iWczBNnn5rbfoUlE0Jd_uploads_git_blob_9864c7f811c613c3faab876659c6423__25[[#This Row],[Hora de Llegada]]</f>
        <v>45018.025694444441</v>
      </c>
      <c r="P146" s="9">
        <f>spaces_3iWczBNnn5rbfoUlE0Jd_uploads_git_blob_9864c7f811c613c3faab876659c6423__25[[#This Row],[Hora de Llegada]]</f>
        <v>45018.025694444441</v>
      </c>
      <c r="Q146" s="9">
        <f>spaces_3iWczBNnn5rbfoUlE0Jd_uploads_git_blob_9864c7f811c613c3faab876659c6423__25[[#This Row],[Hora de Salida]]</f>
        <v>45018.070833333331</v>
      </c>
      <c r="R146" s="9" cm="1">
        <f t="array" ref="R14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5.5555555554747116E-2</v>
      </c>
      <c r="S146" s="9">
        <f>_xlfn.XLOOKUP(spaces_3iWczBNnn5rbfoUlE0Jd_uploads_git_blob_9864c7f811c613c3faab876659c6423__25[[#This Row],[Número de Orden]],Cocinadinamica!E147:E915,Cocinadinamica!F147:F915)/1440</f>
        <v>7.3611111111111113E-2</v>
      </c>
      <c r="T146" s="9" cm="1">
        <f t="array" ref="T14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46" s="9" t="str" cm="1">
        <f t="array" ref="U14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47" spans="1:21" x14ac:dyDescent="0.35">
      <c r="A147" s="28" t="s">
        <v>215</v>
      </c>
      <c r="B147" s="13" t="s">
        <v>251</v>
      </c>
      <c r="C147" s="13">
        <v>6</v>
      </c>
      <c r="D147" s="14">
        <v>45018.069444444445</v>
      </c>
      <c r="E147" s="14">
        <v>45018.120833333334</v>
      </c>
      <c r="F147" s="13" t="s">
        <v>170</v>
      </c>
      <c r="G147" s="13" t="s">
        <v>86</v>
      </c>
      <c r="H147" s="13" t="s">
        <v>74</v>
      </c>
      <c r="I147" s="17">
        <v>3.84</v>
      </c>
      <c r="J147" s="13" t="s">
        <v>94</v>
      </c>
      <c r="K147" s="13">
        <v>146</v>
      </c>
      <c r="L147" s="13" t="s">
        <v>221</v>
      </c>
      <c r="M147" s="13" t="s">
        <v>15</v>
      </c>
      <c r="N147">
        <f>_xlfn.XLOOKUP(spaces_3iWczBNnn5rbfoUlE0Jd_uploads_git_blob_9864c7f811c613c3faab876659c6423__25[[#This Row],[Número de Orden]],Cocinadinamica!B148:B916,Cocinadinamica!C148:C916)</f>
        <v>24</v>
      </c>
      <c r="O147" s="7">
        <f>spaces_3iWczBNnn5rbfoUlE0Jd_uploads_git_blob_9864c7f811c613c3faab876659c6423__25[[#This Row],[Hora de Llegada]]</f>
        <v>45018.069444444445</v>
      </c>
      <c r="P147" s="9">
        <f>spaces_3iWczBNnn5rbfoUlE0Jd_uploads_git_blob_9864c7f811c613c3faab876659c6423__25[[#This Row],[Hora de Llegada]]</f>
        <v>45018.069444444445</v>
      </c>
      <c r="Q147" s="9">
        <f>spaces_3iWczBNnn5rbfoUlE0Jd_uploads_git_blob_9864c7f811c613c3faab876659c6423__25[[#This Row],[Hora de Salida]]</f>
        <v>45018.120833333334</v>
      </c>
      <c r="R147" s="9" cm="1">
        <f t="array" ref="R14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5.1388888889050577E-2</v>
      </c>
      <c r="S147" s="9">
        <f>_xlfn.XLOOKUP(spaces_3iWczBNnn5rbfoUlE0Jd_uploads_git_blob_9864c7f811c613c3faab876659c6423__25[[#This Row],[Número de Orden]],Cocinadinamica!E148:E916,Cocinadinamica!F148:F916)/1440</f>
        <v>3.2638888888888891E-2</v>
      </c>
      <c r="T147" s="9" cm="1">
        <f t="array" ref="T14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1.8750000000161686E-2</v>
      </c>
      <c r="U147" s="9" t="str" cm="1">
        <f t="array" ref="U14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48" spans="1:21" x14ac:dyDescent="0.35">
      <c r="A148" s="27">
        <v>5</v>
      </c>
      <c r="B148" s="11" t="s">
        <v>947</v>
      </c>
      <c r="C148" s="11">
        <v>4</v>
      </c>
      <c r="D148" s="12">
        <v>45018.137499999997</v>
      </c>
      <c r="E148" s="12">
        <v>45018.206944444442</v>
      </c>
      <c r="F148" s="11" t="s">
        <v>170</v>
      </c>
      <c r="G148" s="11" t="s">
        <v>163</v>
      </c>
      <c r="H148" s="11" t="s">
        <v>74</v>
      </c>
      <c r="I148" s="16">
        <v>27.14</v>
      </c>
      <c r="J148" s="11" t="s">
        <v>94</v>
      </c>
      <c r="K148" s="11">
        <v>147</v>
      </c>
      <c r="L148" s="11" t="s">
        <v>110</v>
      </c>
      <c r="M148" s="11" t="s">
        <v>1376</v>
      </c>
      <c r="N148">
        <f>_xlfn.XLOOKUP(spaces_3iWczBNnn5rbfoUlE0Jd_uploads_git_blob_9864c7f811c613c3faab876659c6423__25[[#This Row],[Número de Orden]],Cocinadinamica!B149:B917,Cocinadinamica!C149:C917)</f>
        <v>33</v>
      </c>
      <c r="O148" s="7">
        <f>spaces_3iWczBNnn5rbfoUlE0Jd_uploads_git_blob_9864c7f811c613c3faab876659c6423__25[[#This Row],[Hora de Llegada]]</f>
        <v>45018.137499999997</v>
      </c>
      <c r="P148" s="9">
        <f>spaces_3iWczBNnn5rbfoUlE0Jd_uploads_git_blob_9864c7f811c613c3faab876659c6423__25[[#This Row],[Hora de Llegada]]</f>
        <v>45018.137499999997</v>
      </c>
      <c r="Q148" s="9">
        <f>spaces_3iWczBNnn5rbfoUlE0Jd_uploads_git_blob_9864c7f811c613c3faab876659c6423__25[[#This Row],[Hora de Salida]]</f>
        <v>45018.206944444442</v>
      </c>
      <c r="R148" s="9" cm="1">
        <f t="array" ref="R14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6.9444444445252884E-2</v>
      </c>
      <c r="S148" s="9">
        <f>_xlfn.XLOOKUP(spaces_3iWczBNnn5rbfoUlE0Jd_uploads_git_blob_9864c7f811c613c3faab876659c6423__25[[#This Row],[Número de Orden]],Cocinadinamica!E149:E917,Cocinadinamica!F149:F917)/1440</f>
        <v>2.2916666666666665E-2</v>
      </c>
      <c r="T148" s="9" cm="1">
        <f t="array" ref="T14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4.6527777778586216E-2</v>
      </c>
      <c r="U148" s="9" t="str" cm="1">
        <f t="array" ref="U14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49" spans="1:21" x14ac:dyDescent="0.35">
      <c r="A149" s="28">
        <v>10</v>
      </c>
      <c r="B149" s="13" t="s">
        <v>948</v>
      </c>
      <c r="C149" s="13">
        <v>6</v>
      </c>
      <c r="D149" s="14">
        <v>45018.161111111112</v>
      </c>
      <c r="E149" s="14">
        <v>45018.249305555553</v>
      </c>
      <c r="F149" s="13" t="s">
        <v>170</v>
      </c>
      <c r="G149" s="13" t="s">
        <v>86</v>
      </c>
      <c r="H149" s="13" t="s">
        <v>109</v>
      </c>
      <c r="I149" s="17">
        <v>46.26</v>
      </c>
      <c r="J149" s="13" t="s">
        <v>88</v>
      </c>
      <c r="K149" s="13">
        <v>148</v>
      </c>
      <c r="L149" s="13" t="s">
        <v>110</v>
      </c>
      <c r="M149" s="13" t="s">
        <v>1377</v>
      </c>
      <c r="N149">
        <f>_xlfn.XLOOKUP(spaces_3iWczBNnn5rbfoUlE0Jd_uploads_git_blob_9864c7f811c613c3faab876659c6423__25[[#This Row],[Número de Orden]],Cocinadinamica!B150:B918,Cocinadinamica!C150:C918)</f>
        <v>87</v>
      </c>
      <c r="O149" s="7">
        <f>spaces_3iWczBNnn5rbfoUlE0Jd_uploads_git_blob_9864c7f811c613c3faab876659c6423__25[[#This Row],[Hora de Llegada]]</f>
        <v>45018.161111111112</v>
      </c>
      <c r="P149" s="9">
        <f>spaces_3iWczBNnn5rbfoUlE0Jd_uploads_git_blob_9864c7f811c613c3faab876659c6423__25[[#This Row],[Hora de Llegada]]</f>
        <v>45018.161111111112</v>
      </c>
      <c r="Q149" s="9">
        <f>spaces_3iWczBNnn5rbfoUlE0Jd_uploads_git_blob_9864c7f811c613c3faab876659c6423__25[[#This Row],[Hora de Salida]]</f>
        <v>45018.249305555553</v>
      </c>
      <c r="R149" s="9" cm="1">
        <f t="array" ref="R14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9.8611111105128657E-2</v>
      </c>
      <c r="S149" s="9">
        <f>_xlfn.XLOOKUP(spaces_3iWczBNnn5rbfoUlE0Jd_uploads_git_blob_9864c7f811c613c3faab876659c6423__25[[#This Row],[Número de Orden]],Cocinadinamica!E150:E918,Cocinadinamica!F150:F918)/1440</f>
        <v>0.11041666666666666</v>
      </c>
      <c r="T149" s="9" cm="1">
        <f t="array" ref="T14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49" s="9" t="str" cm="1">
        <f t="array" ref="U14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50" spans="1:21" x14ac:dyDescent="0.35">
      <c r="A150" s="27">
        <v>18</v>
      </c>
      <c r="B150" s="11" t="s">
        <v>949</v>
      </c>
      <c r="C150" s="11">
        <v>4</v>
      </c>
      <c r="D150" s="12">
        <v>45018.065972222219</v>
      </c>
      <c r="E150" s="12">
        <v>45018.201388888891</v>
      </c>
      <c r="F150" s="11" t="s">
        <v>85</v>
      </c>
      <c r="G150" s="11" t="s">
        <v>163</v>
      </c>
      <c r="H150" s="11" t="s">
        <v>74</v>
      </c>
      <c r="I150" s="16">
        <v>15.92</v>
      </c>
      <c r="J150" s="11" t="s">
        <v>88</v>
      </c>
      <c r="K150" s="11">
        <v>149</v>
      </c>
      <c r="L150" s="11" t="s">
        <v>89</v>
      </c>
      <c r="M150" s="11" t="s">
        <v>1378</v>
      </c>
      <c r="N150">
        <f>_xlfn.XLOOKUP(spaces_3iWczBNnn5rbfoUlE0Jd_uploads_git_blob_9864c7f811c613c3faab876659c6423__25[[#This Row],[Número de Orden]],Cocinadinamica!B151:B919,Cocinadinamica!C151:C919)</f>
        <v>94</v>
      </c>
      <c r="O150" s="7">
        <f>spaces_3iWczBNnn5rbfoUlE0Jd_uploads_git_blob_9864c7f811c613c3faab876659c6423__25[[#This Row],[Hora de Llegada]]</f>
        <v>45018.065972222219</v>
      </c>
      <c r="P150" s="9">
        <f>spaces_3iWczBNnn5rbfoUlE0Jd_uploads_git_blob_9864c7f811c613c3faab876659c6423__25[[#This Row],[Hora de Llegada]]</f>
        <v>45018.065972222219</v>
      </c>
      <c r="Q150" s="9">
        <f>spaces_3iWczBNnn5rbfoUlE0Jd_uploads_git_blob_9864c7f811c613c3faab876659c6423__25[[#This Row],[Hora de Salida]]</f>
        <v>45018.201388888891</v>
      </c>
      <c r="R150" s="9" cm="1">
        <f t="array" ref="R15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0.14583333333575865</v>
      </c>
      <c r="S150" s="9">
        <f>_xlfn.XLOOKUP(spaces_3iWczBNnn5rbfoUlE0Jd_uploads_git_blob_9864c7f811c613c3faab876659c6423__25[[#This Row],[Número de Orden]],Cocinadinamica!E151:E919,Cocinadinamica!F151:F919)/1440</f>
        <v>9.6527777777777782E-2</v>
      </c>
      <c r="T150" s="9" cm="1">
        <f t="array" ref="T15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4.9305555557980871E-2</v>
      </c>
      <c r="U150" s="9" t="str" cm="1">
        <f t="array" ref="U15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1" spans="1:21" x14ac:dyDescent="0.35">
      <c r="A151" s="28">
        <v>18</v>
      </c>
      <c r="B151" s="13" t="s">
        <v>950</v>
      </c>
      <c r="C151" s="13">
        <v>6</v>
      </c>
      <c r="D151" s="14">
        <v>45018.025694444441</v>
      </c>
      <c r="E151" s="14">
        <v>45018.131944444445</v>
      </c>
      <c r="F151" s="13" t="s">
        <v>223</v>
      </c>
      <c r="G151" s="13" t="s">
        <v>86</v>
      </c>
      <c r="H151" s="13" t="s">
        <v>109</v>
      </c>
      <c r="I151" s="17">
        <v>48.43</v>
      </c>
      <c r="J151" s="13" t="s">
        <v>75</v>
      </c>
      <c r="K151" s="13">
        <v>150</v>
      </c>
      <c r="L151" s="13" t="s">
        <v>164</v>
      </c>
      <c r="M151" s="13" t="s">
        <v>1379</v>
      </c>
      <c r="N151">
        <f>_xlfn.XLOOKUP(spaces_3iWczBNnn5rbfoUlE0Jd_uploads_git_blob_9864c7f811c613c3faab876659c6423__25[[#This Row],[Número de Orden]],Cocinadinamica!B152:B920,Cocinadinamica!C152:C920)</f>
        <v>60</v>
      </c>
      <c r="O151" s="7">
        <f>spaces_3iWczBNnn5rbfoUlE0Jd_uploads_git_blob_9864c7f811c613c3faab876659c6423__25[[#This Row],[Hora de Llegada]]</f>
        <v>45018.025694444441</v>
      </c>
      <c r="P151" s="9">
        <f>spaces_3iWczBNnn5rbfoUlE0Jd_uploads_git_blob_9864c7f811c613c3faab876659c6423__25[[#This Row],[Hora de Llegada]]</f>
        <v>45018.025694444441</v>
      </c>
      <c r="Q151" s="9">
        <f>spaces_3iWczBNnn5rbfoUlE0Jd_uploads_git_blob_9864c7f811c613c3faab876659c6423__25[[#This Row],[Hora de Salida]]</f>
        <v>45018.131944444445</v>
      </c>
      <c r="R151" s="9" cm="1">
        <f t="array" ref="R15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0.10625000000436557</v>
      </c>
      <c r="S151" s="9">
        <f>_xlfn.XLOOKUP(spaces_3iWczBNnn5rbfoUlE0Jd_uploads_git_blob_9864c7f811c613c3faab876659c6423__25[[#This Row],[Número de Orden]],Cocinadinamica!E152:E920,Cocinadinamica!F152:F920)/1440</f>
        <v>7.3611111111111113E-2</v>
      </c>
      <c r="T151" s="9" cm="1">
        <f t="array" ref="T15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3.2638888893254461E-2</v>
      </c>
      <c r="U151" s="9" t="str" cm="1">
        <f t="array" ref="U15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2" spans="1:21" x14ac:dyDescent="0.35">
      <c r="A152" s="27">
        <v>6</v>
      </c>
      <c r="B152" s="11" t="s">
        <v>951</v>
      </c>
      <c r="C152" s="11">
        <v>2</v>
      </c>
      <c r="D152" s="12">
        <v>45018.135416666664</v>
      </c>
      <c r="E152" s="12">
        <v>45018.286805555559</v>
      </c>
      <c r="F152" s="11" t="s">
        <v>72</v>
      </c>
      <c r="G152" s="11" t="s">
        <v>73</v>
      </c>
      <c r="H152" s="11" t="s">
        <v>74</v>
      </c>
      <c r="I152" s="16">
        <v>41.51</v>
      </c>
      <c r="J152" s="11" t="s">
        <v>88</v>
      </c>
      <c r="K152" s="11">
        <v>151</v>
      </c>
      <c r="L152" s="11" t="s">
        <v>187</v>
      </c>
      <c r="M152" s="11" t="s">
        <v>1380</v>
      </c>
      <c r="N152">
        <f>_xlfn.XLOOKUP(spaces_3iWczBNnn5rbfoUlE0Jd_uploads_git_blob_9864c7f811c613c3faab876659c6423__25[[#This Row],[Número de Orden]],Cocinadinamica!B153:B921,Cocinadinamica!C153:C921)</f>
        <v>51</v>
      </c>
      <c r="O152" s="7">
        <f>spaces_3iWczBNnn5rbfoUlE0Jd_uploads_git_blob_9864c7f811c613c3faab876659c6423__25[[#This Row],[Hora de Llegada]]</f>
        <v>45018.135416666664</v>
      </c>
      <c r="P152" s="9">
        <f>spaces_3iWczBNnn5rbfoUlE0Jd_uploads_git_blob_9864c7f811c613c3faab876659c6423__25[[#This Row],[Hora de Llegada]]</f>
        <v>45018.135416666664</v>
      </c>
      <c r="Q152" s="9">
        <f>spaces_3iWczBNnn5rbfoUlE0Jd_uploads_git_blob_9864c7f811c613c3faab876659c6423__25[[#This Row],[Hora de Salida]]</f>
        <v>45018.286805555559</v>
      </c>
      <c r="R152" s="9" cm="1">
        <f t="array" ref="R15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0.16180555555911269</v>
      </c>
      <c r="S152" s="9">
        <f>_xlfn.XLOOKUP(spaces_3iWczBNnn5rbfoUlE0Jd_uploads_git_blob_9864c7f811c613c3faab876659c6423__25[[#This Row],[Número de Orden]],Cocinadinamica!E153:E921,Cocinadinamica!F153:F921)/1440</f>
        <v>1.3194444444444444E-2</v>
      </c>
      <c r="T152" s="9" cm="1">
        <f t="array" ref="T15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0.14861111111466824</v>
      </c>
      <c r="U152" s="9" t="str" cm="1">
        <f t="array" ref="U15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3" spans="1:21" x14ac:dyDescent="0.35">
      <c r="A153" s="28" t="s">
        <v>121</v>
      </c>
      <c r="B153" s="13" t="s">
        <v>257</v>
      </c>
      <c r="C153" s="13">
        <v>6</v>
      </c>
      <c r="D153" s="14">
        <v>45018.051388888889</v>
      </c>
      <c r="E153" s="14">
        <v>45018.119444444441</v>
      </c>
      <c r="F153" s="13" t="s">
        <v>72</v>
      </c>
      <c r="G153" s="13" t="s">
        <v>86</v>
      </c>
      <c r="H153" s="13" t="s">
        <v>109</v>
      </c>
      <c r="I153" s="17">
        <v>25.57</v>
      </c>
      <c r="J153" s="13" t="s">
        <v>94</v>
      </c>
      <c r="K153" s="13">
        <v>152</v>
      </c>
      <c r="L153" s="13" t="s">
        <v>187</v>
      </c>
      <c r="M153" s="13" t="s">
        <v>27</v>
      </c>
      <c r="N153">
        <f>_xlfn.XLOOKUP(spaces_3iWczBNnn5rbfoUlE0Jd_uploads_git_blob_9864c7f811c613c3faab876659c6423__25[[#This Row],[Número de Orden]],Cocinadinamica!B154:B922,Cocinadinamica!C154:C922)</f>
        <v>24</v>
      </c>
      <c r="O153" s="7">
        <f>spaces_3iWczBNnn5rbfoUlE0Jd_uploads_git_blob_9864c7f811c613c3faab876659c6423__25[[#This Row],[Hora de Llegada]]</f>
        <v>45018.051388888889</v>
      </c>
      <c r="P153" s="9">
        <f>spaces_3iWczBNnn5rbfoUlE0Jd_uploads_git_blob_9864c7f811c613c3faab876659c6423__25[[#This Row],[Hora de Llegada]]</f>
        <v>45018.051388888889</v>
      </c>
      <c r="Q153" s="9">
        <f>spaces_3iWczBNnn5rbfoUlE0Jd_uploads_git_blob_9864c7f811c613c3faab876659c6423__25[[#This Row],[Hora de Salida]]</f>
        <v>45018.119444444441</v>
      </c>
      <c r="R153" s="9" cm="1">
        <f t="array" ref="R15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6.8055555551836733E-2</v>
      </c>
      <c r="S153" s="9">
        <f>_xlfn.XLOOKUP(spaces_3iWczBNnn5rbfoUlE0Jd_uploads_git_blob_9864c7f811c613c3faab876659c6423__25[[#This Row],[Número de Orden]],Cocinadinamica!E154:E922,Cocinadinamica!F154:F922)/1440</f>
        <v>8.3333333333333332E-3</v>
      </c>
      <c r="T153" s="9" cm="1">
        <f t="array" ref="T15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5.9722222218503401E-2</v>
      </c>
      <c r="U153" s="9" t="str" cm="1">
        <f t="array" ref="U15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4" spans="1:21" x14ac:dyDescent="0.35">
      <c r="A154" s="27">
        <v>10</v>
      </c>
      <c r="B154" s="11" t="s">
        <v>885</v>
      </c>
      <c r="C154" s="11">
        <v>1</v>
      </c>
      <c r="D154" s="12">
        <v>45018.129166666666</v>
      </c>
      <c r="E154" s="12">
        <v>45018.226388888892</v>
      </c>
      <c r="F154" s="11" t="s">
        <v>100</v>
      </c>
      <c r="G154" s="11" t="s">
        <v>163</v>
      </c>
      <c r="H154" s="11" t="s">
        <v>109</v>
      </c>
      <c r="I154" s="16">
        <v>42.84</v>
      </c>
      <c r="J154" s="11" t="s">
        <v>88</v>
      </c>
      <c r="K154" s="11">
        <v>153</v>
      </c>
      <c r="L154" s="11" t="s">
        <v>221</v>
      </c>
      <c r="M154" s="11" t="s">
        <v>1381</v>
      </c>
      <c r="N154">
        <f>_xlfn.XLOOKUP(spaces_3iWczBNnn5rbfoUlE0Jd_uploads_git_blob_9864c7f811c613c3faab876659c6423__25[[#This Row],[Número de Orden]],Cocinadinamica!B155:B923,Cocinadinamica!C155:C923)</f>
        <v>79</v>
      </c>
      <c r="O154" s="7">
        <f>spaces_3iWczBNnn5rbfoUlE0Jd_uploads_git_blob_9864c7f811c613c3faab876659c6423__25[[#This Row],[Hora de Llegada]]</f>
        <v>45018.129166666666</v>
      </c>
      <c r="P154" s="9">
        <f>spaces_3iWczBNnn5rbfoUlE0Jd_uploads_git_blob_9864c7f811c613c3faab876659c6423__25[[#This Row],[Hora de Llegada]]</f>
        <v>45018.129166666666</v>
      </c>
      <c r="Q154" s="9">
        <f>spaces_3iWczBNnn5rbfoUlE0Jd_uploads_git_blob_9864c7f811c613c3faab876659c6423__25[[#This Row],[Hora de Salida]]</f>
        <v>45018.226388888892</v>
      </c>
      <c r="R154" s="9" cm="1">
        <f t="array" ref="R15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0.10763888889050577</v>
      </c>
      <c r="S154" s="9">
        <f>_xlfn.XLOOKUP(spaces_3iWczBNnn5rbfoUlE0Jd_uploads_git_blob_9864c7f811c613c3faab876659c6423__25[[#This Row],[Número de Orden]],Cocinadinamica!E155:E923,Cocinadinamica!F155:F923)/1440</f>
        <v>6.1805555555555558E-2</v>
      </c>
      <c r="T154" s="9" cm="1">
        <f t="array" ref="T15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4.583333333495021E-2</v>
      </c>
      <c r="U154" s="9" t="str" cm="1">
        <f t="array" ref="U15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5" spans="1:21" x14ac:dyDescent="0.35">
      <c r="A155" s="28">
        <v>11</v>
      </c>
      <c r="B155" s="13" t="s">
        <v>952</v>
      </c>
      <c r="C155" s="13">
        <v>6</v>
      </c>
      <c r="D155" s="14">
        <v>45018.089583333334</v>
      </c>
      <c r="E155" s="14">
        <v>45018.15</v>
      </c>
      <c r="F155" s="13" t="s">
        <v>223</v>
      </c>
      <c r="G155" s="13" t="s">
        <v>163</v>
      </c>
      <c r="H155" s="13" t="s">
        <v>74</v>
      </c>
      <c r="I155" s="17">
        <v>17.2</v>
      </c>
      <c r="J155" s="13" t="s">
        <v>75</v>
      </c>
      <c r="K155" s="13">
        <v>154</v>
      </c>
      <c r="L155" s="13" t="s">
        <v>187</v>
      </c>
      <c r="M155" s="13" t="s">
        <v>1382</v>
      </c>
      <c r="N155">
        <f>_xlfn.XLOOKUP(spaces_3iWczBNnn5rbfoUlE0Jd_uploads_git_blob_9864c7f811c613c3faab876659c6423__25[[#This Row],[Número de Orden]],Cocinadinamica!B156:B924,Cocinadinamica!C156:C924)</f>
        <v>58</v>
      </c>
      <c r="O155" s="7">
        <f>spaces_3iWczBNnn5rbfoUlE0Jd_uploads_git_blob_9864c7f811c613c3faab876659c6423__25[[#This Row],[Hora de Llegada]]</f>
        <v>45018.089583333334</v>
      </c>
      <c r="P155" s="9">
        <f>spaces_3iWczBNnn5rbfoUlE0Jd_uploads_git_blob_9864c7f811c613c3faab876659c6423__25[[#This Row],[Hora de Llegada]]</f>
        <v>45018.089583333334</v>
      </c>
      <c r="Q155" s="9">
        <f>spaces_3iWczBNnn5rbfoUlE0Jd_uploads_git_blob_9864c7f811c613c3faab876659c6423__25[[#This Row],[Hora de Salida]]</f>
        <v>45018.15</v>
      </c>
      <c r="R155" s="9" cm="1">
        <f t="array" ref="R15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6.0416666667151731E-2</v>
      </c>
      <c r="S155" s="9">
        <f>_xlfn.XLOOKUP(spaces_3iWczBNnn5rbfoUlE0Jd_uploads_git_blob_9864c7f811c613c3faab876659c6423__25[[#This Row],[Número de Orden]],Cocinadinamica!E156:E924,Cocinadinamica!F156:F924)/1440</f>
        <v>5.6944444444444443E-2</v>
      </c>
      <c r="T155" s="9" cm="1">
        <f t="array" ref="T15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3.4722222227072871E-3</v>
      </c>
      <c r="U155" s="9" t="str" cm="1">
        <f t="array" ref="U15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6" spans="1:21" x14ac:dyDescent="0.35">
      <c r="A156" s="27">
        <v>7</v>
      </c>
      <c r="B156" s="11" t="s">
        <v>953</v>
      </c>
      <c r="C156" s="11">
        <v>2</v>
      </c>
      <c r="D156" s="12">
        <v>45018.078472222223</v>
      </c>
      <c r="E156" s="12">
        <v>45018.197222222225</v>
      </c>
      <c r="F156" s="11" t="s">
        <v>85</v>
      </c>
      <c r="G156" s="11" t="s">
        <v>86</v>
      </c>
      <c r="H156" s="11" t="s">
        <v>74</v>
      </c>
      <c r="I156" s="16">
        <v>25.72</v>
      </c>
      <c r="J156" s="11" t="s">
        <v>94</v>
      </c>
      <c r="K156" s="11">
        <v>155</v>
      </c>
      <c r="L156" s="11" t="s">
        <v>275</v>
      </c>
      <c r="M156" s="11" t="s">
        <v>1383</v>
      </c>
      <c r="N156">
        <f>_xlfn.XLOOKUP(spaces_3iWczBNnn5rbfoUlE0Jd_uploads_git_blob_9864c7f811c613c3faab876659c6423__25[[#This Row],[Número de Orden]],Cocinadinamica!B157:B925,Cocinadinamica!C157:C925)</f>
        <v>54</v>
      </c>
      <c r="O156" s="7">
        <f>spaces_3iWczBNnn5rbfoUlE0Jd_uploads_git_blob_9864c7f811c613c3faab876659c6423__25[[#This Row],[Hora de Llegada]]</f>
        <v>45018.078472222223</v>
      </c>
      <c r="P156" s="9">
        <f>spaces_3iWczBNnn5rbfoUlE0Jd_uploads_git_blob_9864c7f811c613c3faab876659c6423__25[[#This Row],[Hora de Llegada]]</f>
        <v>45018.078472222223</v>
      </c>
      <c r="Q156" s="9">
        <f>spaces_3iWczBNnn5rbfoUlE0Jd_uploads_git_blob_9864c7f811c613c3faab876659c6423__25[[#This Row],[Hora de Salida]]</f>
        <v>45018.197222222225</v>
      </c>
      <c r="R156" s="9" cm="1">
        <f t="array" ref="R15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0.11875000000145519</v>
      </c>
      <c r="S156" s="9">
        <f>_xlfn.XLOOKUP(spaces_3iWczBNnn5rbfoUlE0Jd_uploads_git_blob_9864c7f811c613c3faab876659c6423__25[[#This Row],[Número de Orden]],Cocinadinamica!E157:E925,Cocinadinamica!F157:F925)/1440</f>
        <v>6.9444444444444448E-2</v>
      </c>
      <c r="T156" s="9" cm="1">
        <f t="array" ref="T15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4.9305555557010744E-2</v>
      </c>
      <c r="U156" s="9" t="str" cm="1">
        <f t="array" ref="U15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7" spans="1:21" x14ac:dyDescent="0.35">
      <c r="A157" s="28" t="s">
        <v>185</v>
      </c>
      <c r="B157" s="13" t="s">
        <v>261</v>
      </c>
      <c r="C157" s="13">
        <v>4</v>
      </c>
      <c r="D157" s="14">
        <v>45018.027777777781</v>
      </c>
      <c r="E157" s="14">
        <v>45018.178472222222</v>
      </c>
      <c r="F157" s="13" t="s">
        <v>170</v>
      </c>
      <c r="G157" s="13" t="s">
        <v>73</v>
      </c>
      <c r="H157" s="13" t="s">
        <v>74</v>
      </c>
      <c r="I157" s="17">
        <v>19.03</v>
      </c>
      <c r="J157" s="13" t="s">
        <v>75</v>
      </c>
      <c r="K157" s="13">
        <v>156</v>
      </c>
      <c r="L157" s="13" t="s">
        <v>181</v>
      </c>
      <c r="M157" s="13" t="s">
        <v>27</v>
      </c>
      <c r="N157">
        <f>_xlfn.XLOOKUP(spaces_3iWczBNnn5rbfoUlE0Jd_uploads_git_blob_9864c7f811c613c3faab876659c6423__25[[#This Row],[Número de Orden]],Cocinadinamica!B158:B926,Cocinadinamica!C158:C926)</f>
        <v>24</v>
      </c>
      <c r="O157" s="7">
        <f>spaces_3iWczBNnn5rbfoUlE0Jd_uploads_git_blob_9864c7f811c613c3faab876659c6423__25[[#This Row],[Hora de Llegada]]</f>
        <v>45018.027777777781</v>
      </c>
      <c r="P157" s="9">
        <f>spaces_3iWczBNnn5rbfoUlE0Jd_uploads_git_blob_9864c7f811c613c3faab876659c6423__25[[#This Row],[Hora de Llegada]]</f>
        <v>45018.027777777781</v>
      </c>
      <c r="Q157" s="9">
        <f>spaces_3iWczBNnn5rbfoUlE0Jd_uploads_git_blob_9864c7f811c613c3faab876659c6423__25[[#This Row],[Hora de Salida]]</f>
        <v>45018.178472222222</v>
      </c>
      <c r="R157" s="9" cm="1">
        <f t="array" ref="R15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0.15069444444088731</v>
      </c>
      <c r="S157" s="9">
        <f>_xlfn.XLOOKUP(spaces_3iWczBNnn5rbfoUlE0Jd_uploads_git_blob_9864c7f811c613c3faab876659c6423__25[[#This Row],[Número de Orden]],Cocinadinamica!E158:E926,Cocinadinamica!F158:F926)/1440</f>
        <v>4.1666666666666666E-3</v>
      </c>
      <c r="T157" s="9" cm="1">
        <f t="array" ref="T15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0.14652777777422063</v>
      </c>
      <c r="U157" s="9" t="str" cm="1">
        <f t="array" ref="U15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8" spans="1:21" x14ac:dyDescent="0.35">
      <c r="A158" s="27">
        <v>13</v>
      </c>
      <c r="B158" s="11" t="s">
        <v>954</v>
      </c>
      <c r="C158" s="11">
        <v>5</v>
      </c>
      <c r="D158" s="12">
        <v>45018.140277777777</v>
      </c>
      <c r="E158" s="12">
        <v>45018.260416666664</v>
      </c>
      <c r="F158" s="11" t="s">
        <v>170</v>
      </c>
      <c r="G158" s="11" t="s">
        <v>163</v>
      </c>
      <c r="H158" s="11" t="s">
        <v>74</v>
      </c>
      <c r="I158" s="16">
        <v>28.48</v>
      </c>
      <c r="J158" s="11" t="s">
        <v>88</v>
      </c>
      <c r="K158" s="11">
        <v>157</v>
      </c>
      <c r="L158" s="11" t="s">
        <v>76</v>
      </c>
      <c r="M158" s="11" t="s">
        <v>1384</v>
      </c>
      <c r="N158">
        <f>_xlfn.XLOOKUP(spaces_3iWczBNnn5rbfoUlE0Jd_uploads_git_blob_9864c7f811c613c3faab876659c6423__25[[#This Row],[Número de Orden]],Cocinadinamica!B159:B927,Cocinadinamica!C159:C927)</f>
        <v>108</v>
      </c>
      <c r="O158" s="7">
        <f>spaces_3iWczBNnn5rbfoUlE0Jd_uploads_git_blob_9864c7f811c613c3faab876659c6423__25[[#This Row],[Hora de Llegada]]</f>
        <v>45018.140277777777</v>
      </c>
      <c r="P158" s="9">
        <f>spaces_3iWczBNnn5rbfoUlE0Jd_uploads_git_blob_9864c7f811c613c3faab876659c6423__25[[#This Row],[Hora de Llegada]]</f>
        <v>45018.140277777777</v>
      </c>
      <c r="Q158" s="9">
        <f>spaces_3iWczBNnn5rbfoUlE0Jd_uploads_git_blob_9864c7f811c613c3faab876659c6423__25[[#This Row],[Hora de Salida]]</f>
        <v>45018.260416666664</v>
      </c>
      <c r="R158" s="9" cm="1">
        <f t="array" ref="R15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0.13055555555183673</v>
      </c>
      <c r="S158" s="9">
        <f>_xlfn.XLOOKUP(spaces_3iWczBNnn5rbfoUlE0Jd_uploads_git_blob_9864c7f811c613c3faab876659c6423__25[[#This Row],[Número de Orden]],Cocinadinamica!E159:E927,Cocinadinamica!F159:F927)/1440</f>
        <v>0.10416666666666667</v>
      </c>
      <c r="T158" s="9" cm="1">
        <f t="array" ref="T15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2.6388888885170061E-2</v>
      </c>
      <c r="U158" s="9" t="str" cm="1">
        <f t="array" ref="U15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59" spans="1:21" x14ac:dyDescent="0.35">
      <c r="A159" s="28">
        <v>5</v>
      </c>
      <c r="B159" s="13" t="s">
        <v>586</v>
      </c>
      <c r="C159" s="13">
        <v>5</v>
      </c>
      <c r="D159" s="14">
        <v>45018.114583333336</v>
      </c>
      <c r="E159" s="14">
        <v>45018.165972222225</v>
      </c>
      <c r="F159" s="13" t="s">
        <v>170</v>
      </c>
      <c r="G159" s="13" t="s">
        <v>86</v>
      </c>
      <c r="H159" s="13" t="s">
        <v>74</v>
      </c>
      <c r="I159" s="17">
        <v>48.75</v>
      </c>
      <c r="J159" s="13" t="s">
        <v>75</v>
      </c>
      <c r="K159" s="13">
        <v>158</v>
      </c>
      <c r="L159" s="13" t="s">
        <v>101</v>
      </c>
      <c r="M159" s="13" t="s">
        <v>1385</v>
      </c>
      <c r="N159">
        <f>_xlfn.XLOOKUP(spaces_3iWczBNnn5rbfoUlE0Jd_uploads_git_blob_9864c7f811c613c3faab876659c6423__25[[#This Row],[Número de Orden]],Cocinadinamica!B160:B928,Cocinadinamica!C160:C928)</f>
        <v>125</v>
      </c>
      <c r="O159" s="7">
        <f>spaces_3iWczBNnn5rbfoUlE0Jd_uploads_git_blob_9864c7f811c613c3faab876659c6423__25[[#This Row],[Hora de Llegada]]</f>
        <v>45018.114583333336</v>
      </c>
      <c r="P159" s="9">
        <f>spaces_3iWczBNnn5rbfoUlE0Jd_uploads_git_blob_9864c7f811c613c3faab876659c6423__25[[#This Row],[Hora de Llegada]]</f>
        <v>45018.114583333336</v>
      </c>
      <c r="Q159" s="9">
        <f>spaces_3iWczBNnn5rbfoUlE0Jd_uploads_git_blob_9864c7f811c613c3faab876659c6423__25[[#This Row],[Hora de Salida]]</f>
        <v>45018.165972222225</v>
      </c>
      <c r="R159" s="9" cm="1">
        <f t="array" ref="R15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5.1388888889050577E-2</v>
      </c>
      <c r="S159" s="9">
        <f>_xlfn.XLOOKUP(spaces_3iWczBNnn5rbfoUlE0Jd_uploads_git_blob_9864c7f811c613c3faab876659c6423__25[[#This Row],[Número de Orden]],Cocinadinamica!E160:E928,Cocinadinamica!F160:F928)/1440</f>
        <v>9.375E-2</v>
      </c>
      <c r="T159" s="9" cm="1">
        <f t="array" ref="T15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59" s="9" t="str" cm="1">
        <f t="array" ref="U15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60" spans="1:21" x14ac:dyDescent="0.35">
      <c r="A160" s="27">
        <v>16</v>
      </c>
      <c r="B160" s="11" t="s">
        <v>955</v>
      </c>
      <c r="C160" s="11">
        <v>1</v>
      </c>
      <c r="D160" s="12">
        <v>45018.006944444445</v>
      </c>
      <c r="E160" s="12">
        <v>45018.052083333336</v>
      </c>
      <c r="F160" s="11" t="s">
        <v>170</v>
      </c>
      <c r="G160" s="11" t="s">
        <v>163</v>
      </c>
      <c r="H160" s="11" t="s">
        <v>74</v>
      </c>
      <c r="I160" s="16">
        <v>47.81</v>
      </c>
      <c r="J160" s="11" t="s">
        <v>88</v>
      </c>
      <c r="K160" s="11">
        <v>159</v>
      </c>
      <c r="L160" s="11" t="s">
        <v>89</v>
      </c>
      <c r="M160" s="11" t="s">
        <v>1386</v>
      </c>
      <c r="N160">
        <f>_xlfn.XLOOKUP(spaces_3iWczBNnn5rbfoUlE0Jd_uploads_git_blob_9864c7f811c613c3faab876659c6423__25[[#This Row],[Número de Orden]],Cocinadinamica!B161:B929,Cocinadinamica!C161:C929)</f>
        <v>103</v>
      </c>
      <c r="O160" s="7">
        <f>spaces_3iWczBNnn5rbfoUlE0Jd_uploads_git_blob_9864c7f811c613c3faab876659c6423__25[[#This Row],[Hora de Llegada]]</f>
        <v>45018.006944444445</v>
      </c>
      <c r="P160" s="9">
        <f>spaces_3iWczBNnn5rbfoUlE0Jd_uploads_git_blob_9864c7f811c613c3faab876659c6423__25[[#This Row],[Hora de Llegada]]</f>
        <v>45018.006944444445</v>
      </c>
      <c r="Q160" s="9">
        <f>spaces_3iWczBNnn5rbfoUlE0Jd_uploads_git_blob_9864c7f811c613c3faab876659c6423__25[[#This Row],[Hora de Salida]]</f>
        <v>45018.052083333336</v>
      </c>
      <c r="R160" s="9" cm="1">
        <f t="array" ref="R16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5.5555555554747116E-2</v>
      </c>
      <c r="S160" s="9">
        <f>_xlfn.XLOOKUP(spaces_3iWczBNnn5rbfoUlE0Jd_uploads_git_blob_9864c7f811c613c3faab876659c6423__25[[#This Row],[Número de Orden]],Cocinadinamica!E161:E929,Cocinadinamica!F161:F929)/1440</f>
        <v>5.1388888888888887E-2</v>
      </c>
      <c r="T160" s="9" cm="1">
        <f t="array" ref="T16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4.1666666658582291E-3</v>
      </c>
      <c r="U160" s="9" t="str" cm="1">
        <f t="array" ref="U16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61" spans="1:21" x14ac:dyDescent="0.35">
      <c r="A161" s="28">
        <v>19</v>
      </c>
      <c r="B161" s="13" t="s">
        <v>355</v>
      </c>
      <c r="C161" s="13">
        <v>6</v>
      </c>
      <c r="D161" s="14">
        <v>45018.04583333333</v>
      </c>
      <c r="E161" s="14">
        <v>45018.189583333333</v>
      </c>
      <c r="F161" s="13" t="s">
        <v>100</v>
      </c>
      <c r="G161" s="13" t="s">
        <v>86</v>
      </c>
      <c r="H161" s="13" t="s">
        <v>74</v>
      </c>
      <c r="I161" s="17">
        <v>26.02</v>
      </c>
      <c r="J161" s="13" t="s">
        <v>94</v>
      </c>
      <c r="K161" s="13">
        <v>160</v>
      </c>
      <c r="L161" s="13" t="s">
        <v>110</v>
      </c>
      <c r="M161" s="13" t="s">
        <v>1387</v>
      </c>
      <c r="N161">
        <f>_xlfn.XLOOKUP(spaces_3iWczBNnn5rbfoUlE0Jd_uploads_git_blob_9864c7f811c613c3faab876659c6423__25[[#This Row],[Número de Orden]],Cocinadinamica!B162:B930,Cocinadinamica!C162:C930)</f>
        <v>62</v>
      </c>
      <c r="O161" s="7">
        <f>spaces_3iWczBNnn5rbfoUlE0Jd_uploads_git_blob_9864c7f811c613c3faab876659c6423__25[[#This Row],[Hora de Llegada]]</f>
        <v>45018.04583333333</v>
      </c>
      <c r="P161" s="9">
        <f>spaces_3iWczBNnn5rbfoUlE0Jd_uploads_git_blob_9864c7f811c613c3faab876659c6423__25[[#This Row],[Hora de Llegada]]</f>
        <v>45018.04583333333</v>
      </c>
      <c r="Q161" s="9">
        <f>spaces_3iWczBNnn5rbfoUlE0Jd_uploads_git_blob_9864c7f811c613c3faab876659c6423__25[[#This Row],[Hora de Salida]]</f>
        <v>45018.189583333333</v>
      </c>
      <c r="R161" s="9" cm="1">
        <f t="array" ref="R16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0.14375000000291038</v>
      </c>
      <c r="S161" s="9">
        <f>_xlfn.XLOOKUP(spaces_3iWczBNnn5rbfoUlE0Jd_uploads_git_blob_9864c7f811c613c3faab876659c6423__25[[#This Row],[Número de Orden]],Cocinadinamica!E162:E930,Cocinadinamica!F162:F930)/1440</f>
        <v>4.6527777777777779E-2</v>
      </c>
      <c r="T161" s="9" cm="1">
        <f t="array" ref="T16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9.7222222225132604E-2</v>
      </c>
      <c r="U161" s="9" t="str" cm="1">
        <f t="array" ref="U16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62" spans="1:21" x14ac:dyDescent="0.35">
      <c r="A162" s="27" t="s">
        <v>240</v>
      </c>
      <c r="B162" s="11" t="s">
        <v>266</v>
      </c>
      <c r="C162" s="11">
        <v>6</v>
      </c>
      <c r="D162" s="12">
        <v>45018.03125</v>
      </c>
      <c r="E162" s="12">
        <v>45018.182638888888</v>
      </c>
      <c r="F162" s="11" t="s">
        <v>100</v>
      </c>
      <c r="G162" s="11" t="s">
        <v>86</v>
      </c>
      <c r="H162" s="11" t="s">
        <v>74</v>
      </c>
      <c r="I162" s="16">
        <v>18.86</v>
      </c>
      <c r="J162" s="11" t="s">
        <v>94</v>
      </c>
      <c r="K162" s="11">
        <v>161</v>
      </c>
      <c r="L162" s="11" t="s">
        <v>221</v>
      </c>
      <c r="M162" s="11" t="s">
        <v>27</v>
      </c>
      <c r="N162">
        <f>_xlfn.XLOOKUP(spaces_3iWczBNnn5rbfoUlE0Jd_uploads_git_blob_9864c7f811c613c3faab876659c6423__25[[#This Row],[Número de Orden]],Cocinadinamica!B163:B931,Cocinadinamica!C163:C931)</f>
        <v>36</v>
      </c>
      <c r="O162" s="7">
        <f>spaces_3iWczBNnn5rbfoUlE0Jd_uploads_git_blob_9864c7f811c613c3faab876659c6423__25[[#This Row],[Hora de Llegada]]</f>
        <v>45018.03125</v>
      </c>
      <c r="P162" s="9">
        <f>spaces_3iWczBNnn5rbfoUlE0Jd_uploads_git_blob_9864c7f811c613c3faab876659c6423__25[[#This Row],[Hora de Llegada]]</f>
        <v>45018.03125</v>
      </c>
      <c r="Q162" s="9">
        <f>spaces_3iWczBNnn5rbfoUlE0Jd_uploads_git_blob_9864c7f811c613c3faab876659c6423__25[[#This Row],[Hora de Salida]]</f>
        <v>45018.182638888888</v>
      </c>
      <c r="R162" s="9" cm="1">
        <f t="array" ref="R16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0.15138888888759539</v>
      </c>
      <c r="S162" s="9">
        <f>_xlfn.XLOOKUP(spaces_3iWczBNnn5rbfoUlE0Jd_uploads_git_blob_9864c7f811c613c3faab876659c6423__25[[#This Row],[Número de Orden]],Cocinadinamica!E163:E931,Cocinadinamica!F163:F931)/1440</f>
        <v>3.9583333333333331E-2</v>
      </c>
      <c r="T162" s="9" cm="1">
        <f t="array" ref="T16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0.11180555555426205</v>
      </c>
      <c r="U162" s="9" t="str" cm="1">
        <f t="array" ref="U16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63" spans="1:21" x14ac:dyDescent="0.35">
      <c r="A163" s="28" t="s">
        <v>267</v>
      </c>
      <c r="B163" s="13" t="s">
        <v>268</v>
      </c>
      <c r="C163" s="13">
        <v>4</v>
      </c>
      <c r="D163" s="14">
        <v>45018.039583333331</v>
      </c>
      <c r="E163" s="14">
        <v>45018.106944444444</v>
      </c>
      <c r="F163" s="13" t="s">
        <v>223</v>
      </c>
      <c r="G163" s="13" t="s">
        <v>86</v>
      </c>
      <c r="H163" s="13" t="s">
        <v>74</v>
      </c>
      <c r="I163" s="17">
        <v>17.55</v>
      </c>
      <c r="J163" s="13" t="s">
        <v>94</v>
      </c>
      <c r="K163" s="13">
        <v>162</v>
      </c>
      <c r="L163" s="13" t="s">
        <v>221</v>
      </c>
      <c r="M163" s="13" t="s">
        <v>9</v>
      </c>
      <c r="N163">
        <f>_xlfn.XLOOKUP(spaces_3iWczBNnn5rbfoUlE0Jd_uploads_git_blob_9864c7f811c613c3faab876659c6423__25[[#This Row],[Número de Orden]],Cocinadinamica!B164:B932,Cocinadinamica!C164:C932)</f>
        <v>30</v>
      </c>
      <c r="O163" s="7">
        <f>spaces_3iWczBNnn5rbfoUlE0Jd_uploads_git_blob_9864c7f811c613c3faab876659c6423__25[[#This Row],[Hora de Llegada]]</f>
        <v>45018.039583333331</v>
      </c>
      <c r="P163" s="9">
        <f>spaces_3iWczBNnn5rbfoUlE0Jd_uploads_git_blob_9864c7f811c613c3faab876659c6423__25[[#This Row],[Hora de Llegada]]</f>
        <v>45018.039583333331</v>
      </c>
      <c r="Q163" s="9">
        <f>spaces_3iWczBNnn5rbfoUlE0Jd_uploads_git_blob_9864c7f811c613c3faab876659c6423__25[[#This Row],[Hora de Salida]]</f>
        <v>45018.106944444444</v>
      </c>
      <c r="R163" s="9" cm="1">
        <f t="array" ref="R16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6.7361111112404615E-2</v>
      </c>
      <c r="S163" s="9">
        <f>_xlfn.XLOOKUP(spaces_3iWczBNnn5rbfoUlE0Jd_uploads_git_blob_9864c7f811c613c3faab876659c6423__25[[#This Row],[Número de Orden]],Cocinadinamica!E164:E932,Cocinadinamica!F164:F932)/1440</f>
        <v>1.7361111111111112E-2</v>
      </c>
      <c r="T163" s="9" cm="1">
        <f t="array" ref="T16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5.0000000001293503E-2</v>
      </c>
      <c r="U163" s="9" t="str" cm="1">
        <f t="array" ref="U16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64" spans="1:21" x14ac:dyDescent="0.35">
      <c r="A164" s="27">
        <v>6</v>
      </c>
      <c r="B164" s="11" t="s">
        <v>956</v>
      </c>
      <c r="C164" s="11">
        <v>1</v>
      </c>
      <c r="D164" s="12">
        <v>45018.065972222219</v>
      </c>
      <c r="E164" s="12">
        <v>45018.17291666667</v>
      </c>
      <c r="F164" s="11" t="s">
        <v>85</v>
      </c>
      <c r="G164" s="11" t="s">
        <v>86</v>
      </c>
      <c r="H164" s="11" t="s">
        <v>74</v>
      </c>
      <c r="I164" s="16">
        <v>14.94</v>
      </c>
      <c r="J164" s="11" t="s">
        <v>88</v>
      </c>
      <c r="K164" s="11">
        <v>163</v>
      </c>
      <c r="L164" s="11" t="s">
        <v>101</v>
      </c>
      <c r="M164" s="11" t="s">
        <v>1388</v>
      </c>
      <c r="N164">
        <f>_xlfn.XLOOKUP(spaces_3iWczBNnn5rbfoUlE0Jd_uploads_git_blob_9864c7f811c613c3faab876659c6423__25[[#This Row],[Número de Orden]],Cocinadinamica!B165:B933,Cocinadinamica!C165:C933)</f>
        <v>107</v>
      </c>
      <c r="O164" s="7">
        <f>spaces_3iWczBNnn5rbfoUlE0Jd_uploads_git_blob_9864c7f811c613c3faab876659c6423__25[[#This Row],[Hora de Llegada]]</f>
        <v>45018.065972222219</v>
      </c>
      <c r="P164" s="9">
        <f>spaces_3iWczBNnn5rbfoUlE0Jd_uploads_git_blob_9864c7f811c613c3faab876659c6423__25[[#This Row],[Hora de Llegada]]</f>
        <v>45018.065972222219</v>
      </c>
      <c r="Q164" s="9">
        <f>spaces_3iWczBNnn5rbfoUlE0Jd_uploads_git_blob_9864c7f811c613c3faab876659c6423__25[[#This Row],[Hora de Salida]]</f>
        <v>45018.17291666667</v>
      </c>
      <c r="R164" s="9" cm="1">
        <f t="array" ref="R16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0.117361111115315</v>
      </c>
      <c r="S164" s="9">
        <f>_xlfn.XLOOKUP(spaces_3iWczBNnn5rbfoUlE0Jd_uploads_git_blob_9864c7f811c613c3faab876659c6423__25[[#This Row],[Número de Orden]],Cocinadinamica!E165:E933,Cocinadinamica!F165:F933)/1440</f>
        <v>4.9305555555555554E-2</v>
      </c>
      <c r="T164" s="9" cm="1">
        <f t="array" ref="T16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6.8055555559759451E-2</v>
      </c>
      <c r="U164" s="9" t="str" cm="1">
        <f t="array" ref="U16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65" spans="1:21" x14ac:dyDescent="0.35">
      <c r="A165" s="28">
        <v>8</v>
      </c>
      <c r="B165" s="13" t="s">
        <v>957</v>
      </c>
      <c r="C165" s="13">
        <v>2</v>
      </c>
      <c r="D165" s="14">
        <v>45018.106944444444</v>
      </c>
      <c r="E165" s="14">
        <v>45018.251388888886</v>
      </c>
      <c r="F165" s="13" t="s">
        <v>72</v>
      </c>
      <c r="G165" s="13" t="s">
        <v>73</v>
      </c>
      <c r="H165" s="13" t="s">
        <v>74</v>
      </c>
      <c r="I165" s="17">
        <v>47.53</v>
      </c>
      <c r="J165" s="13" t="s">
        <v>94</v>
      </c>
      <c r="K165" s="13">
        <v>164</v>
      </c>
      <c r="L165" s="13" t="s">
        <v>110</v>
      </c>
      <c r="M165" s="13" t="s">
        <v>1389</v>
      </c>
      <c r="N165">
        <f>_xlfn.XLOOKUP(spaces_3iWczBNnn5rbfoUlE0Jd_uploads_git_blob_9864c7f811c613c3faab876659c6423__25[[#This Row],[Número de Orden]],Cocinadinamica!B166:B934,Cocinadinamica!C166:C934)</f>
        <v>69</v>
      </c>
      <c r="O165" s="7">
        <f>spaces_3iWczBNnn5rbfoUlE0Jd_uploads_git_blob_9864c7f811c613c3faab876659c6423__25[[#This Row],[Hora de Llegada]]</f>
        <v>45018.106944444444</v>
      </c>
      <c r="P165" s="9">
        <f>spaces_3iWczBNnn5rbfoUlE0Jd_uploads_git_blob_9864c7f811c613c3faab876659c6423__25[[#This Row],[Hora de Llegada]]</f>
        <v>45018.106944444444</v>
      </c>
      <c r="Q165" s="9">
        <f>spaces_3iWczBNnn5rbfoUlE0Jd_uploads_git_blob_9864c7f811c613c3faab876659c6423__25[[#This Row],[Hora de Salida]]</f>
        <v>45018.251388888886</v>
      </c>
      <c r="R165" s="9" cm="1">
        <f t="array" ref="R16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0.1444444444423425</v>
      </c>
      <c r="S165" s="9">
        <f>_xlfn.XLOOKUP(spaces_3iWczBNnn5rbfoUlE0Jd_uploads_git_blob_9864c7f811c613c3faab876659c6423__25[[#This Row],[Número de Orden]],Cocinadinamica!E166:E934,Cocinadinamica!F166:F934)/1440</f>
        <v>7.2916666666666671E-2</v>
      </c>
      <c r="T165" s="9" cm="1">
        <f t="array" ref="T16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7.152777777567583E-2</v>
      </c>
      <c r="U165" s="9" t="str" cm="1">
        <f t="array" ref="U16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66" spans="1:21" x14ac:dyDescent="0.35">
      <c r="A166" s="27">
        <v>10</v>
      </c>
      <c r="B166" s="11" t="s">
        <v>958</v>
      </c>
      <c r="C166" s="11">
        <v>3</v>
      </c>
      <c r="D166" s="12">
        <v>45018.097916666666</v>
      </c>
      <c r="E166" s="12">
        <v>45018.216666666667</v>
      </c>
      <c r="F166" s="11" t="s">
        <v>170</v>
      </c>
      <c r="G166" s="11" t="s">
        <v>73</v>
      </c>
      <c r="H166" s="11" t="s">
        <v>74</v>
      </c>
      <c r="I166" s="16">
        <v>41.9</v>
      </c>
      <c r="J166" s="11" t="s">
        <v>88</v>
      </c>
      <c r="K166" s="11">
        <v>165</v>
      </c>
      <c r="L166" s="11" t="s">
        <v>76</v>
      </c>
      <c r="M166" s="11" t="s">
        <v>1390</v>
      </c>
      <c r="N166">
        <f>_xlfn.XLOOKUP(spaces_3iWczBNnn5rbfoUlE0Jd_uploads_git_blob_9864c7f811c613c3faab876659c6423__25[[#This Row],[Número de Orden]],Cocinadinamica!B167:B935,Cocinadinamica!C167:C935)</f>
        <v>36</v>
      </c>
      <c r="O166" s="7">
        <f>spaces_3iWczBNnn5rbfoUlE0Jd_uploads_git_blob_9864c7f811c613c3faab876659c6423__25[[#This Row],[Hora de Llegada]]</f>
        <v>45018.097916666666</v>
      </c>
      <c r="P166" s="9">
        <f>spaces_3iWczBNnn5rbfoUlE0Jd_uploads_git_blob_9864c7f811c613c3faab876659c6423__25[[#This Row],[Hora de Llegada]]</f>
        <v>45018.097916666666</v>
      </c>
      <c r="Q166" s="9">
        <f>spaces_3iWczBNnn5rbfoUlE0Jd_uploads_git_blob_9864c7f811c613c3faab876659c6423__25[[#This Row],[Hora de Salida]]</f>
        <v>45018.216666666667</v>
      </c>
      <c r="R166" s="9" cm="1">
        <f t="array" ref="R16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0.12916666666569654</v>
      </c>
      <c r="S166" s="9">
        <f>_xlfn.XLOOKUP(spaces_3iWczBNnn5rbfoUlE0Jd_uploads_git_blob_9864c7f811c613c3faab876659c6423__25[[#This Row],[Número de Orden]],Cocinadinamica!E167:E935,Cocinadinamica!F167:F935)/1440</f>
        <v>3.888888888888889E-2</v>
      </c>
      <c r="T166" s="9" cm="1">
        <f t="array" ref="T16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9.0277777776807649E-2</v>
      </c>
      <c r="U166" s="9" t="str" cm="1">
        <f t="array" ref="U16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67" spans="1:21" x14ac:dyDescent="0.35">
      <c r="A167" s="28" t="s">
        <v>107</v>
      </c>
      <c r="B167" s="13" t="s">
        <v>272</v>
      </c>
      <c r="C167" s="13">
        <v>1</v>
      </c>
      <c r="D167" s="14">
        <v>45018.054166666669</v>
      </c>
      <c r="E167" s="14">
        <v>45018.113888888889</v>
      </c>
      <c r="F167" s="13" t="s">
        <v>72</v>
      </c>
      <c r="G167" s="13" t="s">
        <v>86</v>
      </c>
      <c r="H167" s="13" t="s">
        <v>87</v>
      </c>
      <c r="I167" s="17">
        <v>43.95</v>
      </c>
      <c r="J167" s="13" t="s">
        <v>88</v>
      </c>
      <c r="K167" s="13">
        <v>166</v>
      </c>
      <c r="L167" s="13" t="s">
        <v>76</v>
      </c>
      <c r="M167" s="13" t="s">
        <v>41</v>
      </c>
      <c r="N167">
        <f>_xlfn.XLOOKUP(spaces_3iWczBNnn5rbfoUlE0Jd_uploads_git_blob_9864c7f811c613c3faab876659c6423__25[[#This Row],[Número de Orden]],Cocinadinamica!B168:B936,Cocinadinamica!C168:C936)</f>
        <v>18</v>
      </c>
      <c r="O167" s="7">
        <f>spaces_3iWczBNnn5rbfoUlE0Jd_uploads_git_blob_9864c7f811c613c3faab876659c6423__25[[#This Row],[Hora de Llegada]]</f>
        <v>45018.054166666669</v>
      </c>
      <c r="P167" s="9">
        <f>spaces_3iWczBNnn5rbfoUlE0Jd_uploads_git_blob_9864c7f811c613c3faab876659c6423__25[[#This Row],[Hora de Llegada]]</f>
        <v>45018.054166666669</v>
      </c>
      <c r="Q167" s="9">
        <f>spaces_3iWczBNnn5rbfoUlE0Jd_uploads_git_blob_9864c7f811c613c3faab876659c6423__25[[#This Row],[Hora de Salida]]</f>
        <v>45018.113888888889</v>
      </c>
      <c r="R167" s="9" cm="1">
        <f t="array" ref="R16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7.0138888884685002E-2</v>
      </c>
      <c r="S167" s="9">
        <f>_xlfn.XLOOKUP(spaces_3iWczBNnn5rbfoUlE0Jd_uploads_git_blob_9864c7f811c613c3faab876659c6423__25[[#This Row],[Número de Orden]],Cocinadinamica!E168:E936,Cocinadinamica!F168:F936)/1440</f>
        <v>1.5277777777777777E-2</v>
      </c>
      <c r="T167" s="9" cm="1">
        <f t="array" ref="T16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5.4861111106907223E-2</v>
      </c>
      <c r="U167" s="9" t="str" cm="1">
        <f t="array" ref="U16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68" spans="1:21" x14ac:dyDescent="0.35">
      <c r="A168" s="27">
        <v>5</v>
      </c>
      <c r="B168" s="11" t="s">
        <v>959</v>
      </c>
      <c r="C168" s="11">
        <v>6</v>
      </c>
      <c r="D168" s="12">
        <v>45018.054861111108</v>
      </c>
      <c r="E168" s="12">
        <v>45018.115277777775</v>
      </c>
      <c r="F168" s="11" t="s">
        <v>100</v>
      </c>
      <c r="G168" s="11" t="s">
        <v>86</v>
      </c>
      <c r="H168" s="11" t="s">
        <v>109</v>
      </c>
      <c r="I168" s="16">
        <v>42.74</v>
      </c>
      <c r="J168" s="11" t="s">
        <v>94</v>
      </c>
      <c r="K168" s="11">
        <v>167</v>
      </c>
      <c r="L168" s="11" t="s">
        <v>164</v>
      </c>
      <c r="M168" s="11" t="s">
        <v>1391</v>
      </c>
      <c r="N168">
        <f>_xlfn.XLOOKUP(spaces_3iWczBNnn5rbfoUlE0Jd_uploads_git_blob_9864c7f811c613c3faab876659c6423__25[[#This Row],[Número de Orden]],Cocinadinamica!B169:B937,Cocinadinamica!C169:C937)</f>
        <v>62</v>
      </c>
      <c r="O168" s="7">
        <f>spaces_3iWczBNnn5rbfoUlE0Jd_uploads_git_blob_9864c7f811c613c3faab876659c6423__25[[#This Row],[Hora de Llegada]]</f>
        <v>45018.054861111108</v>
      </c>
      <c r="P168" s="9">
        <f>spaces_3iWczBNnn5rbfoUlE0Jd_uploads_git_blob_9864c7f811c613c3faab876659c6423__25[[#This Row],[Hora de Llegada]]</f>
        <v>45018.054861111108</v>
      </c>
      <c r="Q168" s="9">
        <f>spaces_3iWczBNnn5rbfoUlE0Jd_uploads_git_blob_9864c7f811c613c3faab876659c6423__25[[#This Row],[Hora de Salida]]</f>
        <v>45018.115277777775</v>
      </c>
      <c r="R168" s="9" cm="1">
        <f t="array" ref="R16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6.0416666667151731E-2</v>
      </c>
      <c r="S168" s="9">
        <f>_xlfn.XLOOKUP(spaces_3iWczBNnn5rbfoUlE0Jd_uploads_git_blob_9864c7f811c613c3faab876659c6423__25[[#This Row],[Número de Orden]],Cocinadinamica!E169:E937,Cocinadinamica!F169:F937)/1440</f>
        <v>5.2777777777777778E-2</v>
      </c>
      <c r="T168" s="9" cm="1">
        <f t="array" ref="T16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7.6388888893739529E-3</v>
      </c>
      <c r="U168" s="9" t="str" cm="1">
        <f t="array" ref="U16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69" spans="1:21" x14ac:dyDescent="0.35">
      <c r="A169" s="28" t="s">
        <v>132</v>
      </c>
      <c r="B169" s="13" t="s">
        <v>274</v>
      </c>
      <c r="C169" s="13">
        <v>4</v>
      </c>
      <c r="D169" s="14">
        <v>45018.086805555555</v>
      </c>
      <c r="E169" s="14">
        <v>45018.140972222223</v>
      </c>
      <c r="F169" s="13" t="s">
        <v>223</v>
      </c>
      <c r="G169" s="13" t="s">
        <v>86</v>
      </c>
      <c r="H169" s="13" t="s">
        <v>74</v>
      </c>
      <c r="I169" s="17">
        <v>17.09</v>
      </c>
      <c r="J169" s="13" t="s">
        <v>94</v>
      </c>
      <c r="K169" s="13">
        <v>168</v>
      </c>
      <c r="L169" s="13" t="s">
        <v>275</v>
      </c>
      <c r="M169" s="13" t="s">
        <v>35</v>
      </c>
      <c r="N169">
        <f>_xlfn.XLOOKUP(spaces_3iWczBNnn5rbfoUlE0Jd_uploads_git_blob_9864c7f811c613c3faab876659c6423__25[[#This Row],[Número de Orden]],Cocinadinamica!B170:B938,Cocinadinamica!C170:C938)</f>
        <v>18</v>
      </c>
      <c r="O169" s="7">
        <f>spaces_3iWczBNnn5rbfoUlE0Jd_uploads_git_blob_9864c7f811c613c3faab876659c6423__25[[#This Row],[Hora de Llegada]]</f>
        <v>45018.086805555555</v>
      </c>
      <c r="P169" s="9">
        <f>spaces_3iWczBNnn5rbfoUlE0Jd_uploads_git_blob_9864c7f811c613c3faab876659c6423__25[[#This Row],[Hora de Llegada]]</f>
        <v>45018.086805555555</v>
      </c>
      <c r="Q169" s="9">
        <f>spaces_3iWczBNnn5rbfoUlE0Jd_uploads_git_blob_9864c7f811c613c3faab876659c6423__25[[#This Row],[Hora de Salida]]</f>
        <v>45018.140972222223</v>
      </c>
      <c r="R169" s="9" cm="1">
        <f t="array" ref="R16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5.4166666668606922E-2</v>
      </c>
      <c r="S169" s="9">
        <f>_xlfn.XLOOKUP(spaces_3iWczBNnn5rbfoUlE0Jd_uploads_git_blob_9864c7f811c613c3faab876659c6423__25[[#This Row],[Número de Orden]],Cocinadinamica!E170:E938,Cocinadinamica!F170:F938)/1440</f>
        <v>4.8611111111111112E-3</v>
      </c>
      <c r="T169" s="9" cm="1">
        <f t="array" ref="T16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4.9305555557495814E-2</v>
      </c>
      <c r="U169" s="9" t="str" cm="1">
        <f t="array" ref="U16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0" spans="1:21" x14ac:dyDescent="0.35">
      <c r="A170" s="27">
        <v>19</v>
      </c>
      <c r="B170" s="11" t="s">
        <v>781</v>
      </c>
      <c r="C170" s="11">
        <v>1</v>
      </c>
      <c r="D170" s="12">
        <v>45018.080555555556</v>
      </c>
      <c r="E170" s="12">
        <v>45018.218055555553</v>
      </c>
      <c r="F170" s="11" t="s">
        <v>170</v>
      </c>
      <c r="G170" s="11" t="s">
        <v>86</v>
      </c>
      <c r="H170" s="11" t="s">
        <v>109</v>
      </c>
      <c r="I170" s="16">
        <v>16.62</v>
      </c>
      <c r="J170" s="11" t="s">
        <v>75</v>
      </c>
      <c r="K170" s="11">
        <v>169</v>
      </c>
      <c r="L170" s="11" t="s">
        <v>221</v>
      </c>
      <c r="M170" s="11" t="s">
        <v>1392</v>
      </c>
      <c r="N170">
        <f>_xlfn.XLOOKUP(spaces_3iWczBNnn5rbfoUlE0Jd_uploads_git_blob_9864c7f811c613c3faab876659c6423__25[[#This Row],[Número de Orden]],Cocinadinamica!B171:B939,Cocinadinamica!C171:C939)</f>
        <v>62</v>
      </c>
      <c r="O170" s="7">
        <f>spaces_3iWczBNnn5rbfoUlE0Jd_uploads_git_blob_9864c7f811c613c3faab876659c6423__25[[#This Row],[Hora de Llegada]]</f>
        <v>45018.080555555556</v>
      </c>
      <c r="P170" s="9">
        <f>spaces_3iWczBNnn5rbfoUlE0Jd_uploads_git_blob_9864c7f811c613c3faab876659c6423__25[[#This Row],[Hora de Llegada]]</f>
        <v>45018.080555555556</v>
      </c>
      <c r="Q170" s="9">
        <f>spaces_3iWczBNnn5rbfoUlE0Jd_uploads_git_blob_9864c7f811c613c3faab876659c6423__25[[#This Row],[Hora de Salida]]</f>
        <v>45018.218055555553</v>
      </c>
      <c r="R170" s="9" cm="1">
        <f t="array" ref="R17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0.13749999999708962</v>
      </c>
      <c r="S170" s="9">
        <f>_xlfn.XLOOKUP(spaces_3iWczBNnn5rbfoUlE0Jd_uploads_git_blob_9864c7f811c613c3faab876659c6423__25[[#This Row],[Número de Orden]],Cocinadinamica!E171:E939,Cocinadinamica!F171:F939)/1440</f>
        <v>7.6388888888888895E-2</v>
      </c>
      <c r="T170" s="9" cm="1">
        <f t="array" ref="T17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6.1111111108200722E-2</v>
      </c>
      <c r="U170" s="9" t="str" cm="1">
        <f t="array" ref="U17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1" spans="1:21" x14ac:dyDescent="0.35">
      <c r="A171" s="28">
        <v>12</v>
      </c>
      <c r="B171" s="13" t="s">
        <v>960</v>
      </c>
      <c r="C171" s="13">
        <v>2</v>
      </c>
      <c r="D171" s="14">
        <v>45018.109027777777</v>
      </c>
      <c r="E171" s="14">
        <v>45018.226388888892</v>
      </c>
      <c r="F171" s="13" t="s">
        <v>100</v>
      </c>
      <c r="G171" s="13" t="s">
        <v>73</v>
      </c>
      <c r="H171" s="13" t="s">
        <v>74</v>
      </c>
      <c r="I171" s="17">
        <v>25.98</v>
      </c>
      <c r="J171" s="13" t="s">
        <v>75</v>
      </c>
      <c r="K171" s="13">
        <v>170</v>
      </c>
      <c r="L171" s="13" t="s">
        <v>110</v>
      </c>
      <c r="M171" s="13" t="s">
        <v>1393</v>
      </c>
      <c r="N171">
        <f>_xlfn.XLOOKUP(spaces_3iWczBNnn5rbfoUlE0Jd_uploads_git_blob_9864c7f811c613c3faab876659c6423__25[[#This Row],[Número de Orden]],Cocinadinamica!B172:B940,Cocinadinamica!C172:C940)</f>
        <v>98</v>
      </c>
      <c r="O171" s="7">
        <f>spaces_3iWczBNnn5rbfoUlE0Jd_uploads_git_blob_9864c7f811c613c3faab876659c6423__25[[#This Row],[Hora de Llegada]]</f>
        <v>45018.109027777777</v>
      </c>
      <c r="P171" s="9">
        <f>spaces_3iWczBNnn5rbfoUlE0Jd_uploads_git_blob_9864c7f811c613c3faab876659c6423__25[[#This Row],[Hora de Llegada]]</f>
        <v>45018.109027777777</v>
      </c>
      <c r="Q171" s="9">
        <f>spaces_3iWczBNnn5rbfoUlE0Jd_uploads_git_blob_9864c7f811c613c3faab876659c6423__25[[#This Row],[Hora de Salida]]</f>
        <v>45018.226388888892</v>
      </c>
      <c r="R171" s="9" cm="1">
        <f t="array" ref="R17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0.117361111115315</v>
      </c>
      <c r="S171" s="9">
        <f>_xlfn.XLOOKUP(spaces_3iWczBNnn5rbfoUlE0Jd_uploads_git_blob_9864c7f811c613c3faab876659c6423__25[[#This Row],[Número de Orden]],Cocinadinamica!E172:E940,Cocinadinamica!F172:F940)/1440</f>
        <v>5.0694444444444445E-2</v>
      </c>
      <c r="T171" s="9" cm="1">
        <f t="array" ref="T17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6.6666666670870553E-2</v>
      </c>
      <c r="U171" s="9" t="str" cm="1">
        <f t="array" ref="U17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2" spans="1:21" x14ac:dyDescent="0.35">
      <c r="A172" s="27">
        <v>16</v>
      </c>
      <c r="B172" s="11" t="s">
        <v>792</v>
      </c>
      <c r="C172" s="11">
        <v>6</v>
      </c>
      <c r="D172" s="12">
        <v>45018.078472222223</v>
      </c>
      <c r="E172" s="12">
        <v>45018.12777777778</v>
      </c>
      <c r="F172" s="11" t="s">
        <v>100</v>
      </c>
      <c r="G172" s="11" t="s">
        <v>73</v>
      </c>
      <c r="H172" s="11" t="s">
        <v>74</v>
      </c>
      <c r="I172" s="16">
        <v>46.56</v>
      </c>
      <c r="J172" s="11" t="s">
        <v>75</v>
      </c>
      <c r="K172" s="11">
        <v>171</v>
      </c>
      <c r="L172" s="11" t="s">
        <v>89</v>
      </c>
      <c r="M172" s="11" t="s">
        <v>1394</v>
      </c>
      <c r="N172">
        <f>_xlfn.XLOOKUP(spaces_3iWczBNnn5rbfoUlE0Jd_uploads_git_blob_9864c7f811c613c3faab876659c6423__25[[#This Row],[Número de Orden]],Cocinadinamica!B173:B941,Cocinadinamica!C173:C941)</f>
        <v>58</v>
      </c>
      <c r="O172" s="7">
        <f>spaces_3iWczBNnn5rbfoUlE0Jd_uploads_git_blob_9864c7f811c613c3faab876659c6423__25[[#This Row],[Hora de Llegada]]</f>
        <v>45018.078472222223</v>
      </c>
      <c r="P172" s="9">
        <f>spaces_3iWczBNnn5rbfoUlE0Jd_uploads_git_blob_9864c7f811c613c3faab876659c6423__25[[#This Row],[Hora de Llegada]]</f>
        <v>45018.078472222223</v>
      </c>
      <c r="Q172" s="9">
        <f>spaces_3iWczBNnn5rbfoUlE0Jd_uploads_git_blob_9864c7f811c613c3faab876659c6423__25[[#This Row],[Hora de Salida]]</f>
        <v>45018.12777777778</v>
      </c>
      <c r="R172" s="9" cm="1">
        <f t="array" ref="R17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4.9305555556202307E-2</v>
      </c>
      <c r="S172" s="9">
        <f>_xlfn.XLOOKUP(spaces_3iWczBNnn5rbfoUlE0Jd_uploads_git_blob_9864c7f811c613c3faab876659c6423__25[[#This Row],[Número de Orden]],Cocinadinamica!E173:E941,Cocinadinamica!F173:F941)/1440</f>
        <v>3.5416666666666666E-2</v>
      </c>
      <c r="T172" s="9" cm="1">
        <f t="array" ref="T17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1.3888888889535642E-2</v>
      </c>
      <c r="U172" s="9" t="str" cm="1">
        <f t="array" ref="U17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3" spans="1:21" x14ac:dyDescent="0.35">
      <c r="A173" s="28" t="s">
        <v>107</v>
      </c>
      <c r="B173" s="13" t="s">
        <v>279</v>
      </c>
      <c r="C173" s="13">
        <v>3</v>
      </c>
      <c r="D173" s="14">
        <v>45018.117361111108</v>
      </c>
      <c r="E173" s="14">
        <v>45018.254166666666</v>
      </c>
      <c r="F173" s="13" t="s">
        <v>223</v>
      </c>
      <c r="G173" s="13" t="s">
        <v>86</v>
      </c>
      <c r="H173" s="13" t="s">
        <v>74</v>
      </c>
      <c r="I173" s="17">
        <v>45.17</v>
      </c>
      <c r="J173" s="13" t="s">
        <v>88</v>
      </c>
      <c r="K173" s="13">
        <v>172</v>
      </c>
      <c r="L173" s="13" t="s">
        <v>95</v>
      </c>
      <c r="M173" s="13" t="s">
        <v>37</v>
      </c>
      <c r="N173">
        <f>_xlfn.XLOOKUP(spaces_3iWczBNnn5rbfoUlE0Jd_uploads_git_blob_9864c7f811c613c3faab876659c6423__25[[#This Row],[Número de Orden]],Cocinadinamica!B174:B942,Cocinadinamica!C174:C942)</f>
        <v>28</v>
      </c>
      <c r="O173" s="7">
        <f>spaces_3iWczBNnn5rbfoUlE0Jd_uploads_git_blob_9864c7f811c613c3faab876659c6423__25[[#This Row],[Hora de Llegada]]</f>
        <v>45018.117361111108</v>
      </c>
      <c r="P173" s="9">
        <f>spaces_3iWczBNnn5rbfoUlE0Jd_uploads_git_blob_9864c7f811c613c3faab876659c6423__25[[#This Row],[Hora de Llegada]]</f>
        <v>45018.117361111108</v>
      </c>
      <c r="Q173" s="9">
        <f>spaces_3iWczBNnn5rbfoUlE0Jd_uploads_git_blob_9864c7f811c613c3faab876659c6423__25[[#This Row],[Hora de Salida]]</f>
        <v>45018.254166666666</v>
      </c>
      <c r="R173" s="9" cm="1">
        <f t="array" ref="R17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0.14722222222189885</v>
      </c>
      <c r="S173" s="9">
        <f>_xlfn.XLOOKUP(spaces_3iWczBNnn5rbfoUlE0Jd_uploads_git_blob_9864c7f811c613c3faab876659c6423__25[[#This Row],[Número de Orden]],Cocinadinamica!E174:E942,Cocinadinamica!F174:F942)/1440</f>
        <v>1.8749999999999999E-2</v>
      </c>
      <c r="T173" s="9" cm="1">
        <f t="array" ref="T17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0.12847222222189886</v>
      </c>
      <c r="U173" s="9" t="str" cm="1">
        <f t="array" ref="U17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4" spans="1:21" x14ac:dyDescent="0.35">
      <c r="A174" s="27">
        <v>11</v>
      </c>
      <c r="B174" s="11" t="s">
        <v>961</v>
      </c>
      <c r="C174" s="11">
        <v>3</v>
      </c>
      <c r="D174" s="12">
        <v>45018.012499999997</v>
      </c>
      <c r="E174" s="12">
        <v>45018.154861111114</v>
      </c>
      <c r="F174" s="11" t="s">
        <v>72</v>
      </c>
      <c r="G174" s="11" t="s">
        <v>86</v>
      </c>
      <c r="H174" s="11" t="s">
        <v>74</v>
      </c>
      <c r="I174" s="16">
        <v>48.73</v>
      </c>
      <c r="J174" s="11" t="s">
        <v>88</v>
      </c>
      <c r="K174" s="11">
        <v>173</v>
      </c>
      <c r="L174" s="11" t="s">
        <v>101</v>
      </c>
      <c r="M174" s="11" t="s">
        <v>1395</v>
      </c>
      <c r="N174">
        <f>_xlfn.XLOOKUP(spaces_3iWczBNnn5rbfoUlE0Jd_uploads_git_blob_9864c7f811c613c3faab876659c6423__25[[#This Row],[Número de Orden]],Cocinadinamica!B175:B943,Cocinadinamica!C175:C943)</f>
        <v>72</v>
      </c>
      <c r="O174" s="7">
        <f>spaces_3iWczBNnn5rbfoUlE0Jd_uploads_git_blob_9864c7f811c613c3faab876659c6423__25[[#This Row],[Hora de Llegada]]</f>
        <v>45018.012499999997</v>
      </c>
      <c r="P174" s="9">
        <f>spaces_3iWczBNnn5rbfoUlE0Jd_uploads_git_blob_9864c7f811c613c3faab876659c6423__25[[#This Row],[Hora de Llegada]]</f>
        <v>45018.012499999997</v>
      </c>
      <c r="Q174" s="9">
        <f>spaces_3iWczBNnn5rbfoUlE0Jd_uploads_git_blob_9864c7f811c613c3faab876659c6423__25[[#This Row],[Hora de Salida]]</f>
        <v>45018.154861111114</v>
      </c>
      <c r="R174" s="9" cm="1">
        <f t="array" ref="R17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0.15277777778101154</v>
      </c>
      <c r="S174" s="9">
        <f>_xlfn.XLOOKUP(spaces_3iWczBNnn5rbfoUlE0Jd_uploads_git_blob_9864c7f811c613c3faab876659c6423__25[[#This Row],[Número de Orden]],Cocinadinamica!E175:E943,Cocinadinamica!F175:F943)/1440</f>
        <v>4.6527777777777779E-2</v>
      </c>
      <c r="T174" s="9" cm="1">
        <f t="array" ref="T17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0.10625000000323376</v>
      </c>
      <c r="U174" s="9" t="str" cm="1">
        <f t="array" ref="U17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5" spans="1:21" x14ac:dyDescent="0.35">
      <c r="A175" s="28" t="s">
        <v>232</v>
      </c>
      <c r="B175" s="13" t="s">
        <v>281</v>
      </c>
      <c r="C175" s="13">
        <v>5</v>
      </c>
      <c r="D175" s="14">
        <v>45018.006249999999</v>
      </c>
      <c r="E175" s="14">
        <v>45018.05</v>
      </c>
      <c r="F175" s="13" t="s">
        <v>72</v>
      </c>
      <c r="G175" s="13" t="s">
        <v>86</v>
      </c>
      <c r="H175" s="13" t="s">
        <v>74</v>
      </c>
      <c r="I175" s="17">
        <v>48.24</v>
      </c>
      <c r="J175" s="13" t="s">
        <v>94</v>
      </c>
      <c r="K175" s="13">
        <v>174</v>
      </c>
      <c r="L175" s="13" t="s">
        <v>275</v>
      </c>
      <c r="M175" s="13" t="s">
        <v>12</v>
      </c>
      <c r="N175">
        <f>_xlfn.XLOOKUP(spaces_3iWczBNnn5rbfoUlE0Jd_uploads_git_blob_9864c7f811c613c3faab876659c6423__25[[#This Row],[Número de Orden]],Cocinadinamica!B176:B944,Cocinadinamica!C176:C944)</f>
        <v>24</v>
      </c>
      <c r="O175" s="7">
        <f>spaces_3iWczBNnn5rbfoUlE0Jd_uploads_git_blob_9864c7f811c613c3faab876659c6423__25[[#This Row],[Hora de Llegada]]</f>
        <v>45018.006249999999</v>
      </c>
      <c r="P175" s="9">
        <f>spaces_3iWczBNnn5rbfoUlE0Jd_uploads_git_blob_9864c7f811c613c3faab876659c6423__25[[#This Row],[Hora de Llegada]]</f>
        <v>45018.006249999999</v>
      </c>
      <c r="Q175" s="9">
        <f>spaces_3iWczBNnn5rbfoUlE0Jd_uploads_git_blob_9864c7f811c613c3faab876659c6423__25[[#This Row],[Hora de Salida]]</f>
        <v>45018.05</v>
      </c>
      <c r="R175" s="9" cm="1">
        <f t="array" ref="R17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4.3750000004365575E-2</v>
      </c>
      <c r="S175" s="9">
        <f>_xlfn.XLOOKUP(spaces_3iWczBNnn5rbfoUlE0Jd_uploads_git_blob_9864c7f811c613c3faab876659c6423__25[[#This Row],[Número de Orden]],Cocinadinamica!E176:E944,Cocinadinamica!F176:F944)/1440</f>
        <v>8.3333333333333332E-3</v>
      </c>
      <c r="T175" s="9" cm="1">
        <f t="array" ref="T17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3.5416666671032243E-2</v>
      </c>
      <c r="U175" s="9" t="str" cm="1">
        <f t="array" ref="U17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6" spans="1:21" x14ac:dyDescent="0.35">
      <c r="A176" s="27">
        <v>14</v>
      </c>
      <c r="B176" s="11" t="s">
        <v>914</v>
      </c>
      <c r="C176" s="11">
        <v>3</v>
      </c>
      <c r="D176" s="12">
        <v>45018.060416666667</v>
      </c>
      <c r="E176" s="12">
        <v>45018.12777777778</v>
      </c>
      <c r="F176" s="11" t="s">
        <v>170</v>
      </c>
      <c r="G176" s="11" t="s">
        <v>86</v>
      </c>
      <c r="H176" s="11" t="s">
        <v>74</v>
      </c>
      <c r="I176" s="16">
        <v>27.94</v>
      </c>
      <c r="J176" s="11" t="s">
        <v>94</v>
      </c>
      <c r="K176" s="11">
        <v>175</v>
      </c>
      <c r="L176" s="11" t="s">
        <v>110</v>
      </c>
      <c r="M176" s="11" t="s">
        <v>1396</v>
      </c>
      <c r="N176">
        <f>_xlfn.XLOOKUP(spaces_3iWczBNnn5rbfoUlE0Jd_uploads_git_blob_9864c7f811c613c3faab876659c6423__25[[#This Row],[Número de Orden]],Cocinadinamica!B177:B945,Cocinadinamica!C177:C945)</f>
        <v>59</v>
      </c>
      <c r="O176" s="7">
        <f>spaces_3iWczBNnn5rbfoUlE0Jd_uploads_git_blob_9864c7f811c613c3faab876659c6423__25[[#This Row],[Hora de Llegada]]</f>
        <v>45018.060416666667</v>
      </c>
      <c r="P176" s="9">
        <f>spaces_3iWczBNnn5rbfoUlE0Jd_uploads_git_blob_9864c7f811c613c3faab876659c6423__25[[#This Row],[Hora de Llegada]]</f>
        <v>45018.060416666667</v>
      </c>
      <c r="Q176" s="9">
        <f>spaces_3iWczBNnn5rbfoUlE0Jd_uploads_git_blob_9864c7f811c613c3faab876659c6423__25[[#This Row],[Hora de Salida]]</f>
        <v>45018.12777777778</v>
      </c>
      <c r="R176" s="9" cm="1">
        <f t="array" ref="R17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6.7361111112404615E-2</v>
      </c>
      <c r="S176" s="9">
        <f>_xlfn.XLOOKUP(spaces_3iWczBNnn5rbfoUlE0Jd_uploads_git_blob_9864c7f811c613c3faab876659c6423__25[[#This Row],[Número de Orden]],Cocinadinamica!E177:E945,Cocinadinamica!F177:F945)/1440</f>
        <v>3.2638888888888891E-2</v>
      </c>
      <c r="T176" s="9" cm="1">
        <f t="array" ref="T17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3.4722222223515724E-2</v>
      </c>
      <c r="U176" s="9" t="str" cm="1">
        <f t="array" ref="U17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7" spans="1:21" x14ac:dyDescent="0.35">
      <c r="A177" s="28" t="s">
        <v>92</v>
      </c>
      <c r="B177" s="13" t="s">
        <v>283</v>
      </c>
      <c r="C177" s="13">
        <v>4</v>
      </c>
      <c r="D177" s="14">
        <v>45018.102083333331</v>
      </c>
      <c r="E177" s="14">
        <v>45018.188888888886</v>
      </c>
      <c r="F177" s="13" t="s">
        <v>100</v>
      </c>
      <c r="G177" s="13" t="s">
        <v>86</v>
      </c>
      <c r="H177" s="13" t="s">
        <v>74</v>
      </c>
      <c r="I177" s="17">
        <v>3.05</v>
      </c>
      <c r="J177" s="13" t="s">
        <v>88</v>
      </c>
      <c r="K177" s="13">
        <v>176</v>
      </c>
      <c r="L177" s="13" t="s">
        <v>101</v>
      </c>
      <c r="M177" s="13" t="s">
        <v>43</v>
      </c>
      <c r="N177">
        <f>_xlfn.XLOOKUP(spaces_3iWczBNnn5rbfoUlE0Jd_uploads_git_blob_9864c7f811c613c3faab876659c6423__25[[#This Row],[Número de Orden]],Cocinadinamica!B178:B946,Cocinadinamica!C178:C946)</f>
        <v>24</v>
      </c>
      <c r="O177" s="7">
        <f>spaces_3iWczBNnn5rbfoUlE0Jd_uploads_git_blob_9864c7f811c613c3faab876659c6423__25[[#This Row],[Hora de Llegada]]</f>
        <v>45018.102083333331</v>
      </c>
      <c r="P177" s="9">
        <f>spaces_3iWczBNnn5rbfoUlE0Jd_uploads_git_blob_9864c7f811c613c3faab876659c6423__25[[#This Row],[Hora de Llegada]]</f>
        <v>45018.102083333331</v>
      </c>
      <c r="Q177" s="9">
        <f>spaces_3iWczBNnn5rbfoUlE0Jd_uploads_git_blob_9864c7f811c613c3faab876659c6423__25[[#This Row],[Hora de Salida]]</f>
        <v>45018.188888888886</v>
      </c>
      <c r="R177" s="9" cm="1">
        <f t="array" ref="R17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9.7222222218988463E-2</v>
      </c>
      <c r="S177" s="9">
        <f>_xlfn.XLOOKUP(spaces_3iWczBNnn5rbfoUlE0Jd_uploads_git_blob_9864c7f811c613c3faab876659c6423__25[[#This Row],[Número de Orden]],Cocinadinamica!E178:E946,Cocinadinamica!F178:F946)/1440</f>
        <v>3.3333333333333333E-2</v>
      </c>
      <c r="T177" s="9" cm="1">
        <f t="array" ref="T17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6.3888888885655137E-2</v>
      </c>
      <c r="U177" s="9" t="str" cm="1">
        <f t="array" ref="U17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78" spans="1:21" x14ac:dyDescent="0.35">
      <c r="A178" s="27">
        <v>4</v>
      </c>
      <c r="B178" s="11" t="s">
        <v>962</v>
      </c>
      <c r="C178" s="11">
        <v>1</v>
      </c>
      <c r="D178" s="12">
        <v>45018.009722222225</v>
      </c>
      <c r="E178" s="12">
        <v>45018.051388888889</v>
      </c>
      <c r="F178" s="11" t="s">
        <v>72</v>
      </c>
      <c r="G178" s="11" t="s">
        <v>73</v>
      </c>
      <c r="H178" s="11" t="s">
        <v>74</v>
      </c>
      <c r="I178" s="16">
        <v>10.39</v>
      </c>
      <c r="J178" s="11" t="s">
        <v>88</v>
      </c>
      <c r="K178" s="11">
        <v>177</v>
      </c>
      <c r="L178" s="11" t="s">
        <v>76</v>
      </c>
      <c r="M178" s="11" t="s">
        <v>1397</v>
      </c>
      <c r="N178">
        <f>_xlfn.XLOOKUP(spaces_3iWczBNnn5rbfoUlE0Jd_uploads_git_blob_9864c7f811c613c3faab876659c6423__25[[#This Row],[Número de Orden]],Cocinadinamica!B179:B947,Cocinadinamica!C179:C947)</f>
        <v>71</v>
      </c>
      <c r="O178" s="7">
        <f>spaces_3iWczBNnn5rbfoUlE0Jd_uploads_git_blob_9864c7f811c613c3faab876659c6423__25[[#This Row],[Hora de Llegada]]</f>
        <v>45018.009722222225</v>
      </c>
      <c r="P178" s="9">
        <f>spaces_3iWczBNnn5rbfoUlE0Jd_uploads_git_blob_9864c7f811c613c3faab876659c6423__25[[#This Row],[Hora de Llegada]]</f>
        <v>45018.009722222225</v>
      </c>
      <c r="Q178" s="9">
        <f>spaces_3iWczBNnn5rbfoUlE0Jd_uploads_git_blob_9864c7f811c613c3faab876659c6423__25[[#This Row],[Hora de Salida]]</f>
        <v>45018.051388888889</v>
      </c>
      <c r="R178" s="9" cm="1">
        <f t="array" ref="R17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5.2083333328482695E-2</v>
      </c>
      <c r="S178" s="9">
        <f>_xlfn.XLOOKUP(spaces_3iWczBNnn5rbfoUlE0Jd_uploads_git_blob_9864c7f811c613c3faab876659c6423__25[[#This Row],[Número de Orden]],Cocinadinamica!E179:E947,Cocinadinamica!F179:F947)/1440</f>
        <v>9.8611111111111108E-2</v>
      </c>
      <c r="T178" s="9" cm="1">
        <f t="array" ref="T17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78" s="9" t="str" cm="1">
        <f t="array" ref="U17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79" spans="1:21" x14ac:dyDescent="0.35">
      <c r="A179" s="28">
        <v>11</v>
      </c>
      <c r="B179" s="13" t="s">
        <v>963</v>
      </c>
      <c r="C179" s="13">
        <v>6</v>
      </c>
      <c r="D179" s="14">
        <v>45018.078472222223</v>
      </c>
      <c r="E179" s="14">
        <v>45018.220833333333</v>
      </c>
      <c r="F179" s="13" t="s">
        <v>170</v>
      </c>
      <c r="G179" s="13" t="s">
        <v>73</v>
      </c>
      <c r="H179" s="13" t="s">
        <v>74</v>
      </c>
      <c r="I179" s="17">
        <v>31.6</v>
      </c>
      <c r="J179" s="13" t="s">
        <v>94</v>
      </c>
      <c r="K179" s="13">
        <v>178</v>
      </c>
      <c r="L179" s="13" t="s">
        <v>275</v>
      </c>
      <c r="M179" s="13" t="s">
        <v>1398</v>
      </c>
      <c r="N179">
        <f>_xlfn.XLOOKUP(spaces_3iWczBNnn5rbfoUlE0Jd_uploads_git_blob_9864c7f811c613c3faab876659c6423__25[[#This Row],[Número de Orden]],Cocinadinamica!B180:B948,Cocinadinamica!C180:C948)</f>
        <v>83</v>
      </c>
      <c r="O179" s="7">
        <f>spaces_3iWczBNnn5rbfoUlE0Jd_uploads_git_blob_9864c7f811c613c3faab876659c6423__25[[#This Row],[Hora de Llegada]]</f>
        <v>45018.078472222223</v>
      </c>
      <c r="P179" s="9">
        <f>spaces_3iWczBNnn5rbfoUlE0Jd_uploads_git_blob_9864c7f811c613c3faab876659c6423__25[[#This Row],[Hora de Llegada]]</f>
        <v>45018.078472222223</v>
      </c>
      <c r="Q179" s="9">
        <f>spaces_3iWczBNnn5rbfoUlE0Jd_uploads_git_blob_9864c7f811c613c3faab876659c6423__25[[#This Row],[Hora de Salida]]</f>
        <v>45018.220833333333</v>
      </c>
      <c r="R179" s="9" cm="1">
        <f t="array" ref="R17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0.14236111110949423</v>
      </c>
      <c r="S179" s="9">
        <f>_xlfn.XLOOKUP(spaces_3iWczBNnn5rbfoUlE0Jd_uploads_git_blob_9864c7f811c613c3faab876659c6423__25[[#This Row],[Número de Orden]],Cocinadinamica!E180:E948,Cocinadinamica!F180:F948)/1440</f>
        <v>0.10138888888888889</v>
      </c>
      <c r="T179" s="9" cm="1">
        <f t="array" ref="T17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4.0972222220605342E-2</v>
      </c>
      <c r="U179" s="9" t="str" cm="1">
        <f t="array" ref="U17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0" spans="1:21" x14ac:dyDescent="0.35">
      <c r="A180" s="27" t="s">
        <v>107</v>
      </c>
      <c r="B180" s="11" t="s">
        <v>286</v>
      </c>
      <c r="C180" s="11">
        <v>2</v>
      </c>
      <c r="D180" s="12">
        <v>45018.030555555553</v>
      </c>
      <c r="E180" s="12">
        <v>45018.130555555559</v>
      </c>
      <c r="F180" s="11" t="s">
        <v>72</v>
      </c>
      <c r="G180" s="11" t="s">
        <v>163</v>
      </c>
      <c r="H180" s="11" t="s">
        <v>74</v>
      </c>
      <c r="I180" s="16">
        <v>1.33</v>
      </c>
      <c r="J180" s="11" t="s">
        <v>94</v>
      </c>
      <c r="K180" s="11">
        <v>179</v>
      </c>
      <c r="L180" s="11" t="s">
        <v>110</v>
      </c>
      <c r="M180" s="11" t="s">
        <v>15</v>
      </c>
      <c r="N180">
        <f>_xlfn.XLOOKUP(spaces_3iWczBNnn5rbfoUlE0Jd_uploads_git_blob_9864c7f811c613c3faab876659c6423__25[[#This Row],[Número de Orden]],Cocinadinamica!B181:B949,Cocinadinamica!C181:C949)</f>
        <v>24</v>
      </c>
      <c r="O180" s="7">
        <f>spaces_3iWczBNnn5rbfoUlE0Jd_uploads_git_blob_9864c7f811c613c3faab876659c6423__25[[#This Row],[Hora de Llegada]]</f>
        <v>45018.030555555553</v>
      </c>
      <c r="P180" s="9">
        <f>spaces_3iWczBNnn5rbfoUlE0Jd_uploads_git_blob_9864c7f811c613c3faab876659c6423__25[[#This Row],[Hora de Llegada]]</f>
        <v>45018.030555555553</v>
      </c>
      <c r="Q180" s="9">
        <f>spaces_3iWczBNnn5rbfoUlE0Jd_uploads_git_blob_9864c7f811c613c3faab876659c6423__25[[#This Row],[Hora de Salida]]</f>
        <v>45018.130555555559</v>
      </c>
      <c r="R180" s="9" cm="1">
        <f t="array" ref="R18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0.10000000000582077</v>
      </c>
      <c r="S180" s="9">
        <f>_xlfn.XLOOKUP(spaces_3iWczBNnn5rbfoUlE0Jd_uploads_git_blob_9864c7f811c613c3faab876659c6423__25[[#This Row],[Número de Orden]],Cocinadinamica!E181:E949,Cocinadinamica!F181:F949)/1440</f>
        <v>1.8055555555555554E-2</v>
      </c>
      <c r="T180" s="9" cm="1">
        <f t="array" ref="T18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8.1944444450265219E-2</v>
      </c>
      <c r="U180" s="9" t="str" cm="1">
        <f t="array" ref="U18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1" spans="1:21" x14ac:dyDescent="0.35">
      <c r="A181" s="28">
        <v>10</v>
      </c>
      <c r="B181" s="13" t="s">
        <v>964</v>
      </c>
      <c r="C181" s="13">
        <v>1</v>
      </c>
      <c r="D181" s="14">
        <v>45018.097916666666</v>
      </c>
      <c r="E181" s="14">
        <v>45018.214583333334</v>
      </c>
      <c r="F181" s="13" t="s">
        <v>100</v>
      </c>
      <c r="G181" s="13" t="s">
        <v>73</v>
      </c>
      <c r="H181" s="13" t="s">
        <v>74</v>
      </c>
      <c r="I181" s="17">
        <v>46.61</v>
      </c>
      <c r="J181" s="13" t="s">
        <v>94</v>
      </c>
      <c r="K181" s="13">
        <v>180</v>
      </c>
      <c r="L181" s="13" t="s">
        <v>89</v>
      </c>
      <c r="M181" s="13" t="s">
        <v>1399</v>
      </c>
      <c r="N181">
        <f>_xlfn.XLOOKUP(spaces_3iWczBNnn5rbfoUlE0Jd_uploads_git_blob_9864c7f811c613c3faab876659c6423__25[[#This Row],[Número de Orden]],Cocinadinamica!B182:B950,Cocinadinamica!C182:C950)</f>
        <v>67</v>
      </c>
      <c r="O181" s="7">
        <f>spaces_3iWczBNnn5rbfoUlE0Jd_uploads_git_blob_9864c7f811c613c3faab876659c6423__25[[#This Row],[Hora de Llegada]]</f>
        <v>45018.097916666666</v>
      </c>
      <c r="P181" s="9">
        <f>spaces_3iWczBNnn5rbfoUlE0Jd_uploads_git_blob_9864c7f811c613c3faab876659c6423__25[[#This Row],[Hora de Llegada]]</f>
        <v>45018.097916666666</v>
      </c>
      <c r="Q181" s="9">
        <f>spaces_3iWczBNnn5rbfoUlE0Jd_uploads_git_blob_9864c7f811c613c3faab876659c6423__25[[#This Row],[Hora de Salida]]</f>
        <v>45018.214583333334</v>
      </c>
      <c r="R181" s="9" cm="1">
        <f t="array" ref="R18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0.11666666666860692</v>
      </c>
      <c r="S181" s="9">
        <f>_xlfn.XLOOKUP(spaces_3iWczBNnn5rbfoUlE0Jd_uploads_git_blob_9864c7f811c613c3faab876659c6423__25[[#This Row],[Número de Orden]],Cocinadinamica!E182:E950,Cocinadinamica!F182:F950)/1440</f>
        <v>0.11180555555555556</v>
      </c>
      <c r="T181" s="9" cm="1">
        <f t="array" ref="T18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4.8611111130513612E-3</v>
      </c>
      <c r="U181" s="9" t="str" cm="1">
        <f t="array" ref="U18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2" spans="1:21" x14ac:dyDescent="0.35">
      <c r="A182" s="27" t="s">
        <v>125</v>
      </c>
      <c r="B182" s="11" t="s">
        <v>288</v>
      </c>
      <c r="C182" s="11">
        <v>1</v>
      </c>
      <c r="D182" s="12">
        <v>45018.114583333336</v>
      </c>
      <c r="E182" s="12">
        <v>45018.162499999999</v>
      </c>
      <c r="F182" s="11" t="s">
        <v>223</v>
      </c>
      <c r="G182" s="11" t="s">
        <v>73</v>
      </c>
      <c r="H182" s="11" t="s">
        <v>74</v>
      </c>
      <c r="I182" s="16">
        <v>42.58</v>
      </c>
      <c r="J182" s="11" t="s">
        <v>88</v>
      </c>
      <c r="K182" s="11">
        <v>181</v>
      </c>
      <c r="L182" s="11" t="s">
        <v>221</v>
      </c>
      <c r="M182" s="11" t="s">
        <v>17</v>
      </c>
      <c r="N182">
        <f>_xlfn.XLOOKUP(spaces_3iWczBNnn5rbfoUlE0Jd_uploads_git_blob_9864c7f811c613c3faab876659c6423__25[[#This Row],[Número de Orden]],Cocinadinamica!B183:B951,Cocinadinamica!C183:C951)</f>
        <v>11</v>
      </c>
      <c r="O182" s="7">
        <f>spaces_3iWczBNnn5rbfoUlE0Jd_uploads_git_blob_9864c7f811c613c3faab876659c6423__25[[#This Row],[Hora de Llegada]]</f>
        <v>45018.114583333336</v>
      </c>
      <c r="P182" s="9">
        <f>spaces_3iWczBNnn5rbfoUlE0Jd_uploads_git_blob_9864c7f811c613c3faab876659c6423__25[[#This Row],[Hora de Llegada]]</f>
        <v>45018.114583333336</v>
      </c>
      <c r="Q182" s="9">
        <f>spaces_3iWczBNnn5rbfoUlE0Jd_uploads_git_blob_9864c7f811c613c3faab876659c6423__25[[#This Row],[Hora de Salida]]</f>
        <v>45018.162499999999</v>
      </c>
      <c r="R182" s="9" cm="1">
        <f t="array" ref="R18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5.8333333327027503E-2</v>
      </c>
      <c r="S182" s="9">
        <f>_xlfn.XLOOKUP(spaces_3iWczBNnn5rbfoUlE0Jd_uploads_git_blob_9864c7f811c613c3faab876659c6423__25[[#This Row],[Número de Orden]],Cocinadinamica!E183:E951,Cocinadinamica!F183:F951)/1440</f>
        <v>3.8194444444444448E-2</v>
      </c>
      <c r="T182" s="9" cm="1">
        <f t="array" ref="T18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2.0138888882583056E-2</v>
      </c>
      <c r="U182" s="9" t="str" cm="1">
        <f t="array" ref="U18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3" spans="1:21" x14ac:dyDescent="0.35">
      <c r="A183" s="28" t="s">
        <v>98</v>
      </c>
      <c r="B183" s="13" t="s">
        <v>289</v>
      </c>
      <c r="C183" s="13">
        <v>2</v>
      </c>
      <c r="D183" s="14">
        <v>45018.161805555559</v>
      </c>
      <c r="E183" s="14">
        <v>45018.270833333336</v>
      </c>
      <c r="F183" s="13" t="s">
        <v>170</v>
      </c>
      <c r="G183" s="13" t="s">
        <v>86</v>
      </c>
      <c r="H183" s="13" t="s">
        <v>109</v>
      </c>
      <c r="I183" s="17">
        <v>38.36</v>
      </c>
      <c r="J183" s="13" t="s">
        <v>75</v>
      </c>
      <c r="K183" s="13">
        <v>182</v>
      </c>
      <c r="L183" s="13" t="s">
        <v>221</v>
      </c>
      <c r="M183" s="13" t="s">
        <v>29</v>
      </c>
      <c r="N183">
        <f>_xlfn.XLOOKUP(spaces_3iWczBNnn5rbfoUlE0Jd_uploads_git_blob_9864c7f811c613c3faab876659c6423__25[[#This Row],[Número de Orden]],Cocinadinamica!B184:B952,Cocinadinamica!C184:C952)</f>
        <v>16</v>
      </c>
      <c r="O183" s="7">
        <f>spaces_3iWczBNnn5rbfoUlE0Jd_uploads_git_blob_9864c7f811c613c3faab876659c6423__25[[#This Row],[Hora de Llegada]]</f>
        <v>45018.161805555559</v>
      </c>
      <c r="P183" s="9">
        <f>spaces_3iWczBNnn5rbfoUlE0Jd_uploads_git_blob_9864c7f811c613c3faab876659c6423__25[[#This Row],[Hora de Llegada]]</f>
        <v>45018.161805555559</v>
      </c>
      <c r="Q183" s="9">
        <f>spaces_3iWczBNnn5rbfoUlE0Jd_uploads_git_blob_9864c7f811c613c3faab876659c6423__25[[#This Row],[Hora de Salida]]</f>
        <v>45018.270833333336</v>
      </c>
      <c r="R183" s="9" cm="1">
        <f t="array" ref="R18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0.10902777777664596</v>
      </c>
      <c r="S183" s="9">
        <f>_xlfn.XLOOKUP(spaces_3iWczBNnn5rbfoUlE0Jd_uploads_git_blob_9864c7f811c613c3faab876659c6423__25[[#This Row],[Número de Orden]],Cocinadinamica!E184:E952,Cocinadinamica!F184:F952)/1440</f>
        <v>7.6388888888888886E-3</v>
      </c>
      <c r="T183" s="9" cm="1">
        <f t="array" ref="T18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0.10138888888775707</v>
      </c>
      <c r="U183" s="9" t="str" cm="1">
        <f t="array" ref="U18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4" spans="1:21" x14ac:dyDescent="0.35">
      <c r="A184" s="27">
        <v>18</v>
      </c>
      <c r="B184" s="11" t="s">
        <v>965</v>
      </c>
      <c r="C184" s="11">
        <v>1</v>
      </c>
      <c r="D184" s="12">
        <v>45018.115277777775</v>
      </c>
      <c r="E184" s="12">
        <v>45018.269444444442</v>
      </c>
      <c r="F184" s="11" t="s">
        <v>223</v>
      </c>
      <c r="G184" s="11" t="s">
        <v>86</v>
      </c>
      <c r="H184" s="11" t="s">
        <v>74</v>
      </c>
      <c r="I184" s="16">
        <v>11.69</v>
      </c>
      <c r="J184" s="11" t="s">
        <v>88</v>
      </c>
      <c r="K184" s="11">
        <v>183</v>
      </c>
      <c r="L184" s="11" t="s">
        <v>174</v>
      </c>
      <c r="M184" s="11" t="s">
        <v>1400</v>
      </c>
      <c r="N184">
        <f>_xlfn.XLOOKUP(spaces_3iWczBNnn5rbfoUlE0Jd_uploads_git_blob_9864c7f811c613c3faab876659c6423__25[[#This Row],[Número de Orden]],Cocinadinamica!B185:B953,Cocinadinamica!C185:C953)</f>
        <v>103</v>
      </c>
      <c r="O184" s="7">
        <f>spaces_3iWczBNnn5rbfoUlE0Jd_uploads_git_blob_9864c7f811c613c3faab876659c6423__25[[#This Row],[Hora de Llegada]]</f>
        <v>45018.115277777775</v>
      </c>
      <c r="P184" s="9">
        <f>spaces_3iWczBNnn5rbfoUlE0Jd_uploads_git_blob_9864c7f811c613c3faab876659c6423__25[[#This Row],[Hora de Llegada]]</f>
        <v>45018.115277777775</v>
      </c>
      <c r="Q184" s="9">
        <f>spaces_3iWczBNnn5rbfoUlE0Jd_uploads_git_blob_9864c7f811c613c3faab876659c6423__25[[#This Row],[Hora de Salida]]</f>
        <v>45018.269444444442</v>
      </c>
      <c r="R184" s="9" cm="1">
        <f t="array" ref="R18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0.16458333333139308</v>
      </c>
      <c r="S184" s="9">
        <f>_xlfn.XLOOKUP(spaces_3iWczBNnn5rbfoUlE0Jd_uploads_git_blob_9864c7f811c613c3faab876659c6423__25[[#This Row],[Número de Orden]],Cocinadinamica!E185:E953,Cocinadinamica!F185:F953)/1440</f>
        <v>0.11527777777777778</v>
      </c>
      <c r="T184" s="9" cm="1">
        <f t="array" ref="T18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4.9305555553615293E-2</v>
      </c>
      <c r="U184" s="9" t="str" cm="1">
        <f t="array" ref="U18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5" spans="1:21" x14ac:dyDescent="0.35">
      <c r="A185" s="28">
        <v>4</v>
      </c>
      <c r="B185" s="13" t="s">
        <v>966</v>
      </c>
      <c r="C185" s="13">
        <v>6</v>
      </c>
      <c r="D185" s="14">
        <v>45018.163194444445</v>
      </c>
      <c r="E185" s="14">
        <v>45018.292361111111</v>
      </c>
      <c r="F185" s="13" t="s">
        <v>85</v>
      </c>
      <c r="G185" s="13" t="s">
        <v>86</v>
      </c>
      <c r="H185" s="13" t="s">
        <v>74</v>
      </c>
      <c r="I185" s="17">
        <v>24.24</v>
      </c>
      <c r="J185" s="13" t="s">
        <v>88</v>
      </c>
      <c r="K185" s="13">
        <v>184</v>
      </c>
      <c r="L185" s="13" t="s">
        <v>101</v>
      </c>
      <c r="M185" s="13" t="s">
        <v>1401</v>
      </c>
      <c r="N185">
        <f>_xlfn.XLOOKUP(spaces_3iWczBNnn5rbfoUlE0Jd_uploads_git_blob_9864c7f811c613c3faab876659c6423__25[[#This Row],[Número de Orden]],Cocinadinamica!B186:B954,Cocinadinamica!C186:C954)</f>
        <v>85</v>
      </c>
      <c r="O185" s="7">
        <f>spaces_3iWczBNnn5rbfoUlE0Jd_uploads_git_blob_9864c7f811c613c3faab876659c6423__25[[#This Row],[Hora de Llegada]]</f>
        <v>45018.163194444445</v>
      </c>
      <c r="P185" s="9">
        <f>spaces_3iWczBNnn5rbfoUlE0Jd_uploads_git_blob_9864c7f811c613c3faab876659c6423__25[[#This Row],[Hora de Llegada]]</f>
        <v>45018.163194444445</v>
      </c>
      <c r="Q185" s="9">
        <f>spaces_3iWczBNnn5rbfoUlE0Jd_uploads_git_blob_9864c7f811c613c3faab876659c6423__25[[#This Row],[Hora de Salida]]</f>
        <v>45018.292361111111</v>
      </c>
      <c r="R185" s="9" cm="1">
        <f t="array" ref="R18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0.13958333332993789</v>
      </c>
      <c r="S185" s="9">
        <f>_xlfn.XLOOKUP(spaces_3iWczBNnn5rbfoUlE0Jd_uploads_git_blob_9864c7f811c613c3faab876659c6423__25[[#This Row],[Número de Orden]],Cocinadinamica!E186:E954,Cocinadinamica!F186:F954)/1440</f>
        <v>2.013888888888889E-2</v>
      </c>
      <c r="T185" s="9" cm="1">
        <f t="array" ref="T18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0.119444444441049</v>
      </c>
      <c r="U185" s="9" t="str" cm="1">
        <f t="array" ref="U18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6" spans="1:21" x14ac:dyDescent="0.35">
      <c r="A186" s="27">
        <v>16</v>
      </c>
      <c r="B186" s="11" t="s">
        <v>251</v>
      </c>
      <c r="C186" s="11">
        <v>2</v>
      </c>
      <c r="D186" s="12">
        <v>45018.115972222222</v>
      </c>
      <c r="E186" s="12">
        <v>45018.268055555556</v>
      </c>
      <c r="F186" s="11" t="s">
        <v>223</v>
      </c>
      <c r="G186" s="11" t="s">
        <v>163</v>
      </c>
      <c r="H186" s="11" t="s">
        <v>74</v>
      </c>
      <c r="I186" s="16">
        <v>28.07</v>
      </c>
      <c r="J186" s="11" t="s">
        <v>75</v>
      </c>
      <c r="K186" s="11">
        <v>185</v>
      </c>
      <c r="L186" s="11" t="s">
        <v>174</v>
      </c>
      <c r="M186" s="11" t="s">
        <v>1402</v>
      </c>
      <c r="N186">
        <f>_xlfn.XLOOKUP(spaces_3iWczBNnn5rbfoUlE0Jd_uploads_git_blob_9864c7f811c613c3faab876659c6423__25[[#This Row],[Número de Orden]],Cocinadinamica!B187:B955,Cocinadinamica!C187:C955)</f>
        <v>36</v>
      </c>
      <c r="O186" s="7">
        <f>spaces_3iWczBNnn5rbfoUlE0Jd_uploads_git_blob_9864c7f811c613c3faab876659c6423__25[[#This Row],[Hora de Llegada]]</f>
        <v>45018.115972222222</v>
      </c>
      <c r="P186" s="9">
        <f>spaces_3iWczBNnn5rbfoUlE0Jd_uploads_git_blob_9864c7f811c613c3faab876659c6423__25[[#This Row],[Hora de Llegada]]</f>
        <v>45018.115972222222</v>
      </c>
      <c r="Q186" s="9">
        <f>spaces_3iWczBNnn5rbfoUlE0Jd_uploads_git_blob_9864c7f811c613c3faab876659c6423__25[[#This Row],[Hora de Salida]]</f>
        <v>45018.268055555556</v>
      </c>
      <c r="R186" s="9" cm="1">
        <f t="array" ref="R18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0.15208333333430346</v>
      </c>
      <c r="S186" s="9">
        <f>_xlfn.XLOOKUP(spaces_3iWczBNnn5rbfoUlE0Jd_uploads_git_blob_9864c7f811c613c3faab876659c6423__25[[#This Row],[Número de Orden]],Cocinadinamica!E187:E955,Cocinadinamica!F187:F955)/1440</f>
        <v>2.7777777777777776E-2</v>
      </c>
      <c r="T186" s="9" cm="1">
        <f t="array" ref="T18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0.12430555555652568</v>
      </c>
      <c r="U186" s="9" t="str" cm="1">
        <f t="array" ref="U18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7" spans="1:21" x14ac:dyDescent="0.35">
      <c r="A187" s="28">
        <v>13</v>
      </c>
      <c r="B187" s="13" t="s">
        <v>486</v>
      </c>
      <c r="C187" s="13">
        <v>6</v>
      </c>
      <c r="D187" s="14">
        <v>45018.027777777781</v>
      </c>
      <c r="E187" s="14">
        <v>45018.176388888889</v>
      </c>
      <c r="F187" s="13" t="s">
        <v>223</v>
      </c>
      <c r="G187" s="13" t="s">
        <v>86</v>
      </c>
      <c r="H187" s="13" t="s">
        <v>74</v>
      </c>
      <c r="I187" s="17">
        <v>17.55</v>
      </c>
      <c r="J187" s="13" t="s">
        <v>94</v>
      </c>
      <c r="K187" s="13">
        <v>186</v>
      </c>
      <c r="L187" s="13" t="s">
        <v>110</v>
      </c>
      <c r="M187" s="13" t="s">
        <v>1403</v>
      </c>
      <c r="N187">
        <f>_xlfn.XLOOKUP(spaces_3iWczBNnn5rbfoUlE0Jd_uploads_git_blob_9864c7f811c613c3faab876659c6423__25[[#This Row],[Número de Orden]],Cocinadinamica!B188:B956,Cocinadinamica!C188:C956)</f>
        <v>108</v>
      </c>
      <c r="O187" s="7">
        <f>spaces_3iWczBNnn5rbfoUlE0Jd_uploads_git_blob_9864c7f811c613c3faab876659c6423__25[[#This Row],[Hora de Llegada]]</f>
        <v>45018.027777777781</v>
      </c>
      <c r="P187" s="9">
        <f>spaces_3iWczBNnn5rbfoUlE0Jd_uploads_git_blob_9864c7f811c613c3faab876659c6423__25[[#This Row],[Hora de Llegada]]</f>
        <v>45018.027777777781</v>
      </c>
      <c r="Q187" s="9">
        <f>spaces_3iWczBNnn5rbfoUlE0Jd_uploads_git_blob_9864c7f811c613c3faab876659c6423__25[[#This Row],[Hora de Salida]]</f>
        <v>45018.176388888889</v>
      </c>
      <c r="R187" s="9" cm="1">
        <f t="array" ref="R18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0.14861111110803904</v>
      </c>
      <c r="S187" s="9">
        <f>_xlfn.XLOOKUP(spaces_3iWczBNnn5rbfoUlE0Jd_uploads_git_blob_9864c7f811c613c3faab876659c6423__25[[#This Row],[Número de Orden]],Cocinadinamica!E188:E956,Cocinadinamica!F188:F956)/1440</f>
        <v>6.458333333333334E-2</v>
      </c>
      <c r="T187" s="9" cm="1">
        <f t="array" ref="T18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8.40277777747057E-2</v>
      </c>
      <c r="U187" s="9" t="str" cm="1">
        <f t="array" ref="U18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8" spans="1:21" x14ac:dyDescent="0.35">
      <c r="A188" s="27">
        <v>5</v>
      </c>
      <c r="B188" s="11" t="s">
        <v>967</v>
      </c>
      <c r="C188" s="11">
        <v>1</v>
      </c>
      <c r="D188" s="12">
        <v>45018.099305555559</v>
      </c>
      <c r="E188" s="12">
        <v>45018.227777777778</v>
      </c>
      <c r="F188" s="11" t="s">
        <v>72</v>
      </c>
      <c r="G188" s="11" t="s">
        <v>86</v>
      </c>
      <c r="H188" s="11" t="s">
        <v>74</v>
      </c>
      <c r="I188" s="16">
        <v>17.399999999999999</v>
      </c>
      <c r="J188" s="11" t="s">
        <v>75</v>
      </c>
      <c r="K188" s="11">
        <v>187</v>
      </c>
      <c r="L188" s="11" t="s">
        <v>275</v>
      </c>
      <c r="M188" s="11" t="s">
        <v>1404</v>
      </c>
      <c r="N188">
        <f>_xlfn.XLOOKUP(spaces_3iWczBNnn5rbfoUlE0Jd_uploads_git_blob_9864c7f811c613c3faab876659c6423__25[[#This Row],[Número de Orden]],Cocinadinamica!B189:B957,Cocinadinamica!C189:C957)</f>
        <v>86</v>
      </c>
      <c r="O188" s="7">
        <f>spaces_3iWczBNnn5rbfoUlE0Jd_uploads_git_blob_9864c7f811c613c3faab876659c6423__25[[#This Row],[Hora de Llegada]]</f>
        <v>45018.099305555559</v>
      </c>
      <c r="P188" s="9">
        <f>spaces_3iWczBNnn5rbfoUlE0Jd_uploads_git_blob_9864c7f811c613c3faab876659c6423__25[[#This Row],[Hora de Llegada]]</f>
        <v>45018.099305555559</v>
      </c>
      <c r="Q188" s="9">
        <f>spaces_3iWczBNnn5rbfoUlE0Jd_uploads_git_blob_9864c7f811c613c3faab876659c6423__25[[#This Row],[Hora de Salida]]</f>
        <v>45018.227777777778</v>
      </c>
      <c r="R188" s="9" cm="1">
        <f t="array" ref="R18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0.12847222221898846</v>
      </c>
      <c r="S188" s="9">
        <f>_xlfn.XLOOKUP(spaces_3iWczBNnn5rbfoUlE0Jd_uploads_git_blob_9864c7f811c613c3faab876659c6423__25[[#This Row],[Número de Orden]],Cocinadinamica!E189:E957,Cocinadinamica!F189:F957)/1440</f>
        <v>8.7499999999999994E-2</v>
      </c>
      <c r="T188" s="9" cm="1">
        <f t="array" ref="T18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4.0972222218988469E-2</v>
      </c>
      <c r="U188" s="9" t="str" cm="1">
        <f t="array" ref="U18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89" spans="1:21" x14ac:dyDescent="0.35">
      <c r="A189" s="28">
        <v>20</v>
      </c>
      <c r="B189" s="13" t="s">
        <v>968</v>
      </c>
      <c r="C189" s="13">
        <v>4</v>
      </c>
      <c r="D189" s="14">
        <v>45018.152777777781</v>
      </c>
      <c r="E189" s="14">
        <v>45018.222916666666</v>
      </c>
      <c r="F189" s="13" t="s">
        <v>170</v>
      </c>
      <c r="G189" s="13" t="s">
        <v>163</v>
      </c>
      <c r="H189" s="13" t="s">
        <v>74</v>
      </c>
      <c r="I189" s="17">
        <v>13.95</v>
      </c>
      <c r="J189" s="13" t="s">
        <v>94</v>
      </c>
      <c r="K189" s="13">
        <v>188</v>
      </c>
      <c r="L189" s="13" t="s">
        <v>110</v>
      </c>
      <c r="M189" s="13" t="s">
        <v>1360</v>
      </c>
      <c r="N189">
        <f>_xlfn.XLOOKUP(spaces_3iWczBNnn5rbfoUlE0Jd_uploads_git_blob_9864c7f811c613c3faab876659c6423__25[[#This Row],[Número de Orden]],Cocinadinamica!B190:B958,Cocinadinamica!C190:C958)</f>
        <v>34</v>
      </c>
      <c r="O189" s="7">
        <f>spaces_3iWczBNnn5rbfoUlE0Jd_uploads_git_blob_9864c7f811c613c3faab876659c6423__25[[#This Row],[Hora de Llegada]]</f>
        <v>45018.152777777781</v>
      </c>
      <c r="P189" s="9">
        <f>spaces_3iWczBNnn5rbfoUlE0Jd_uploads_git_blob_9864c7f811c613c3faab876659c6423__25[[#This Row],[Hora de Llegada]]</f>
        <v>45018.152777777781</v>
      </c>
      <c r="Q189" s="9">
        <f>spaces_3iWczBNnn5rbfoUlE0Jd_uploads_git_blob_9864c7f811c613c3faab876659c6423__25[[#This Row],[Hora de Salida]]</f>
        <v>45018.222916666666</v>
      </c>
      <c r="R189" s="9" cm="1">
        <f t="array" ref="R18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7.0138888884685002E-2</v>
      </c>
      <c r="S189" s="9">
        <f>_xlfn.XLOOKUP(spaces_3iWczBNnn5rbfoUlE0Jd_uploads_git_blob_9864c7f811c613c3faab876659c6423__25[[#This Row],[Número de Orden]],Cocinadinamica!E190:E958,Cocinadinamica!F190:F958)/1440</f>
        <v>7.2916666666666671E-2</v>
      </c>
      <c r="T189" s="9" cm="1">
        <f t="array" ref="T18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189" s="9" t="str" cm="1">
        <f t="array" ref="U18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190" spans="1:21" x14ac:dyDescent="0.35">
      <c r="A190" s="27">
        <v>11</v>
      </c>
      <c r="B190" s="11" t="s">
        <v>969</v>
      </c>
      <c r="C190" s="11">
        <v>4</v>
      </c>
      <c r="D190" s="12">
        <v>45018.158333333333</v>
      </c>
      <c r="E190" s="12">
        <v>45018.256944444445</v>
      </c>
      <c r="F190" s="11" t="s">
        <v>100</v>
      </c>
      <c r="G190" s="11" t="s">
        <v>86</v>
      </c>
      <c r="H190" s="11" t="s">
        <v>74</v>
      </c>
      <c r="I190" s="16">
        <v>41.66</v>
      </c>
      <c r="J190" s="11" t="s">
        <v>94</v>
      </c>
      <c r="K190" s="11">
        <v>189</v>
      </c>
      <c r="L190" s="11" t="s">
        <v>181</v>
      </c>
      <c r="M190" s="11" t="s">
        <v>1405</v>
      </c>
      <c r="N190">
        <f>_xlfn.XLOOKUP(spaces_3iWczBNnn5rbfoUlE0Jd_uploads_git_blob_9864c7f811c613c3faab876659c6423__25[[#This Row],[Número de Orden]],Cocinadinamica!B191:B959,Cocinadinamica!C191:C959)</f>
        <v>80</v>
      </c>
      <c r="O190" s="7">
        <f>spaces_3iWczBNnn5rbfoUlE0Jd_uploads_git_blob_9864c7f811c613c3faab876659c6423__25[[#This Row],[Hora de Llegada]]</f>
        <v>45018.158333333333</v>
      </c>
      <c r="P190" s="9">
        <f>spaces_3iWczBNnn5rbfoUlE0Jd_uploads_git_blob_9864c7f811c613c3faab876659c6423__25[[#This Row],[Hora de Llegada]]</f>
        <v>45018.158333333333</v>
      </c>
      <c r="Q190" s="9">
        <f>spaces_3iWczBNnn5rbfoUlE0Jd_uploads_git_blob_9864c7f811c613c3faab876659c6423__25[[#This Row],[Hora de Salida]]</f>
        <v>45018.256944444445</v>
      </c>
      <c r="R190" s="9" cm="1">
        <f t="array" ref="R19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9.8611111112404615E-2</v>
      </c>
      <c r="S190" s="9">
        <f>_xlfn.XLOOKUP(spaces_3iWczBNnn5rbfoUlE0Jd_uploads_git_blob_9864c7f811c613c3faab876659c6423__25[[#This Row],[Número de Orden]],Cocinadinamica!E191:E959,Cocinadinamica!F191:F959)/1440</f>
        <v>8.1250000000000003E-2</v>
      </c>
      <c r="T190" s="9" cm="1">
        <f t="array" ref="T19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1.7361111112404612E-2</v>
      </c>
      <c r="U190" s="9" t="str" cm="1">
        <f t="array" ref="U19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1" spans="1:21" x14ac:dyDescent="0.35">
      <c r="A191" s="28">
        <v>5</v>
      </c>
      <c r="B191" s="13" t="s">
        <v>949</v>
      </c>
      <c r="C191" s="13">
        <v>2</v>
      </c>
      <c r="D191" s="14">
        <v>45018.063194444447</v>
      </c>
      <c r="E191" s="14">
        <v>45018.140277777777</v>
      </c>
      <c r="F191" s="13" t="s">
        <v>100</v>
      </c>
      <c r="G191" s="13" t="s">
        <v>86</v>
      </c>
      <c r="H191" s="13" t="s">
        <v>74</v>
      </c>
      <c r="I191" s="17">
        <v>38.880000000000003</v>
      </c>
      <c r="J191" s="13" t="s">
        <v>75</v>
      </c>
      <c r="K191" s="13">
        <v>190</v>
      </c>
      <c r="L191" s="13" t="s">
        <v>110</v>
      </c>
      <c r="M191" s="13" t="s">
        <v>1406</v>
      </c>
      <c r="N191">
        <f>_xlfn.XLOOKUP(spaces_3iWczBNnn5rbfoUlE0Jd_uploads_git_blob_9864c7f811c613c3faab876659c6423__25[[#This Row],[Número de Orden]],Cocinadinamica!B192:B960,Cocinadinamica!C192:C960)</f>
        <v>79</v>
      </c>
      <c r="O191" s="7">
        <f>spaces_3iWczBNnn5rbfoUlE0Jd_uploads_git_blob_9864c7f811c613c3faab876659c6423__25[[#This Row],[Hora de Llegada]]</f>
        <v>45018.063194444447</v>
      </c>
      <c r="P191" s="9">
        <f>spaces_3iWczBNnn5rbfoUlE0Jd_uploads_git_blob_9864c7f811c613c3faab876659c6423__25[[#This Row],[Hora de Llegada]]</f>
        <v>45018.063194444447</v>
      </c>
      <c r="Q191" s="9">
        <f>spaces_3iWczBNnn5rbfoUlE0Jd_uploads_git_blob_9864c7f811c613c3faab876659c6423__25[[#This Row],[Hora de Salida]]</f>
        <v>45018.140277777777</v>
      </c>
      <c r="R191" s="9" cm="1">
        <f t="array" ref="R19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7.7083333329937886E-2</v>
      </c>
      <c r="S191" s="9">
        <f>_xlfn.XLOOKUP(spaces_3iWczBNnn5rbfoUlE0Jd_uploads_git_blob_9864c7f811c613c3faab876659c6423__25[[#This Row],[Número de Orden]],Cocinadinamica!E192:E960,Cocinadinamica!F192:F960)/1440</f>
        <v>7.0833333333333331E-2</v>
      </c>
      <c r="T191" s="9" cm="1">
        <f t="array" ref="T19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6.249999996604555E-3</v>
      </c>
      <c r="U191" s="9" t="str" cm="1">
        <f t="array" ref="U19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2" spans="1:21" x14ac:dyDescent="0.35">
      <c r="A192" s="27">
        <v>12</v>
      </c>
      <c r="B192" s="11" t="s">
        <v>970</v>
      </c>
      <c r="C192" s="11">
        <v>6</v>
      </c>
      <c r="D192" s="12">
        <v>45018</v>
      </c>
      <c r="E192" s="12">
        <v>45018.10833333333</v>
      </c>
      <c r="F192" s="11" t="s">
        <v>100</v>
      </c>
      <c r="G192" s="11" t="s">
        <v>86</v>
      </c>
      <c r="H192" s="11" t="s">
        <v>74</v>
      </c>
      <c r="I192" s="16">
        <v>24.36</v>
      </c>
      <c r="J192" s="11" t="s">
        <v>88</v>
      </c>
      <c r="K192" s="11">
        <v>191</v>
      </c>
      <c r="L192" s="11" t="s">
        <v>221</v>
      </c>
      <c r="M192" s="11" t="s">
        <v>1407</v>
      </c>
      <c r="N192">
        <f>_xlfn.XLOOKUP(spaces_3iWczBNnn5rbfoUlE0Jd_uploads_git_blob_9864c7f811c613c3faab876659c6423__25[[#This Row],[Número de Orden]],Cocinadinamica!B193:B961,Cocinadinamica!C193:C961)</f>
        <v>66</v>
      </c>
      <c r="O192" s="7">
        <f>spaces_3iWczBNnn5rbfoUlE0Jd_uploads_git_blob_9864c7f811c613c3faab876659c6423__25[[#This Row],[Hora de Llegada]]</f>
        <v>45018</v>
      </c>
      <c r="P192" s="9">
        <f>spaces_3iWczBNnn5rbfoUlE0Jd_uploads_git_blob_9864c7f811c613c3faab876659c6423__25[[#This Row],[Hora de Llegada]]</f>
        <v>45018</v>
      </c>
      <c r="Q192" s="9">
        <f>spaces_3iWczBNnn5rbfoUlE0Jd_uploads_git_blob_9864c7f811c613c3faab876659c6423__25[[#This Row],[Hora de Salida]]</f>
        <v>45018.10833333333</v>
      </c>
      <c r="R192" s="9" cm="1">
        <f t="array" ref="R19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0.11874999999417923</v>
      </c>
      <c r="S192" s="9">
        <f>_xlfn.XLOOKUP(spaces_3iWczBNnn5rbfoUlE0Jd_uploads_git_blob_9864c7f811c613c3faab876659c6423__25[[#This Row],[Número de Orden]],Cocinadinamica!E193:E961,Cocinadinamica!F193:F961)/1440</f>
        <v>6.0416666666666667E-2</v>
      </c>
      <c r="T192" s="9" cm="1">
        <f t="array" ref="T19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5.8333333327512567E-2</v>
      </c>
      <c r="U192" s="9" t="str" cm="1">
        <f t="array" ref="U19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3" spans="1:21" x14ac:dyDescent="0.35">
      <c r="A193" s="28" t="s">
        <v>132</v>
      </c>
      <c r="B193" s="13" t="s">
        <v>299</v>
      </c>
      <c r="C193" s="13">
        <v>4</v>
      </c>
      <c r="D193" s="14">
        <v>45018.10833333333</v>
      </c>
      <c r="E193" s="14">
        <v>45018.203472222223</v>
      </c>
      <c r="F193" s="13" t="s">
        <v>100</v>
      </c>
      <c r="G193" s="13" t="s">
        <v>163</v>
      </c>
      <c r="H193" s="13" t="s">
        <v>87</v>
      </c>
      <c r="I193" s="17">
        <v>15.99</v>
      </c>
      <c r="J193" s="13" t="s">
        <v>75</v>
      </c>
      <c r="K193" s="13">
        <v>192</v>
      </c>
      <c r="L193" s="13" t="s">
        <v>101</v>
      </c>
      <c r="M193" s="13" t="s">
        <v>49</v>
      </c>
      <c r="N193">
        <f>_xlfn.XLOOKUP(spaces_3iWczBNnn5rbfoUlE0Jd_uploads_git_blob_9864c7f811c613c3faab876659c6423__25[[#This Row],[Número de Orden]],Cocinadinamica!B194:B962,Cocinadinamica!C194:C962)</f>
        <v>30</v>
      </c>
      <c r="O193" s="7">
        <f>spaces_3iWczBNnn5rbfoUlE0Jd_uploads_git_blob_9864c7f811c613c3faab876659c6423__25[[#This Row],[Hora de Llegada]]</f>
        <v>45018.10833333333</v>
      </c>
      <c r="P193" s="9">
        <f>spaces_3iWczBNnn5rbfoUlE0Jd_uploads_git_blob_9864c7f811c613c3faab876659c6423__25[[#This Row],[Hora de Llegada]]</f>
        <v>45018.10833333333</v>
      </c>
      <c r="Q193" s="9">
        <f>spaces_3iWczBNnn5rbfoUlE0Jd_uploads_git_blob_9864c7f811c613c3faab876659c6423__25[[#This Row],[Hora de Salida]]</f>
        <v>45018.203472222223</v>
      </c>
      <c r="R193" s="9" cm="1">
        <f t="array" ref="R19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9.5138888893416151E-2</v>
      </c>
      <c r="S193" s="9">
        <f>_xlfn.XLOOKUP(spaces_3iWczBNnn5rbfoUlE0Jd_uploads_git_blob_9864c7f811c613c3faab876659c6423__25[[#This Row],[Número de Orden]],Cocinadinamica!E194:E962,Cocinadinamica!F194:F962)/1440</f>
        <v>1.8055555555555554E-2</v>
      </c>
      <c r="T193" s="9" cm="1">
        <f t="array" ref="T19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7.7083333337860604E-2</v>
      </c>
      <c r="U193" s="9" t="str" cm="1">
        <f t="array" ref="U19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4" spans="1:21" x14ac:dyDescent="0.35">
      <c r="A194" s="27">
        <v>3</v>
      </c>
      <c r="B194" s="11" t="s">
        <v>971</v>
      </c>
      <c r="C194" s="11">
        <v>5</v>
      </c>
      <c r="D194" s="12">
        <v>45018.008333333331</v>
      </c>
      <c r="E194" s="12">
        <v>45018.12777777778</v>
      </c>
      <c r="F194" s="11" t="s">
        <v>85</v>
      </c>
      <c r="G194" s="11" t="s">
        <v>163</v>
      </c>
      <c r="H194" s="11" t="s">
        <v>74</v>
      </c>
      <c r="I194" s="16">
        <v>24.85</v>
      </c>
      <c r="J194" s="11" t="s">
        <v>94</v>
      </c>
      <c r="K194" s="11">
        <v>193</v>
      </c>
      <c r="L194" s="11" t="s">
        <v>164</v>
      </c>
      <c r="M194" s="11" t="s">
        <v>1408</v>
      </c>
      <c r="N194">
        <f>_xlfn.XLOOKUP(spaces_3iWczBNnn5rbfoUlE0Jd_uploads_git_blob_9864c7f811c613c3faab876659c6423__25[[#This Row],[Número de Orden]],Cocinadinamica!B195:B963,Cocinadinamica!C195:C963)</f>
        <v>88</v>
      </c>
      <c r="O194" s="7">
        <f>spaces_3iWczBNnn5rbfoUlE0Jd_uploads_git_blob_9864c7f811c613c3faab876659c6423__25[[#This Row],[Hora de Llegada]]</f>
        <v>45018.008333333331</v>
      </c>
      <c r="P194" s="9">
        <f>spaces_3iWczBNnn5rbfoUlE0Jd_uploads_git_blob_9864c7f811c613c3faab876659c6423__25[[#This Row],[Hora de Llegada]]</f>
        <v>45018.008333333331</v>
      </c>
      <c r="Q194" s="9">
        <f>spaces_3iWczBNnn5rbfoUlE0Jd_uploads_git_blob_9864c7f811c613c3faab876659c6423__25[[#This Row],[Hora de Salida]]</f>
        <v>45018.12777777778</v>
      </c>
      <c r="R194" s="9" cm="1">
        <f t="array" ref="R19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0.11944444444816327</v>
      </c>
      <c r="S194" s="9">
        <f>_xlfn.XLOOKUP(spaces_3iWczBNnn5rbfoUlE0Jd_uploads_git_blob_9864c7f811c613c3faab876659c6423__25[[#This Row],[Número de Orden]],Cocinadinamica!E195:E963,Cocinadinamica!F195:F963)/1440</f>
        <v>0.11874999999999999</v>
      </c>
      <c r="T194" s="9" cm="1">
        <f t="array" ref="T19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6.9444444816327278E-4</v>
      </c>
      <c r="U194" s="9" t="str" cm="1">
        <f t="array" ref="U19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5" spans="1:21" x14ac:dyDescent="0.35">
      <c r="A195" s="28">
        <v>3</v>
      </c>
      <c r="B195" s="13" t="s">
        <v>327</v>
      </c>
      <c r="C195" s="13">
        <v>6</v>
      </c>
      <c r="D195" s="14">
        <v>45018.111111111109</v>
      </c>
      <c r="E195" s="14">
        <v>45018.163888888892</v>
      </c>
      <c r="F195" s="13" t="s">
        <v>85</v>
      </c>
      <c r="G195" s="13" t="s">
        <v>86</v>
      </c>
      <c r="H195" s="13" t="s">
        <v>109</v>
      </c>
      <c r="I195" s="17">
        <v>11.41</v>
      </c>
      <c r="J195" s="13" t="s">
        <v>94</v>
      </c>
      <c r="K195" s="13">
        <v>194</v>
      </c>
      <c r="L195" s="13" t="s">
        <v>76</v>
      </c>
      <c r="M195" s="13" t="s">
        <v>1409</v>
      </c>
      <c r="N195">
        <f>_xlfn.XLOOKUP(spaces_3iWczBNnn5rbfoUlE0Jd_uploads_git_blob_9864c7f811c613c3faab876659c6423__25[[#This Row],[Número de Orden]],Cocinadinamica!B196:B964,Cocinadinamica!C196:C964)</f>
        <v>38</v>
      </c>
      <c r="O195" s="7">
        <f>spaces_3iWczBNnn5rbfoUlE0Jd_uploads_git_blob_9864c7f811c613c3faab876659c6423__25[[#This Row],[Hora de Llegada]]</f>
        <v>45018.111111111109</v>
      </c>
      <c r="P195" s="9">
        <f>spaces_3iWczBNnn5rbfoUlE0Jd_uploads_git_blob_9864c7f811c613c3faab876659c6423__25[[#This Row],[Hora de Llegada]]</f>
        <v>45018.111111111109</v>
      </c>
      <c r="Q195" s="9">
        <f>spaces_3iWczBNnn5rbfoUlE0Jd_uploads_git_blob_9864c7f811c613c3faab876659c6423__25[[#This Row],[Hora de Salida]]</f>
        <v>45018.163888888892</v>
      </c>
      <c r="R195" s="9" cm="1">
        <f t="array" ref="R19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5.2777777782466728E-2</v>
      </c>
      <c r="S195" s="9">
        <f>_xlfn.XLOOKUP(spaces_3iWczBNnn5rbfoUlE0Jd_uploads_git_blob_9864c7f811c613c3faab876659c6423__25[[#This Row],[Número de Orden]],Cocinadinamica!E196:E964,Cocinadinamica!F196:F964)/1440</f>
        <v>4.7222222222222221E-2</v>
      </c>
      <c r="T195" s="9" cm="1">
        <f t="array" ref="T19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5.5555555602445073E-3</v>
      </c>
      <c r="U195" s="9" t="str" cm="1">
        <f t="array" ref="U19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6" spans="1:21" x14ac:dyDescent="0.35">
      <c r="A196" s="27" t="s">
        <v>83</v>
      </c>
      <c r="B196" s="11" t="s">
        <v>302</v>
      </c>
      <c r="C196" s="11">
        <v>1</v>
      </c>
      <c r="D196" s="12">
        <v>45018.12777777778</v>
      </c>
      <c r="E196" s="12">
        <v>45018.17291666667</v>
      </c>
      <c r="F196" s="11" t="s">
        <v>170</v>
      </c>
      <c r="G196" s="11" t="s">
        <v>86</v>
      </c>
      <c r="H196" s="11" t="s">
        <v>109</v>
      </c>
      <c r="I196" s="16">
        <v>10.06</v>
      </c>
      <c r="J196" s="11" t="s">
        <v>88</v>
      </c>
      <c r="K196" s="11">
        <v>195</v>
      </c>
      <c r="L196" s="11" t="s">
        <v>110</v>
      </c>
      <c r="M196" s="11" t="s">
        <v>49</v>
      </c>
      <c r="N196">
        <f>_xlfn.XLOOKUP(spaces_3iWczBNnn5rbfoUlE0Jd_uploads_git_blob_9864c7f811c613c3faab876659c6423__25[[#This Row],[Número de Orden]],Cocinadinamica!B197:B965,Cocinadinamica!C197:C965)</f>
        <v>20</v>
      </c>
      <c r="O196" s="7">
        <f>spaces_3iWczBNnn5rbfoUlE0Jd_uploads_git_blob_9864c7f811c613c3faab876659c6423__25[[#This Row],[Hora de Llegada]]</f>
        <v>45018.12777777778</v>
      </c>
      <c r="P196" s="9">
        <f>spaces_3iWczBNnn5rbfoUlE0Jd_uploads_git_blob_9864c7f811c613c3faab876659c6423__25[[#This Row],[Hora de Llegada]]</f>
        <v>45018.12777777778</v>
      </c>
      <c r="Q196" s="9">
        <f>spaces_3iWczBNnn5rbfoUlE0Jd_uploads_git_blob_9864c7f811c613c3faab876659c6423__25[[#This Row],[Hora de Salida]]</f>
        <v>45018.17291666667</v>
      </c>
      <c r="R196" s="9" cm="1">
        <f t="array" ref="R19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5.5555555554747116E-2</v>
      </c>
      <c r="S196" s="9">
        <f>_xlfn.XLOOKUP(spaces_3iWczBNnn5rbfoUlE0Jd_uploads_git_blob_9864c7f811c613c3faab876659c6423__25[[#This Row],[Número de Orden]],Cocinadinamica!E197:E965,Cocinadinamica!F197:F965)/1440</f>
        <v>3.5416666666666666E-2</v>
      </c>
      <c r="T196" s="9" cm="1">
        <f t="array" ref="T19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2.013888888808045E-2</v>
      </c>
      <c r="U196" s="9" t="str" cm="1">
        <f t="array" ref="U19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7" spans="1:21" x14ac:dyDescent="0.35">
      <c r="A197" s="28">
        <v>4</v>
      </c>
      <c r="B197" s="13" t="s">
        <v>71</v>
      </c>
      <c r="C197" s="13">
        <v>3</v>
      </c>
      <c r="D197" s="14">
        <v>45018.007638888892</v>
      </c>
      <c r="E197" s="14">
        <v>45018.173611111109</v>
      </c>
      <c r="F197" s="13" t="s">
        <v>100</v>
      </c>
      <c r="G197" s="13" t="s">
        <v>86</v>
      </c>
      <c r="H197" s="13" t="s">
        <v>74</v>
      </c>
      <c r="I197" s="17">
        <v>42.65</v>
      </c>
      <c r="J197" s="13" t="s">
        <v>94</v>
      </c>
      <c r="K197" s="13">
        <v>196</v>
      </c>
      <c r="L197" s="13" t="s">
        <v>181</v>
      </c>
      <c r="M197" s="13" t="s">
        <v>1410</v>
      </c>
      <c r="N197">
        <f>_xlfn.XLOOKUP(spaces_3iWczBNnn5rbfoUlE0Jd_uploads_git_blob_9864c7f811c613c3faab876659c6423__25[[#This Row],[Número de Orden]],Cocinadinamica!B198:B966,Cocinadinamica!C198:C966)</f>
        <v>78</v>
      </c>
      <c r="O197" s="7">
        <f>spaces_3iWczBNnn5rbfoUlE0Jd_uploads_git_blob_9864c7f811c613c3faab876659c6423__25[[#This Row],[Hora de Llegada]]</f>
        <v>45018.007638888892</v>
      </c>
      <c r="P197" s="9">
        <f>spaces_3iWczBNnn5rbfoUlE0Jd_uploads_git_blob_9864c7f811c613c3faab876659c6423__25[[#This Row],[Hora de Llegada]]</f>
        <v>45018.007638888892</v>
      </c>
      <c r="Q197" s="9">
        <f>spaces_3iWczBNnn5rbfoUlE0Jd_uploads_git_blob_9864c7f811c613c3faab876659c6423__25[[#This Row],[Hora de Salida]]</f>
        <v>45018.173611111109</v>
      </c>
      <c r="R197" s="9" cm="1">
        <f t="array" ref="R19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0.16597222221753327</v>
      </c>
      <c r="S197" s="9">
        <f>_xlfn.XLOOKUP(spaces_3iWczBNnn5rbfoUlE0Jd_uploads_git_blob_9864c7f811c613c3faab876659c6423__25[[#This Row],[Número de Orden]],Cocinadinamica!E198:E966,Cocinadinamica!F198:F966)/1440</f>
        <v>0.12222222222222222</v>
      </c>
      <c r="T197" s="9" cm="1">
        <f t="array" ref="T19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4.3749999995311054E-2</v>
      </c>
      <c r="U197" s="9" t="str" cm="1">
        <f t="array" ref="U19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8" spans="1:21" x14ac:dyDescent="0.35">
      <c r="A198" s="27">
        <v>5</v>
      </c>
      <c r="B198" s="11" t="s">
        <v>725</v>
      </c>
      <c r="C198" s="11">
        <v>6</v>
      </c>
      <c r="D198" s="12">
        <v>45018.115277777775</v>
      </c>
      <c r="E198" s="12">
        <v>45018.20416666667</v>
      </c>
      <c r="F198" s="11" t="s">
        <v>100</v>
      </c>
      <c r="G198" s="11" t="s">
        <v>163</v>
      </c>
      <c r="H198" s="11" t="s">
        <v>109</v>
      </c>
      <c r="I198" s="16">
        <v>20.11</v>
      </c>
      <c r="J198" s="11" t="s">
        <v>88</v>
      </c>
      <c r="K198" s="11">
        <v>197</v>
      </c>
      <c r="L198" s="11" t="s">
        <v>110</v>
      </c>
      <c r="M198" s="11" t="s">
        <v>1411</v>
      </c>
      <c r="N198">
        <f>_xlfn.XLOOKUP(spaces_3iWczBNnn5rbfoUlE0Jd_uploads_git_blob_9864c7f811c613c3faab876659c6423__25[[#This Row],[Número de Orden]],Cocinadinamica!B199:B967,Cocinadinamica!C199:C967)</f>
        <v>53</v>
      </c>
      <c r="O198" s="7">
        <f>spaces_3iWczBNnn5rbfoUlE0Jd_uploads_git_blob_9864c7f811c613c3faab876659c6423__25[[#This Row],[Hora de Llegada]]</f>
        <v>45018.115277777775</v>
      </c>
      <c r="P198" s="9">
        <f>spaces_3iWczBNnn5rbfoUlE0Jd_uploads_git_blob_9864c7f811c613c3faab876659c6423__25[[#This Row],[Hora de Llegada]]</f>
        <v>45018.115277777775</v>
      </c>
      <c r="Q198" s="9">
        <f>spaces_3iWczBNnn5rbfoUlE0Jd_uploads_git_blob_9864c7f811c613c3faab876659c6423__25[[#This Row],[Hora de Salida]]</f>
        <v>45018.20416666667</v>
      </c>
      <c r="R198" s="9" cm="1">
        <f t="array" ref="R19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9.930555555911269E-2</v>
      </c>
      <c r="S198" s="9">
        <f>_xlfn.XLOOKUP(spaces_3iWczBNnn5rbfoUlE0Jd_uploads_git_blob_9864c7f811c613c3faab876659c6423__25[[#This Row],[Número de Orden]],Cocinadinamica!E199:E967,Cocinadinamica!F199:F967)/1440</f>
        <v>0.05</v>
      </c>
      <c r="T198" s="9" cm="1">
        <f t="array" ref="T19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4.9305555559112688E-2</v>
      </c>
      <c r="U198" s="9" t="str" cm="1">
        <f t="array" ref="U19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199" spans="1:21" x14ac:dyDescent="0.35">
      <c r="A199" s="28" t="s">
        <v>247</v>
      </c>
      <c r="B199" s="13" t="s">
        <v>305</v>
      </c>
      <c r="C199" s="13">
        <v>4</v>
      </c>
      <c r="D199" s="14">
        <v>45018.025000000001</v>
      </c>
      <c r="E199" s="14">
        <v>45018.128472222219</v>
      </c>
      <c r="F199" s="13" t="s">
        <v>223</v>
      </c>
      <c r="G199" s="13" t="s">
        <v>86</v>
      </c>
      <c r="H199" s="13" t="s">
        <v>74</v>
      </c>
      <c r="I199" s="17">
        <v>36.72</v>
      </c>
      <c r="J199" s="13" t="s">
        <v>94</v>
      </c>
      <c r="K199" s="13">
        <v>198</v>
      </c>
      <c r="L199" s="13" t="s">
        <v>181</v>
      </c>
      <c r="M199" s="13" t="s">
        <v>17</v>
      </c>
      <c r="N199">
        <f>_xlfn.XLOOKUP(spaces_3iWczBNnn5rbfoUlE0Jd_uploads_git_blob_9864c7f811c613c3faab876659c6423__25[[#This Row],[Número de Orden]],Cocinadinamica!B200:B968,Cocinadinamica!C200:C968)</f>
        <v>22</v>
      </c>
      <c r="O199" s="7">
        <f>spaces_3iWczBNnn5rbfoUlE0Jd_uploads_git_blob_9864c7f811c613c3faab876659c6423__25[[#This Row],[Hora de Llegada]]</f>
        <v>45018.025000000001</v>
      </c>
      <c r="P199" s="9">
        <f>spaces_3iWczBNnn5rbfoUlE0Jd_uploads_git_blob_9864c7f811c613c3faab876659c6423__25[[#This Row],[Hora de Llegada]]</f>
        <v>45018.025000000001</v>
      </c>
      <c r="Q199" s="9">
        <f>spaces_3iWczBNnn5rbfoUlE0Jd_uploads_git_blob_9864c7f811c613c3faab876659c6423__25[[#This Row],[Hora de Salida]]</f>
        <v>45018.128472222219</v>
      </c>
      <c r="R199" s="9" cm="1">
        <f t="array" ref="R19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0.10347222221753327</v>
      </c>
      <c r="S199" s="9">
        <f>_xlfn.XLOOKUP(spaces_3iWczBNnn5rbfoUlE0Jd_uploads_git_blob_9864c7f811c613c3faab876659c6423__25[[#This Row],[Número de Orden]],Cocinadinamica!E200:E968,Cocinadinamica!F200:F968)/1440</f>
        <v>2.2916666666666665E-2</v>
      </c>
      <c r="T199" s="9" cm="1">
        <f t="array" ref="T19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8.0555555550866603E-2</v>
      </c>
      <c r="U199" s="9" t="str" cm="1">
        <f t="array" ref="U19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00" spans="1:21" x14ac:dyDescent="0.35">
      <c r="A200" s="27">
        <v>11</v>
      </c>
      <c r="B200" s="11" t="s">
        <v>972</v>
      </c>
      <c r="C200" s="11">
        <v>5</v>
      </c>
      <c r="D200" s="12">
        <v>45018.080555555556</v>
      </c>
      <c r="E200" s="12">
        <v>45018.236111111109</v>
      </c>
      <c r="F200" s="11" t="s">
        <v>100</v>
      </c>
      <c r="G200" s="11" t="s">
        <v>73</v>
      </c>
      <c r="H200" s="11" t="s">
        <v>109</v>
      </c>
      <c r="I200" s="16">
        <v>13.26</v>
      </c>
      <c r="J200" s="11" t="s">
        <v>75</v>
      </c>
      <c r="K200" s="11">
        <v>199</v>
      </c>
      <c r="L200" s="11" t="s">
        <v>221</v>
      </c>
      <c r="M200" s="11" t="s">
        <v>1412</v>
      </c>
      <c r="N200">
        <f>_xlfn.XLOOKUP(spaces_3iWczBNnn5rbfoUlE0Jd_uploads_git_blob_9864c7f811c613c3faab876659c6423__25[[#This Row],[Número de Orden]],Cocinadinamica!B201:B969,Cocinadinamica!C201:C969)</f>
        <v>105</v>
      </c>
      <c r="O200" s="7">
        <f>spaces_3iWczBNnn5rbfoUlE0Jd_uploads_git_blob_9864c7f811c613c3faab876659c6423__25[[#This Row],[Hora de Llegada]]</f>
        <v>45018.080555555556</v>
      </c>
      <c r="P200" s="9">
        <f>spaces_3iWczBNnn5rbfoUlE0Jd_uploads_git_blob_9864c7f811c613c3faab876659c6423__25[[#This Row],[Hora de Llegada]]</f>
        <v>45018.080555555556</v>
      </c>
      <c r="Q200" s="9">
        <f>spaces_3iWczBNnn5rbfoUlE0Jd_uploads_git_blob_9864c7f811c613c3faab876659c6423__25[[#This Row],[Hora de Salida]]</f>
        <v>45018.236111111109</v>
      </c>
      <c r="R200" s="9" cm="1">
        <f t="array" ref="R20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0.15555555555329192</v>
      </c>
      <c r="S200" s="9">
        <f>_xlfn.XLOOKUP(spaces_3iWczBNnn5rbfoUlE0Jd_uploads_git_blob_9864c7f811c613c3faab876659c6423__25[[#This Row],[Número de Orden]],Cocinadinamica!E201:E969,Cocinadinamica!F201:F969)/1440</f>
        <v>9.8611111111111108E-2</v>
      </c>
      <c r="T200" s="9" cm="1">
        <f t="array" ref="T20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5.6944444442180817E-2</v>
      </c>
      <c r="U200" s="9" t="str" cm="1">
        <f t="array" ref="U20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01" spans="1:21" x14ac:dyDescent="0.35">
      <c r="A201" s="28">
        <v>11</v>
      </c>
      <c r="B201" s="13" t="s">
        <v>973</v>
      </c>
      <c r="C201" s="13">
        <v>4</v>
      </c>
      <c r="D201" s="14">
        <v>45018.107638888891</v>
      </c>
      <c r="E201" s="14">
        <v>45018.226388888892</v>
      </c>
      <c r="F201" s="13" t="s">
        <v>170</v>
      </c>
      <c r="G201" s="13" t="s">
        <v>86</v>
      </c>
      <c r="H201" s="13" t="s">
        <v>74</v>
      </c>
      <c r="I201" s="17">
        <v>48.73</v>
      </c>
      <c r="J201" s="13" t="s">
        <v>94</v>
      </c>
      <c r="K201" s="13">
        <v>200</v>
      </c>
      <c r="L201" s="13" t="s">
        <v>110</v>
      </c>
      <c r="M201" s="13" t="s">
        <v>1413</v>
      </c>
      <c r="N201">
        <f>_xlfn.XLOOKUP(spaces_3iWczBNnn5rbfoUlE0Jd_uploads_git_blob_9864c7f811c613c3faab876659c6423__25[[#This Row],[Número de Orden]],Cocinadinamica!B202:B970,Cocinadinamica!C202:C970)</f>
        <v>36</v>
      </c>
      <c r="O201" s="7">
        <f>spaces_3iWczBNnn5rbfoUlE0Jd_uploads_git_blob_9864c7f811c613c3faab876659c6423__25[[#This Row],[Hora de Llegada]]</f>
        <v>45018.107638888891</v>
      </c>
      <c r="P201" s="9">
        <f>spaces_3iWczBNnn5rbfoUlE0Jd_uploads_git_blob_9864c7f811c613c3faab876659c6423__25[[#This Row],[Hora de Llegada]]</f>
        <v>45018.107638888891</v>
      </c>
      <c r="Q201" s="9">
        <f>spaces_3iWczBNnn5rbfoUlE0Jd_uploads_git_blob_9864c7f811c613c3faab876659c6423__25[[#This Row],[Hora de Salida]]</f>
        <v>45018.226388888892</v>
      </c>
      <c r="R201" s="9" cm="1">
        <f t="array" ref="R20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0.11875000000145519</v>
      </c>
      <c r="S201" s="9">
        <f>_xlfn.XLOOKUP(spaces_3iWczBNnn5rbfoUlE0Jd_uploads_git_blob_9864c7f811c613c3faab876659c6423__25[[#This Row],[Número de Orden]],Cocinadinamica!E202:E970,Cocinadinamica!F202:F970)/1440</f>
        <v>4.6527777777777779E-2</v>
      </c>
      <c r="T201" s="9" cm="1">
        <f t="array" ref="T20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7.2222222223677413E-2</v>
      </c>
      <c r="U201" s="9" t="str" cm="1">
        <f t="array" ref="U20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02" spans="1:21" x14ac:dyDescent="0.35">
      <c r="A202" s="27" t="s">
        <v>308</v>
      </c>
      <c r="B202" s="11" t="s">
        <v>309</v>
      </c>
      <c r="C202" s="11">
        <v>5</v>
      </c>
      <c r="D202" s="12">
        <v>45018.012499999997</v>
      </c>
      <c r="E202" s="12">
        <v>45018.076388888891</v>
      </c>
      <c r="F202" s="11" t="s">
        <v>223</v>
      </c>
      <c r="G202" s="11" t="s">
        <v>73</v>
      </c>
      <c r="H202" s="11" t="s">
        <v>74</v>
      </c>
      <c r="I202" s="16">
        <v>19.84</v>
      </c>
      <c r="J202" s="11" t="s">
        <v>94</v>
      </c>
      <c r="K202" s="11">
        <v>201</v>
      </c>
      <c r="L202" s="11" t="s">
        <v>76</v>
      </c>
      <c r="M202" s="11" t="s">
        <v>9</v>
      </c>
      <c r="N202">
        <f>_xlfn.XLOOKUP(spaces_3iWczBNnn5rbfoUlE0Jd_uploads_git_blob_9864c7f811c613c3faab876659c6423__25[[#This Row],[Número de Orden]],Cocinadinamica!B203:B971,Cocinadinamica!C203:C971)</f>
        <v>30</v>
      </c>
      <c r="O202" s="7">
        <f>spaces_3iWczBNnn5rbfoUlE0Jd_uploads_git_blob_9864c7f811c613c3faab876659c6423__25[[#This Row],[Hora de Llegada]]</f>
        <v>45018.012499999997</v>
      </c>
      <c r="P202" s="9">
        <f>spaces_3iWczBNnn5rbfoUlE0Jd_uploads_git_blob_9864c7f811c613c3faab876659c6423__25[[#This Row],[Hora de Llegada]]</f>
        <v>45018.012499999997</v>
      </c>
      <c r="Q202" s="9">
        <f>spaces_3iWczBNnn5rbfoUlE0Jd_uploads_git_blob_9864c7f811c613c3faab876659c6423__25[[#This Row],[Hora de Salida]]</f>
        <v>45018.076388888891</v>
      </c>
      <c r="R202" s="9" cm="1">
        <f t="array" ref="R20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6.3888888893416151E-2</v>
      </c>
      <c r="S202" s="9">
        <f>_xlfn.XLOOKUP(spaces_3iWczBNnn5rbfoUlE0Jd_uploads_git_blob_9864c7f811c613c3faab876659c6423__25[[#This Row],[Número de Orden]],Cocinadinamica!E203:E971,Cocinadinamica!F203:F971)/1440</f>
        <v>4.027777777777778E-2</v>
      </c>
      <c r="T202" s="9" cm="1">
        <f t="array" ref="T20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2.3611111115638371E-2</v>
      </c>
      <c r="U202" s="9" t="str" cm="1">
        <f t="array" ref="U20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03" spans="1:21" x14ac:dyDescent="0.35">
      <c r="A203" s="28">
        <v>16</v>
      </c>
      <c r="B203" s="13" t="s">
        <v>974</v>
      </c>
      <c r="C203" s="13">
        <v>5</v>
      </c>
      <c r="D203" s="14">
        <v>45018.040277777778</v>
      </c>
      <c r="E203" s="14">
        <v>45018.083333333336</v>
      </c>
      <c r="F203" s="13" t="s">
        <v>170</v>
      </c>
      <c r="G203" s="13" t="s">
        <v>86</v>
      </c>
      <c r="H203" s="13" t="s">
        <v>74</v>
      </c>
      <c r="I203" s="17">
        <v>24.19</v>
      </c>
      <c r="J203" s="13" t="s">
        <v>88</v>
      </c>
      <c r="K203" s="13">
        <v>202</v>
      </c>
      <c r="L203" s="13" t="s">
        <v>95</v>
      </c>
      <c r="M203" s="13" t="s">
        <v>1414</v>
      </c>
      <c r="N203">
        <f>_xlfn.XLOOKUP(spaces_3iWczBNnn5rbfoUlE0Jd_uploads_git_blob_9864c7f811c613c3faab876659c6423__25[[#This Row],[Número de Orden]],Cocinadinamica!B204:B972,Cocinadinamica!C204:C972)</f>
        <v>80</v>
      </c>
      <c r="O203" s="7">
        <f>spaces_3iWczBNnn5rbfoUlE0Jd_uploads_git_blob_9864c7f811c613c3faab876659c6423__25[[#This Row],[Hora de Llegada]]</f>
        <v>45018.040277777778</v>
      </c>
      <c r="P203" s="9">
        <f>spaces_3iWczBNnn5rbfoUlE0Jd_uploads_git_blob_9864c7f811c613c3faab876659c6423__25[[#This Row],[Hora de Llegada]]</f>
        <v>45018.040277777778</v>
      </c>
      <c r="Q203" s="9">
        <f>spaces_3iWczBNnn5rbfoUlE0Jd_uploads_git_blob_9864c7f811c613c3faab876659c6423__25[[#This Row],[Hora de Salida]]</f>
        <v>45018.083333333336</v>
      </c>
      <c r="R203" s="9" cm="1">
        <f t="array" ref="R20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5.3472222221898846E-2</v>
      </c>
      <c r="S203" s="9">
        <f>_xlfn.XLOOKUP(spaces_3iWczBNnn5rbfoUlE0Jd_uploads_git_blob_9864c7f811c613c3faab876659c6423__25[[#This Row],[Número de Orden]],Cocinadinamica!E204:E972,Cocinadinamica!F204:F972)/1440</f>
        <v>0.10833333333333334</v>
      </c>
      <c r="T203" s="9" cm="1">
        <f t="array" ref="T20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03" s="9" t="str" cm="1">
        <f t="array" ref="U20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04" spans="1:21" x14ac:dyDescent="0.35">
      <c r="A204" s="27">
        <v>5</v>
      </c>
      <c r="B204" s="11" t="s">
        <v>975</v>
      </c>
      <c r="C204" s="11">
        <v>2</v>
      </c>
      <c r="D204" s="12">
        <v>45018.164583333331</v>
      </c>
      <c r="E204" s="12">
        <v>45018.222916666666</v>
      </c>
      <c r="F204" s="11" t="s">
        <v>223</v>
      </c>
      <c r="G204" s="11" t="s">
        <v>86</v>
      </c>
      <c r="H204" s="11" t="s">
        <v>74</v>
      </c>
      <c r="I204" s="16">
        <v>40.19</v>
      </c>
      <c r="J204" s="11" t="s">
        <v>75</v>
      </c>
      <c r="K204" s="11">
        <v>203</v>
      </c>
      <c r="L204" s="11" t="s">
        <v>76</v>
      </c>
      <c r="M204" s="11" t="s">
        <v>1415</v>
      </c>
      <c r="N204">
        <f>_xlfn.XLOOKUP(spaces_3iWczBNnn5rbfoUlE0Jd_uploads_git_blob_9864c7f811c613c3faab876659c6423__25[[#This Row],[Número de Orden]],Cocinadinamica!B205:B973,Cocinadinamica!C205:C973)</f>
        <v>60</v>
      </c>
      <c r="O204" s="7">
        <f>spaces_3iWczBNnn5rbfoUlE0Jd_uploads_git_blob_9864c7f811c613c3faab876659c6423__25[[#This Row],[Hora de Llegada]]</f>
        <v>45018.164583333331</v>
      </c>
      <c r="P204" s="9">
        <f>spaces_3iWczBNnn5rbfoUlE0Jd_uploads_git_blob_9864c7f811c613c3faab876659c6423__25[[#This Row],[Hora de Llegada]]</f>
        <v>45018.164583333331</v>
      </c>
      <c r="Q204" s="9">
        <f>spaces_3iWczBNnn5rbfoUlE0Jd_uploads_git_blob_9864c7f811c613c3faab876659c6423__25[[#This Row],[Hora de Salida]]</f>
        <v>45018.222916666666</v>
      </c>
      <c r="R204" s="9" cm="1">
        <f t="array" ref="R20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5.8333333334303461E-2</v>
      </c>
      <c r="S204" s="9">
        <f>_xlfn.XLOOKUP(spaces_3iWczBNnn5rbfoUlE0Jd_uploads_git_blob_9864c7f811c613c3faab876659c6423__25[[#This Row],[Número de Orden]],Cocinadinamica!E205:E973,Cocinadinamica!F205:F973)/1440</f>
        <v>5.9027777777777776E-2</v>
      </c>
      <c r="T204" s="9" cm="1">
        <f t="array" ref="T20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04" s="9" t="str" cm="1">
        <f t="array" ref="U20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05" spans="1:21" x14ac:dyDescent="0.35">
      <c r="A205" s="28" t="s">
        <v>224</v>
      </c>
      <c r="B205" s="13" t="s">
        <v>312</v>
      </c>
      <c r="C205" s="13">
        <v>5</v>
      </c>
      <c r="D205" s="14">
        <v>45018.011805555558</v>
      </c>
      <c r="E205" s="14">
        <v>45018.100694444445</v>
      </c>
      <c r="F205" s="13" t="s">
        <v>223</v>
      </c>
      <c r="G205" s="13" t="s">
        <v>86</v>
      </c>
      <c r="H205" s="13" t="s">
        <v>87</v>
      </c>
      <c r="I205" s="17">
        <v>49.56</v>
      </c>
      <c r="J205" s="13" t="s">
        <v>75</v>
      </c>
      <c r="K205" s="13">
        <v>204</v>
      </c>
      <c r="L205" s="13" t="s">
        <v>174</v>
      </c>
      <c r="M205" s="13" t="s">
        <v>9</v>
      </c>
      <c r="N205">
        <f>_xlfn.XLOOKUP(spaces_3iWczBNnn5rbfoUlE0Jd_uploads_git_blob_9864c7f811c613c3faab876659c6423__25[[#This Row],[Número de Orden]],Cocinadinamica!B206:B974,Cocinadinamica!C206:C974)</f>
        <v>20</v>
      </c>
      <c r="O205" s="7">
        <f>spaces_3iWczBNnn5rbfoUlE0Jd_uploads_git_blob_9864c7f811c613c3faab876659c6423__25[[#This Row],[Hora de Llegada]]</f>
        <v>45018.011805555558</v>
      </c>
      <c r="P205" s="9">
        <f>spaces_3iWczBNnn5rbfoUlE0Jd_uploads_git_blob_9864c7f811c613c3faab876659c6423__25[[#This Row],[Hora de Llegada]]</f>
        <v>45018.011805555558</v>
      </c>
      <c r="Q205" s="9">
        <f>spaces_3iWczBNnn5rbfoUlE0Jd_uploads_git_blob_9864c7f811c613c3faab876659c6423__25[[#This Row],[Hora de Salida]]</f>
        <v>45018.100694444445</v>
      </c>
      <c r="R205" s="9" cm="1">
        <f t="array" ref="R20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8.8888888887595385E-2</v>
      </c>
      <c r="S205" s="9">
        <f>_xlfn.XLOOKUP(spaces_3iWczBNnn5rbfoUlE0Jd_uploads_git_blob_9864c7f811c613c3faab876659c6423__25[[#This Row],[Número de Orden]],Cocinadinamica!E206:E974,Cocinadinamica!F206:F974)/1440</f>
        <v>1.4583333333333334E-2</v>
      </c>
      <c r="T205" s="9" cm="1">
        <f t="array" ref="T20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7.4305555554262048E-2</v>
      </c>
      <c r="U205" s="9" t="str" cm="1">
        <f t="array" ref="U20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06" spans="1:21" x14ac:dyDescent="0.35">
      <c r="A206" s="27">
        <v>14</v>
      </c>
      <c r="B206" s="11" t="s">
        <v>679</v>
      </c>
      <c r="C206" s="11">
        <v>1</v>
      </c>
      <c r="D206" s="12">
        <v>45018.09375</v>
      </c>
      <c r="E206" s="12">
        <v>45018.259722222225</v>
      </c>
      <c r="F206" s="11" t="s">
        <v>100</v>
      </c>
      <c r="G206" s="11" t="s">
        <v>86</v>
      </c>
      <c r="H206" s="11" t="s">
        <v>109</v>
      </c>
      <c r="I206" s="16">
        <v>26.49</v>
      </c>
      <c r="J206" s="11" t="s">
        <v>75</v>
      </c>
      <c r="K206" s="11">
        <v>205</v>
      </c>
      <c r="L206" s="11" t="s">
        <v>101</v>
      </c>
      <c r="M206" s="11" t="s">
        <v>1416</v>
      </c>
      <c r="N206">
        <f>_xlfn.XLOOKUP(spaces_3iWczBNnn5rbfoUlE0Jd_uploads_git_blob_9864c7f811c613c3faab876659c6423__25[[#This Row],[Número de Orden]],Cocinadinamica!B207:B975,Cocinadinamica!C207:C975)</f>
        <v>25</v>
      </c>
      <c r="O206" s="7">
        <f>spaces_3iWczBNnn5rbfoUlE0Jd_uploads_git_blob_9864c7f811c613c3faab876659c6423__25[[#This Row],[Hora de Llegada]]</f>
        <v>45018.09375</v>
      </c>
      <c r="P206" s="9">
        <f>spaces_3iWczBNnn5rbfoUlE0Jd_uploads_git_blob_9864c7f811c613c3faab876659c6423__25[[#This Row],[Hora de Llegada]]</f>
        <v>45018.09375</v>
      </c>
      <c r="Q206" s="9">
        <f>spaces_3iWczBNnn5rbfoUlE0Jd_uploads_git_blob_9864c7f811c613c3faab876659c6423__25[[#This Row],[Hora de Salida]]</f>
        <v>45018.259722222225</v>
      </c>
      <c r="R206" s="9" cm="1">
        <f t="array" ref="R20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0.16597222222480923</v>
      </c>
      <c r="S206" s="9">
        <f>_xlfn.XLOOKUP(spaces_3iWczBNnn5rbfoUlE0Jd_uploads_git_blob_9864c7f811c613c3faab876659c6423__25[[#This Row],[Número de Orden]],Cocinadinamica!E207:E975,Cocinadinamica!F207:F975)/1440</f>
        <v>5.9722222222222225E-2</v>
      </c>
      <c r="T206" s="9" cm="1">
        <f t="array" ref="T20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0.106250000002587</v>
      </c>
      <c r="U206" s="9" t="str" cm="1">
        <f t="array" ref="U20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07" spans="1:21" x14ac:dyDescent="0.35">
      <c r="A207" s="28" t="s">
        <v>210</v>
      </c>
      <c r="B207" s="13" t="s">
        <v>314</v>
      </c>
      <c r="C207" s="13">
        <v>6</v>
      </c>
      <c r="D207" s="14">
        <v>45018.143750000003</v>
      </c>
      <c r="E207" s="14">
        <v>45018.256249999999</v>
      </c>
      <c r="F207" s="13" t="s">
        <v>72</v>
      </c>
      <c r="G207" s="13" t="s">
        <v>86</v>
      </c>
      <c r="H207" s="13" t="s">
        <v>74</v>
      </c>
      <c r="I207" s="17">
        <v>36.96</v>
      </c>
      <c r="J207" s="13" t="s">
        <v>88</v>
      </c>
      <c r="K207" s="13">
        <v>206</v>
      </c>
      <c r="L207" s="13" t="s">
        <v>95</v>
      </c>
      <c r="M207" s="13" t="s">
        <v>12</v>
      </c>
      <c r="N207">
        <f>_xlfn.XLOOKUP(spaces_3iWczBNnn5rbfoUlE0Jd_uploads_git_blob_9864c7f811c613c3faab876659c6423__25[[#This Row],[Número de Orden]],Cocinadinamica!B208:B976,Cocinadinamica!C208:C976)</f>
        <v>12</v>
      </c>
      <c r="O207" s="7">
        <f>spaces_3iWczBNnn5rbfoUlE0Jd_uploads_git_blob_9864c7f811c613c3faab876659c6423__25[[#This Row],[Hora de Llegada]]</f>
        <v>45018.143750000003</v>
      </c>
      <c r="P207" s="9">
        <f>spaces_3iWczBNnn5rbfoUlE0Jd_uploads_git_blob_9864c7f811c613c3faab876659c6423__25[[#This Row],[Hora de Llegada]]</f>
        <v>45018.143750000003</v>
      </c>
      <c r="Q207" s="9">
        <f>spaces_3iWczBNnn5rbfoUlE0Jd_uploads_git_blob_9864c7f811c613c3faab876659c6423__25[[#This Row],[Hora de Salida]]</f>
        <v>45018.256249999999</v>
      </c>
      <c r="R207" s="9" cm="1">
        <f t="array" ref="R20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0.12291666665987577</v>
      </c>
      <c r="S207" s="9">
        <f>_xlfn.XLOOKUP(spaces_3iWczBNnn5rbfoUlE0Jd_uploads_git_blob_9864c7f811c613c3faab876659c6423__25[[#This Row],[Número de Orden]],Cocinadinamica!E208:E976,Cocinadinamica!F208:F976)/1440</f>
        <v>4.027777777777778E-2</v>
      </c>
      <c r="T207" s="9" cm="1">
        <f t="array" ref="T20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8.2638888882097999E-2</v>
      </c>
      <c r="U207" s="9" t="str" cm="1">
        <f t="array" ref="U20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08" spans="1:21" x14ac:dyDescent="0.35">
      <c r="A208" s="27">
        <v>20</v>
      </c>
      <c r="B208" s="11" t="s">
        <v>976</v>
      </c>
      <c r="C208" s="11">
        <v>3</v>
      </c>
      <c r="D208" s="12">
        <v>45018.117361111108</v>
      </c>
      <c r="E208" s="12">
        <v>45018.168055555558</v>
      </c>
      <c r="F208" s="11" t="s">
        <v>85</v>
      </c>
      <c r="G208" s="11" t="s">
        <v>73</v>
      </c>
      <c r="H208" s="11" t="s">
        <v>74</v>
      </c>
      <c r="I208" s="16">
        <v>46.54</v>
      </c>
      <c r="J208" s="11" t="s">
        <v>94</v>
      </c>
      <c r="K208" s="11">
        <v>207</v>
      </c>
      <c r="L208" s="11" t="s">
        <v>89</v>
      </c>
      <c r="M208" s="11" t="s">
        <v>1417</v>
      </c>
      <c r="N208">
        <f>_xlfn.XLOOKUP(spaces_3iWczBNnn5rbfoUlE0Jd_uploads_git_blob_9864c7f811c613c3faab876659c6423__25[[#This Row],[Número de Orden]],Cocinadinamica!B209:B977,Cocinadinamica!C209:C977)</f>
        <v>72</v>
      </c>
      <c r="O208" s="7">
        <f>spaces_3iWczBNnn5rbfoUlE0Jd_uploads_git_blob_9864c7f811c613c3faab876659c6423__25[[#This Row],[Hora de Llegada]]</f>
        <v>45018.117361111108</v>
      </c>
      <c r="P208" s="9">
        <f>spaces_3iWczBNnn5rbfoUlE0Jd_uploads_git_blob_9864c7f811c613c3faab876659c6423__25[[#This Row],[Hora de Llegada]]</f>
        <v>45018.117361111108</v>
      </c>
      <c r="Q208" s="9">
        <f>spaces_3iWczBNnn5rbfoUlE0Jd_uploads_git_blob_9864c7f811c613c3faab876659c6423__25[[#This Row],[Hora de Salida]]</f>
        <v>45018.168055555558</v>
      </c>
      <c r="R208" s="9" cm="1">
        <f t="array" ref="R20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5.0694444449618459E-2</v>
      </c>
      <c r="S208" s="9">
        <f>_xlfn.XLOOKUP(spaces_3iWczBNnn5rbfoUlE0Jd_uploads_git_blob_9864c7f811c613c3faab876659c6423__25[[#This Row],[Número de Orden]],Cocinadinamica!E209:E977,Cocinadinamica!F209:F977)/1440</f>
        <v>7.7083333333333337E-2</v>
      </c>
      <c r="T208" s="9" cm="1">
        <f t="array" ref="T20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08" s="9" t="str" cm="1">
        <f t="array" ref="U20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09" spans="1:21" x14ac:dyDescent="0.35">
      <c r="A209" s="28">
        <v>16</v>
      </c>
      <c r="B209" s="13" t="s">
        <v>977</v>
      </c>
      <c r="C209" s="13">
        <v>4</v>
      </c>
      <c r="D209" s="14">
        <v>45018.147916666669</v>
      </c>
      <c r="E209" s="14">
        <v>45018.275000000001</v>
      </c>
      <c r="F209" s="13" t="s">
        <v>223</v>
      </c>
      <c r="G209" s="13" t="s">
        <v>86</v>
      </c>
      <c r="H209" s="13" t="s">
        <v>109</v>
      </c>
      <c r="I209" s="17">
        <v>36.700000000000003</v>
      </c>
      <c r="J209" s="13" t="s">
        <v>88</v>
      </c>
      <c r="K209" s="13">
        <v>208</v>
      </c>
      <c r="L209" s="13" t="s">
        <v>76</v>
      </c>
      <c r="M209" s="13" t="s">
        <v>1418</v>
      </c>
      <c r="N209">
        <f>_xlfn.XLOOKUP(spaces_3iWczBNnn5rbfoUlE0Jd_uploads_git_blob_9864c7f811c613c3faab876659c6423__25[[#This Row],[Número de Orden]],Cocinadinamica!B210:B978,Cocinadinamica!C210:C978)</f>
        <v>71</v>
      </c>
      <c r="O209" s="7">
        <f>spaces_3iWczBNnn5rbfoUlE0Jd_uploads_git_blob_9864c7f811c613c3faab876659c6423__25[[#This Row],[Hora de Llegada]]</f>
        <v>45018.147916666669</v>
      </c>
      <c r="P209" s="9">
        <f>spaces_3iWczBNnn5rbfoUlE0Jd_uploads_git_blob_9864c7f811c613c3faab876659c6423__25[[#This Row],[Hora de Llegada]]</f>
        <v>45018.147916666669</v>
      </c>
      <c r="Q209" s="9">
        <f>spaces_3iWczBNnn5rbfoUlE0Jd_uploads_git_blob_9864c7f811c613c3faab876659c6423__25[[#This Row],[Hora de Salida]]</f>
        <v>45018.275000000001</v>
      </c>
      <c r="R209" s="9" cm="1">
        <f t="array" ref="R20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0.13749999999708962</v>
      </c>
      <c r="S209" s="9">
        <f>_xlfn.XLOOKUP(spaces_3iWczBNnn5rbfoUlE0Jd_uploads_git_blob_9864c7f811c613c3faab876659c6423__25[[#This Row],[Número de Orden]],Cocinadinamica!E210:E978,Cocinadinamica!F210:F978)/1440</f>
        <v>6.9444444444444448E-2</v>
      </c>
      <c r="T209" s="9" cm="1">
        <f t="array" ref="T20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6.8055555552645169E-2</v>
      </c>
      <c r="U209" s="9" t="str" cm="1">
        <f t="array" ref="U20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10" spans="1:21" x14ac:dyDescent="0.35">
      <c r="A210" s="27">
        <v>9</v>
      </c>
      <c r="B210" s="11" t="s">
        <v>978</v>
      </c>
      <c r="C210" s="11">
        <v>6</v>
      </c>
      <c r="D210" s="12">
        <v>45018.063194444447</v>
      </c>
      <c r="E210" s="12">
        <v>45018.17083333333</v>
      </c>
      <c r="F210" s="11" t="s">
        <v>223</v>
      </c>
      <c r="G210" s="11" t="s">
        <v>73</v>
      </c>
      <c r="H210" s="11" t="s">
        <v>87</v>
      </c>
      <c r="I210" s="16">
        <v>34.49</v>
      </c>
      <c r="J210" s="11" t="s">
        <v>94</v>
      </c>
      <c r="K210" s="11">
        <v>209</v>
      </c>
      <c r="L210" s="11" t="s">
        <v>95</v>
      </c>
      <c r="M210" s="11" t="s">
        <v>1419</v>
      </c>
      <c r="N210">
        <f>_xlfn.XLOOKUP(spaces_3iWczBNnn5rbfoUlE0Jd_uploads_git_blob_9864c7f811c613c3faab876659c6423__25[[#This Row],[Número de Orden]],Cocinadinamica!B211:B979,Cocinadinamica!C211:C979)</f>
        <v>87</v>
      </c>
      <c r="O210" s="7">
        <f>spaces_3iWczBNnn5rbfoUlE0Jd_uploads_git_blob_9864c7f811c613c3faab876659c6423__25[[#This Row],[Hora de Llegada]]</f>
        <v>45018.063194444447</v>
      </c>
      <c r="P210" s="9">
        <f>spaces_3iWczBNnn5rbfoUlE0Jd_uploads_git_blob_9864c7f811c613c3faab876659c6423__25[[#This Row],[Hora de Llegada]]</f>
        <v>45018.063194444447</v>
      </c>
      <c r="Q210" s="9">
        <f>spaces_3iWczBNnn5rbfoUlE0Jd_uploads_git_blob_9864c7f811c613c3faab876659c6423__25[[#This Row],[Hora de Salida]]</f>
        <v>45018.17083333333</v>
      </c>
      <c r="R210" s="9" cm="1">
        <f t="array" ref="R21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0.10763888888322981</v>
      </c>
      <c r="S210" s="9">
        <f>_xlfn.XLOOKUP(spaces_3iWczBNnn5rbfoUlE0Jd_uploads_git_blob_9864c7f811c613c3faab876659c6423__25[[#This Row],[Número de Orden]],Cocinadinamica!E211:E979,Cocinadinamica!F211:F979)/1440</f>
        <v>0.11874999999999999</v>
      </c>
      <c r="T210" s="9" cm="1">
        <f t="array" ref="T21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10" s="9" t="str" cm="1">
        <f t="array" ref="U21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11" spans="1:21" x14ac:dyDescent="0.35">
      <c r="A211" s="28">
        <v>10</v>
      </c>
      <c r="B211" s="13" t="s">
        <v>979</v>
      </c>
      <c r="C211" s="13">
        <v>4</v>
      </c>
      <c r="D211" s="14">
        <v>45018.113194444442</v>
      </c>
      <c r="E211" s="14">
        <v>45018.186805555553</v>
      </c>
      <c r="F211" s="13" t="s">
        <v>100</v>
      </c>
      <c r="G211" s="13" t="s">
        <v>163</v>
      </c>
      <c r="H211" s="13" t="s">
        <v>74</v>
      </c>
      <c r="I211" s="17">
        <v>14.67</v>
      </c>
      <c r="J211" s="13" t="s">
        <v>75</v>
      </c>
      <c r="K211" s="13">
        <v>210</v>
      </c>
      <c r="L211" s="13" t="s">
        <v>275</v>
      </c>
      <c r="M211" s="13" t="s">
        <v>1420</v>
      </c>
      <c r="N211">
        <f>_xlfn.XLOOKUP(spaces_3iWczBNnn5rbfoUlE0Jd_uploads_git_blob_9864c7f811c613c3faab876659c6423__25[[#This Row],[Número de Orden]],Cocinadinamica!B212:B980,Cocinadinamica!C212:C980)</f>
        <v>75</v>
      </c>
      <c r="O211" s="7">
        <f>spaces_3iWczBNnn5rbfoUlE0Jd_uploads_git_blob_9864c7f811c613c3faab876659c6423__25[[#This Row],[Hora de Llegada]]</f>
        <v>45018.113194444442</v>
      </c>
      <c r="P211" s="9">
        <f>spaces_3iWczBNnn5rbfoUlE0Jd_uploads_git_blob_9864c7f811c613c3faab876659c6423__25[[#This Row],[Hora de Llegada]]</f>
        <v>45018.113194444442</v>
      </c>
      <c r="Q211" s="9">
        <f>spaces_3iWczBNnn5rbfoUlE0Jd_uploads_git_blob_9864c7f811c613c3faab876659c6423__25[[#This Row],[Hora de Salida]]</f>
        <v>45018.186805555553</v>
      </c>
      <c r="R211" s="9" cm="1">
        <f t="array" ref="R21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7.3611111110949423E-2</v>
      </c>
      <c r="S211" s="9">
        <f>_xlfn.XLOOKUP(spaces_3iWczBNnn5rbfoUlE0Jd_uploads_git_blob_9864c7f811c613c3faab876659c6423__25[[#This Row],[Número de Orden]],Cocinadinamica!E212:E980,Cocinadinamica!F212:F980)/1440</f>
        <v>0.10972222222222222</v>
      </c>
      <c r="T211" s="9" cm="1">
        <f t="array" ref="T21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11" s="9" t="str" cm="1">
        <f t="array" ref="U21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12" spans="1:21" x14ac:dyDescent="0.35">
      <c r="A212" s="27">
        <v>1</v>
      </c>
      <c r="B212" s="11" t="s">
        <v>980</v>
      </c>
      <c r="C212" s="11">
        <v>2</v>
      </c>
      <c r="D212" s="12">
        <v>45018.152777777781</v>
      </c>
      <c r="E212" s="12">
        <v>45018.226388888892</v>
      </c>
      <c r="F212" s="11" t="s">
        <v>223</v>
      </c>
      <c r="G212" s="11" t="s">
        <v>86</v>
      </c>
      <c r="H212" s="11" t="s">
        <v>109</v>
      </c>
      <c r="I212" s="16">
        <v>11.13</v>
      </c>
      <c r="J212" s="11" t="s">
        <v>94</v>
      </c>
      <c r="K212" s="11">
        <v>211</v>
      </c>
      <c r="L212" s="11" t="s">
        <v>164</v>
      </c>
      <c r="M212" s="11" t="s">
        <v>1421</v>
      </c>
      <c r="N212">
        <f>_xlfn.XLOOKUP(spaces_3iWczBNnn5rbfoUlE0Jd_uploads_git_blob_9864c7f811c613c3faab876659c6423__25[[#This Row],[Número de Orden]],Cocinadinamica!B213:B981,Cocinadinamica!C213:C981)</f>
        <v>68</v>
      </c>
      <c r="O212" s="7">
        <f>spaces_3iWczBNnn5rbfoUlE0Jd_uploads_git_blob_9864c7f811c613c3faab876659c6423__25[[#This Row],[Hora de Llegada]]</f>
        <v>45018.152777777781</v>
      </c>
      <c r="P212" s="9">
        <f>spaces_3iWczBNnn5rbfoUlE0Jd_uploads_git_blob_9864c7f811c613c3faab876659c6423__25[[#This Row],[Hora de Llegada]]</f>
        <v>45018.152777777781</v>
      </c>
      <c r="Q212" s="9">
        <f>spaces_3iWczBNnn5rbfoUlE0Jd_uploads_git_blob_9864c7f811c613c3faab876659c6423__25[[#This Row],[Hora de Salida]]</f>
        <v>45018.226388888892</v>
      </c>
      <c r="R212" s="9" cm="1">
        <f t="array" ref="R21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7.3611111110949423E-2</v>
      </c>
      <c r="S212" s="9">
        <f>_xlfn.XLOOKUP(spaces_3iWczBNnn5rbfoUlE0Jd_uploads_git_blob_9864c7f811c613c3faab876659c6423__25[[#This Row],[Número de Orden]],Cocinadinamica!E213:E981,Cocinadinamica!F213:F981)/1440</f>
        <v>9.375E-2</v>
      </c>
      <c r="T212" s="9" cm="1">
        <f t="array" ref="T21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12" s="9" t="str" cm="1">
        <f t="array" ref="U21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13" spans="1:21" x14ac:dyDescent="0.35">
      <c r="A213" s="28">
        <v>14</v>
      </c>
      <c r="B213" s="13" t="s">
        <v>778</v>
      </c>
      <c r="C213" s="13">
        <v>6</v>
      </c>
      <c r="D213" s="14">
        <v>45018.107638888891</v>
      </c>
      <c r="E213" s="14">
        <v>45018.152777777781</v>
      </c>
      <c r="F213" s="13" t="s">
        <v>72</v>
      </c>
      <c r="G213" s="13" t="s">
        <v>86</v>
      </c>
      <c r="H213" s="13" t="s">
        <v>109</v>
      </c>
      <c r="I213" s="17">
        <v>18.850000000000001</v>
      </c>
      <c r="J213" s="13" t="s">
        <v>88</v>
      </c>
      <c r="K213" s="13">
        <v>212</v>
      </c>
      <c r="L213" s="13" t="s">
        <v>76</v>
      </c>
      <c r="M213" s="13" t="s">
        <v>1422</v>
      </c>
      <c r="N213">
        <f>_xlfn.XLOOKUP(spaces_3iWczBNnn5rbfoUlE0Jd_uploads_git_blob_9864c7f811c613c3faab876659c6423__25[[#This Row],[Número de Orden]],Cocinadinamica!B214:B982,Cocinadinamica!C214:C982)</f>
        <v>101</v>
      </c>
      <c r="O213" s="7">
        <f>spaces_3iWczBNnn5rbfoUlE0Jd_uploads_git_blob_9864c7f811c613c3faab876659c6423__25[[#This Row],[Hora de Llegada]]</f>
        <v>45018.107638888891</v>
      </c>
      <c r="P213" s="9">
        <f>spaces_3iWczBNnn5rbfoUlE0Jd_uploads_git_blob_9864c7f811c613c3faab876659c6423__25[[#This Row],[Hora de Llegada]]</f>
        <v>45018.107638888891</v>
      </c>
      <c r="Q213" s="9">
        <f>spaces_3iWczBNnn5rbfoUlE0Jd_uploads_git_blob_9864c7f811c613c3faab876659c6423__25[[#This Row],[Hora de Salida]]</f>
        <v>45018.152777777781</v>
      </c>
      <c r="R213" s="9" cm="1">
        <f t="array" ref="R21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5.5555555554747116E-2</v>
      </c>
      <c r="S213" s="9">
        <f>_xlfn.XLOOKUP(spaces_3iWczBNnn5rbfoUlE0Jd_uploads_git_blob_9864c7f811c613c3faab876659c6423__25[[#This Row],[Número de Orden]],Cocinadinamica!E214:E982,Cocinadinamica!F214:F982)/1440</f>
        <v>0.11388888888888889</v>
      </c>
      <c r="T213" s="9" cm="1">
        <f t="array" ref="T21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13" s="9" t="str" cm="1">
        <f t="array" ref="U21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14" spans="1:21" x14ac:dyDescent="0.35">
      <c r="A214" s="27">
        <v>13</v>
      </c>
      <c r="B214" s="11" t="s">
        <v>981</v>
      </c>
      <c r="C214" s="11">
        <v>6</v>
      </c>
      <c r="D214" s="12">
        <v>45018.073611111111</v>
      </c>
      <c r="E214" s="12">
        <v>45018.206944444442</v>
      </c>
      <c r="F214" s="11" t="s">
        <v>85</v>
      </c>
      <c r="G214" s="11" t="s">
        <v>86</v>
      </c>
      <c r="H214" s="11" t="s">
        <v>74</v>
      </c>
      <c r="I214" s="16">
        <v>28.1</v>
      </c>
      <c r="J214" s="11" t="s">
        <v>75</v>
      </c>
      <c r="K214" s="11">
        <v>213</v>
      </c>
      <c r="L214" s="11" t="s">
        <v>76</v>
      </c>
      <c r="M214" s="11" t="s">
        <v>1423</v>
      </c>
      <c r="N214">
        <f>_xlfn.XLOOKUP(spaces_3iWczBNnn5rbfoUlE0Jd_uploads_git_blob_9864c7f811c613c3faab876659c6423__25[[#This Row],[Número de Orden]],Cocinadinamica!B215:B983,Cocinadinamica!C215:C983)</f>
        <v>35</v>
      </c>
      <c r="O214" s="7">
        <f>spaces_3iWczBNnn5rbfoUlE0Jd_uploads_git_blob_9864c7f811c613c3faab876659c6423__25[[#This Row],[Hora de Llegada]]</f>
        <v>45018.073611111111</v>
      </c>
      <c r="P214" s="9">
        <f>spaces_3iWczBNnn5rbfoUlE0Jd_uploads_git_blob_9864c7f811c613c3faab876659c6423__25[[#This Row],[Hora de Llegada]]</f>
        <v>45018.073611111111</v>
      </c>
      <c r="Q214" s="9">
        <f>spaces_3iWczBNnn5rbfoUlE0Jd_uploads_git_blob_9864c7f811c613c3faab876659c6423__25[[#This Row],[Hora de Salida]]</f>
        <v>45018.206944444442</v>
      </c>
      <c r="R214" s="9" cm="1">
        <f t="array" ref="R21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0.13333333333139308</v>
      </c>
      <c r="S214" s="9">
        <f>_xlfn.XLOOKUP(spaces_3iWczBNnn5rbfoUlE0Jd_uploads_git_blob_9864c7f811c613c3faab876659c6423__25[[#This Row],[Número de Orden]],Cocinadinamica!E215:E983,Cocinadinamica!F215:F983)/1440</f>
        <v>6.9444444444444448E-2</v>
      </c>
      <c r="T214" s="9" cm="1">
        <f t="array" ref="T21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6.388888888694863E-2</v>
      </c>
      <c r="U214" s="9" t="str" cm="1">
        <f t="array" ref="U21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15" spans="1:21" x14ac:dyDescent="0.35">
      <c r="A215" s="28">
        <v>2</v>
      </c>
      <c r="B215" s="13" t="s">
        <v>982</v>
      </c>
      <c r="C215" s="13">
        <v>4</v>
      </c>
      <c r="D215" s="14">
        <v>45018.137499999997</v>
      </c>
      <c r="E215" s="14">
        <v>45018.214583333334</v>
      </c>
      <c r="F215" s="13" t="s">
        <v>223</v>
      </c>
      <c r="G215" s="13" t="s">
        <v>86</v>
      </c>
      <c r="H215" s="13" t="s">
        <v>109</v>
      </c>
      <c r="I215" s="17">
        <v>33.39</v>
      </c>
      <c r="J215" s="13" t="s">
        <v>88</v>
      </c>
      <c r="K215" s="13">
        <v>214</v>
      </c>
      <c r="L215" s="13" t="s">
        <v>164</v>
      </c>
      <c r="M215" s="13" t="s">
        <v>1424</v>
      </c>
      <c r="N215">
        <f>_xlfn.XLOOKUP(spaces_3iWczBNnn5rbfoUlE0Jd_uploads_git_blob_9864c7f811c613c3faab876659c6423__25[[#This Row],[Número de Orden]],Cocinadinamica!B216:B984,Cocinadinamica!C216:C984)</f>
        <v>89</v>
      </c>
      <c r="O215" s="7">
        <f>spaces_3iWczBNnn5rbfoUlE0Jd_uploads_git_blob_9864c7f811c613c3faab876659c6423__25[[#This Row],[Hora de Llegada]]</f>
        <v>45018.137499999997</v>
      </c>
      <c r="P215" s="9">
        <f>spaces_3iWczBNnn5rbfoUlE0Jd_uploads_git_blob_9864c7f811c613c3faab876659c6423__25[[#This Row],[Hora de Llegada]]</f>
        <v>45018.137499999997</v>
      </c>
      <c r="Q215" s="9">
        <f>spaces_3iWczBNnn5rbfoUlE0Jd_uploads_git_blob_9864c7f811c613c3faab876659c6423__25[[#This Row],[Hora de Salida]]</f>
        <v>45018.214583333334</v>
      </c>
      <c r="R215" s="9" cm="1">
        <f t="array" ref="R21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8.7500000001455192E-2</v>
      </c>
      <c r="S215" s="9">
        <f>_xlfn.XLOOKUP(spaces_3iWczBNnn5rbfoUlE0Jd_uploads_git_blob_9864c7f811c613c3faab876659c6423__25[[#This Row],[Número de Orden]],Cocinadinamica!E216:E984,Cocinadinamica!F216:F984)/1440</f>
        <v>2.6388888888888889E-2</v>
      </c>
      <c r="T215" s="9" cm="1">
        <f t="array" ref="T21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6.1111111112566299E-2</v>
      </c>
      <c r="U215" s="9" t="str" cm="1">
        <f t="array" ref="U21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16" spans="1:21" x14ac:dyDescent="0.35">
      <c r="A216" s="27">
        <v>6</v>
      </c>
      <c r="B216" s="11" t="s">
        <v>983</v>
      </c>
      <c r="C216" s="11">
        <v>4</v>
      </c>
      <c r="D216" s="12">
        <v>45018.161111111112</v>
      </c>
      <c r="E216" s="12">
        <v>45018.267361111109</v>
      </c>
      <c r="F216" s="11" t="s">
        <v>170</v>
      </c>
      <c r="G216" s="11" t="s">
        <v>86</v>
      </c>
      <c r="H216" s="11" t="s">
        <v>109</v>
      </c>
      <c r="I216" s="16">
        <v>35.64</v>
      </c>
      <c r="J216" s="11" t="s">
        <v>88</v>
      </c>
      <c r="K216" s="11">
        <v>215</v>
      </c>
      <c r="L216" s="11" t="s">
        <v>174</v>
      </c>
      <c r="M216" s="11" t="s">
        <v>1425</v>
      </c>
      <c r="N216">
        <f>_xlfn.XLOOKUP(spaces_3iWczBNnn5rbfoUlE0Jd_uploads_git_blob_9864c7f811c613c3faab876659c6423__25[[#This Row],[Número de Orden]],Cocinadinamica!B217:B985,Cocinadinamica!C217:C985)</f>
        <v>64</v>
      </c>
      <c r="O216" s="7">
        <f>spaces_3iWczBNnn5rbfoUlE0Jd_uploads_git_blob_9864c7f811c613c3faab876659c6423__25[[#This Row],[Hora de Llegada]]</f>
        <v>45018.161111111112</v>
      </c>
      <c r="P216" s="9">
        <f>spaces_3iWczBNnn5rbfoUlE0Jd_uploads_git_blob_9864c7f811c613c3faab876659c6423__25[[#This Row],[Hora de Llegada]]</f>
        <v>45018.161111111112</v>
      </c>
      <c r="Q216" s="9">
        <f>spaces_3iWczBNnn5rbfoUlE0Jd_uploads_git_blob_9864c7f811c613c3faab876659c6423__25[[#This Row],[Hora de Salida]]</f>
        <v>45018.267361111109</v>
      </c>
      <c r="R216" s="9" cm="1">
        <f t="array" ref="R21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0.11666666666133096</v>
      </c>
      <c r="S216" s="9">
        <f>_xlfn.XLOOKUP(spaces_3iWczBNnn5rbfoUlE0Jd_uploads_git_blob_9864c7f811c613c3faab876659c6423__25[[#This Row],[Número de Orden]],Cocinadinamica!E217:E985,Cocinadinamica!F217:F985)/1440</f>
        <v>3.1944444444444442E-2</v>
      </c>
      <c r="T216" s="9" cm="1">
        <f t="array" ref="T21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8.4722222216886522E-2</v>
      </c>
      <c r="U216" s="9" t="str" cm="1">
        <f t="array" ref="U21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17" spans="1:21" x14ac:dyDescent="0.35">
      <c r="A217" s="28">
        <v>17</v>
      </c>
      <c r="B217" s="13" t="s">
        <v>984</v>
      </c>
      <c r="C217" s="13">
        <v>6</v>
      </c>
      <c r="D217" s="14">
        <v>45018.073611111111</v>
      </c>
      <c r="E217" s="14">
        <v>45018.23333333333</v>
      </c>
      <c r="F217" s="13" t="s">
        <v>100</v>
      </c>
      <c r="G217" s="13" t="s">
        <v>86</v>
      </c>
      <c r="H217" s="13" t="s">
        <v>74</v>
      </c>
      <c r="I217" s="17">
        <v>35.69</v>
      </c>
      <c r="J217" s="13" t="s">
        <v>75</v>
      </c>
      <c r="K217" s="13">
        <v>216</v>
      </c>
      <c r="L217" s="13" t="s">
        <v>174</v>
      </c>
      <c r="M217" s="13" t="s">
        <v>1426</v>
      </c>
      <c r="N217">
        <f>_xlfn.XLOOKUP(spaces_3iWczBNnn5rbfoUlE0Jd_uploads_git_blob_9864c7f811c613c3faab876659c6423__25[[#This Row],[Número de Orden]],Cocinadinamica!B218:B986,Cocinadinamica!C218:C986)</f>
        <v>56</v>
      </c>
      <c r="O217" s="7">
        <f>spaces_3iWczBNnn5rbfoUlE0Jd_uploads_git_blob_9864c7f811c613c3faab876659c6423__25[[#This Row],[Hora de Llegada]]</f>
        <v>45018.073611111111</v>
      </c>
      <c r="P217" s="9">
        <f>spaces_3iWczBNnn5rbfoUlE0Jd_uploads_git_blob_9864c7f811c613c3faab876659c6423__25[[#This Row],[Hora de Llegada]]</f>
        <v>45018.073611111111</v>
      </c>
      <c r="Q217" s="9">
        <f>spaces_3iWczBNnn5rbfoUlE0Jd_uploads_git_blob_9864c7f811c613c3faab876659c6423__25[[#This Row],[Hora de Salida]]</f>
        <v>45018.23333333333</v>
      </c>
      <c r="R217" s="9" cm="1">
        <f t="array" ref="R21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0.15972222221898846</v>
      </c>
      <c r="S217" s="9">
        <f>_xlfn.XLOOKUP(spaces_3iWczBNnn5rbfoUlE0Jd_uploads_git_blob_9864c7f811c613c3faab876659c6423__25[[#This Row],[Número de Orden]],Cocinadinamica!E218:E986,Cocinadinamica!F218:F986)/1440</f>
        <v>8.3333333333333329E-2</v>
      </c>
      <c r="T217" s="9" cm="1">
        <f t="array" ref="T21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7.6388888885655135E-2</v>
      </c>
      <c r="U217" s="9" t="str" cm="1">
        <f t="array" ref="U21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18" spans="1:21" x14ac:dyDescent="0.35">
      <c r="A218" s="27" t="s">
        <v>161</v>
      </c>
      <c r="B218" s="11" t="s">
        <v>281</v>
      </c>
      <c r="C218" s="11">
        <v>2</v>
      </c>
      <c r="D218" s="12">
        <v>45018.037499999999</v>
      </c>
      <c r="E218" s="12">
        <v>45018.197916666664</v>
      </c>
      <c r="F218" s="11" t="s">
        <v>170</v>
      </c>
      <c r="G218" s="11" t="s">
        <v>73</v>
      </c>
      <c r="H218" s="11" t="s">
        <v>74</v>
      </c>
      <c r="I218" s="16">
        <v>31.17</v>
      </c>
      <c r="J218" s="11" t="s">
        <v>88</v>
      </c>
      <c r="K218" s="11">
        <v>217</v>
      </c>
      <c r="L218" s="11" t="s">
        <v>110</v>
      </c>
      <c r="M218" s="11" t="s">
        <v>33</v>
      </c>
      <c r="N218">
        <f>_xlfn.XLOOKUP(spaces_3iWczBNnn5rbfoUlE0Jd_uploads_git_blob_9864c7f811c613c3faab876659c6423__25[[#This Row],[Número de Orden]],Cocinadinamica!B219:B987,Cocinadinamica!C219:C987)</f>
        <v>39</v>
      </c>
      <c r="O218" s="7">
        <f>spaces_3iWczBNnn5rbfoUlE0Jd_uploads_git_blob_9864c7f811c613c3faab876659c6423__25[[#This Row],[Hora de Llegada]]</f>
        <v>45018.037499999999</v>
      </c>
      <c r="P218" s="9">
        <f>spaces_3iWczBNnn5rbfoUlE0Jd_uploads_git_blob_9864c7f811c613c3faab876659c6423__25[[#This Row],[Hora de Llegada]]</f>
        <v>45018.037499999999</v>
      </c>
      <c r="Q218" s="9">
        <f>spaces_3iWczBNnn5rbfoUlE0Jd_uploads_git_blob_9864c7f811c613c3faab876659c6423__25[[#This Row],[Hora de Salida]]</f>
        <v>45018.197916666664</v>
      </c>
      <c r="R218" s="9" cm="1">
        <f t="array" ref="R21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0.17083333332993789</v>
      </c>
      <c r="S218" s="9">
        <f>_xlfn.XLOOKUP(spaces_3iWczBNnn5rbfoUlE0Jd_uploads_git_blob_9864c7f811c613c3faab876659c6423__25[[#This Row],[Número de Orden]],Cocinadinamica!E219:E987,Cocinadinamica!F219:F987)/1440</f>
        <v>9.0277777777777769E-3</v>
      </c>
      <c r="T218" s="9" cm="1">
        <f t="array" ref="T21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0.16180555555216011</v>
      </c>
      <c r="U218" s="9" t="str" cm="1">
        <f t="array" ref="U21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19" spans="1:21" x14ac:dyDescent="0.35">
      <c r="A219" s="28">
        <v>13</v>
      </c>
      <c r="B219" s="13" t="s">
        <v>985</v>
      </c>
      <c r="C219" s="13">
        <v>3</v>
      </c>
      <c r="D219" s="14">
        <v>45018.018750000003</v>
      </c>
      <c r="E219" s="14">
        <v>45018.15347222222</v>
      </c>
      <c r="F219" s="13" t="s">
        <v>85</v>
      </c>
      <c r="G219" s="13" t="s">
        <v>86</v>
      </c>
      <c r="H219" s="13" t="s">
        <v>74</v>
      </c>
      <c r="I219" s="17">
        <v>23.34</v>
      </c>
      <c r="J219" s="13" t="s">
        <v>88</v>
      </c>
      <c r="K219" s="13">
        <v>218</v>
      </c>
      <c r="L219" s="13" t="s">
        <v>164</v>
      </c>
      <c r="M219" s="13" t="s">
        <v>1427</v>
      </c>
      <c r="N219">
        <f>_xlfn.XLOOKUP(spaces_3iWczBNnn5rbfoUlE0Jd_uploads_git_blob_9864c7f811c613c3faab876659c6423__25[[#This Row],[Número de Orden]],Cocinadinamica!B220:B988,Cocinadinamica!C220:C988)</f>
        <v>75</v>
      </c>
      <c r="O219" s="7">
        <f>spaces_3iWczBNnn5rbfoUlE0Jd_uploads_git_blob_9864c7f811c613c3faab876659c6423__25[[#This Row],[Hora de Llegada]]</f>
        <v>45018.018750000003</v>
      </c>
      <c r="P219" s="9">
        <f>spaces_3iWczBNnn5rbfoUlE0Jd_uploads_git_blob_9864c7f811c613c3faab876659c6423__25[[#This Row],[Hora de Llegada]]</f>
        <v>45018.018750000003</v>
      </c>
      <c r="Q219" s="9">
        <f>spaces_3iWczBNnn5rbfoUlE0Jd_uploads_git_blob_9864c7f811c613c3faab876659c6423__25[[#This Row],[Hora de Salida]]</f>
        <v>45018.15347222222</v>
      </c>
      <c r="R219" s="9" cm="1">
        <f t="array" ref="R21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0.14513888888177462</v>
      </c>
      <c r="S219" s="9">
        <f>_xlfn.XLOOKUP(spaces_3iWczBNnn5rbfoUlE0Jd_uploads_git_blob_9864c7f811c613c3faab876659c6423__25[[#This Row],[Número de Orden]],Cocinadinamica!E220:E988,Cocinadinamica!F220:F988)/1440</f>
        <v>3.1944444444444442E-2</v>
      </c>
      <c r="T219" s="9" cm="1">
        <f t="array" ref="T21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0.11319444443733018</v>
      </c>
      <c r="U219" s="9" t="str" cm="1">
        <f t="array" ref="U21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20" spans="1:21" x14ac:dyDescent="0.35">
      <c r="A220" s="27">
        <v>1</v>
      </c>
      <c r="B220" s="11" t="s">
        <v>704</v>
      </c>
      <c r="C220" s="11">
        <v>5</v>
      </c>
      <c r="D220" s="12">
        <v>45018.106249999997</v>
      </c>
      <c r="E220" s="12">
        <v>45018.200694444444</v>
      </c>
      <c r="F220" s="11" t="s">
        <v>170</v>
      </c>
      <c r="G220" s="11" t="s">
        <v>86</v>
      </c>
      <c r="H220" s="11" t="s">
        <v>74</v>
      </c>
      <c r="I220" s="16">
        <v>46.96</v>
      </c>
      <c r="J220" s="11" t="s">
        <v>75</v>
      </c>
      <c r="K220" s="11">
        <v>219</v>
      </c>
      <c r="L220" s="11" t="s">
        <v>275</v>
      </c>
      <c r="M220" s="11" t="s">
        <v>1348</v>
      </c>
      <c r="N220">
        <f>_xlfn.XLOOKUP(spaces_3iWczBNnn5rbfoUlE0Jd_uploads_git_blob_9864c7f811c613c3faab876659c6423__25[[#This Row],[Número de Orden]],Cocinadinamica!B221:B989,Cocinadinamica!C221:C989)</f>
        <v>54</v>
      </c>
      <c r="O220" s="7">
        <f>spaces_3iWczBNnn5rbfoUlE0Jd_uploads_git_blob_9864c7f811c613c3faab876659c6423__25[[#This Row],[Hora de Llegada]]</f>
        <v>45018.106249999997</v>
      </c>
      <c r="P220" s="9">
        <f>spaces_3iWczBNnn5rbfoUlE0Jd_uploads_git_blob_9864c7f811c613c3faab876659c6423__25[[#This Row],[Hora de Llegada]]</f>
        <v>45018.106249999997</v>
      </c>
      <c r="Q220" s="9">
        <f>spaces_3iWczBNnn5rbfoUlE0Jd_uploads_git_blob_9864c7f811c613c3faab876659c6423__25[[#This Row],[Hora de Salida]]</f>
        <v>45018.200694444444</v>
      </c>
      <c r="R220" s="9" cm="1">
        <f t="array" ref="R22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9.4444444446708076E-2</v>
      </c>
      <c r="S220" s="9">
        <f>_xlfn.XLOOKUP(spaces_3iWczBNnn5rbfoUlE0Jd_uploads_git_blob_9864c7f811c613c3faab876659c6423__25[[#This Row],[Número de Orden]],Cocinadinamica!E221:E989,Cocinadinamica!F221:F989)/1440</f>
        <v>1.5972222222222221E-2</v>
      </c>
      <c r="T220" s="9" cm="1">
        <f t="array" ref="T22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7.8472222224485855E-2</v>
      </c>
      <c r="U220" s="9" t="str" cm="1">
        <f t="array" ref="U22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21" spans="1:21" x14ac:dyDescent="0.35">
      <c r="A221" s="28" t="s">
        <v>125</v>
      </c>
      <c r="B221" s="13" t="s">
        <v>327</v>
      </c>
      <c r="C221" s="13">
        <v>6</v>
      </c>
      <c r="D221" s="14">
        <v>45018.042361111111</v>
      </c>
      <c r="E221" s="14">
        <v>45018.206250000003</v>
      </c>
      <c r="F221" s="13" t="s">
        <v>85</v>
      </c>
      <c r="G221" s="13" t="s">
        <v>86</v>
      </c>
      <c r="H221" s="13" t="s">
        <v>74</v>
      </c>
      <c r="I221" s="17">
        <v>4.8499999999999996</v>
      </c>
      <c r="J221" s="13" t="s">
        <v>94</v>
      </c>
      <c r="K221" s="13">
        <v>220</v>
      </c>
      <c r="L221" s="13" t="s">
        <v>187</v>
      </c>
      <c r="M221" s="13" t="s">
        <v>9</v>
      </c>
      <c r="N221">
        <f>_xlfn.XLOOKUP(spaces_3iWczBNnn5rbfoUlE0Jd_uploads_git_blob_9864c7f811c613c3faab876659c6423__25[[#This Row],[Número de Orden]],Cocinadinamica!B222:B990,Cocinadinamica!C222:C990)</f>
        <v>10</v>
      </c>
      <c r="O221" s="7">
        <f>spaces_3iWczBNnn5rbfoUlE0Jd_uploads_git_blob_9864c7f811c613c3faab876659c6423__25[[#This Row],[Hora de Llegada]]</f>
        <v>45018.042361111111</v>
      </c>
      <c r="P221" s="9">
        <f>spaces_3iWczBNnn5rbfoUlE0Jd_uploads_git_blob_9864c7f811c613c3faab876659c6423__25[[#This Row],[Hora de Llegada]]</f>
        <v>45018.042361111111</v>
      </c>
      <c r="Q221" s="9">
        <f>spaces_3iWczBNnn5rbfoUlE0Jd_uploads_git_blob_9864c7f811c613c3faab876659c6423__25[[#This Row],[Hora de Salida]]</f>
        <v>45018.206250000003</v>
      </c>
      <c r="R221" s="9" cm="1">
        <f t="array" ref="R22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0.16388888889196096</v>
      </c>
      <c r="S221" s="9">
        <f>_xlfn.XLOOKUP(spaces_3iWczBNnn5rbfoUlE0Jd_uploads_git_blob_9864c7f811c613c3faab876659c6423__25[[#This Row],[Número de Orden]],Cocinadinamica!E222:E990,Cocinadinamica!F222:F990)/1440</f>
        <v>9.0277777777777769E-3</v>
      </c>
      <c r="T221" s="9" cm="1">
        <f t="array" ref="T22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0.15486111111418319</v>
      </c>
      <c r="U221" s="9" t="str" cm="1">
        <f t="array" ref="U22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22" spans="1:21" x14ac:dyDescent="0.35">
      <c r="A222" s="27">
        <v>16</v>
      </c>
      <c r="B222" s="11" t="s">
        <v>986</v>
      </c>
      <c r="C222" s="11">
        <v>1</v>
      </c>
      <c r="D222" s="12">
        <v>45018.07708333333</v>
      </c>
      <c r="E222" s="12">
        <v>45018.128472222219</v>
      </c>
      <c r="F222" s="11" t="s">
        <v>170</v>
      </c>
      <c r="G222" s="11" t="s">
        <v>86</v>
      </c>
      <c r="H222" s="11" t="s">
        <v>74</v>
      </c>
      <c r="I222" s="16">
        <v>17.829999999999998</v>
      </c>
      <c r="J222" s="11" t="s">
        <v>75</v>
      </c>
      <c r="K222" s="11">
        <v>221</v>
      </c>
      <c r="L222" s="11" t="s">
        <v>101</v>
      </c>
      <c r="M222" s="11" t="s">
        <v>1428</v>
      </c>
      <c r="N222">
        <f>_xlfn.XLOOKUP(spaces_3iWczBNnn5rbfoUlE0Jd_uploads_git_blob_9864c7f811c613c3faab876659c6423__25[[#This Row],[Número de Orden]],Cocinadinamica!B223:B991,Cocinadinamica!C223:C991)</f>
        <v>79</v>
      </c>
      <c r="O222" s="7">
        <f>spaces_3iWczBNnn5rbfoUlE0Jd_uploads_git_blob_9864c7f811c613c3faab876659c6423__25[[#This Row],[Hora de Llegada]]</f>
        <v>45018.07708333333</v>
      </c>
      <c r="P222" s="9">
        <f>spaces_3iWczBNnn5rbfoUlE0Jd_uploads_git_blob_9864c7f811c613c3faab876659c6423__25[[#This Row],[Hora de Llegada]]</f>
        <v>45018.07708333333</v>
      </c>
      <c r="Q222" s="9">
        <f>spaces_3iWczBNnn5rbfoUlE0Jd_uploads_git_blob_9864c7f811c613c3faab876659c6423__25[[#This Row],[Hora de Salida]]</f>
        <v>45018.128472222219</v>
      </c>
      <c r="R222" s="9" cm="1">
        <f t="array" ref="R22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5.1388888889050577E-2</v>
      </c>
      <c r="S222" s="9">
        <f>_xlfn.XLOOKUP(spaces_3iWczBNnn5rbfoUlE0Jd_uploads_git_blob_9864c7f811c613c3faab876659c6423__25[[#This Row],[Número de Orden]],Cocinadinamica!E223:E991,Cocinadinamica!F223:F991)/1440</f>
        <v>7.4999999999999997E-2</v>
      </c>
      <c r="T222" s="9" cm="1">
        <f t="array" ref="T22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22" s="9" t="str" cm="1">
        <f t="array" ref="U22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23" spans="1:21" x14ac:dyDescent="0.35">
      <c r="A223" s="28">
        <v>3</v>
      </c>
      <c r="B223" s="13" t="s">
        <v>987</v>
      </c>
      <c r="C223" s="13">
        <v>3</v>
      </c>
      <c r="D223" s="14">
        <v>45018.151388888888</v>
      </c>
      <c r="E223" s="14">
        <v>45018.279166666667</v>
      </c>
      <c r="F223" s="13" t="s">
        <v>85</v>
      </c>
      <c r="G223" s="13" t="s">
        <v>73</v>
      </c>
      <c r="H223" s="13" t="s">
        <v>109</v>
      </c>
      <c r="I223" s="17">
        <v>32.58</v>
      </c>
      <c r="J223" s="13" t="s">
        <v>75</v>
      </c>
      <c r="K223" s="13">
        <v>222</v>
      </c>
      <c r="L223" s="13" t="s">
        <v>187</v>
      </c>
      <c r="M223" s="13" t="s">
        <v>1429</v>
      </c>
      <c r="N223">
        <f>_xlfn.XLOOKUP(spaces_3iWczBNnn5rbfoUlE0Jd_uploads_git_blob_9864c7f811c613c3faab876659c6423__25[[#This Row],[Número de Orden]],Cocinadinamica!B224:B992,Cocinadinamica!C224:C992)</f>
        <v>39</v>
      </c>
      <c r="O223" s="7">
        <f>spaces_3iWczBNnn5rbfoUlE0Jd_uploads_git_blob_9864c7f811c613c3faab876659c6423__25[[#This Row],[Hora de Llegada]]</f>
        <v>45018.151388888888</v>
      </c>
      <c r="P223" s="9">
        <f>spaces_3iWczBNnn5rbfoUlE0Jd_uploads_git_blob_9864c7f811c613c3faab876659c6423__25[[#This Row],[Hora de Llegada]]</f>
        <v>45018.151388888888</v>
      </c>
      <c r="Q223" s="9">
        <f>spaces_3iWczBNnn5rbfoUlE0Jd_uploads_git_blob_9864c7f811c613c3faab876659c6423__25[[#This Row],[Hora de Salida]]</f>
        <v>45018.279166666667</v>
      </c>
      <c r="R223" s="9" cm="1">
        <f t="array" ref="R22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0.12777777777955635</v>
      </c>
      <c r="S223" s="9">
        <f>_xlfn.XLOOKUP(spaces_3iWczBNnn5rbfoUlE0Jd_uploads_git_blob_9864c7f811c613c3faab876659c6423__25[[#This Row],[Número de Orden]],Cocinadinamica!E224:E992,Cocinadinamica!F224:F992)/1440</f>
        <v>5.9027777777777776E-2</v>
      </c>
      <c r="T223" s="9" cm="1">
        <f t="array" ref="T22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6.8750000001778569E-2</v>
      </c>
      <c r="U223" s="9" t="str" cm="1">
        <f t="array" ref="U22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24" spans="1:21" x14ac:dyDescent="0.35">
      <c r="A224" s="27" t="s">
        <v>177</v>
      </c>
      <c r="B224" s="11" t="s">
        <v>330</v>
      </c>
      <c r="C224" s="11">
        <v>2</v>
      </c>
      <c r="D224" s="12">
        <v>45018.052777777775</v>
      </c>
      <c r="E224" s="12">
        <v>45018.118055555555</v>
      </c>
      <c r="F224" s="11" t="s">
        <v>85</v>
      </c>
      <c r="G224" s="11" t="s">
        <v>73</v>
      </c>
      <c r="H224" s="11" t="s">
        <v>74</v>
      </c>
      <c r="I224" s="16">
        <v>49.62</v>
      </c>
      <c r="J224" s="11" t="s">
        <v>94</v>
      </c>
      <c r="K224" s="11">
        <v>223</v>
      </c>
      <c r="L224" s="11" t="s">
        <v>164</v>
      </c>
      <c r="M224" s="11" t="s">
        <v>33</v>
      </c>
      <c r="N224">
        <f>_xlfn.XLOOKUP(spaces_3iWczBNnn5rbfoUlE0Jd_uploads_git_blob_9864c7f811c613c3faab876659c6423__25[[#This Row],[Número de Orden]],Cocinadinamica!B225:B993,Cocinadinamica!C225:C993)</f>
        <v>13</v>
      </c>
      <c r="O224" s="7">
        <f>spaces_3iWczBNnn5rbfoUlE0Jd_uploads_git_blob_9864c7f811c613c3faab876659c6423__25[[#This Row],[Hora de Llegada]]</f>
        <v>45018.052777777775</v>
      </c>
      <c r="P224" s="9">
        <f>spaces_3iWczBNnn5rbfoUlE0Jd_uploads_git_blob_9864c7f811c613c3faab876659c6423__25[[#This Row],[Hora de Llegada]]</f>
        <v>45018.052777777775</v>
      </c>
      <c r="Q224" s="9">
        <f>spaces_3iWczBNnn5rbfoUlE0Jd_uploads_git_blob_9864c7f811c613c3faab876659c6423__25[[#This Row],[Hora de Salida]]</f>
        <v>45018.118055555555</v>
      </c>
      <c r="R224" s="9" cm="1">
        <f t="array" ref="R22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6.5277777779556345E-2</v>
      </c>
      <c r="S224" s="9">
        <f>_xlfn.XLOOKUP(spaces_3iWczBNnn5rbfoUlE0Jd_uploads_git_blob_9864c7f811c613c3faab876659c6423__25[[#This Row],[Número de Orden]],Cocinadinamica!E225:E993,Cocinadinamica!F225:F993)/1440</f>
        <v>3.6805555555555557E-2</v>
      </c>
      <c r="T224" s="9" cm="1">
        <f t="array" ref="T22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2.8472222224000789E-2</v>
      </c>
      <c r="U224" s="9" t="str" cm="1">
        <f t="array" ref="U22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25" spans="1:21" x14ac:dyDescent="0.35">
      <c r="A225" s="28" t="s">
        <v>70</v>
      </c>
      <c r="B225" s="13" t="s">
        <v>331</v>
      </c>
      <c r="C225" s="13">
        <v>6</v>
      </c>
      <c r="D225" s="14">
        <v>45018.088194444441</v>
      </c>
      <c r="E225" s="14">
        <v>45018.240972222222</v>
      </c>
      <c r="F225" s="13" t="s">
        <v>170</v>
      </c>
      <c r="G225" s="13" t="s">
        <v>86</v>
      </c>
      <c r="H225" s="13" t="s">
        <v>74</v>
      </c>
      <c r="I225" s="17">
        <v>17.61</v>
      </c>
      <c r="J225" s="13" t="s">
        <v>88</v>
      </c>
      <c r="K225" s="13">
        <v>224</v>
      </c>
      <c r="L225" s="13" t="s">
        <v>95</v>
      </c>
      <c r="M225" s="13" t="s">
        <v>47</v>
      </c>
      <c r="N225">
        <f>_xlfn.XLOOKUP(spaces_3iWczBNnn5rbfoUlE0Jd_uploads_git_blob_9864c7f811c613c3faab876659c6423__25[[#This Row],[Número de Orden]],Cocinadinamica!B226:B994,Cocinadinamica!C226:C994)</f>
        <v>22</v>
      </c>
      <c r="O225" s="7">
        <f>spaces_3iWczBNnn5rbfoUlE0Jd_uploads_git_blob_9864c7f811c613c3faab876659c6423__25[[#This Row],[Hora de Llegada]]</f>
        <v>45018.088194444441</v>
      </c>
      <c r="P225" s="9">
        <f>spaces_3iWczBNnn5rbfoUlE0Jd_uploads_git_blob_9864c7f811c613c3faab876659c6423__25[[#This Row],[Hora de Llegada]]</f>
        <v>45018.088194444441</v>
      </c>
      <c r="Q225" s="9">
        <f>spaces_3iWczBNnn5rbfoUlE0Jd_uploads_git_blob_9864c7f811c613c3faab876659c6423__25[[#This Row],[Hora de Salida]]</f>
        <v>45018.240972222222</v>
      </c>
      <c r="R225" s="9" cm="1">
        <f t="array" ref="R22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0.16319444444525288</v>
      </c>
      <c r="S225" s="9">
        <f>_xlfn.XLOOKUP(spaces_3iWczBNnn5rbfoUlE0Jd_uploads_git_blob_9864c7f811c613c3faab876659c6423__25[[#This Row],[Número de Orden]],Cocinadinamica!E226:E994,Cocinadinamica!F226:F994)/1440</f>
        <v>1.3888888888888888E-2</v>
      </c>
      <c r="T225" s="9" cm="1">
        <f t="array" ref="T22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0.14930555555636399</v>
      </c>
      <c r="U225" s="9" t="str" cm="1">
        <f t="array" ref="U22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26" spans="1:21" x14ac:dyDescent="0.35">
      <c r="A226" s="27">
        <v>19</v>
      </c>
      <c r="B226" s="11" t="s">
        <v>988</v>
      </c>
      <c r="C226" s="11">
        <v>4</v>
      </c>
      <c r="D226" s="12">
        <v>45018.009722222225</v>
      </c>
      <c r="E226" s="12">
        <v>45018.058333333334</v>
      </c>
      <c r="F226" s="11" t="s">
        <v>170</v>
      </c>
      <c r="G226" s="11" t="s">
        <v>163</v>
      </c>
      <c r="H226" s="11" t="s">
        <v>74</v>
      </c>
      <c r="I226" s="16">
        <v>35.020000000000003</v>
      </c>
      <c r="J226" s="11" t="s">
        <v>94</v>
      </c>
      <c r="K226" s="11">
        <v>225</v>
      </c>
      <c r="L226" s="11" t="s">
        <v>76</v>
      </c>
      <c r="M226" s="11" t="s">
        <v>1430</v>
      </c>
      <c r="N226">
        <f>_xlfn.XLOOKUP(spaces_3iWczBNnn5rbfoUlE0Jd_uploads_git_blob_9864c7f811c613c3faab876659c6423__25[[#This Row],[Número de Orden]],Cocinadinamica!B227:B995,Cocinadinamica!C227:C995)</f>
        <v>66</v>
      </c>
      <c r="O226" s="7">
        <f>spaces_3iWczBNnn5rbfoUlE0Jd_uploads_git_blob_9864c7f811c613c3faab876659c6423__25[[#This Row],[Hora de Llegada]]</f>
        <v>45018.009722222225</v>
      </c>
      <c r="P226" s="9">
        <f>spaces_3iWczBNnn5rbfoUlE0Jd_uploads_git_blob_9864c7f811c613c3faab876659c6423__25[[#This Row],[Hora de Llegada]]</f>
        <v>45018.009722222225</v>
      </c>
      <c r="Q226" s="9">
        <f>spaces_3iWczBNnn5rbfoUlE0Jd_uploads_git_blob_9864c7f811c613c3faab876659c6423__25[[#This Row],[Hora de Salida]]</f>
        <v>45018.058333333334</v>
      </c>
      <c r="R226" s="9" cm="1">
        <f t="array" ref="R22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4.8611111109494232E-2</v>
      </c>
      <c r="S226" s="9">
        <f>_xlfn.XLOOKUP(spaces_3iWczBNnn5rbfoUlE0Jd_uploads_git_blob_9864c7f811c613c3faab876659c6423__25[[#This Row],[Número de Orden]],Cocinadinamica!E227:E995,Cocinadinamica!F227:F995)/1440</f>
        <v>6.5277777777777782E-2</v>
      </c>
      <c r="T226" s="9" cm="1">
        <f t="array" ref="T22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26" s="9" t="str" cm="1">
        <f t="array" ref="U22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27" spans="1:21" x14ac:dyDescent="0.35">
      <c r="A227" s="28">
        <v>7</v>
      </c>
      <c r="B227" s="13" t="s">
        <v>989</v>
      </c>
      <c r="C227" s="13">
        <v>6</v>
      </c>
      <c r="D227" s="14">
        <v>45018.040277777778</v>
      </c>
      <c r="E227" s="14">
        <v>45018.17291666667</v>
      </c>
      <c r="F227" s="13" t="s">
        <v>223</v>
      </c>
      <c r="G227" s="13" t="s">
        <v>73</v>
      </c>
      <c r="H227" s="13" t="s">
        <v>74</v>
      </c>
      <c r="I227" s="17">
        <v>39.479999999999997</v>
      </c>
      <c r="J227" s="13" t="s">
        <v>94</v>
      </c>
      <c r="K227" s="13">
        <v>226</v>
      </c>
      <c r="L227" s="13" t="s">
        <v>275</v>
      </c>
      <c r="M227" s="13" t="s">
        <v>1431</v>
      </c>
      <c r="N227">
        <f>_xlfn.XLOOKUP(spaces_3iWczBNnn5rbfoUlE0Jd_uploads_git_blob_9864c7f811c613c3faab876659c6423__25[[#This Row],[Número de Orden]],Cocinadinamica!B228:B996,Cocinadinamica!C228:C996)</f>
        <v>69</v>
      </c>
      <c r="O227" s="7">
        <f>spaces_3iWczBNnn5rbfoUlE0Jd_uploads_git_blob_9864c7f811c613c3faab876659c6423__25[[#This Row],[Hora de Llegada]]</f>
        <v>45018.040277777778</v>
      </c>
      <c r="P227" s="9">
        <f>spaces_3iWczBNnn5rbfoUlE0Jd_uploads_git_blob_9864c7f811c613c3faab876659c6423__25[[#This Row],[Hora de Llegada]]</f>
        <v>45018.040277777778</v>
      </c>
      <c r="Q227" s="9">
        <f>spaces_3iWczBNnn5rbfoUlE0Jd_uploads_git_blob_9864c7f811c613c3faab876659c6423__25[[#This Row],[Hora de Salida]]</f>
        <v>45018.17291666667</v>
      </c>
      <c r="R227" s="9" cm="1">
        <f t="array" ref="R22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0.13263888889196096</v>
      </c>
      <c r="S227" s="9">
        <f>_xlfn.XLOOKUP(spaces_3iWczBNnn5rbfoUlE0Jd_uploads_git_blob_9864c7f811c613c3faab876659c6423__25[[#This Row],[Número de Orden]],Cocinadinamica!E228:E996,Cocinadinamica!F228:F996)/1440</f>
        <v>0.10138888888888889</v>
      </c>
      <c r="T227" s="9" cm="1">
        <f t="array" ref="T22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3.125000000307207E-2</v>
      </c>
      <c r="U227" s="9" t="str" cm="1">
        <f t="array" ref="U22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28" spans="1:21" x14ac:dyDescent="0.35">
      <c r="A228" s="27">
        <v>17</v>
      </c>
      <c r="B228" s="11" t="s">
        <v>917</v>
      </c>
      <c r="C228" s="11">
        <v>6</v>
      </c>
      <c r="D228" s="12">
        <v>45018.075694444444</v>
      </c>
      <c r="E228" s="12">
        <v>45018.202777777777</v>
      </c>
      <c r="F228" s="11" t="s">
        <v>85</v>
      </c>
      <c r="G228" s="11" t="s">
        <v>86</v>
      </c>
      <c r="H228" s="11" t="s">
        <v>74</v>
      </c>
      <c r="I228" s="16">
        <v>41.05</v>
      </c>
      <c r="J228" s="11" t="s">
        <v>75</v>
      </c>
      <c r="K228" s="11">
        <v>227</v>
      </c>
      <c r="L228" s="11" t="s">
        <v>101</v>
      </c>
      <c r="M228" s="11" t="s">
        <v>1432</v>
      </c>
      <c r="N228">
        <f>_xlfn.XLOOKUP(spaces_3iWczBNnn5rbfoUlE0Jd_uploads_git_blob_9864c7f811c613c3faab876659c6423__25[[#This Row],[Número de Orden]],Cocinadinamica!B229:B997,Cocinadinamica!C229:C997)</f>
        <v>84</v>
      </c>
      <c r="O228" s="7">
        <f>spaces_3iWczBNnn5rbfoUlE0Jd_uploads_git_blob_9864c7f811c613c3faab876659c6423__25[[#This Row],[Hora de Llegada]]</f>
        <v>45018.075694444444</v>
      </c>
      <c r="P228" s="9">
        <f>spaces_3iWczBNnn5rbfoUlE0Jd_uploads_git_blob_9864c7f811c613c3faab876659c6423__25[[#This Row],[Hora de Llegada]]</f>
        <v>45018.075694444444</v>
      </c>
      <c r="Q228" s="9">
        <f>spaces_3iWczBNnn5rbfoUlE0Jd_uploads_git_blob_9864c7f811c613c3faab876659c6423__25[[#This Row],[Hora de Salida]]</f>
        <v>45018.202777777777</v>
      </c>
      <c r="R228" s="9" cm="1">
        <f t="array" ref="R22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0.12708333333284827</v>
      </c>
      <c r="S228" s="9">
        <f>_xlfn.XLOOKUP(spaces_3iWczBNnn5rbfoUlE0Jd_uploads_git_blob_9864c7f811c613c3faab876659c6423__25[[#This Row],[Número de Orden]],Cocinadinamica!E229:E997,Cocinadinamica!F229:F997)/1440</f>
        <v>8.2638888888888887E-2</v>
      </c>
      <c r="T228" s="9" cm="1">
        <f t="array" ref="T22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4.4444444443959383E-2</v>
      </c>
      <c r="U228" s="9" t="str" cm="1">
        <f t="array" ref="U22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29" spans="1:21" x14ac:dyDescent="0.35">
      <c r="A229" s="28" t="s">
        <v>224</v>
      </c>
      <c r="B229" s="13" t="s">
        <v>335</v>
      </c>
      <c r="C229" s="13">
        <v>4</v>
      </c>
      <c r="D229" s="14">
        <v>45018.069444444445</v>
      </c>
      <c r="E229" s="14">
        <v>45018.168055555558</v>
      </c>
      <c r="F229" s="13" t="s">
        <v>170</v>
      </c>
      <c r="G229" s="13" t="s">
        <v>86</v>
      </c>
      <c r="H229" s="13" t="s">
        <v>74</v>
      </c>
      <c r="I229" s="17">
        <v>10.66</v>
      </c>
      <c r="J229" s="13" t="s">
        <v>88</v>
      </c>
      <c r="K229" s="13">
        <v>228</v>
      </c>
      <c r="L229" s="13" t="s">
        <v>187</v>
      </c>
      <c r="M229" s="13" t="s">
        <v>41</v>
      </c>
      <c r="N229">
        <f>_xlfn.XLOOKUP(spaces_3iWczBNnn5rbfoUlE0Jd_uploads_git_blob_9864c7f811c613c3faab876659c6423__25[[#This Row],[Número de Orden]],Cocinadinamica!B230:B998,Cocinadinamica!C230:C998)</f>
        <v>27</v>
      </c>
      <c r="O229" s="7">
        <f>spaces_3iWczBNnn5rbfoUlE0Jd_uploads_git_blob_9864c7f811c613c3faab876659c6423__25[[#This Row],[Hora de Llegada]]</f>
        <v>45018.069444444445</v>
      </c>
      <c r="P229" s="9">
        <f>spaces_3iWczBNnn5rbfoUlE0Jd_uploads_git_blob_9864c7f811c613c3faab876659c6423__25[[#This Row],[Hora de Llegada]]</f>
        <v>45018.069444444445</v>
      </c>
      <c r="Q229" s="9">
        <f>spaces_3iWczBNnn5rbfoUlE0Jd_uploads_git_blob_9864c7f811c613c3faab876659c6423__25[[#This Row],[Hora de Salida]]</f>
        <v>45018.168055555558</v>
      </c>
      <c r="R229" s="9" cm="1">
        <f t="array" ref="R22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0.10902777777664596</v>
      </c>
      <c r="S229" s="9">
        <f>_xlfn.XLOOKUP(spaces_3iWczBNnn5rbfoUlE0Jd_uploads_git_blob_9864c7f811c613c3faab876659c6423__25[[#This Row],[Número de Orden]],Cocinadinamica!E230:E998,Cocinadinamica!F230:F998)/1440</f>
        <v>2.4305555555555556E-2</v>
      </c>
      <c r="T229" s="9" cm="1">
        <f t="array" ref="T22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8.472222222109041E-2</v>
      </c>
      <c r="U229" s="9" t="str" cm="1">
        <f t="array" ref="U22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30" spans="1:21" x14ac:dyDescent="0.35">
      <c r="A230" s="27">
        <v>14</v>
      </c>
      <c r="B230" s="11" t="s">
        <v>990</v>
      </c>
      <c r="C230" s="11">
        <v>3</v>
      </c>
      <c r="D230" s="12">
        <v>45018.106944444444</v>
      </c>
      <c r="E230" s="12">
        <v>45018.1875</v>
      </c>
      <c r="F230" s="11" t="s">
        <v>100</v>
      </c>
      <c r="G230" s="11" t="s">
        <v>73</v>
      </c>
      <c r="H230" s="11" t="s">
        <v>74</v>
      </c>
      <c r="I230" s="16">
        <v>28.58</v>
      </c>
      <c r="J230" s="11" t="s">
        <v>94</v>
      </c>
      <c r="K230" s="11">
        <v>229</v>
      </c>
      <c r="L230" s="11" t="s">
        <v>95</v>
      </c>
      <c r="M230" s="11" t="s">
        <v>1433</v>
      </c>
      <c r="N230">
        <f>_xlfn.XLOOKUP(spaces_3iWczBNnn5rbfoUlE0Jd_uploads_git_blob_9864c7f811c613c3faab876659c6423__25[[#This Row],[Número de Orden]],Cocinadinamica!B231:B999,Cocinadinamica!C231:C999)</f>
        <v>50</v>
      </c>
      <c r="O230" s="7">
        <f>spaces_3iWczBNnn5rbfoUlE0Jd_uploads_git_blob_9864c7f811c613c3faab876659c6423__25[[#This Row],[Hora de Llegada]]</f>
        <v>45018.106944444444</v>
      </c>
      <c r="P230" s="9">
        <f>spaces_3iWczBNnn5rbfoUlE0Jd_uploads_git_blob_9864c7f811c613c3faab876659c6423__25[[#This Row],[Hora de Llegada]]</f>
        <v>45018.106944444444</v>
      </c>
      <c r="Q230" s="9">
        <f>spaces_3iWczBNnn5rbfoUlE0Jd_uploads_git_blob_9864c7f811c613c3faab876659c6423__25[[#This Row],[Hora de Salida]]</f>
        <v>45018.1875</v>
      </c>
      <c r="R230" s="9" cm="1">
        <f t="array" ref="R23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8.0555555556202307E-2</v>
      </c>
      <c r="S230" s="9">
        <f>_xlfn.XLOOKUP(spaces_3iWczBNnn5rbfoUlE0Jd_uploads_git_blob_9864c7f811c613c3faab876659c6423__25[[#This Row],[Número de Orden]],Cocinadinamica!E231:E999,Cocinadinamica!F231:F999)/1440</f>
        <v>8.1250000000000003E-2</v>
      </c>
      <c r="T230" s="9" cm="1">
        <f t="array" ref="T23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30" s="9" t="str" cm="1">
        <f t="array" ref="U23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31" spans="1:21" x14ac:dyDescent="0.35">
      <c r="A231" s="28">
        <v>5</v>
      </c>
      <c r="B231" s="13" t="s">
        <v>884</v>
      </c>
      <c r="C231" s="13">
        <v>5</v>
      </c>
      <c r="D231" s="14">
        <v>45018.09375</v>
      </c>
      <c r="E231" s="14">
        <v>45018.2</v>
      </c>
      <c r="F231" s="13" t="s">
        <v>100</v>
      </c>
      <c r="G231" s="13" t="s">
        <v>86</v>
      </c>
      <c r="H231" s="13" t="s">
        <v>74</v>
      </c>
      <c r="I231" s="17">
        <v>15.84</v>
      </c>
      <c r="J231" s="13" t="s">
        <v>75</v>
      </c>
      <c r="K231" s="13">
        <v>230</v>
      </c>
      <c r="L231" s="13" t="s">
        <v>275</v>
      </c>
      <c r="M231" s="13" t="s">
        <v>1434</v>
      </c>
      <c r="N231">
        <f>_xlfn.XLOOKUP(spaces_3iWczBNnn5rbfoUlE0Jd_uploads_git_blob_9864c7f811c613c3faab876659c6423__25[[#This Row],[Número de Orden]],Cocinadinamica!B232:B1000,Cocinadinamica!C232:C1000)</f>
        <v>87</v>
      </c>
      <c r="O231" s="7">
        <f>spaces_3iWczBNnn5rbfoUlE0Jd_uploads_git_blob_9864c7f811c613c3faab876659c6423__25[[#This Row],[Hora de Llegada]]</f>
        <v>45018.09375</v>
      </c>
      <c r="P231" s="9">
        <f>spaces_3iWczBNnn5rbfoUlE0Jd_uploads_git_blob_9864c7f811c613c3faab876659c6423__25[[#This Row],[Hora de Llegada]]</f>
        <v>45018.09375</v>
      </c>
      <c r="Q231" s="9">
        <f>spaces_3iWczBNnn5rbfoUlE0Jd_uploads_git_blob_9864c7f811c613c3faab876659c6423__25[[#This Row],[Hora de Salida]]</f>
        <v>45018.2</v>
      </c>
      <c r="R231" s="9" cm="1">
        <f t="array" ref="R23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0.10624999999708962</v>
      </c>
      <c r="S231" s="9">
        <f>_xlfn.XLOOKUP(spaces_3iWczBNnn5rbfoUlE0Jd_uploads_git_blob_9864c7f811c613c3faab876659c6423__25[[#This Row],[Número de Orden]],Cocinadinamica!E232:E1000,Cocinadinamica!F232:F1000)/1440</f>
        <v>6.3194444444444442E-2</v>
      </c>
      <c r="T231" s="9" cm="1">
        <f t="array" ref="T23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4.3055555552645175E-2</v>
      </c>
      <c r="U231" s="9" t="str" cm="1">
        <f t="array" ref="U23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32" spans="1:21" x14ac:dyDescent="0.35">
      <c r="A232" s="27">
        <v>8</v>
      </c>
      <c r="B232" s="11" t="s">
        <v>991</v>
      </c>
      <c r="C232" s="11">
        <v>2</v>
      </c>
      <c r="D232" s="12">
        <v>45018.05</v>
      </c>
      <c r="E232" s="12">
        <v>45018.131944444445</v>
      </c>
      <c r="F232" s="11" t="s">
        <v>100</v>
      </c>
      <c r="G232" s="11" t="s">
        <v>86</v>
      </c>
      <c r="H232" s="11" t="s">
        <v>74</v>
      </c>
      <c r="I232" s="16">
        <v>49.1</v>
      </c>
      <c r="J232" s="11" t="s">
        <v>88</v>
      </c>
      <c r="K232" s="11">
        <v>231</v>
      </c>
      <c r="L232" s="11" t="s">
        <v>76</v>
      </c>
      <c r="M232" s="11" t="s">
        <v>1435</v>
      </c>
      <c r="N232">
        <f>_xlfn.XLOOKUP(spaces_3iWczBNnn5rbfoUlE0Jd_uploads_git_blob_9864c7f811c613c3faab876659c6423__25[[#This Row],[Número de Orden]],Cocinadinamica!B233:B1001,Cocinadinamica!C233:C1001)</f>
        <v>83</v>
      </c>
      <c r="O232" s="7">
        <f>spaces_3iWczBNnn5rbfoUlE0Jd_uploads_git_blob_9864c7f811c613c3faab876659c6423__25[[#This Row],[Hora de Llegada]]</f>
        <v>45018.05</v>
      </c>
      <c r="P232" s="9">
        <f>spaces_3iWczBNnn5rbfoUlE0Jd_uploads_git_blob_9864c7f811c613c3faab876659c6423__25[[#This Row],[Hora de Llegada]]</f>
        <v>45018.05</v>
      </c>
      <c r="Q232" s="9">
        <f>spaces_3iWczBNnn5rbfoUlE0Jd_uploads_git_blob_9864c7f811c613c3faab876659c6423__25[[#This Row],[Hora de Salida]]</f>
        <v>45018.131944444445</v>
      </c>
      <c r="R232" s="9" cm="1">
        <f t="array" ref="R23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9.2361111106583849E-2</v>
      </c>
      <c r="S232" s="9">
        <f>_xlfn.XLOOKUP(spaces_3iWczBNnn5rbfoUlE0Jd_uploads_git_blob_9864c7f811c613c3faab876659c6423__25[[#This Row],[Número de Orden]],Cocinadinamica!E233:E1001,Cocinadinamica!F233:F1001)/1440</f>
        <v>0.10416666666666667</v>
      </c>
      <c r="T232" s="9" cm="1">
        <f t="array" ref="T23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32" s="9" t="str" cm="1">
        <f t="array" ref="U23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33" spans="1:21" x14ac:dyDescent="0.35">
      <c r="A233" s="28">
        <v>2</v>
      </c>
      <c r="B233" s="13" t="s">
        <v>992</v>
      </c>
      <c r="C233" s="13">
        <v>2</v>
      </c>
      <c r="D233" s="14">
        <v>45018.086111111108</v>
      </c>
      <c r="E233" s="14">
        <v>45018.142361111109</v>
      </c>
      <c r="F233" s="13" t="s">
        <v>223</v>
      </c>
      <c r="G233" s="13" t="s">
        <v>86</v>
      </c>
      <c r="H233" s="13" t="s">
        <v>74</v>
      </c>
      <c r="I233" s="17">
        <v>15.43</v>
      </c>
      <c r="J233" s="13" t="s">
        <v>94</v>
      </c>
      <c r="K233" s="13">
        <v>232</v>
      </c>
      <c r="L233" s="13" t="s">
        <v>164</v>
      </c>
      <c r="M233" s="13" t="s">
        <v>1436</v>
      </c>
      <c r="N233">
        <f>_xlfn.XLOOKUP(spaces_3iWczBNnn5rbfoUlE0Jd_uploads_git_blob_9864c7f811c613c3faab876659c6423__25[[#This Row],[Número de Orden]],Cocinadinamica!B234:B1002,Cocinadinamica!C234:C1002)</f>
        <v>78</v>
      </c>
      <c r="O233" s="7">
        <f>spaces_3iWczBNnn5rbfoUlE0Jd_uploads_git_blob_9864c7f811c613c3faab876659c6423__25[[#This Row],[Hora de Llegada]]</f>
        <v>45018.086111111108</v>
      </c>
      <c r="P233" s="9">
        <f>spaces_3iWczBNnn5rbfoUlE0Jd_uploads_git_blob_9864c7f811c613c3faab876659c6423__25[[#This Row],[Hora de Llegada]]</f>
        <v>45018.086111111108</v>
      </c>
      <c r="Q233" s="9">
        <f>spaces_3iWczBNnn5rbfoUlE0Jd_uploads_git_blob_9864c7f811c613c3faab876659c6423__25[[#This Row],[Hora de Salida]]</f>
        <v>45018.142361111109</v>
      </c>
      <c r="R233" s="9" cm="1">
        <f t="array" ref="R23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5.6250000001455192E-2</v>
      </c>
      <c r="S233" s="9">
        <f>_xlfn.XLOOKUP(spaces_3iWczBNnn5rbfoUlE0Jd_uploads_git_blob_9864c7f811c613c3faab876659c6423__25[[#This Row],[Número de Orden]],Cocinadinamica!E234:E1002,Cocinadinamica!F234:F1002)/1440</f>
        <v>9.6527777777777782E-2</v>
      </c>
      <c r="T233" s="9" cm="1">
        <f t="array" ref="T23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33" s="9" t="str" cm="1">
        <f t="array" ref="U23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34" spans="1:21" x14ac:dyDescent="0.35">
      <c r="A234" s="27" t="s">
        <v>215</v>
      </c>
      <c r="B234" s="11" t="s">
        <v>340</v>
      </c>
      <c r="C234" s="11">
        <v>1</v>
      </c>
      <c r="D234" s="12">
        <v>45018.036111111112</v>
      </c>
      <c r="E234" s="12">
        <v>45018.11041666667</v>
      </c>
      <c r="F234" s="11" t="s">
        <v>100</v>
      </c>
      <c r="G234" s="11" t="s">
        <v>163</v>
      </c>
      <c r="H234" s="11" t="s">
        <v>109</v>
      </c>
      <c r="I234" s="16">
        <v>45.64</v>
      </c>
      <c r="J234" s="11" t="s">
        <v>75</v>
      </c>
      <c r="K234" s="11">
        <v>233</v>
      </c>
      <c r="L234" s="11" t="s">
        <v>164</v>
      </c>
      <c r="M234" s="11" t="s">
        <v>29</v>
      </c>
      <c r="N234">
        <f>_xlfn.XLOOKUP(spaces_3iWczBNnn5rbfoUlE0Jd_uploads_git_blob_9864c7f811c613c3faab876659c6423__25[[#This Row],[Número de Orden]],Cocinadinamica!B235:B1003,Cocinadinamica!C235:C1003)</f>
        <v>16</v>
      </c>
      <c r="O234" s="7">
        <f>spaces_3iWczBNnn5rbfoUlE0Jd_uploads_git_blob_9864c7f811c613c3faab876659c6423__25[[#This Row],[Hora de Llegada]]</f>
        <v>45018.036111111112</v>
      </c>
      <c r="P234" s="9">
        <f>spaces_3iWczBNnn5rbfoUlE0Jd_uploads_git_blob_9864c7f811c613c3faab876659c6423__25[[#This Row],[Hora de Llegada]]</f>
        <v>45018.036111111112</v>
      </c>
      <c r="Q234" s="9">
        <f>spaces_3iWczBNnn5rbfoUlE0Jd_uploads_git_blob_9864c7f811c613c3faab876659c6423__25[[#This Row],[Hora de Salida]]</f>
        <v>45018.11041666667</v>
      </c>
      <c r="R234" s="9" cm="1">
        <f t="array" ref="R23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7.4305555557657499E-2</v>
      </c>
      <c r="S234" s="9">
        <f>_xlfn.XLOOKUP(spaces_3iWczBNnn5rbfoUlE0Jd_uploads_git_blob_9864c7f811c613c3faab876659c6423__25[[#This Row],[Número de Orden]],Cocinadinamica!E235:E1003,Cocinadinamica!F235:F1003)/1440</f>
        <v>2.1527777777777778E-2</v>
      </c>
      <c r="T234" s="9" cm="1">
        <f t="array" ref="T23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5.2777777779879721E-2</v>
      </c>
      <c r="U234" s="9" t="str" cm="1">
        <f t="array" ref="U23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35" spans="1:21" x14ac:dyDescent="0.35">
      <c r="A235" s="28">
        <v>17</v>
      </c>
      <c r="B235" s="13" t="s">
        <v>993</v>
      </c>
      <c r="C235" s="13">
        <v>6</v>
      </c>
      <c r="D235" s="14">
        <v>45018.115277777775</v>
      </c>
      <c r="E235" s="14">
        <v>45018.227777777778</v>
      </c>
      <c r="F235" s="13" t="s">
        <v>170</v>
      </c>
      <c r="G235" s="13" t="s">
        <v>163</v>
      </c>
      <c r="H235" s="13" t="s">
        <v>74</v>
      </c>
      <c r="I235" s="17">
        <v>10.220000000000001</v>
      </c>
      <c r="J235" s="13" t="s">
        <v>75</v>
      </c>
      <c r="K235" s="13">
        <v>234</v>
      </c>
      <c r="L235" s="13" t="s">
        <v>89</v>
      </c>
      <c r="M235" s="13" t="s">
        <v>1437</v>
      </c>
      <c r="N235">
        <f>_xlfn.XLOOKUP(spaces_3iWczBNnn5rbfoUlE0Jd_uploads_git_blob_9864c7f811c613c3faab876659c6423__25[[#This Row],[Número de Orden]],Cocinadinamica!B236:B1004,Cocinadinamica!C236:C1004)</f>
        <v>90</v>
      </c>
      <c r="O235" s="7">
        <f>spaces_3iWczBNnn5rbfoUlE0Jd_uploads_git_blob_9864c7f811c613c3faab876659c6423__25[[#This Row],[Hora de Llegada]]</f>
        <v>45018.115277777775</v>
      </c>
      <c r="P235" s="9">
        <f>spaces_3iWczBNnn5rbfoUlE0Jd_uploads_git_blob_9864c7f811c613c3faab876659c6423__25[[#This Row],[Hora de Llegada]]</f>
        <v>45018.115277777775</v>
      </c>
      <c r="Q235" s="9">
        <f>spaces_3iWczBNnn5rbfoUlE0Jd_uploads_git_blob_9864c7f811c613c3faab876659c6423__25[[#This Row],[Hora de Salida]]</f>
        <v>45018.227777777778</v>
      </c>
      <c r="R235" s="9" cm="1">
        <f t="array" ref="R23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0.11250000000291038</v>
      </c>
      <c r="S235" s="9">
        <f>_xlfn.XLOOKUP(spaces_3iWczBNnn5rbfoUlE0Jd_uploads_git_blob_9864c7f811c613c3faab876659c6423__25[[#This Row],[Número de Orden]],Cocinadinamica!E236:E1004,Cocinadinamica!F236:F1004)/1440</f>
        <v>6.8750000000000006E-2</v>
      </c>
      <c r="T235" s="9" cm="1">
        <f t="array" ref="T23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4.3750000002910377E-2</v>
      </c>
      <c r="U235" s="9" t="str" cm="1">
        <f t="array" ref="U23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36" spans="1:21" x14ac:dyDescent="0.35">
      <c r="A236" s="27" t="s">
        <v>240</v>
      </c>
      <c r="B236" s="11" t="s">
        <v>342</v>
      </c>
      <c r="C236" s="11">
        <v>5</v>
      </c>
      <c r="D236" s="12">
        <v>45018.015277777777</v>
      </c>
      <c r="E236" s="12">
        <v>45018.116666666669</v>
      </c>
      <c r="F236" s="11" t="s">
        <v>170</v>
      </c>
      <c r="G236" s="11" t="s">
        <v>73</v>
      </c>
      <c r="H236" s="11" t="s">
        <v>74</v>
      </c>
      <c r="I236" s="16">
        <v>26.37</v>
      </c>
      <c r="J236" s="11" t="s">
        <v>94</v>
      </c>
      <c r="K236" s="11">
        <v>235</v>
      </c>
      <c r="L236" s="11" t="s">
        <v>181</v>
      </c>
      <c r="M236" s="11" t="s">
        <v>25</v>
      </c>
      <c r="N236">
        <f>_xlfn.XLOOKUP(spaces_3iWczBNnn5rbfoUlE0Jd_uploads_git_blob_9864c7f811c613c3faab876659c6423__25[[#This Row],[Número de Orden]],Cocinadinamica!B237:B1005,Cocinadinamica!C237:C1005)</f>
        <v>13</v>
      </c>
      <c r="O236" s="7">
        <f>spaces_3iWczBNnn5rbfoUlE0Jd_uploads_git_blob_9864c7f811c613c3faab876659c6423__25[[#This Row],[Hora de Llegada]]</f>
        <v>45018.015277777777</v>
      </c>
      <c r="P236" s="9">
        <f>spaces_3iWczBNnn5rbfoUlE0Jd_uploads_git_blob_9864c7f811c613c3faab876659c6423__25[[#This Row],[Hora de Llegada]]</f>
        <v>45018.015277777777</v>
      </c>
      <c r="Q236" s="9">
        <f>spaces_3iWczBNnn5rbfoUlE0Jd_uploads_git_blob_9864c7f811c613c3faab876659c6423__25[[#This Row],[Hora de Salida]]</f>
        <v>45018.116666666669</v>
      </c>
      <c r="R236" s="9" cm="1">
        <f t="array" ref="R23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0.10138888889196096</v>
      </c>
      <c r="S236" s="9">
        <f>_xlfn.XLOOKUP(spaces_3iWczBNnn5rbfoUlE0Jd_uploads_git_blob_9864c7f811c613c3faab876659c6423__25[[#This Row],[Número de Orden]],Cocinadinamica!E237:E1005,Cocinadinamica!F237:F1005)/1440</f>
        <v>1.7361111111111112E-2</v>
      </c>
      <c r="T236" s="9" cm="1">
        <f t="array" ref="T23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8.4027777780849855E-2</v>
      </c>
      <c r="U236" s="9" t="str" cm="1">
        <f t="array" ref="U23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37" spans="1:21" x14ac:dyDescent="0.35">
      <c r="A237" s="28">
        <v>12</v>
      </c>
      <c r="B237" s="13" t="s">
        <v>994</v>
      </c>
      <c r="C237" s="13">
        <v>2</v>
      </c>
      <c r="D237" s="14">
        <v>45018.036111111112</v>
      </c>
      <c r="E237" s="14">
        <v>45018.101388888892</v>
      </c>
      <c r="F237" s="13" t="s">
        <v>170</v>
      </c>
      <c r="G237" s="13" t="s">
        <v>86</v>
      </c>
      <c r="H237" s="13" t="s">
        <v>74</v>
      </c>
      <c r="I237" s="17">
        <v>39.81</v>
      </c>
      <c r="J237" s="13" t="s">
        <v>75</v>
      </c>
      <c r="K237" s="13">
        <v>236</v>
      </c>
      <c r="L237" s="13" t="s">
        <v>164</v>
      </c>
      <c r="M237" s="13" t="s">
        <v>1438</v>
      </c>
      <c r="N237">
        <f>_xlfn.XLOOKUP(spaces_3iWczBNnn5rbfoUlE0Jd_uploads_git_blob_9864c7f811c613c3faab876659c6423__25[[#This Row],[Número de Orden]],Cocinadinamica!B238:B1006,Cocinadinamica!C238:C1006)</f>
        <v>102</v>
      </c>
      <c r="O237" s="7">
        <f>spaces_3iWczBNnn5rbfoUlE0Jd_uploads_git_blob_9864c7f811c613c3faab876659c6423__25[[#This Row],[Hora de Llegada]]</f>
        <v>45018.036111111112</v>
      </c>
      <c r="P237" s="9">
        <f>spaces_3iWczBNnn5rbfoUlE0Jd_uploads_git_blob_9864c7f811c613c3faab876659c6423__25[[#This Row],[Hora de Llegada]]</f>
        <v>45018.036111111112</v>
      </c>
      <c r="Q237" s="9">
        <f>spaces_3iWczBNnn5rbfoUlE0Jd_uploads_git_blob_9864c7f811c613c3faab876659c6423__25[[#This Row],[Hora de Salida]]</f>
        <v>45018.101388888892</v>
      </c>
      <c r="R237" s="9" cm="1">
        <f t="array" ref="R23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6.5277777779556345E-2</v>
      </c>
      <c r="S237" s="9">
        <f>_xlfn.XLOOKUP(spaces_3iWczBNnn5rbfoUlE0Jd_uploads_git_blob_9864c7f811c613c3faab876659c6423__25[[#This Row],[Número de Orden]],Cocinadinamica!E238:E1006,Cocinadinamica!F238:F1006)/1440</f>
        <v>7.013888888888889E-2</v>
      </c>
      <c r="T237" s="9" cm="1">
        <f t="array" ref="T23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37" s="9" t="str" cm="1">
        <f t="array" ref="U23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38" spans="1:21" x14ac:dyDescent="0.35">
      <c r="A238" s="27">
        <v>4</v>
      </c>
      <c r="B238" s="11" t="s">
        <v>964</v>
      </c>
      <c r="C238" s="11">
        <v>6</v>
      </c>
      <c r="D238" s="12">
        <v>45018.114583333336</v>
      </c>
      <c r="E238" s="12">
        <v>45018.25</v>
      </c>
      <c r="F238" s="11" t="s">
        <v>100</v>
      </c>
      <c r="G238" s="11" t="s">
        <v>86</v>
      </c>
      <c r="H238" s="11" t="s">
        <v>74</v>
      </c>
      <c r="I238" s="16">
        <v>13.15</v>
      </c>
      <c r="J238" s="11" t="s">
        <v>88</v>
      </c>
      <c r="K238" s="11">
        <v>237</v>
      </c>
      <c r="L238" s="11" t="s">
        <v>76</v>
      </c>
      <c r="M238" s="11" t="s">
        <v>1439</v>
      </c>
      <c r="N238">
        <f>_xlfn.XLOOKUP(spaces_3iWczBNnn5rbfoUlE0Jd_uploads_git_blob_9864c7f811c613c3faab876659c6423__25[[#This Row],[Número de Orden]],Cocinadinamica!B239:B1007,Cocinadinamica!C239:C1007)</f>
        <v>42</v>
      </c>
      <c r="O238" s="7">
        <f>spaces_3iWczBNnn5rbfoUlE0Jd_uploads_git_blob_9864c7f811c613c3faab876659c6423__25[[#This Row],[Hora de Llegada]]</f>
        <v>45018.114583333336</v>
      </c>
      <c r="P238" s="9">
        <f>spaces_3iWczBNnn5rbfoUlE0Jd_uploads_git_blob_9864c7f811c613c3faab876659c6423__25[[#This Row],[Hora de Llegada]]</f>
        <v>45018.114583333336</v>
      </c>
      <c r="Q238" s="9">
        <f>spaces_3iWczBNnn5rbfoUlE0Jd_uploads_git_blob_9864c7f811c613c3faab876659c6423__25[[#This Row],[Hora de Salida]]</f>
        <v>45018.25</v>
      </c>
      <c r="R238" s="9" cm="1">
        <f t="array" ref="R23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0.14583333332848269</v>
      </c>
      <c r="S238" s="9">
        <f>_xlfn.XLOOKUP(spaces_3iWczBNnn5rbfoUlE0Jd_uploads_git_blob_9864c7f811c613c3faab876659c6423__25[[#This Row],[Número de Orden]],Cocinadinamica!E239:E1007,Cocinadinamica!F239:F1007)/1440</f>
        <v>2.5694444444444443E-2</v>
      </c>
      <c r="T238" s="9" cm="1">
        <f t="array" ref="T23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0.12013888888403826</v>
      </c>
      <c r="U238" s="9" t="str" cm="1">
        <f t="array" ref="U23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39" spans="1:21" x14ac:dyDescent="0.35">
      <c r="A239" s="28" t="s">
        <v>240</v>
      </c>
      <c r="B239" s="13" t="s">
        <v>345</v>
      </c>
      <c r="C239" s="13">
        <v>6</v>
      </c>
      <c r="D239" s="14">
        <v>45018.095138888886</v>
      </c>
      <c r="E239" s="14">
        <v>45018.205555555556</v>
      </c>
      <c r="F239" s="13" t="s">
        <v>100</v>
      </c>
      <c r="G239" s="13" t="s">
        <v>163</v>
      </c>
      <c r="H239" s="13" t="s">
        <v>74</v>
      </c>
      <c r="I239" s="17">
        <v>33.020000000000003</v>
      </c>
      <c r="J239" s="13" t="s">
        <v>75</v>
      </c>
      <c r="K239" s="13">
        <v>238</v>
      </c>
      <c r="L239" s="13" t="s">
        <v>89</v>
      </c>
      <c r="M239" s="13" t="s">
        <v>21</v>
      </c>
      <c r="N239">
        <f>_xlfn.XLOOKUP(spaces_3iWczBNnn5rbfoUlE0Jd_uploads_git_blob_9864c7f811c613c3faab876659c6423__25[[#This Row],[Número de Orden]],Cocinadinamica!B240:B1008,Cocinadinamica!C240:C1008)</f>
        <v>28</v>
      </c>
      <c r="O239" s="7">
        <f>spaces_3iWczBNnn5rbfoUlE0Jd_uploads_git_blob_9864c7f811c613c3faab876659c6423__25[[#This Row],[Hora de Llegada]]</f>
        <v>45018.095138888886</v>
      </c>
      <c r="P239" s="9">
        <f>spaces_3iWczBNnn5rbfoUlE0Jd_uploads_git_blob_9864c7f811c613c3faab876659c6423__25[[#This Row],[Hora de Llegada]]</f>
        <v>45018.095138888886</v>
      </c>
      <c r="Q239" s="9">
        <f>spaces_3iWczBNnn5rbfoUlE0Jd_uploads_git_blob_9864c7f811c613c3faab876659c6423__25[[#This Row],[Hora de Salida]]</f>
        <v>45018.205555555556</v>
      </c>
      <c r="R239" s="9" cm="1">
        <f t="array" ref="R23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0.11041666667006211</v>
      </c>
      <c r="S239" s="9">
        <f>_xlfn.XLOOKUP(spaces_3iWczBNnn5rbfoUlE0Jd_uploads_git_blob_9864c7f811c613c3faab876659c6423__25[[#This Row],[Número de Orden]],Cocinadinamica!E240:E1008,Cocinadinamica!F240:F1008)/1440</f>
        <v>3.125E-2</v>
      </c>
      <c r="T239" s="9" cm="1">
        <f t="array" ref="T23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7.9166666670062114E-2</v>
      </c>
      <c r="U239" s="9" t="str" cm="1">
        <f t="array" ref="U23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40" spans="1:21" x14ac:dyDescent="0.35">
      <c r="A240" s="27">
        <v>12</v>
      </c>
      <c r="B240" s="11" t="s">
        <v>995</v>
      </c>
      <c r="C240" s="11">
        <v>6</v>
      </c>
      <c r="D240" s="12">
        <v>45018.115277777775</v>
      </c>
      <c r="E240" s="12">
        <v>45018.254861111112</v>
      </c>
      <c r="F240" s="11" t="s">
        <v>72</v>
      </c>
      <c r="G240" s="11" t="s">
        <v>86</v>
      </c>
      <c r="H240" s="11" t="s">
        <v>87</v>
      </c>
      <c r="I240" s="16">
        <v>11.76</v>
      </c>
      <c r="J240" s="11" t="s">
        <v>94</v>
      </c>
      <c r="K240" s="11">
        <v>239</v>
      </c>
      <c r="L240" s="11" t="s">
        <v>89</v>
      </c>
      <c r="M240" s="11" t="s">
        <v>1440</v>
      </c>
      <c r="N240">
        <f>_xlfn.XLOOKUP(spaces_3iWczBNnn5rbfoUlE0Jd_uploads_git_blob_9864c7f811c613c3faab876659c6423__25[[#This Row],[Número de Orden]],Cocinadinamica!B241:B1009,Cocinadinamica!C241:C1009)</f>
        <v>31</v>
      </c>
      <c r="O240" s="7">
        <f>spaces_3iWczBNnn5rbfoUlE0Jd_uploads_git_blob_9864c7f811c613c3faab876659c6423__25[[#This Row],[Hora de Llegada]]</f>
        <v>45018.115277777775</v>
      </c>
      <c r="P240" s="9">
        <f>spaces_3iWczBNnn5rbfoUlE0Jd_uploads_git_blob_9864c7f811c613c3faab876659c6423__25[[#This Row],[Hora de Llegada]]</f>
        <v>45018.115277777775</v>
      </c>
      <c r="Q240" s="9">
        <f>spaces_3iWczBNnn5rbfoUlE0Jd_uploads_git_blob_9864c7f811c613c3faab876659c6423__25[[#This Row],[Hora de Salida]]</f>
        <v>45018.254861111112</v>
      </c>
      <c r="R240" s="9" cm="1">
        <f t="array" ref="R24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0.13958333333721384</v>
      </c>
      <c r="S240" s="9">
        <f>_xlfn.XLOOKUP(spaces_3iWczBNnn5rbfoUlE0Jd_uploads_git_blob_9864c7f811c613c3faab876659c6423__25[[#This Row],[Número de Orden]],Cocinadinamica!E241:E1009,Cocinadinamica!F241:F1009)/1440</f>
        <v>5.0694444444444445E-2</v>
      </c>
      <c r="T240" s="9" cm="1">
        <f t="array" ref="T24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8.8888888892769399E-2</v>
      </c>
      <c r="U240" s="9" t="str" cm="1">
        <f t="array" ref="U24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41" spans="1:21" x14ac:dyDescent="0.35">
      <c r="A241" s="28">
        <v>9</v>
      </c>
      <c r="B241" s="13" t="s">
        <v>996</v>
      </c>
      <c r="C241" s="13">
        <v>1</v>
      </c>
      <c r="D241" s="14">
        <v>45018.011111111111</v>
      </c>
      <c r="E241" s="14">
        <v>45018.131944444445</v>
      </c>
      <c r="F241" s="13" t="s">
        <v>170</v>
      </c>
      <c r="G241" s="13" t="s">
        <v>86</v>
      </c>
      <c r="H241" s="13" t="s">
        <v>109</v>
      </c>
      <c r="I241" s="17">
        <v>33.81</v>
      </c>
      <c r="J241" s="13" t="s">
        <v>75</v>
      </c>
      <c r="K241" s="13">
        <v>240</v>
      </c>
      <c r="L241" s="13" t="s">
        <v>76</v>
      </c>
      <c r="M241" s="13" t="s">
        <v>1441</v>
      </c>
      <c r="N241">
        <f>_xlfn.XLOOKUP(spaces_3iWczBNnn5rbfoUlE0Jd_uploads_git_blob_9864c7f811c613c3faab876659c6423__25[[#This Row],[Número de Orden]],Cocinadinamica!B242:B1010,Cocinadinamica!C242:C1010)</f>
        <v>118</v>
      </c>
      <c r="O241" s="7">
        <f>spaces_3iWczBNnn5rbfoUlE0Jd_uploads_git_blob_9864c7f811c613c3faab876659c6423__25[[#This Row],[Hora de Llegada]]</f>
        <v>45018.011111111111</v>
      </c>
      <c r="P241" s="9">
        <f>spaces_3iWczBNnn5rbfoUlE0Jd_uploads_git_blob_9864c7f811c613c3faab876659c6423__25[[#This Row],[Hora de Llegada]]</f>
        <v>45018.011111111111</v>
      </c>
      <c r="Q241" s="9">
        <f>spaces_3iWczBNnn5rbfoUlE0Jd_uploads_git_blob_9864c7f811c613c3faab876659c6423__25[[#This Row],[Hora de Salida]]</f>
        <v>45018.131944444445</v>
      </c>
      <c r="R241" s="9" cm="1">
        <f t="array" ref="R24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0.12083333333430346</v>
      </c>
      <c r="S241" s="9">
        <f>_xlfn.XLOOKUP(spaces_3iWczBNnn5rbfoUlE0Jd_uploads_git_blob_9864c7f811c613c3faab876659c6423__25[[#This Row],[Número de Orden]],Cocinadinamica!E242:E1010,Cocinadinamica!F242:F1010)/1440</f>
        <v>8.9583333333333334E-2</v>
      </c>
      <c r="T241" s="9" cm="1">
        <f t="array" ref="T24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3.1250000000970127E-2</v>
      </c>
      <c r="U241" s="9" t="str" cm="1">
        <f t="array" ref="U24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42" spans="1:21" x14ac:dyDescent="0.35">
      <c r="A242" s="27" t="s">
        <v>107</v>
      </c>
      <c r="B242" s="11" t="s">
        <v>348</v>
      </c>
      <c r="C242" s="11">
        <v>4</v>
      </c>
      <c r="D242" s="12">
        <v>45018.00277777778</v>
      </c>
      <c r="E242" s="12">
        <v>45018.044444444444</v>
      </c>
      <c r="F242" s="11" t="s">
        <v>85</v>
      </c>
      <c r="G242" s="11" t="s">
        <v>86</v>
      </c>
      <c r="H242" s="11" t="s">
        <v>74</v>
      </c>
      <c r="I242" s="16">
        <v>38.97</v>
      </c>
      <c r="J242" s="11" t="s">
        <v>88</v>
      </c>
      <c r="K242" s="11">
        <v>241</v>
      </c>
      <c r="L242" s="11" t="s">
        <v>89</v>
      </c>
      <c r="M242" s="11" t="s">
        <v>45</v>
      </c>
      <c r="N242">
        <f>_xlfn.XLOOKUP(spaces_3iWczBNnn5rbfoUlE0Jd_uploads_git_blob_9864c7f811c613c3faab876659c6423__25[[#This Row],[Número de Orden]],Cocinadinamica!B243:B1011,Cocinadinamica!C243:C1011)</f>
        <v>8</v>
      </c>
      <c r="O242" s="7">
        <f>spaces_3iWczBNnn5rbfoUlE0Jd_uploads_git_blob_9864c7f811c613c3faab876659c6423__25[[#This Row],[Hora de Llegada]]</f>
        <v>45018.00277777778</v>
      </c>
      <c r="P242" s="9">
        <f>spaces_3iWczBNnn5rbfoUlE0Jd_uploads_git_blob_9864c7f811c613c3faab876659c6423__25[[#This Row],[Hora de Llegada]]</f>
        <v>45018.00277777778</v>
      </c>
      <c r="Q242" s="9">
        <f>spaces_3iWczBNnn5rbfoUlE0Jd_uploads_git_blob_9864c7f811c613c3faab876659c6423__25[[#This Row],[Hora de Salida]]</f>
        <v>45018.044444444444</v>
      </c>
      <c r="R242" s="9" cm="1">
        <f t="array" ref="R24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5.2083333328482695E-2</v>
      </c>
      <c r="S242" s="9">
        <f>_xlfn.XLOOKUP(spaces_3iWczBNnn5rbfoUlE0Jd_uploads_git_blob_9864c7f811c613c3faab876659c6423__25[[#This Row],[Número de Orden]],Cocinadinamica!E243:E1011,Cocinadinamica!F243:F1011)/1440</f>
        <v>7.6388888888888886E-3</v>
      </c>
      <c r="T242" s="9" cm="1">
        <f t="array" ref="T24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4.4444444439593805E-2</v>
      </c>
      <c r="U242" s="9" t="str" cm="1">
        <f t="array" ref="U24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43" spans="1:21" x14ac:dyDescent="0.35">
      <c r="A243" s="28">
        <v>12</v>
      </c>
      <c r="B243" s="13" t="s">
        <v>997</v>
      </c>
      <c r="C243" s="13">
        <v>2</v>
      </c>
      <c r="D243" s="14">
        <v>45018.154166666667</v>
      </c>
      <c r="E243" s="14">
        <v>45018.214583333334</v>
      </c>
      <c r="F243" s="13" t="s">
        <v>100</v>
      </c>
      <c r="G243" s="13" t="s">
        <v>86</v>
      </c>
      <c r="H243" s="13" t="s">
        <v>74</v>
      </c>
      <c r="I243" s="17">
        <v>31.29</v>
      </c>
      <c r="J243" s="13" t="s">
        <v>94</v>
      </c>
      <c r="K243" s="13">
        <v>242</v>
      </c>
      <c r="L243" s="13" t="s">
        <v>275</v>
      </c>
      <c r="M243" s="13" t="s">
        <v>1442</v>
      </c>
      <c r="N243">
        <f>_xlfn.XLOOKUP(spaces_3iWczBNnn5rbfoUlE0Jd_uploads_git_blob_9864c7f811c613c3faab876659c6423__25[[#This Row],[Número de Orden]],Cocinadinamica!B244:B1012,Cocinadinamica!C244:C1012)</f>
        <v>54</v>
      </c>
      <c r="O243" s="7">
        <f>spaces_3iWczBNnn5rbfoUlE0Jd_uploads_git_blob_9864c7f811c613c3faab876659c6423__25[[#This Row],[Hora de Llegada]]</f>
        <v>45018.154166666667</v>
      </c>
      <c r="P243" s="9">
        <f>spaces_3iWczBNnn5rbfoUlE0Jd_uploads_git_blob_9864c7f811c613c3faab876659c6423__25[[#This Row],[Hora de Llegada]]</f>
        <v>45018.154166666667</v>
      </c>
      <c r="Q243" s="9">
        <f>spaces_3iWczBNnn5rbfoUlE0Jd_uploads_git_blob_9864c7f811c613c3faab876659c6423__25[[#This Row],[Hora de Salida]]</f>
        <v>45018.214583333334</v>
      </c>
      <c r="R243" s="9" cm="1">
        <f t="array" ref="R24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6.0416666667151731E-2</v>
      </c>
      <c r="S243" s="9">
        <f>_xlfn.XLOOKUP(spaces_3iWczBNnn5rbfoUlE0Jd_uploads_git_blob_9864c7f811c613c3faab876659c6423__25[[#This Row],[Número de Orden]],Cocinadinamica!E244:E1012,Cocinadinamica!F244:F1012)/1440</f>
        <v>6.8750000000000006E-2</v>
      </c>
      <c r="T243" s="9" cm="1">
        <f t="array" ref="T24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43" s="9" t="str" cm="1">
        <f t="array" ref="U24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44" spans="1:21" x14ac:dyDescent="0.35">
      <c r="A244" s="27" t="s">
        <v>210</v>
      </c>
      <c r="B244" s="11" t="s">
        <v>350</v>
      </c>
      <c r="C244" s="11">
        <v>4</v>
      </c>
      <c r="D244" s="12">
        <v>45018.029166666667</v>
      </c>
      <c r="E244" s="12">
        <v>45018.174305555556</v>
      </c>
      <c r="F244" s="11" t="s">
        <v>100</v>
      </c>
      <c r="G244" s="11" t="s">
        <v>86</v>
      </c>
      <c r="H244" s="11" t="s">
        <v>74</v>
      </c>
      <c r="I244" s="16">
        <v>21.45</v>
      </c>
      <c r="J244" s="11" t="s">
        <v>75</v>
      </c>
      <c r="K244" s="11">
        <v>243</v>
      </c>
      <c r="L244" s="11" t="s">
        <v>181</v>
      </c>
      <c r="M244" s="11" t="s">
        <v>19</v>
      </c>
      <c r="N244">
        <f>_xlfn.XLOOKUP(spaces_3iWczBNnn5rbfoUlE0Jd_uploads_git_blob_9864c7f811c613c3faab876659c6423__25[[#This Row],[Número de Orden]],Cocinadinamica!B245:B1013,Cocinadinamica!C245:C1013)</f>
        <v>45</v>
      </c>
      <c r="O244" s="7">
        <f>spaces_3iWczBNnn5rbfoUlE0Jd_uploads_git_blob_9864c7f811c613c3faab876659c6423__25[[#This Row],[Hora de Llegada]]</f>
        <v>45018.029166666667</v>
      </c>
      <c r="P244" s="9">
        <f>spaces_3iWczBNnn5rbfoUlE0Jd_uploads_git_blob_9864c7f811c613c3faab876659c6423__25[[#This Row],[Hora de Llegada]]</f>
        <v>45018.029166666667</v>
      </c>
      <c r="Q244" s="9">
        <f>spaces_3iWczBNnn5rbfoUlE0Jd_uploads_git_blob_9864c7f811c613c3faab876659c6423__25[[#This Row],[Hora de Salida]]</f>
        <v>45018.174305555556</v>
      </c>
      <c r="R244" s="9" cm="1">
        <f t="array" ref="R24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0.14513888888905058</v>
      </c>
      <c r="S244" s="9">
        <f>_xlfn.XLOOKUP(spaces_3iWczBNnn5rbfoUlE0Jd_uploads_git_blob_9864c7f811c613c3faab876659c6423__25[[#This Row],[Número de Orden]],Cocinadinamica!E245:E1013,Cocinadinamica!F245:F1013)/1440</f>
        <v>1.5277777777777777E-2</v>
      </c>
      <c r="T244" s="9" cm="1">
        <f t="array" ref="T24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0.1298611111112728</v>
      </c>
      <c r="U244" s="9" t="str" cm="1">
        <f t="array" ref="U24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45" spans="1:21" x14ac:dyDescent="0.35">
      <c r="A245" s="28">
        <v>17</v>
      </c>
      <c r="B245" s="13" t="s">
        <v>894</v>
      </c>
      <c r="C245" s="13">
        <v>6</v>
      </c>
      <c r="D245" s="14">
        <v>45018.155555555553</v>
      </c>
      <c r="E245" s="14">
        <v>45018.250694444447</v>
      </c>
      <c r="F245" s="13" t="s">
        <v>170</v>
      </c>
      <c r="G245" s="13" t="s">
        <v>86</v>
      </c>
      <c r="H245" s="13" t="s">
        <v>87</v>
      </c>
      <c r="I245" s="17">
        <v>17.649999999999999</v>
      </c>
      <c r="J245" s="13" t="s">
        <v>94</v>
      </c>
      <c r="K245" s="13">
        <v>244</v>
      </c>
      <c r="L245" s="13" t="s">
        <v>76</v>
      </c>
      <c r="M245" s="13" t="s">
        <v>1443</v>
      </c>
      <c r="N245">
        <f>_xlfn.XLOOKUP(spaces_3iWczBNnn5rbfoUlE0Jd_uploads_git_blob_9864c7f811c613c3faab876659c6423__25[[#This Row],[Número de Orden]],Cocinadinamica!B246:B1014,Cocinadinamica!C246:C1014)</f>
        <v>61</v>
      </c>
      <c r="O245" s="7">
        <f>spaces_3iWczBNnn5rbfoUlE0Jd_uploads_git_blob_9864c7f811c613c3faab876659c6423__25[[#This Row],[Hora de Llegada]]</f>
        <v>45018.155555555553</v>
      </c>
      <c r="P245" s="9">
        <f>spaces_3iWczBNnn5rbfoUlE0Jd_uploads_git_blob_9864c7f811c613c3faab876659c6423__25[[#This Row],[Hora de Llegada]]</f>
        <v>45018.155555555553</v>
      </c>
      <c r="Q245" s="9">
        <f>spaces_3iWczBNnn5rbfoUlE0Jd_uploads_git_blob_9864c7f811c613c3faab876659c6423__25[[#This Row],[Hora de Salida]]</f>
        <v>45018.250694444447</v>
      </c>
      <c r="R245" s="9" cm="1">
        <f t="array" ref="R24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9.5138888893416151E-2</v>
      </c>
      <c r="S245" s="9">
        <f>_xlfn.XLOOKUP(spaces_3iWczBNnn5rbfoUlE0Jd_uploads_git_blob_9864c7f811c613c3faab876659c6423__25[[#This Row],[Número de Orden]],Cocinadinamica!E246:E1014,Cocinadinamica!F246:F1014)/1440</f>
        <v>6.1805555555555558E-2</v>
      </c>
      <c r="T245" s="9" cm="1">
        <f t="array" ref="T24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3.3333333337860593E-2</v>
      </c>
      <c r="U245" s="9" t="str" cm="1">
        <f t="array" ref="U24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46" spans="1:21" x14ac:dyDescent="0.35">
      <c r="A246" s="27">
        <v>11</v>
      </c>
      <c r="B246" s="11" t="s">
        <v>998</v>
      </c>
      <c r="C246" s="11">
        <v>1</v>
      </c>
      <c r="D246" s="12">
        <v>45018.146527777775</v>
      </c>
      <c r="E246" s="12">
        <v>45018.289583333331</v>
      </c>
      <c r="F246" s="11" t="s">
        <v>223</v>
      </c>
      <c r="G246" s="11" t="s">
        <v>86</v>
      </c>
      <c r="H246" s="11" t="s">
        <v>74</v>
      </c>
      <c r="I246" s="16">
        <v>14.82</v>
      </c>
      <c r="J246" s="11" t="s">
        <v>94</v>
      </c>
      <c r="K246" s="11">
        <v>245</v>
      </c>
      <c r="L246" s="11" t="s">
        <v>95</v>
      </c>
      <c r="M246" s="11" t="s">
        <v>1444</v>
      </c>
      <c r="N246">
        <f>_xlfn.XLOOKUP(spaces_3iWczBNnn5rbfoUlE0Jd_uploads_git_blob_9864c7f811c613c3faab876659c6423__25[[#This Row],[Número de Orden]],Cocinadinamica!B247:B1015,Cocinadinamica!C247:C1015)</f>
        <v>108</v>
      </c>
      <c r="O246" s="7">
        <f>spaces_3iWczBNnn5rbfoUlE0Jd_uploads_git_blob_9864c7f811c613c3faab876659c6423__25[[#This Row],[Hora de Llegada]]</f>
        <v>45018.146527777775</v>
      </c>
      <c r="P246" s="9">
        <f>spaces_3iWczBNnn5rbfoUlE0Jd_uploads_git_blob_9864c7f811c613c3faab876659c6423__25[[#This Row],[Hora de Llegada]]</f>
        <v>45018.146527777775</v>
      </c>
      <c r="Q246" s="9">
        <f>spaces_3iWczBNnn5rbfoUlE0Jd_uploads_git_blob_9864c7f811c613c3faab876659c6423__25[[#This Row],[Hora de Salida]]</f>
        <v>45018.289583333331</v>
      </c>
      <c r="R246" s="9" cm="1">
        <f t="array" ref="R24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0.14305555555620231</v>
      </c>
      <c r="S246" s="9">
        <f>_xlfn.XLOOKUP(spaces_3iWczBNnn5rbfoUlE0Jd_uploads_git_blob_9864c7f811c613c3faab876659c6423__25[[#This Row],[Número de Orden]],Cocinadinamica!E247:E1015,Cocinadinamica!F247:F1015)/1440</f>
        <v>8.0555555555555561E-2</v>
      </c>
      <c r="T246" s="9" cm="1">
        <f t="array" ref="T24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6.2500000000646747E-2</v>
      </c>
      <c r="U246" s="9" t="str" cm="1">
        <f t="array" ref="U24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47" spans="1:21" x14ac:dyDescent="0.35">
      <c r="A247" s="28">
        <v>2</v>
      </c>
      <c r="B247" s="13" t="s">
        <v>997</v>
      </c>
      <c r="C247" s="13">
        <v>6</v>
      </c>
      <c r="D247" s="14">
        <v>45018.076388888891</v>
      </c>
      <c r="E247" s="14">
        <v>45018.17291666667</v>
      </c>
      <c r="F247" s="13" t="s">
        <v>100</v>
      </c>
      <c r="G247" s="13" t="s">
        <v>86</v>
      </c>
      <c r="H247" s="13" t="s">
        <v>74</v>
      </c>
      <c r="I247" s="17">
        <v>42.75</v>
      </c>
      <c r="J247" s="13" t="s">
        <v>75</v>
      </c>
      <c r="K247" s="13">
        <v>246</v>
      </c>
      <c r="L247" s="13" t="s">
        <v>95</v>
      </c>
      <c r="M247" s="13" t="s">
        <v>1445</v>
      </c>
      <c r="N247">
        <f>_xlfn.XLOOKUP(spaces_3iWczBNnn5rbfoUlE0Jd_uploads_git_blob_9864c7f811c613c3faab876659c6423__25[[#This Row],[Número de Orden]],Cocinadinamica!B248:B1016,Cocinadinamica!C248:C1016)</f>
        <v>131</v>
      </c>
      <c r="O247" s="7">
        <f>spaces_3iWczBNnn5rbfoUlE0Jd_uploads_git_blob_9864c7f811c613c3faab876659c6423__25[[#This Row],[Hora de Llegada]]</f>
        <v>45018.076388888891</v>
      </c>
      <c r="P247" s="9">
        <f>spaces_3iWczBNnn5rbfoUlE0Jd_uploads_git_blob_9864c7f811c613c3faab876659c6423__25[[#This Row],[Hora de Llegada]]</f>
        <v>45018.076388888891</v>
      </c>
      <c r="Q247" s="9">
        <f>spaces_3iWczBNnn5rbfoUlE0Jd_uploads_git_blob_9864c7f811c613c3faab876659c6423__25[[#This Row],[Hora de Salida]]</f>
        <v>45018.17291666667</v>
      </c>
      <c r="R247" s="9" cm="1">
        <f t="array" ref="R24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9.6527777779556345E-2</v>
      </c>
      <c r="S247" s="9">
        <f>_xlfn.XLOOKUP(spaces_3iWczBNnn5rbfoUlE0Jd_uploads_git_blob_9864c7f811c613c3faab876659c6423__25[[#This Row],[Número de Orden]],Cocinadinamica!E248:E1016,Cocinadinamica!F248:F1016)/1440</f>
        <v>0.10138888888888889</v>
      </c>
      <c r="T247" s="9" cm="1">
        <f t="array" ref="T24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47" s="9" t="str" cm="1">
        <f t="array" ref="U24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48" spans="1:21" x14ac:dyDescent="0.35">
      <c r="A248" s="27" t="s">
        <v>354</v>
      </c>
      <c r="B248" s="11" t="s">
        <v>355</v>
      </c>
      <c r="C248" s="11">
        <v>6</v>
      </c>
      <c r="D248" s="12">
        <v>45018.106944444444</v>
      </c>
      <c r="E248" s="12">
        <v>45018.222916666666</v>
      </c>
      <c r="F248" s="11" t="s">
        <v>100</v>
      </c>
      <c r="G248" s="11" t="s">
        <v>86</v>
      </c>
      <c r="H248" s="11" t="s">
        <v>74</v>
      </c>
      <c r="I248" s="16">
        <v>49.07</v>
      </c>
      <c r="J248" s="11" t="s">
        <v>88</v>
      </c>
      <c r="K248" s="11">
        <v>247</v>
      </c>
      <c r="L248" s="11" t="s">
        <v>187</v>
      </c>
      <c r="M248" s="11" t="s">
        <v>25</v>
      </c>
      <c r="N248">
        <f>_xlfn.XLOOKUP(spaces_3iWczBNnn5rbfoUlE0Jd_uploads_git_blob_9864c7f811c613c3faab876659c6423__25[[#This Row],[Número de Orden]],Cocinadinamica!B249:B1017,Cocinadinamica!C249:C1017)</f>
        <v>26</v>
      </c>
      <c r="O248" s="7">
        <f>spaces_3iWczBNnn5rbfoUlE0Jd_uploads_git_blob_9864c7f811c613c3faab876659c6423__25[[#This Row],[Hora de Llegada]]</f>
        <v>45018.106944444444</v>
      </c>
      <c r="P248" s="9">
        <f>spaces_3iWczBNnn5rbfoUlE0Jd_uploads_git_blob_9864c7f811c613c3faab876659c6423__25[[#This Row],[Hora de Llegada]]</f>
        <v>45018.106944444444</v>
      </c>
      <c r="Q248" s="9">
        <f>spaces_3iWczBNnn5rbfoUlE0Jd_uploads_git_blob_9864c7f811c613c3faab876659c6423__25[[#This Row],[Hora de Salida]]</f>
        <v>45018.222916666666</v>
      </c>
      <c r="R248" s="9" cm="1">
        <f t="array" ref="R24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0.12638888888614019</v>
      </c>
      <c r="S248" s="9">
        <f>_xlfn.XLOOKUP(spaces_3iWczBNnn5rbfoUlE0Jd_uploads_git_blob_9864c7f811c613c3faab876659c6423__25[[#This Row],[Número de Orden]],Cocinadinamica!E249:E1017,Cocinadinamica!F249:F1017)/1440</f>
        <v>4.0972222222222222E-2</v>
      </c>
      <c r="T248" s="9" cm="1">
        <f t="array" ref="T24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8.5416666663917978E-2</v>
      </c>
      <c r="U248" s="9" t="str" cm="1">
        <f t="array" ref="U24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49" spans="1:21" x14ac:dyDescent="0.35">
      <c r="A249" s="28">
        <v>12</v>
      </c>
      <c r="B249" s="13" t="s">
        <v>999</v>
      </c>
      <c r="C249" s="13">
        <v>6</v>
      </c>
      <c r="D249" s="14">
        <v>45018.018055555556</v>
      </c>
      <c r="E249" s="14">
        <v>45018.095833333333</v>
      </c>
      <c r="F249" s="13" t="s">
        <v>100</v>
      </c>
      <c r="G249" s="13" t="s">
        <v>86</v>
      </c>
      <c r="H249" s="13" t="s">
        <v>109</v>
      </c>
      <c r="I249" s="17">
        <v>18.690000000000001</v>
      </c>
      <c r="J249" s="13" t="s">
        <v>88</v>
      </c>
      <c r="K249" s="13">
        <v>248</v>
      </c>
      <c r="L249" s="13" t="s">
        <v>101</v>
      </c>
      <c r="M249" s="13" t="s">
        <v>1446</v>
      </c>
      <c r="N249">
        <f>_xlfn.XLOOKUP(spaces_3iWczBNnn5rbfoUlE0Jd_uploads_git_blob_9864c7f811c613c3faab876659c6423__25[[#This Row],[Número de Orden]],Cocinadinamica!B250:B1018,Cocinadinamica!C250:C1018)</f>
        <v>92</v>
      </c>
      <c r="O249" s="7">
        <f>spaces_3iWczBNnn5rbfoUlE0Jd_uploads_git_blob_9864c7f811c613c3faab876659c6423__25[[#This Row],[Hora de Llegada]]</f>
        <v>45018.018055555556</v>
      </c>
      <c r="P249" s="9">
        <f>spaces_3iWczBNnn5rbfoUlE0Jd_uploads_git_blob_9864c7f811c613c3faab876659c6423__25[[#This Row],[Hora de Llegada]]</f>
        <v>45018.018055555556</v>
      </c>
      <c r="Q249" s="9">
        <f>spaces_3iWczBNnn5rbfoUlE0Jd_uploads_git_blob_9864c7f811c613c3faab876659c6423__25[[#This Row],[Hora de Salida]]</f>
        <v>45018.095833333333</v>
      </c>
      <c r="R249" s="9" cm="1">
        <f t="array" ref="R24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8.819444444088731E-2</v>
      </c>
      <c r="S249" s="9">
        <f>_xlfn.XLOOKUP(spaces_3iWczBNnn5rbfoUlE0Jd_uploads_git_blob_9864c7f811c613c3faab876659c6423__25[[#This Row],[Número de Orden]],Cocinadinamica!E250:E1018,Cocinadinamica!F250:F1018)/1440</f>
        <v>8.3333333333333329E-2</v>
      </c>
      <c r="T249" s="9" cm="1">
        <f t="array" ref="T24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4.8611111075539809E-3</v>
      </c>
      <c r="U249" s="9" t="str" cm="1">
        <f t="array" ref="U24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0" spans="1:21" x14ac:dyDescent="0.35">
      <c r="A250" s="27">
        <v>8</v>
      </c>
      <c r="B250" s="11" t="s">
        <v>1000</v>
      </c>
      <c r="C250" s="11">
        <v>6</v>
      </c>
      <c r="D250" s="12">
        <v>45018.040277777778</v>
      </c>
      <c r="E250" s="12">
        <v>45018.163194444445</v>
      </c>
      <c r="F250" s="11" t="s">
        <v>100</v>
      </c>
      <c r="G250" s="11" t="s">
        <v>73</v>
      </c>
      <c r="H250" s="11" t="s">
        <v>74</v>
      </c>
      <c r="I250" s="16">
        <v>47.71</v>
      </c>
      <c r="J250" s="11" t="s">
        <v>88</v>
      </c>
      <c r="K250" s="11">
        <v>249</v>
      </c>
      <c r="L250" s="11" t="s">
        <v>181</v>
      </c>
      <c r="M250" s="11" t="s">
        <v>1447</v>
      </c>
      <c r="N250">
        <f>_xlfn.XLOOKUP(spaces_3iWczBNnn5rbfoUlE0Jd_uploads_git_blob_9864c7f811c613c3faab876659c6423__25[[#This Row],[Número de Orden]],Cocinadinamica!B251:B1019,Cocinadinamica!C251:C1019)</f>
        <v>34</v>
      </c>
      <c r="O250" s="7">
        <f>spaces_3iWczBNnn5rbfoUlE0Jd_uploads_git_blob_9864c7f811c613c3faab876659c6423__25[[#This Row],[Hora de Llegada]]</f>
        <v>45018.040277777778</v>
      </c>
      <c r="P250" s="9">
        <f>spaces_3iWczBNnn5rbfoUlE0Jd_uploads_git_blob_9864c7f811c613c3faab876659c6423__25[[#This Row],[Hora de Llegada]]</f>
        <v>45018.040277777778</v>
      </c>
      <c r="Q250" s="9">
        <f>spaces_3iWczBNnn5rbfoUlE0Jd_uploads_git_blob_9864c7f811c613c3faab876659c6423__25[[#This Row],[Hora de Salida]]</f>
        <v>45018.163194444445</v>
      </c>
      <c r="R250" s="9" cm="1">
        <f t="array" ref="R25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0.13333333333139308</v>
      </c>
      <c r="S250" s="9">
        <f>_xlfn.XLOOKUP(spaces_3iWczBNnn5rbfoUlE0Jd_uploads_git_blob_9864c7f811c613c3faab876659c6423__25[[#This Row],[Número de Orden]],Cocinadinamica!E251:E1019,Cocinadinamica!F251:F1019)/1440</f>
        <v>7.5694444444444439E-2</v>
      </c>
      <c r="T250" s="9" cm="1">
        <f t="array" ref="T25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5.7638888886948639E-2</v>
      </c>
      <c r="U250" s="9" t="str" cm="1">
        <f t="array" ref="U25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1" spans="1:21" x14ac:dyDescent="0.35">
      <c r="A251" s="28" t="s">
        <v>215</v>
      </c>
      <c r="B251" s="13" t="s">
        <v>358</v>
      </c>
      <c r="C251" s="13">
        <v>2</v>
      </c>
      <c r="D251" s="14">
        <v>45018.12222222222</v>
      </c>
      <c r="E251" s="14">
        <v>45018.272916666669</v>
      </c>
      <c r="F251" s="13" t="s">
        <v>72</v>
      </c>
      <c r="G251" s="13" t="s">
        <v>86</v>
      </c>
      <c r="H251" s="13" t="s">
        <v>74</v>
      </c>
      <c r="I251" s="17">
        <v>23.21</v>
      </c>
      <c r="J251" s="13" t="s">
        <v>75</v>
      </c>
      <c r="K251" s="13">
        <v>250</v>
      </c>
      <c r="L251" s="13" t="s">
        <v>181</v>
      </c>
      <c r="M251" s="13" t="s">
        <v>39</v>
      </c>
      <c r="N251">
        <f>_xlfn.XLOOKUP(spaces_3iWczBNnn5rbfoUlE0Jd_uploads_git_blob_9864c7f811c613c3faab876659c6423__25[[#This Row],[Número de Orden]],Cocinadinamica!B252:B1020,Cocinadinamica!C252:C1020)</f>
        <v>8</v>
      </c>
      <c r="O251" s="7">
        <f>spaces_3iWczBNnn5rbfoUlE0Jd_uploads_git_blob_9864c7f811c613c3faab876659c6423__25[[#This Row],[Hora de Llegada]]</f>
        <v>45018.12222222222</v>
      </c>
      <c r="P251" s="9">
        <f>spaces_3iWczBNnn5rbfoUlE0Jd_uploads_git_blob_9864c7f811c613c3faab876659c6423__25[[#This Row],[Hora de Llegada]]</f>
        <v>45018.12222222222</v>
      </c>
      <c r="Q251" s="9">
        <f>spaces_3iWczBNnn5rbfoUlE0Jd_uploads_git_blob_9864c7f811c613c3faab876659c6423__25[[#This Row],[Hora de Salida]]</f>
        <v>45018.272916666669</v>
      </c>
      <c r="R251" s="9" cm="1">
        <f t="array" ref="R25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0.15069444444816327</v>
      </c>
      <c r="S251" s="9">
        <f>_xlfn.XLOOKUP(spaces_3iWczBNnn5rbfoUlE0Jd_uploads_git_blob_9864c7f811c613c3faab876659c6423__25[[#This Row],[Número de Orden]],Cocinadinamica!E252:E1020,Cocinadinamica!F252:F1020)/1440</f>
        <v>2.013888888888889E-2</v>
      </c>
      <c r="T251" s="9" cm="1">
        <f t="array" ref="T25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0.13055555555927437</v>
      </c>
      <c r="U251" s="9" t="str" cm="1">
        <f t="array" ref="U25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2" spans="1:21" x14ac:dyDescent="0.35">
      <c r="A252" s="27">
        <v>12</v>
      </c>
      <c r="B252" s="11" t="s">
        <v>1001</v>
      </c>
      <c r="C252" s="11">
        <v>6</v>
      </c>
      <c r="D252" s="12">
        <v>45018.055555555555</v>
      </c>
      <c r="E252" s="12">
        <v>45018.183333333334</v>
      </c>
      <c r="F252" s="11" t="s">
        <v>223</v>
      </c>
      <c r="G252" s="11" t="s">
        <v>86</v>
      </c>
      <c r="H252" s="11" t="s">
        <v>74</v>
      </c>
      <c r="I252" s="16">
        <v>13.69</v>
      </c>
      <c r="J252" s="11" t="s">
        <v>88</v>
      </c>
      <c r="K252" s="11">
        <v>251</v>
      </c>
      <c r="L252" s="11" t="s">
        <v>174</v>
      </c>
      <c r="M252" s="11" t="s">
        <v>1448</v>
      </c>
      <c r="N252">
        <f>_xlfn.XLOOKUP(spaces_3iWczBNnn5rbfoUlE0Jd_uploads_git_blob_9864c7f811c613c3faab876659c6423__25[[#This Row],[Número de Orden]],Cocinadinamica!B253:B1021,Cocinadinamica!C253:C1021)</f>
        <v>45</v>
      </c>
      <c r="O252" s="7">
        <f>spaces_3iWczBNnn5rbfoUlE0Jd_uploads_git_blob_9864c7f811c613c3faab876659c6423__25[[#This Row],[Hora de Llegada]]</f>
        <v>45018.055555555555</v>
      </c>
      <c r="P252" s="9">
        <f>spaces_3iWczBNnn5rbfoUlE0Jd_uploads_git_blob_9864c7f811c613c3faab876659c6423__25[[#This Row],[Hora de Llegada]]</f>
        <v>45018.055555555555</v>
      </c>
      <c r="Q252" s="9">
        <f>spaces_3iWczBNnn5rbfoUlE0Jd_uploads_git_blob_9864c7f811c613c3faab876659c6423__25[[#This Row],[Hora de Salida]]</f>
        <v>45018.183333333334</v>
      </c>
      <c r="R252" s="9" cm="1">
        <f t="array" ref="R25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0.13819444444379769</v>
      </c>
      <c r="S252" s="9">
        <f>_xlfn.XLOOKUP(spaces_3iWczBNnn5rbfoUlE0Jd_uploads_git_blob_9864c7f811c613c3faab876659c6423__25[[#This Row],[Número de Orden]],Cocinadinamica!E253:E1021,Cocinadinamica!F253:F1021)/1440</f>
        <v>8.4722222222222227E-2</v>
      </c>
      <c r="T252" s="9" cm="1">
        <f t="array" ref="T25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5.3472222221575466E-2</v>
      </c>
      <c r="U252" s="9" t="str" cm="1">
        <f t="array" ref="U25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3" spans="1:21" x14ac:dyDescent="0.35">
      <c r="A253" s="28">
        <v>4</v>
      </c>
      <c r="B253" s="13" t="s">
        <v>1002</v>
      </c>
      <c r="C253" s="13">
        <v>3</v>
      </c>
      <c r="D253" s="14">
        <v>45018.027083333334</v>
      </c>
      <c r="E253" s="14">
        <v>45018.183333333334</v>
      </c>
      <c r="F253" s="13" t="s">
        <v>72</v>
      </c>
      <c r="G253" s="13" t="s">
        <v>86</v>
      </c>
      <c r="H253" s="13" t="s">
        <v>74</v>
      </c>
      <c r="I253" s="17">
        <v>43.81</v>
      </c>
      <c r="J253" s="13" t="s">
        <v>75</v>
      </c>
      <c r="K253" s="13">
        <v>252</v>
      </c>
      <c r="L253" s="13" t="s">
        <v>110</v>
      </c>
      <c r="M253" s="13" t="s">
        <v>1449</v>
      </c>
      <c r="N253">
        <f>_xlfn.XLOOKUP(spaces_3iWczBNnn5rbfoUlE0Jd_uploads_git_blob_9864c7f811c613c3faab876659c6423__25[[#This Row],[Número de Orden]],Cocinadinamica!B254:B1022,Cocinadinamica!C254:C1022)</f>
        <v>42</v>
      </c>
      <c r="O253" s="7">
        <f>spaces_3iWczBNnn5rbfoUlE0Jd_uploads_git_blob_9864c7f811c613c3faab876659c6423__25[[#This Row],[Hora de Llegada]]</f>
        <v>45018.027083333334</v>
      </c>
      <c r="P253" s="9">
        <f>spaces_3iWczBNnn5rbfoUlE0Jd_uploads_git_blob_9864c7f811c613c3faab876659c6423__25[[#This Row],[Hora de Llegada]]</f>
        <v>45018.027083333334</v>
      </c>
      <c r="Q253" s="9">
        <f>spaces_3iWczBNnn5rbfoUlE0Jd_uploads_git_blob_9864c7f811c613c3faab876659c6423__25[[#This Row],[Hora de Salida]]</f>
        <v>45018.183333333334</v>
      </c>
      <c r="R253" s="9" cm="1">
        <f t="array" ref="R25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253" s="9">
        <f>_xlfn.XLOOKUP(spaces_3iWczBNnn5rbfoUlE0Jd_uploads_git_blob_9864c7f811c613c3faab876659c6423__25[[#This Row],[Número de Orden]],Cocinadinamica!E254:E1022,Cocinadinamica!F254:F1022)/1440</f>
        <v>5.8333333333333334E-2</v>
      </c>
      <c r="T253" s="9" cm="1">
        <f t="array" ref="T25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9.7916666666666666E-2</v>
      </c>
      <c r="U253" s="9" t="str" cm="1">
        <f t="array" ref="U25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4" spans="1:21" x14ac:dyDescent="0.35">
      <c r="A254" s="27">
        <v>8</v>
      </c>
      <c r="B254" s="11" t="s">
        <v>1003</v>
      </c>
      <c r="C254" s="11">
        <v>2</v>
      </c>
      <c r="D254" s="12">
        <v>45018.037499999999</v>
      </c>
      <c r="E254" s="12">
        <v>45018.15625</v>
      </c>
      <c r="F254" s="11" t="s">
        <v>170</v>
      </c>
      <c r="G254" s="11" t="s">
        <v>73</v>
      </c>
      <c r="H254" s="11" t="s">
        <v>74</v>
      </c>
      <c r="I254" s="16">
        <v>34.69</v>
      </c>
      <c r="J254" s="11" t="s">
        <v>88</v>
      </c>
      <c r="K254" s="11">
        <v>253</v>
      </c>
      <c r="L254" s="11" t="s">
        <v>164</v>
      </c>
      <c r="M254" s="11" t="s">
        <v>1450</v>
      </c>
      <c r="N254">
        <f>_xlfn.XLOOKUP(spaces_3iWczBNnn5rbfoUlE0Jd_uploads_git_blob_9864c7f811c613c3faab876659c6423__25[[#This Row],[Número de Orden]],Cocinadinamica!B255:B1023,Cocinadinamica!C255:C1023)</f>
        <v>62</v>
      </c>
      <c r="O254" s="7">
        <f>spaces_3iWczBNnn5rbfoUlE0Jd_uploads_git_blob_9864c7f811c613c3faab876659c6423__25[[#This Row],[Hora de Llegada]]</f>
        <v>45018.037499999999</v>
      </c>
      <c r="P254" s="9">
        <f>spaces_3iWczBNnn5rbfoUlE0Jd_uploads_git_blob_9864c7f811c613c3faab876659c6423__25[[#This Row],[Hora de Llegada]]</f>
        <v>45018.037499999999</v>
      </c>
      <c r="Q254" s="9">
        <f>spaces_3iWczBNnn5rbfoUlE0Jd_uploads_git_blob_9864c7f811c613c3faab876659c6423__25[[#This Row],[Hora de Salida]]</f>
        <v>45018.15625</v>
      </c>
      <c r="R254" s="9" cm="1">
        <f t="array" ref="R25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0.12916666666569654</v>
      </c>
      <c r="S254" s="9">
        <f>_xlfn.XLOOKUP(spaces_3iWczBNnn5rbfoUlE0Jd_uploads_git_blob_9864c7f811c613c3faab876659c6423__25[[#This Row],[Número de Orden]],Cocinadinamica!E255:E1023,Cocinadinamica!F255:F1023)/1440</f>
        <v>3.8194444444444448E-2</v>
      </c>
      <c r="T254" s="9" cm="1">
        <f t="array" ref="T25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9.0972222221252091E-2</v>
      </c>
      <c r="U254" s="9" t="str" cm="1">
        <f t="array" ref="U25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5" spans="1:21" x14ac:dyDescent="0.35">
      <c r="A255" s="28">
        <v>10</v>
      </c>
      <c r="B255" s="13" t="s">
        <v>559</v>
      </c>
      <c r="C255" s="13">
        <v>6</v>
      </c>
      <c r="D255" s="14">
        <v>45018.128472222219</v>
      </c>
      <c r="E255" s="14">
        <v>45018.240972222222</v>
      </c>
      <c r="F255" s="13" t="s">
        <v>223</v>
      </c>
      <c r="G255" s="13" t="s">
        <v>73</v>
      </c>
      <c r="H255" s="13" t="s">
        <v>74</v>
      </c>
      <c r="I255" s="17">
        <v>36.43</v>
      </c>
      <c r="J255" s="13" t="s">
        <v>94</v>
      </c>
      <c r="K255" s="13">
        <v>254</v>
      </c>
      <c r="L255" s="13" t="s">
        <v>221</v>
      </c>
      <c r="M255" s="13" t="s">
        <v>1451</v>
      </c>
      <c r="N255">
        <f>_xlfn.XLOOKUP(spaces_3iWczBNnn5rbfoUlE0Jd_uploads_git_blob_9864c7f811c613c3faab876659c6423__25[[#This Row],[Número de Orden]],Cocinadinamica!B256:B1024,Cocinadinamica!C256:C1024)</f>
        <v>122</v>
      </c>
      <c r="O255" s="7">
        <f>spaces_3iWczBNnn5rbfoUlE0Jd_uploads_git_blob_9864c7f811c613c3faab876659c6423__25[[#This Row],[Hora de Llegada]]</f>
        <v>45018.128472222219</v>
      </c>
      <c r="P255" s="9">
        <f>spaces_3iWczBNnn5rbfoUlE0Jd_uploads_git_blob_9864c7f811c613c3faab876659c6423__25[[#This Row],[Hora de Llegada]]</f>
        <v>45018.128472222219</v>
      </c>
      <c r="Q255" s="9">
        <f>spaces_3iWczBNnn5rbfoUlE0Jd_uploads_git_blob_9864c7f811c613c3faab876659c6423__25[[#This Row],[Hora de Salida]]</f>
        <v>45018.240972222222</v>
      </c>
      <c r="R255" s="9" cm="1">
        <f t="array" ref="R25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0.11250000000291038</v>
      </c>
      <c r="S255" s="9">
        <f>_xlfn.XLOOKUP(spaces_3iWczBNnn5rbfoUlE0Jd_uploads_git_blob_9864c7f811c613c3faab876659c6423__25[[#This Row],[Número de Orden]],Cocinadinamica!E256:E1024,Cocinadinamica!F256:F1024)/1440</f>
        <v>9.7916666666666666E-2</v>
      </c>
      <c r="T255" s="9" cm="1">
        <f t="array" ref="T25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1.4583333336243717E-2</v>
      </c>
      <c r="U255" s="9" t="str" cm="1">
        <f t="array" ref="U25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6" spans="1:21" x14ac:dyDescent="0.35">
      <c r="A256" s="27" t="s">
        <v>215</v>
      </c>
      <c r="B256" s="11" t="s">
        <v>363</v>
      </c>
      <c r="C256" s="11">
        <v>4</v>
      </c>
      <c r="D256" s="12">
        <v>45018.099305555559</v>
      </c>
      <c r="E256" s="12">
        <v>45018.165972222225</v>
      </c>
      <c r="F256" s="11" t="s">
        <v>100</v>
      </c>
      <c r="G256" s="11" t="s">
        <v>73</v>
      </c>
      <c r="H256" s="11" t="s">
        <v>87</v>
      </c>
      <c r="I256" s="16">
        <v>13.34</v>
      </c>
      <c r="J256" s="11" t="s">
        <v>94</v>
      </c>
      <c r="K256" s="11">
        <v>255</v>
      </c>
      <c r="L256" s="11" t="s">
        <v>174</v>
      </c>
      <c r="M256" s="11" t="s">
        <v>49</v>
      </c>
      <c r="N256">
        <f>_xlfn.XLOOKUP(spaces_3iWczBNnn5rbfoUlE0Jd_uploads_git_blob_9864c7f811c613c3faab876659c6423__25[[#This Row],[Número de Orden]],Cocinadinamica!B257:B1025,Cocinadinamica!C257:C1025)</f>
        <v>10</v>
      </c>
      <c r="O256" s="7">
        <f>spaces_3iWczBNnn5rbfoUlE0Jd_uploads_git_blob_9864c7f811c613c3faab876659c6423__25[[#This Row],[Hora de Llegada]]</f>
        <v>45018.099305555559</v>
      </c>
      <c r="P256" s="9">
        <f>spaces_3iWczBNnn5rbfoUlE0Jd_uploads_git_blob_9864c7f811c613c3faab876659c6423__25[[#This Row],[Hora de Llegada]]</f>
        <v>45018.099305555559</v>
      </c>
      <c r="Q256" s="9">
        <f>spaces_3iWczBNnn5rbfoUlE0Jd_uploads_git_blob_9864c7f811c613c3faab876659c6423__25[[#This Row],[Hora de Salida]]</f>
        <v>45018.165972222225</v>
      </c>
      <c r="R256" s="9" cm="1">
        <f t="array" ref="R25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6.6666666665696539E-2</v>
      </c>
      <c r="S256" s="9">
        <f>_xlfn.XLOOKUP(spaces_3iWczBNnn5rbfoUlE0Jd_uploads_git_blob_9864c7f811c613c3faab876659c6423__25[[#This Row],[Número de Orden]],Cocinadinamica!E257:E1025,Cocinadinamica!F257:F1025)/1440</f>
        <v>2.5694444444444443E-2</v>
      </c>
      <c r="T256" s="9" cm="1">
        <f t="array" ref="T25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4.0972222221252096E-2</v>
      </c>
      <c r="U256" s="9" t="str" cm="1">
        <f t="array" ref="U25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7" spans="1:21" x14ac:dyDescent="0.35">
      <c r="A257" s="28" t="s">
        <v>121</v>
      </c>
      <c r="B257" s="13" t="s">
        <v>364</v>
      </c>
      <c r="C257" s="13">
        <v>2</v>
      </c>
      <c r="D257" s="14">
        <v>45018.015972222223</v>
      </c>
      <c r="E257" s="14">
        <v>45018.143750000003</v>
      </c>
      <c r="F257" s="13" t="s">
        <v>85</v>
      </c>
      <c r="G257" s="13" t="s">
        <v>163</v>
      </c>
      <c r="H257" s="13" t="s">
        <v>87</v>
      </c>
      <c r="I257" s="17">
        <v>49.88</v>
      </c>
      <c r="J257" s="13" t="s">
        <v>94</v>
      </c>
      <c r="K257" s="13">
        <v>256</v>
      </c>
      <c r="L257" s="13" t="s">
        <v>164</v>
      </c>
      <c r="M257" s="13" t="s">
        <v>43</v>
      </c>
      <c r="N257">
        <f>_xlfn.XLOOKUP(spaces_3iWczBNnn5rbfoUlE0Jd_uploads_git_blob_9864c7f811c613c3faab876659c6423__25[[#This Row],[Número de Orden]],Cocinadinamica!B258:B1026,Cocinadinamica!C258:C1026)</f>
        <v>8</v>
      </c>
      <c r="O257" s="7">
        <f>spaces_3iWczBNnn5rbfoUlE0Jd_uploads_git_blob_9864c7f811c613c3faab876659c6423__25[[#This Row],[Hora de Llegada]]</f>
        <v>45018.015972222223</v>
      </c>
      <c r="P257" s="9">
        <f>spaces_3iWczBNnn5rbfoUlE0Jd_uploads_git_blob_9864c7f811c613c3faab876659c6423__25[[#This Row],[Hora de Llegada]]</f>
        <v>45018.015972222223</v>
      </c>
      <c r="Q257" s="9">
        <f>spaces_3iWczBNnn5rbfoUlE0Jd_uploads_git_blob_9864c7f811c613c3faab876659c6423__25[[#This Row],[Hora de Salida]]</f>
        <v>45018.143750000003</v>
      </c>
      <c r="R257" s="9" cm="1">
        <f t="array" ref="R25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0.12777777777955635</v>
      </c>
      <c r="S257" s="9">
        <f>_xlfn.XLOOKUP(spaces_3iWczBNnn5rbfoUlE0Jd_uploads_git_blob_9864c7f811c613c3faab876659c6423__25[[#This Row],[Número de Orden]],Cocinadinamica!E258:E1026,Cocinadinamica!F258:F1026)/1440</f>
        <v>1.1111111111111112E-2</v>
      </c>
      <c r="T257" s="9" cm="1">
        <f t="array" ref="T25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0.11666666666844523</v>
      </c>
      <c r="U257" s="9" t="str" cm="1">
        <f t="array" ref="U25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8" spans="1:21" x14ac:dyDescent="0.35">
      <c r="A258" s="27" t="s">
        <v>107</v>
      </c>
      <c r="B258" s="11" t="s">
        <v>365</v>
      </c>
      <c r="C258" s="11">
        <v>5</v>
      </c>
      <c r="D258" s="12">
        <v>45018.088888888888</v>
      </c>
      <c r="E258" s="12">
        <v>45018.136805555558</v>
      </c>
      <c r="F258" s="11" t="s">
        <v>100</v>
      </c>
      <c r="G258" s="11" t="s">
        <v>86</v>
      </c>
      <c r="H258" s="11" t="s">
        <v>74</v>
      </c>
      <c r="I258" s="16">
        <v>26.78</v>
      </c>
      <c r="J258" s="11" t="s">
        <v>94</v>
      </c>
      <c r="K258" s="11">
        <v>257</v>
      </c>
      <c r="L258" s="11" t="s">
        <v>187</v>
      </c>
      <c r="M258" s="11" t="s">
        <v>41</v>
      </c>
      <c r="N258">
        <f>_xlfn.XLOOKUP(spaces_3iWczBNnn5rbfoUlE0Jd_uploads_git_blob_9864c7f811c613c3faab876659c6423__25[[#This Row],[Número de Orden]],Cocinadinamica!B259:B1027,Cocinadinamica!C259:C1027)</f>
        <v>18</v>
      </c>
      <c r="O258" s="7">
        <f>spaces_3iWczBNnn5rbfoUlE0Jd_uploads_git_blob_9864c7f811c613c3faab876659c6423__25[[#This Row],[Hora de Llegada]]</f>
        <v>45018.088888888888</v>
      </c>
      <c r="P258" s="9">
        <f>spaces_3iWczBNnn5rbfoUlE0Jd_uploads_git_blob_9864c7f811c613c3faab876659c6423__25[[#This Row],[Hora de Llegada]]</f>
        <v>45018.088888888888</v>
      </c>
      <c r="Q258" s="9">
        <f>spaces_3iWczBNnn5rbfoUlE0Jd_uploads_git_blob_9864c7f811c613c3faab876659c6423__25[[#This Row],[Hora de Salida]]</f>
        <v>45018.136805555558</v>
      </c>
      <c r="R258" s="9" cm="1">
        <f t="array" ref="R25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4.7916666670062114E-2</v>
      </c>
      <c r="S258" s="9">
        <f>_xlfn.XLOOKUP(spaces_3iWczBNnn5rbfoUlE0Jd_uploads_git_blob_9864c7f811c613c3faab876659c6423__25[[#This Row],[Número de Orden]],Cocinadinamica!E259:E1027,Cocinadinamica!F259:F1027)/1440</f>
        <v>1.9444444444444445E-2</v>
      </c>
      <c r="T258" s="9" cm="1">
        <f t="array" ref="T25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2.8472222225617669E-2</v>
      </c>
      <c r="U258" s="9" t="str" cm="1">
        <f t="array" ref="U25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59" spans="1:21" x14ac:dyDescent="0.35">
      <c r="A259" s="28">
        <v>12</v>
      </c>
      <c r="B259" s="13" t="s">
        <v>1004</v>
      </c>
      <c r="C259" s="13">
        <v>1</v>
      </c>
      <c r="D259" s="14">
        <v>45018.027083333334</v>
      </c>
      <c r="E259" s="14">
        <v>45018.188888888886</v>
      </c>
      <c r="F259" s="13" t="s">
        <v>100</v>
      </c>
      <c r="G259" s="13" t="s">
        <v>163</v>
      </c>
      <c r="H259" s="13" t="s">
        <v>74</v>
      </c>
      <c r="I259" s="17">
        <v>47.99</v>
      </c>
      <c r="J259" s="13" t="s">
        <v>94</v>
      </c>
      <c r="K259" s="13">
        <v>258</v>
      </c>
      <c r="L259" s="13" t="s">
        <v>95</v>
      </c>
      <c r="M259" s="13" t="s">
        <v>1452</v>
      </c>
      <c r="N259">
        <f>_xlfn.XLOOKUP(spaces_3iWczBNnn5rbfoUlE0Jd_uploads_git_blob_9864c7f811c613c3faab876659c6423__25[[#This Row],[Número de Orden]],Cocinadinamica!B260:B1028,Cocinadinamica!C260:C1028)</f>
        <v>46</v>
      </c>
      <c r="O259" s="7">
        <f>spaces_3iWczBNnn5rbfoUlE0Jd_uploads_git_blob_9864c7f811c613c3faab876659c6423__25[[#This Row],[Hora de Llegada]]</f>
        <v>45018.027083333334</v>
      </c>
      <c r="P259" s="9">
        <f>spaces_3iWczBNnn5rbfoUlE0Jd_uploads_git_blob_9864c7f811c613c3faab876659c6423__25[[#This Row],[Hora de Llegada]]</f>
        <v>45018.027083333334</v>
      </c>
      <c r="Q259" s="9">
        <f>spaces_3iWczBNnn5rbfoUlE0Jd_uploads_git_blob_9864c7f811c613c3faab876659c6423__25[[#This Row],[Hora de Salida]]</f>
        <v>45018.188888888886</v>
      </c>
      <c r="R259" s="9" cm="1">
        <f t="array" ref="R25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0.16180555555183673</v>
      </c>
      <c r="S259" s="9">
        <f>_xlfn.XLOOKUP(spaces_3iWczBNnn5rbfoUlE0Jd_uploads_git_blob_9864c7f811c613c3faab876659c6423__25[[#This Row],[Número de Orden]],Cocinadinamica!E260:E1028,Cocinadinamica!F260:F1028)/1440</f>
        <v>7.2916666666666671E-2</v>
      </c>
      <c r="T259" s="9" cm="1">
        <f t="array" ref="T25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8.8888888885170061E-2</v>
      </c>
      <c r="U259" s="9" t="str" cm="1">
        <f t="array" ref="U25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60" spans="1:21" x14ac:dyDescent="0.35">
      <c r="A260" s="27" t="s">
        <v>232</v>
      </c>
      <c r="B260" s="11" t="s">
        <v>367</v>
      </c>
      <c r="C260" s="11">
        <v>5</v>
      </c>
      <c r="D260" s="12">
        <v>45018.143750000003</v>
      </c>
      <c r="E260" s="12">
        <v>45018.261111111111</v>
      </c>
      <c r="F260" s="11" t="s">
        <v>223</v>
      </c>
      <c r="G260" s="11" t="s">
        <v>86</v>
      </c>
      <c r="H260" s="11" t="s">
        <v>74</v>
      </c>
      <c r="I260" s="16">
        <v>46.72</v>
      </c>
      <c r="J260" s="11" t="s">
        <v>88</v>
      </c>
      <c r="K260" s="11">
        <v>259</v>
      </c>
      <c r="L260" s="11" t="s">
        <v>275</v>
      </c>
      <c r="M260" s="11" t="s">
        <v>17</v>
      </c>
      <c r="N260">
        <f>_xlfn.XLOOKUP(spaces_3iWczBNnn5rbfoUlE0Jd_uploads_git_blob_9864c7f811c613c3faab876659c6423__25[[#This Row],[Número de Orden]],Cocinadinamica!B261:B1029,Cocinadinamica!C261:C1029)</f>
        <v>33</v>
      </c>
      <c r="O260" s="7">
        <f>spaces_3iWczBNnn5rbfoUlE0Jd_uploads_git_blob_9864c7f811c613c3faab876659c6423__25[[#This Row],[Hora de Llegada]]</f>
        <v>45018.143750000003</v>
      </c>
      <c r="P260" s="9">
        <f>spaces_3iWczBNnn5rbfoUlE0Jd_uploads_git_blob_9864c7f811c613c3faab876659c6423__25[[#This Row],[Hora de Llegada]]</f>
        <v>45018.143750000003</v>
      </c>
      <c r="Q260" s="9">
        <f>spaces_3iWczBNnn5rbfoUlE0Jd_uploads_git_blob_9864c7f811c613c3faab876659c6423__25[[#This Row],[Hora de Salida]]</f>
        <v>45018.261111111111</v>
      </c>
      <c r="R260" s="9" cm="1">
        <f t="array" ref="R26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0.12777777777228039</v>
      </c>
      <c r="S260" s="9">
        <f>_xlfn.XLOOKUP(spaces_3iWczBNnn5rbfoUlE0Jd_uploads_git_blob_9864c7f811c613c3faab876659c6423__25[[#This Row],[Número de Orden]],Cocinadinamica!E261:E1029,Cocinadinamica!F261:F1029)/1440</f>
        <v>7.6388888888888886E-3</v>
      </c>
      <c r="T260" s="9" cm="1">
        <f t="array" ref="T26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0.1201388888833915</v>
      </c>
      <c r="U260" s="9" t="str" cm="1">
        <f t="array" ref="U26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61" spans="1:21" x14ac:dyDescent="0.35">
      <c r="A261" s="28" t="s">
        <v>92</v>
      </c>
      <c r="B261" s="13" t="s">
        <v>368</v>
      </c>
      <c r="C261" s="13">
        <v>6</v>
      </c>
      <c r="D261" s="14">
        <v>45018.057638888888</v>
      </c>
      <c r="E261" s="14">
        <v>45018.193055555559</v>
      </c>
      <c r="F261" s="13" t="s">
        <v>85</v>
      </c>
      <c r="G261" s="13" t="s">
        <v>86</v>
      </c>
      <c r="H261" s="13" t="s">
        <v>87</v>
      </c>
      <c r="I261" s="17">
        <v>47.55</v>
      </c>
      <c r="J261" s="13" t="s">
        <v>88</v>
      </c>
      <c r="K261" s="13">
        <v>260</v>
      </c>
      <c r="L261" s="13" t="s">
        <v>174</v>
      </c>
      <c r="M261" s="13" t="s">
        <v>41</v>
      </c>
      <c r="N261">
        <f>_xlfn.XLOOKUP(spaces_3iWczBNnn5rbfoUlE0Jd_uploads_git_blob_9864c7f811c613c3faab876659c6423__25[[#This Row],[Número de Orden]],Cocinadinamica!B262:B1030,Cocinadinamica!C262:C1030)</f>
        <v>27</v>
      </c>
      <c r="O261" s="7">
        <f>spaces_3iWczBNnn5rbfoUlE0Jd_uploads_git_blob_9864c7f811c613c3faab876659c6423__25[[#This Row],[Hora de Llegada]]</f>
        <v>45018.057638888888</v>
      </c>
      <c r="P261" s="9">
        <f>spaces_3iWczBNnn5rbfoUlE0Jd_uploads_git_blob_9864c7f811c613c3faab876659c6423__25[[#This Row],[Hora de Llegada]]</f>
        <v>45018.057638888888</v>
      </c>
      <c r="Q261" s="9">
        <f>spaces_3iWczBNnn5rbfoUlE0Jd_uploads_git_blob_9864c7f811c613c3faab876659c6423__25[[#This Row],[Hora de Salida]]</f>
        <v>45018.193055555559</v>
      </c>
      <c r="R261" s="9" cm="1">
        <f t="array" ref="R26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0.14583333333575865</v>
      </c>
      <c r="S261" s="9">
        <f>_xlfn.XLOOKUP(spaces_3iWczBNnn5rbfoUlE0Jd_uploads_git_blob_9864c7f811c613c3faab876659c6423__25[[#This Row],[Número de Orden]],Cocinadinamica!E262:E1030,Cocinadinamica!F262:F1030)/1440</f>
        <v>3.4027777777777775E-2</v>
      </c>
      <c r="T261" s="9" cm="1">
        <f t="array" ref="T26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0.11180555555798088</v>
      </c>
      <c r="U261" s="9" t="str" cm="1">
        <f t="array" ref="U26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62" spans="1:21" x14ac:dyDescent="0.35">
      <c r="A262" s="27">
        <v>8</v>
      </c>
      <c r="B262" s="11" t="s">
        <v>1005</v>
      </c>
      <c r="C262" s="11">
        <v>1</v>
      </c>
      <c r="D262" s="12">
        <v>45018.047222222223</v>
      </c>
      <c r="E262" s="12">
        <v>45018.121527777781</v>
      </c>
      <c r="F262" s="11" t="s">
        <v>72</v>
      </c>
      <c r="G262" s="11" t="s">
        <v>86</v>
      </c>
      <c r="H262" s="11" t="s">
        <v>74</v>
      </c>
      <c r="I262" s="16">
        <v>32.42</v>
      </c>
      <c r="J262" s="11" t="s">
        <v>88</v>
      </c>
      <c r="K262" s="11">
        <v>261</v>
      </c>
      <c r="L262" s="11" t="s">
        <v>101</v>
      </c>
      <c r="M262" s="11" t="s">
        <v>1416</v>
      </c>
      <c r="N262">
        <f>_xlfn.XLOOKUP(spaces_3iWczBNnn5rbfoUlE0Jd_uploads_git_blob_9864c7f811c613c3faab876659c6423__25[[#This Row],[Número de Orden]],Cocinadinamica!B263:B1031,Cocinadinamica!C263:C1031)</f>
        <v>63</v>
      </c>
      <c r="O262" s="7">
        <f>spaces_3iWczBNnn5rbfoUlE0Jd_uploads_git_blob_9864c7f811c613c3faab876659c6423__25[[#This Row],[Hora de Llegada]]</f>
        <v>45018.047222222223</v>
      </c>
      <c r="P262" s="9">
        <f>spaces_3iWczBNnn5rbfoUlE0Jd_uploads_git_blob_9864c7f811c613c3faab876659c6423__25[[#This Row],[Hora de Llegada]]</f>
        <v>45018.047222222223</v>
      </c>
      <c r="Q262" s="9">
        <f>spaces_3iWczBNnn5rbfoUlE0Jd_uploads_git_blob_9864c7f811c613c3faab876659c6423__25[[#This Row],[Hora de Salida]]</f>
        <v>45018.121527777781</v>
      </c>
      <c r="R262" s="9" cm="1">
        <f t="array" ref="R26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8.4722222221898846E-2</v>
      </c>
      <c r="S262" s="9">
        <f>_xlfn.XLOOKUP(spaces_3iWczBNnn5rbfoUlE0Jd_uploads_git_blob_9864c7f811c613c3faab876659c6423__25[[#This Row],[Número de Orden]],Cocinadinamica!E263:E1031,Cocinadinamica!F263:F1031)/1440</f>
        <v>3.8194444444444448E-2</v>
      </c>
      <c r="T262" s="9" cm="1">
        <f t="array" ref="T26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4.6527777777454399E-2</v>
      </c>
      <c r="U262" s="9" t="str" cm="1">
        <f t="array" ref="U26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63" spans="1:21" x14ac:dyDescent="0.35">
      <c r="A263" s="28">
        <v>18</v>
      </c>
      <c r="B263" s="13" t="s">
        <v>1006</v>
      </c>
      <c r="C263" s="13">
        <v>4</v>
      </c>
      <c r="D263" s="14">
        <v>45018.155555555553</v>
      </c>
      <c r="E263" s="14">
        <v>45018.306250000001</v>
      </c>
      <c r="F263" s="13" t="s">
        <v>100</v>
      </c>
      <c r="G263" s="13" t="s">
        <v>86</v>
      </c>
      <c r="H263" s="13" t="s">
        <v>74</v>
      </c>
      <c r="I263" s="17">
        <v>42.83</v>
      </c>
      <c r="J263" s="13" t="s">
        <v>88</v>
      </c>
      <c r="K263" s="13">
        <v>262</v>
      </c>
      <c r="L263" s="13" t="s">
        <v>275</v>
      </c>
      <c r="M263" s="13" t="s">
        <v>1453</v>
      </c>
      <c r="N263">
        <f>_xlfn.XLOOKUP(spaces_3iWczBNnn5rbfoUlE0Jd_uploads_git_blob_9864c7f811c613c3faab876659c6423__25[[#This Row],[Número de Orden]],Cocinadinamica!B264:B1032,Cocinadinamica!C264:C1032)</f>
        <v>45</v>
      </c>
      <c r="O263" s="7">
        <f>spaces_3iWczBNnn5rbfoUlE0Jd_uploads_git_blob_9864c7f811c613c3faab876659c6423__25[[#This Row],[Hora de Llegada]]</f>
        <v>45018.155555555553</v>
      </c>
      <c r="P263" s="9">
        <f>spaces_3iWczBNnn5rbfoUlE0Jd_uploads_git_blob_9864c7f811c613c3faab876659c6423__25[[#This Row],[Hora de Llegada]]</f>
        <v>45018.155555555553</v>
      </c>
      <c r="Q263" s="9">
        <f>spaces_3iWczBNnn5rbfoUlE0Jd_uploads_git_blob_9864c7f811c613c3faab876659c6423__25[[#This Row],[Hora de Salida]]</f>
        <v>45018.306250000001</v>
      </c>
      <c r="R263" s="9" cm="1">
        <f t="array" ref="R26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0.16111111111240461</v>
      </c>
      <c r="S263" s="9">
        <f>_xlfn.XLOOKUP(spaces_3iWczBNnn5rbfoUlE0Jd_uploads_git_blob_9864c7f811c613c3faab876659c6423__25[[#This Row],[Número de Orden]],Cocinadinamica!E264:E1032,Cocinadinamica!F264:F1032)/1440</f>
        <v>3.3333333333333333E-2</v>
      </c>
      <c r="T263" s="9" cm="1">
        <f t="array" ref="T26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0.12777777777907129</v>
      </c>
      <c r="U263" s="9" t="str" cm="1">
        <f t="array" ref="U26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64" spans="1:21" x14ac:dyDescent="0.35">
      <c r="A264" s="27">
        <v>5</v>
      </c>
      <c r="B264" s="11" t="s">
        <v>936</v>
      </c>
      <c r="C264" s="11">
        <v>1</v>
      </c>
      <c r="D264" s="12">
        <v>45018.120138888888</v>
      </c>
      <c r="E264" s="12">
        <v>45018.226388888892</v>
      </c>
      <c r="F264" s="11" t="s">
        <v>223</v>
      </c>
      <c r="G264" s="11" t="s">
        <v>163</v>
      </c>
      <c r="H264" s="11" t="s">
        <v>74</v>
      </c>
      <c r="I264" s="16">
        <v>42.96</v>
      </c>
      <c r="J264" s="11" t="s">
        <v>75</v>
      </c>
      <c r="K264" s="11">
        <v>263</v>
      </c>
      <c r="L264" s="11" t="s">
        <v>174</v>
      </c>
      <c r="M264" s="11" t="s">
        <v>1454</v>
      </c>
      <c r="N264">
        <f>_xlfn.XLOOKUP(spaces_3iWczBNnn5rbfoUlE0Jd_uploads_git_blob_9864c7f811c613c3faab876659c6423__25[[#This Row],[Número de Orden]],Cocinadinamica!B265:B1033,Cocinadinamica!C265:C1033)</f>
        <v>49</v>
      </c>
      <c r="O264" s="7">
        <f>spaces_3iWczBNnn5rbfoUlE0Jd_uploads_git_blob_9864c7f811c613c3faab876659c6423__25[[#This Row],[Hora de Llegada]]</f>
        <v>45018.120138888888</v>
      </c>
      <c r="P264" s="9">
        <f>spaces_3iWczBNnn5rbfoUlE0Jd_uploads_git_blob_9864c7f811c613c3faab876659c6423__25[[#This Row],[Hora de Llegada]]</f>
        <v>45018.120138888888</v>
      </c>
      <c r="Q264" s="9">
        <f>spaces_3iWczBNnn5rbfoUlE0Jd_uploads_git_blob_9864c7f811c613c3faab876659c6423__25[[#This Row],[Hora de Salida]]</f>
        <v>45018.226388888892</v>
      </c>
      <c r="R264" s="9" cm="1">
        <f t="array" ref="R26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0.10625000000436557</v>
      </c>
      <c r="S264" s="9">
        <f>_xlfn.XLOOKUP(spaces_3iWczBNnn5rbfoUlE0Jd_uploads_git_blob_9864c7f811c613c3faab876659c6423__25[[#This Row],[Número de Orden]],Cocinadinamica!E265:E1033,Cocinadinamica!F265:F1033)/1440</f>
        <v>0.10347222222222222</v>
      </c>
      <c r="T264" s="9" cm="1">
        <f t="array" ref="T26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2.7777777821433591E-3</v>
      </c>
      <c r="U264" s="9" t="str" cm="1">
        <f t="array" ref="U26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65" spans="1:21" x14ac:dyDescent="0.35">
      <c r="A265" s="28">
        <v>2</v>
      </c>
      <c r="B265" s="13" t="s">
        <v>1007</v>
      </c>
      <c r="C265" s="13">
        <v>1</v>
      </c>
      <c r="D265" s="14">
        <v>45018.132638888892</v>
      </c>
      <c r="E265" s="14">
        <v>45018.18472222222</v>
      </c>
      <c r="F265" s="13" t="s">
        <v>223</v>
      </c>
      <c r="G265" s="13" t="s">
        <v>86</v>
      </c>
      <c r="H265" s="13" t="s">
        <v>74</v>
      </c>
      <c r="I265" s="17">
        <v>49.21</v>
      </c>
      <c r="J265" s="13" t="s">
        <v>75</v>
      </c>
      <c r="K265" s="13">
        <v>264</v>
      </c>
      <c r="L265" s="13" t="s">
        <v>95</v>
      </c>
      <c r="M265" s="13" t="s">
        <v>1455</v>
      </c>
      <c r="N265">
        <f>_xlfn.XLOOKUP(spaces_3iWczBNnn5rbfoUlE0Jd_uploads_git_blob_9864c7f811c613c3faab876659c6423__25[[#This Row],[Número de Orden]],Cocinadinamica!B266:B1034,Cocinadinamica!C266:C1034)</f>
        <v>73</v>
      </c>
      <c r="O265" s="7">
        <f>spaces_3iWczBNnn5rbfoUlE0Jd_uploads_git_blob_9864c7f811c613c3faab876659c6423__25[[#This Row],[Hora de Llegada]]</f>
        <v>45018.132638888892</v>
      </c>
      <c r="P265" s="9">
        <f>spaces_3iWczBNnn5rbfoUlE0Jd_uploads_git_blob_9864c7f811c613c3faab876659c6423__25[[#This Row],[Hora de Llegada]]</f>
        <v>45018.132638888892</v>
      </c>
      <c r="Q265" s="9">
        <f>spaces_3iWczBNnn5rbfoUlE0Jd_uploads_git_blob_9864c7f811c613c3faab876659c6423__25[[#This Row],[Hora de Salida]]</f>
        <v>45018.18472222222</v>
      </c>
      <c r="R265" s="9" cm="1">
        <f t="array" ref="R26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5.2083333328482695E-2</v>
      </c>
      <c r="S265" s="9">
        <f>_xlfn.XLOOKUP(spaces_3iWczBNnn5rbfoUlE0Jd_uploads_git_blob_9864c7f811c613c3faab876659c6423__25[[#This Row],[Número de Orden]],Cocinadinamica!E266:E1034,Cocinadinamica!F266:F1034)/1440</f>
        <v>8.1250000000000003E-2</v>
      </c>
      <c r="T265" s="9" cm="1">
        <f t="array" ref="T26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65" s="9" t="str" cm="1">
        <f t="array" ref="U26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66" spans="1:21" x14ac:dyDescent="0.35">
      <c r="A266" s="27">
        <v>6</v>
      </c>
      <c r="B266" s="11" t="s">
        <v>1008</v>
      </c>
      <c r="C266" s="11">
        <v>1</v>
      </c>
      <c r="D266" s="12">
        <v>45018.120833333334</v>
      </c>
      <c r="E266" s="12">
        <v>45018.260416666664</v>
      </c>
      <c r="F266" s="11" t="s">
        <v>100</v>
      </c>
      <c r="G266" s="11" t="s">
        <v>163</v>
      </c>
      <c r="H266" s="11" t="s">
        <v>109</v>
      </c>
      <c r="I266" s="16">
        <v>21.48</v>
      </c>
      <c r="J266" s="11" t="s">
        <v>75</v>
      </c>
      <c r="K266" s="11">
        <v>265</v>
      </c>
      <c r="L266" s="11" t="s">
        <v>101</v>
      </c>
      <c r="M266" s="11" t="s">
        <v>1456</v>
      </c>
      <c r="N266">
        <f>_xlfn.XLOOKUP(spaces_3iWczBNnn5rbfoUlE0Jd_uploads_git_blob_9864c7f811c613c3faab876659c6423__25[[#This Row],[Número de Orden]],Cocinadinamica!B267:B1035,Cocinadinamica!C267:C1035)</f>
        <v>68</v>
      </c>
      <c r="O266" s="7">
        <f>spaces_3iWczBNnn5rbfoUlE0Jd_uploads_git_blob_9864c7f811c613c3faab876659c6423__25[[#This Row],[Hora de Llegada]]</f>
        <v>45018.120833333334</v>
      </c>
      <c r="P266" s="9">
        <f>spaces_3iWczBNnn5rbfoUlE0Jd_uploads_git_blob_9864c7f811c613c3faab876659c6423__25[[#This Row],[Hora de Llegada]]</f>
        <v>45018.120833333334</v>
      </c>
      <c r="Q266" s="9">
        <f>spaces_3iWczBNnn5rbfoUlE0Jd_uploads_git_blob_9864c7f811c613c3faab876659c6423__25[[#This Row],[Hora de Salida]]</f>
        <v>45018.260416666664</v>
      </c>
      <c r="R266" s="9" cm="1">
        <f t="array" ref="R26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0.13958333332993789</v>
      </c>
      <c r="S266" s="9">
        <f>_xlfn.XLOOKUP(spaces_3iWczBNnn5rbfoUlE0Jd_uploads_git_blob_9864c7f811c613c3faab876659c6423__25[[#This Row],[Número de Orden]],Cocinadinamica!E267:E1035,Cocinadinamica!F267:F1035)/1440</f>
        <v>9.375E-2</v>
      </c>
      <c r="T266" s="9" cm="1">
        <f t="array" ref="T26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4.5833333329937886E-2</v>
      </c>
      <c r="U266" s="9" t="str" cm="1">
        <f t="array" ref="U26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67" spans="1:21" x14ac:dyDescent="0.35">
      <c r="A267" s="28">
        <v>4</v>
      </c>
      <c r="B267" s="13" t="s">
        <v>1009</v>
      </c>
      <c r="C267" s="13">
        <v>4</v>
      </c>
      <c r="D267" s="14">
        <v>45018.020833333336</v>
      </c>
      <c r="E267" s="14">
        <v>45018.086111111108</v>
      </c>
      <c r="F267" s="13" t="s">
        <v>100</v>
      </c>
      <c r="G267" s="13" t="s">
        <v>86</v>
      </c>
      <c r="H267" s="13" t="s">
        <v>74</v>
      </c>
      <c r="I267" s="17">
        <v>24.75</v>
      </c>
      <c r="J267" s="13" t="s">
        <v>94</v>
      </c>
      <c r="K267" s="13">
        <v>266</v>
      </c>
      <c r="L267" s="13" t="s">
        <v>221</v>
      </c>
      <c r="M267" s="13" t="s">
        <v>1457</v>
      </c>
      <c r="N267">
        <f>_xlfn.XLOOKUP(spaces_3iWczBNnn5rbfoUlE0Jd_uploads_git_blob_9864c7f811c613c3faab876659c6423__25[[#This Row],[Número de Orden]],Cocinadinamica!B268:B1036,Cocinadinamica!C268:C1036)</f>
        <v>40</v>
      </c>
      <c r="O267" s="7">
        <f>spaces_3iWczBNnn5rbfoUlE0Jd_uploads_git_blob_9864c7f811c613c3faab876659c6423__25[[#This Row],[Hora de Llegada]]</f>
        <v>45018.020833333336</v>
      </c>
      <c r="P267" s="9">
        <f>spaces_3iWczBNnn5rbfoUlE0Jd_uploads_git_blob_9864c7f811c613c3faab876659c6423__25[[#This Row],[Hora de Llegada]]</f>
        <v>45018.020833333336</v>
      </c>
      <c r="Q267" s="9">
        <f>spaces_3iWczBNnn5rbfoUlE0Jd_uploads_git_blob_9864c7f811c613c3faab876659c6423__25[[#This Row],[Hora de Salida]]</f>
        <v>45018.086111111108</v>
      </c>
      <c r="R267" s="9" cm="1">
        <f t="array" ref="R26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6.5277777772280388E-2</v>
      </c>
      <c r="S267" s="9">
        <f>_xlfn.XLOOKUP(spaces_3iWczBNnn5rbfoUlE0Jd_uploads_git_blob_9864c7f811c613c3faab876659c6423__25[[#This Row],[Número de Orden]],Cocinadinamica!E268:E1036,Cocinadinamica!F268:F1036)/1440</f>
        <v>7.3611111111111113E-2</v>
      </c>
      <c r="T267" s="9" cm="1">
        <f t="array" ref="T26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67" s="9" t="str" cm="1">
        <f t="array" ref="U26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68" spans="1:21" x14ac:dyDescent="0.35">
      <c r="A268" s="27">
        <v>7</v>
      </c>
      <c r="B268" s="11" t="s">
        <v>1010</v>
      </c>
      <c r="C268" s="11">
        <v>5</v>
      </c>
      <c r="D268" s="12">
        <v>45019.088194444441</v>
      </c>
      <c r="E268" s="12">
        <v>45019.158333333333</v>
      </c>
      <c r="F268" s="11" t="s">
        <v>100</v>
      </c>
      <c r="G268" s="11" t="s">
        <v>73</v>
      </c>
      <c r="H268" s="11" t="s">
        <v>74</v>
      </c>
      <c r="I268" s="16">
        <v>44.66</v>
      </c>
      <c r="J268" s="11" t="s">
        <v>88</v>
      </c>
      <c r="K268" s="11">
        <v>267</v>
      </c>
      <c r="L268" s="11" t="s">
        <v>181</v>
      </c>
      <c r="M268" s="11" t="s">
        <v>1458</v>
      </c>
      <c r="N268">
        <f>_xlfn.XLOOKUP(spaces_3iWczBNnn5rbfoUlE0Jd_uploads_git_blob_9864c7f811c613c3faab876659c6423__25[[#This Row],[Número de Orden]],Cocinadinamica!B269:B1037,Cocinadinamica!C269:C1037)</f>
        <v>49</v>
      </c>
      <c r="O268" s="7">
        <f>spaces_3iWczBNnn5rbfoUlE0Jd_uploads_git_blob_9864c7f811c613c3faab876659c6423__25[[#This Row],[Hora de Llegada]]</f>
        <v>45019.088194444441</v>
      </c>
      <c r="P268" s="9">
        <f>spaces_3iWczBNnn5rbfoUlE0Jd_uploads_git_blob_9864c7f811c613c3faab876659c6423__25[[#This Row],[Hora de Llegada]]</f>
        <v>45019.088194444441</v>
      </c>
      <c r="Q268" s="9">
        <f>spaces_3iWczBNnn5rbfoUlE0Jd_uploads_git_blob_9864c7f811c613c3faab876659c6423__25[[#This Row],[Hora de Salida]]</f>
        <v>45019.158333333333</v>
      </c>
      <c r="R268" s="9" cm="1">
        <f t="array" ref="R26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8.0555555556202307E-2</v>
      </c>
      <c r="S268" s="9">
        <f>_xlfn.XLOOKUP(spaces_3iWczBNnn5rbfoUlE0Jd_uploads_git_blob_9864c7f811c613c3faab876659c6423__25[[#This Row],[Número de Orden]],Cocinadinamica!E269:E1037,Cocinadinamica!F269:F1037)/1440</f>
        <v>6.6666666666666666E-2</v>
      </c>
      <c r="T268" s="9" cm="1">
        <f t="array" ref="T26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1.3888888889535642E-2</v>
      </c>
      <c r="U268" s="9" t="str" cm="1">
        <f t="array" ref="U26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69" spans="1:21" x14ac:dyDescent="0.35">
      <c r="A269" s="28">
        <v>14</v>
      </c>
      <c r="B269" s="13" t="s">
        <v>1011</v>
      </c>
      <c r="C269" s="13">
        <v>1</v>
      </c>
      <c r="D269" s="14">
        <v>45019.031944444447</v>
      </c>
      <c r="E269" s="14">
        <v>45019.155555555553</v>
      </c>
      <c r="F269" s="13" t="s">
        <v>170</v>
      </c>
      <c r="G269" s="13" t="s">
        <v>86</v>
      </c>
      <c r="H269" s="13" t="s">
        <v>109</v>
      </c>
      <c r="I269" s="17">
        <v>23.16</v>
      </c>
      <c r="J269" s="13" t="s">
        <v>75</v>
      </c>
      <c r="K269" s="13">
        <v>268</v>
      </c>
      <c r="L269" s="13" t="s">
        <v>174</v>
      </c>
      <c r="M269" s="13" t="s">
        <v>1459</v>
      </c>
      <c r="N269">
        <f>_xlfn.XLOOKUP(spaces_3iWczBNnn5rbfoUlE0Jd_uploads_git_blob_9864c7f811c613c3faab876659c6423__25[[#This Row],[Número de Orden]],Cocinadinamica!B270:B1038,Cocinadinamica!C270:C1038)</f>
        <v>28</v>
      </c>
      <c r="O269" s="7">
        <f>spaces_3iWczBNnn5rbfoUlE0Jd_uploads_git_blob_9864c7f811c613c3faab876659c6423__25[[#This Row],[Hora de Llegada]]</f>
        <v>45019.031944444447</v>
      </c>
      <c r="P269" s="9">
        <f>spaces_3iWczBNnn5rbfoUlE0Jd_uploads_git_blob_9864c7f811c613c3faab876659c6423__25[[#This Row],[Hora de Llegada]]</f>
        <v>45019.031944444447</v>
      </c>
      <c r="Q269" s="9">
        <f>spaces_3iWczBNnn5rbfoUlE0Jd_uploads_git_blob_9864c7f811c613c3faab876659c6423__25[[#This Row],[Hora de Salida]]</f>
        <v>45019.155555555553</v>
      </c>
      <c r="R269" s="9" cm="1">
        <f t="array" ref="R26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0.12361111110658385</v>
      </c>
      <c r="S269" s="9">
        <f>_xlfn.XLOOKUP(spaces_3iWczBNnn5rbfoUlE0Jd_uploads_git_blob_9864c7f811c613c3faab876659c6423__25[[#This Row],[Número de Orden]],Cocinadinamica!E270:E1038,Cocinadinamica!F270:F1038)/1440</f>
        <v>5.7638888888888892E-2</v>
      </c>
      <c r="T269" s="9" cm="1">
        <f t="array" ref="T26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6.5972222217694956E-2</v>
      </c>
      <c r="U269" s="9" t="str" cm="1">
        <f t="array" ref="U26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0" spans="1:21" x14ac:dyDescent="0.35">
      <c r="A270" s="27">
        <v>11</v>
      </c>
      <c r="B270" s="11" t="s">
        <v>1012</v>
      </c>
      <c r="C270" s="11">
        <v>2</v>
      </c>
      <c r="D270" s="12">
        <v>45019.123611111114</v>
      </c>
      <c r="E270" s="12">
        <v>45019.177083333336</v>
      </c>
      <c r="F270" s="11" t="s">
        <v>100</v>
      </c>
      <c r="G270" s="11" t="s">
        <v>86</v>
      </c>
      <c r="H270" s="11" t="s">
        <v>109</v>
      </c>
      <c r="I270" s="16">
        <v>39.17</v>
      </c>
      <c r="J270" s="11" t="s">
        <v>75</v>
      </c>
      <c r="K270" s="11">
        <v>269</v>
      </c>
      <c r="L270" s="11" t="s">
        <v>275</v>
      </c>
      <c r="M270" s="11" t="s">
        <v>1460</v>
      </c>
      <c r="N270">
        <f>_xlfn.XLOOKUP(spaces_3iWczBNnn5rbfoUlE0Jd_uploads_git_blob_9864c7f811c613c3faab876659c6423__25[[#This Row],[Número de Orden]],Cocinadinamica!B271:B1039,Cocinadinamica!C271:C1039)</f>
        <v>99</v>
      </c>
      <c r="O270" s="7">
        <f>spaces_3iWczBNnn5rbfoUlE0Jd_uploads_git_blob_9864c7f811c613c3faab876659c6423__25[[#This Row],[Hora de Llegada]]</f>
        <v>45019.123611111114</v>
      </c>
      <c r="P270" s="9">
        <f>spaces_3iWczBNnn5rbfoUlE0Jd_uploads_git_blob_9864c7f811c613c3faab876659c6423__25[[#This Row],[Hora de Llegada]]</f>
        <v>45019.123611111114</v>
      </c>
      <c r="Q270" s="9">
        <f>spaces_3iWczBNnn5rbfoUlE0Jd_uploads_git_blob_9864c7f811c613c3faab876659c6423__25[[#This Row],[Hora de Salida]]</f>
        <v>45019.177083333336</v>
      </c>
      <c r="R270" s="9" cm="1">
        <f t="array" ref="R27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5.3472222221898846E-2</v>
      </c>
      <c r="S270" s="9">
        <f>_xlfn.XLOOKUP(spaces_3iWczBNnn5rbfoUlE0Jd_uploads_git_blob_9864c7f811c613c3faab876659c6423__25[[#This Row],[Número de Orden]],Cocinadinamica!E271:E1039,Cocinadinamica!F271:F1039)/1440</f>
        <v>7.013888888888889E-2</v>
      </c>
      <c r="T270" s="9" cm="1">
        <f t="array" ref="T27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70" s="9" t="str" cm="1">
        <f t="array" ref="U27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71" spans="1:21" x14ac:dyDescent="0.35">
      <c r="A271" s="28" t="s">
        <v>232</v>
      </c>
      <c r="B271" s="13" t="s">
        <v>378</v>
      </c>
      <c r="C271" s="13">
        <v>1</v>
      </c>
      <c r="D271" s="14">
        <v>45019.049305555556</v>
      </c>
      <c r="E271" s="14">
        <v>45019.207638888889</v>
      </c>
      <c r="F271" s="13" t="s">
        <v>72</v>
      </c>
      <c r="G271" s="13" t="s">
        <v>86</v>
      </c>
      <c r="H271" s="13" t="s">
        <v>74</v>
      </c>
      <c r="I271" s="17">
        <v>10.130000000000001</v>
      </c>
      <c r="J271" s="13" t="s">
        <v>75</v>
      </c>
      <c r="K271" s="13">
        <v>270</v>
      </c>
      <c r="L271" s="13" t="s">
        <v>187</v>
      </c>
      <c r="M271" s="13" t="s">
        <v>37</v>
      </c>
      <c r="N271">
        <f>_xlfn.XLOOKUP(spaces_3iWczBNnn5rbfoUlE0Jd_uploads_git_blob_9864c7f811c613c3faab876659c6423__25[[#This Row],[Número de Orden]],Cocinadinamica!B272:B1040,Cocinadinamica!C272:C1040)</f>
        <v>42</v>
      </c>
      <c r="O271" s="7">
        <f>spaces_3iWczBNnn5rbfoUlE0Jd_uploads_git_blob_9864c7f811c613c3faab876659c6423__25[[#This Row],[Hora de Llegada]]</f>
        <v>45019.049305555556</v>
      </c>
      <c r="P271" s="9">
        <f>spaces_3iWczBNnn5rbfoUlE0Jd_uploads_git_blob_9864c7f811c613c3faab876659c6423__25[[#This Row],[Hora de Llegada]]</f>
        <v>45019.049305555556</v>
      </c>
      <c r="Q271" s="9">
        <f>spaces_3iWczBNnn5rbfoUlE0Jd_uploads_git_blob_9864c7f811c613c3faab876659c6423__25[[#This Row],[Hora de Salida]]</f>
        <v>45019.207638888889</v>
      </c>
      <c r="R271" s="9" cm="1">
        <f t="array" ref="R27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0.15833333333284827</v>
      </c>
      <c r="S271" s="9">
        <f>_xlfn.XLOOKUP(spaces_3iWczBNnn5rbfoUlE0Jd_uploads_git_blob_9864c7f811c613c3faab876659c6423__25[[#This Row],[Número de Orden]],Cocinadinamica!E272:E1040,Cocinadinamica!F272:F1040)/1440</f>
        <v>1.8055555555555554E-2</v>
      </c>
      <c r="T271" s="9" cm="1">
        <f t="array" ref="T27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0.14027777777729272</v>
      </c>
      <c r="U271" s="9" t="str" cm="1">
        <f t="array" ref="U27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2" spans="1:21" x14ac:dyDescent="0.35">
      <c r="A272" s="27" t="s">
        <v>308</v>
      </c>
      <c r="B272" s="11" t="s">
        <v>379</v>
      </c>
      <c r="C272" s="11">
        <v>3</v>
      </c>
      <c r="D272" s="12">
        <v>45019.069444444445</v>
      </c>
      <c r="E272" s="12">
        <v>45019.215277777781</v>
      </c>
      <c r="F272" s="11" t="s">
        <v>170</v>
      </c>
      <c r="G272" s="11" t="s">
        <v>86</v>
      </c>
      <c r="H272" s="11" t="s">
        <v>74</v>
      </c>
      <c r="I272" s="16">
        <v>16.11</v>
      </c>
      <c r="J272" s="11" t="s">
        <v>88</v>
      </c>
      <c r="K272" s="11">
        <v>271</v>
      </c>
      <c r="L272" s="11" t="s">
        <v>95</v>
      </c>
      <c r="M272" s="11" t="s">
        <v>35</v>
      </c>
      <c r="N272">
        <f>_xlfn.XLOOKUP(spaces_3iWczBNnn5rbfoUlE0Jd_uploads_git_blob_9864c7f811c613c3faab876659c6423__25[[#This Row],[Número de Orden]],Cocinadinamica!B273:B1041,Cocinadinamica!C273:C1041)</f>
        <v>18</v>
      </c>
      <c r="O272" s="7">
        <f>spaces_3iWczBNnn5rbfoUlE0Jd_uploads_git_blob_9864c7f811c613c3faab876659c6423__25[[#This Row],[Hora de Llegada]]</f>
        <v>45019.069444444445</v>
      </c>
      <c r="P272" s="9">
        <f>spaces_3iWczBNnn5rbfoUlE0Jd_uploads_git_blob_9864c7f811c613c3faab876659c6423__25[[#This Row],[Hora de Llegada]]</f>
        <v>45019.069444444445</v>
      </c>
      <c r="Q272" s="9">
        <f>spaces_3iWczBNnn5rbfoUlE0Jd_uploads_git_blob_9864c7f811c613c3faab876659c6423__25[[#This Row],[Hora de Salida]]</f>
        <v>45019.215277777781</v>
      </c>
      <c r="R272" s="9" cm="1">
        <f t="array" ref="R27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272" s="9">
        <f>_xlfn.XLOOKUP(spaces_3iWczBNnn5rbfoUlE0Jd_uploads_git_blob_9864c7f811c613c3faab876659c6423__25[[#This Row],[Número de Orden]],Cocinadinamica!E273:E1041,Cocinadinamica!F273:F1041)/1440</f>
        <v>3.8194444444444448E-2</v>
      </c>
      <c r="T272" s="9" cm="1">
        <f t="array" ref="T27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0.11805555555555555</v>
      </c>
      <c r="U272" s="9" t="str" cm="1">
        <f t="array" ref="U27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3" spans="1:21" x14ac:dyDescent="0.35">
      <c r="A273" s="28">
        <v>7</v>
      </c>
      <c r="B273" s="13" t="s">
        <v>1013</v>
      </c>
      <c r="C273" s="13">
        <v>1</v>
      </c>
      <c r="D273" s="14">
        <v>45019.023611111108</v>
      </c>
      <c r="E273" s="14">
        <v>45019.183333333334</v>
      </c>
      <c r="F273" s="13" t="s">
        <v>72</v>
      </c>
      <c r="G273" s="13" t="s">
        <v>86</v>
      </c>
      <c r="H273" s="13" t="s">
        <v>74</v>
      </c>
      <c r="I273" s="17">
        <v>42.73</v>
      </c>
      <c r="J273" s="13" t="s">
        <v>94</v>
      </c>
      <c r="K273" s="13">
        <v>272</v>
      </c>
      <c r="L273" s="13" t="s">
        <v>181</v>
      </c>
      <c r="M273" s="13" t="s">
        <v>1461</v>
      </c>
      <c r="N273">
        <f>_xlfn.XLOOKUP(spaces_3iWczBNnn5rbfoUlE0Jd_uploads_git_blob_9864c7f811c613c3faab876659c6423__25[[#This Row],[Número de Orden]],Cocinadinamica!B274:B1042,Cocinadinamica!C274:C1042)</f>
        <v>34</v>
      </c>
      <c r="O273" s="7">
        <f>spaces_3iWczBNnn5rbfoUlE0Jd_uploads_git_blob_9864c7f811c613c3faab876659c6423__25[[#This Row],[Hora de Llegada]]</f>
        <v>45019.023611111108</v>
      </c>
      <c r="P273" s="9">
        <f>spaces_3iWczBNnn5rbfoUlE0Jd_uploads_git_blob_9864c7f811c613c3faab876659c6423__25[[#This Row],[Hora de Llegada]]</f>
        <v>45019.023611111108</v>
      </c>
      <c r="Q273" s="9">
        <f>spaces_3iWczBNnn5rbfoUlE0Jd_uploads_git_blob_9864c7f811c613c3faab876659c6423__25[[#This Row],[Hora de Salida]]</f>
        <v>45019.183333333334</v>
      </c>
      <c r="R273" s="9" cm="1">
        <f t="array" ref="R27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0.15972222222626442</v>
      </c>
      <c r="S273" s="9">
        <f>_xlfn.XLOOKUP(spaces_3iWczBNnn5rbfoUlE0Jd_uploads_git_blob_9864c7f811c613c3faab876659c6423__25[[#This Row],[Número de Orden]],Cocinadinamica!E274:E1042,Cocinadinamica!F274:F1042)/1440</f>
        <v>5.7638888888888892E-2</v>
      </c>
      <c r="T273" s="9" cm="1">
        <f t="array" ref="T27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0.10208333333737553</v>
      </c>
      <c r="U273" s="9" t="str" cm="1">
        <f t="array" ref="U27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4" spans="1:21" x14ac:dyDescent="0.35">
      <c r="A274" s="27">
        <v>20</v>
      </c>
      <c r="B274" s="11" t="s">
        <v>949</v>
      </c>
      <c r="C274" s="11">
        <v>5</v>
      </c>
      <c r="D274" s="12">
        <v>45019.074305555558</v>
      </c>
      <c r="E274" s="12">
        <v>45019.145138888889</v>
      </c>
      <c r="F274" s="11" t="s">
        <v>100</v>
      </c>
      <c r="G274" s="11" t="s">
        <v>86</v>
      </c>
      <c r="H274" s="11" t="s">
        <v>87</v>
      </c>
      <c r="I274" s="16">
        <v>36.299999999999997</v>
      </c>
      <c r="J274" s="11" t="s">
        <v>88</v>
      </c>
      <c r="K274" s="11">
        <v>273</v>
      </c>
      <c r="L274" s="11" t="s">
        <v>110</v>
      </c>
      <c r="M274" s="11" t="s">
        <v>1462</v>
      </c>
      <c r="N274">
        <f>_xlfn.XLOOKUP(spaces_3iWczBNnn5rbfoUlE0Jd_uploads_git_blob_9864c7f811c613c3faab876659c6423__25[[#This Row],[Número de Orden]],Cocinadinamica!B275:B1043,Cocinadinamica!C275:C1043)</f>
        <v>50</v>
      </c>
      <c r="O274" s="7">
        <f>spaces_3iWczBNnn5rbfoUlE0Jd_uploads_git_blob_9864c7f811c613c3faab876659c6423__25[[#This Row],[Hora de Llegada]]</f>
        <v>45019.074305555558</v>
      </c>
      <c r="P274" s="9">
        <f>spaces_3iWczBNnn5rbfoUlE0Jd_uploads_git_blob_9864c7f811c613c3faab876659c6423__25[[#This Row],[Hora de Llegada]]</f>
        <v>45019.074305555558</v>
      </c>
      <c r="Q274" s="9">
        <f>spaces_3iWczBNnn5rbfoUlE0Jd_uploads_git_blob_9864c7f811c613c3faab876659c6423__25[[#This Row],[Hora de Salida]]</f>
        <v>45019.145138888889</v>
      </c>
      <c r="R274" s="9" cm="1">
        <f t="array" ref="R27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8.1249999995634425E-2</v>
      </c>
      <c r="S274" s="9">
        <f>_xlfn.XLOOKUP(spaces_3iWczBNnn5rbfoUlE0Jd_uploads_git_blob_9864c7f811c613c3faab876659c6423__25[[#This Row],[Número de Orden]],Cocinadinamica!E275:E1043,Cocinadinamica!F275:F1043)/1440</f>
        <v>4.6527777777777779E-2</v>
      </c>
      <c r="T274" s="9" cm="1">
        <f t="array" ref="T27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3.4722222217856646E-2</v>
      </c>
      <c r="U274" s="9" t="str" cm="1">
        <f t="array" ref="U27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5" spans="1:21" x14ac:dyDescent="0.35">
      <c r="A275" s="28">
        <v>7</v>
      </c>
      <c r="B275" s="13" t="s">
        <v>1014</v>
      </c>
      <c r="C275" s="13">
        <v>1</v>
      </c>
      <c r="D275" s="14">
        <v>45019.135416666664</v>
      </c>
      <c r="E275" s="14">
        <v>45019.244444444441</v>
      </c>
      <c r="F275" s="13" t="s">
        <v>223</v>
      </c>
      <c r="G275" s="13" t="s">
        <v>86</v>
      </c>
      <c r="H275" s="13" t="s">
        <v>109</v>
      </c>
      <c r="I275" s="17">
        <v>19.93</v>
      </c>
      <c r="J275" s="13" t="s">
        <v>88</v>
      </c>
      <c r="K275" s="13">
        <v>274</v>
      </c>
      <c r="L275" s="13" t="s">
        <v>89</v>
      </c>
      <c r="M275" s="13" t="s">
        <v>1463</v>
      </c>
      <c r="N275">
        <f>_xlfn.XLOOKUP(spaces_3iWczBNnn5rbfoUlE0Jd_uploads_git_blob_9864c7f811c613c3faab876659c6423__25[[#This Row],[Número de Orden]],Cocinadinamica!B276:B1044,Cocinadinamica!C276:C1044)</f>
        <v>49</v>
      </c>
      <c r="O275" s="7">
        <f>spaces_3iWczBNnn5rbfoUlE0Jd_uploads_git_blob_9864c7f811c613c3faab876659c6423__25[[#This Row],[Hora de Llegada]]</f>
        <v>45019.135416666664</v>
      </c>
      <c r="P275" s="9">
        <f>spaces_3iWczBNnn5rbfoUlE0Jd_uploads_git_blob_9864c7f811c613c3faab876659c6423__25[[#This Row],[Hora de Llegada]]</f>
        <v>45019.135416666664</v>
      </c>
      <c r="Q275" s="9">
        <f>spaces_3iWczBNnn5rbfoUlE0Jd_uploads_git_blob_9864c7f811c613c3faab876659c6423__25[[#This Row],[Hora de Salida]]</f>
        <v>45019.244444444441</v>
      </c>
      <c r="R275" s="9" cm="1">
        <f t="array" ref="R27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0.11944444444088731</v>
      </c>
      <c r="S275" s="9">
        <f>_xlfn.XLOOKUP(spaces_3iWczBNnn5rbfoUlE0Jd_uploads_git_blob_9864c7f811c613c3faab876659c6423__25[[#This Row],[Número de Orden]],Cocinadinamica!E276:E1044,Cocinadinamica!F276:F1044)/1440</f>
        <v>5.2083333333333336E-2</v>
      </c>
      <c r="T275" s="9" cm="1">
        <f t="array" ref="T27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6.7361111107553967E-2</v>
      </c>
      <c r="U275" s="9" t="str" cm="1">
        <f t="array" ref="U27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6" spans="1:21" x14ac:dyDescent="0.35">
      <c r="A276" s="27">
        <v>5</v>
      </c>
      <c r="B276" s="11" t="s">
        <v>973</v>
      </c>
      <c r="C276" s="11">
        <v>3</v>
      </c>
      <c r="D276" s="12">
        <v>45019.092361111114</v>
      </c>
      <c r="E276" s="12">
        <v>45019.248611111114</v>
      </c>
      <c r="F276" s="11" t="s">
        <v>100</v>
      </c>
      <c r="G276" s="11" t="s">
        <v>86</v>
      </c>
      <c r="H276" s="11" t="s">
        <v>74</v>
      </c>
      <c r="I276" s="16">
        <v>49.67</v>
      </c>
      <c r="J276" s="11" t="s">
        <v>94</v>
      </c>
      <c r="K276" s="11">
        <v>275</v>
      </c>
      <c r="L276" s="11" t="s">
        <v>95</v>
      </c>
      <c r="M276" s="11" t="s">
        <v>1464</v>
      </c>
      <c r="N276">
        <f>_xlfn.XLOOKUP(spaces_3iWczBNnn5rbfoUlE0Jd_uploads_git_blob_9864c7f811c613c3faab876659c6423__25[[#This Row],[Número de Orden]],Cocinadinamica!B277:B1045,Cocinadinamica!C277:C1045)</f>
        <v>48</v>
      </c>
      <c r="O276" s="7">
        <f>spaces_3iWczBNnn5rbfoUlE0Jd_uploads_git_blob_9864c7f811c613c3faab876659c6423__25[[#This Row],[Hora de Llegada]]</f>
        <v>45019.092361111114</v>
      </c>
      <c r="P276" s="9">
        <f>spaces_3iWczBNnn5rbfoUlE0Jd_uploads_git_blob_9864c7f811c613c3faab876659c6423__25[[#This Row],[Hora de Llegada]]</f>
        <v>45019.092361111114</v>
      </c>
      <c r="Q276" s="9">
        <f>spaces_3iWczBNnn5rbfoUlE0Jd_uploads_git_blob_9864c7f811c613c3faab876659c6423__25[[#This Row],[Hora de Salida]]</f>
        <v>45019.248611111114</v>
      </c>
      <c r="R276" s="9" cm="1">
        <f t="array" ref="R27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276" s="9">
        <f>_xlfn.XLOOKUP(spaces_3iWczBNnn5rbfoUlE0Jd_uploads_git_blob_9864c7f811c613c3faab876659c6423__25[[#This Row],[Número de Orden]],Cocinadinamica!E277:E1045,Cocinadinamica!F277:F1045)/1440</f>
        <v>8.4722222222222227E-2</v>
      </c>
      <c r="T276" s="9" cm="1">
        <f t="array" ref="T27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7.1527777777777773E-2</v>
      </c>
      <c r="U276" s="9" t="str" cm="1">
        <f t="array" ref="U27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7" spans="1:21" x14ac:dyDescent="0.35">
      <c r="A277" s="28">
        <v>15</v>
      </c>
      <c r="B277" s="13" t="s">
        <v>1015</v>
      </c>
      <c r="C277" s="13">
        <v>6</v>
      </c>
      <c r="D277" s="14">
        <v>45019.107638888891</v>
      </c>
      <c r="E277" s="14">
        <v>45019.231944444444</v>
      </c>
      <c r="F277" s="13" t="s">
        <v>72</v>
      </c>
      <c r="G277" s="13" t="s">
        <v>86</v>
      </c>
      <c r="H277" s="13" t="s">
        <v>109</v>
      </c>
      <c r="I277" s="17">
        <v>20.98</v>
      </c>
      <c r="J277" s="13" t="s">
        <v>94</v>
      </c>
      <c r="K277" s="13">
        <v>276</v>
      </c>
      <c r="L277" s="13" t="s">
        <v>187</v>
      </c>
      <c r="M277" s="13" t="s">
        <v>1465</v>
      </c>
      <c r="N277">
        <f>_xlfn.XLOOKUP(spaces_3iWczBNnn5rbfoUlE0Jd_uploads_git_blob_9864c7f811c613c3faab876659c6423__25[[#This Row],[Número de Orden]],Cocinadinamica!B278:B1046,Cocinadinamica!C278:C1046)</f>
        <v>29</v>
      </c>
      <c r="O277" s="7">
        <f>spaces_3iWczBNnn5rbfoUlE0Jd_uploads_git_blob_9864c7f811c613c3faab876659c6423__25[[#This Row],[Hora de Llegada]]</f>
        <v>45019.107638888891</v>
      </c>
      <c r="P277" s="9">
        <f>spaces_3iWczBNnn5rbfoUlE0Jd_uploads_git_blob_9864c7f811c613c3faab876659c6423__25[[#This Row],[Hora de Llegada]]</f>
        <v>45019.107638888891</v>
      </c>
      <c r="Q277" s="9">
        <f>spaces_3iWczBNnn5rbfoUlE0Jd_uploads_git_blob_9864c7f811c613c3faab876659c6423__25[[#This Row],[Hora de Salida]]</f>
        <v>45019.231944444444</v>
      </c>
      <c r="R277" s="9" cm="1">
        <f t="array" ref="R27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0.12430555555329192</v>
      </c>
      <c r="S277" s="9">
        <f>_xlfn.XLOOKUP(spaces_3iWczBNnn5rbfoUlE0Jd_uploads_git_blob_9864c7f811c613c3faab876659c6423__25[[#This Row],[Número de Orden]],Cocinadinamica!E278:E1046,Cocinadinamica!F278:F1046)/1440</f>
        <v>5.9027777777777776E-2</v>
      </c>
      <c r="T277" s="9" cm="1">
        <f t="array" ref="T27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6.5277777775514148E-2</v>
      </c>
      <c r="U277" s="9" t="str" cm="1">
        <f t="array" ref="U27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8" spans="1:21" x14ac:dyDescent="0.35">
      <c r="A278" s="27" t="s">
        <v>210</v>
      </c>
      <c r="B278" s="11" t="s">
        <v>385</v>
      </c>
      <c r="C278" s="11">
        <v>2</v>
      </c>
      <c r="D278" s="12">
        <v>45019.061111111114</v>
      </c>
      <c r="E278" s="12">
        <v>45019.163888888892</v>
      </c>
      <c r="F278" s="11" t="s">
        <v>85</v>
      </c>
      <c r="G278" s="11" t="s">
        <v>86</v>
      </c>
      <c r="H278" s="11" t="s">
        <v>74</v>
      </c>
      <c r="I278" s="16">
        <v>10.29</v>
      </c>
      <c r="J278" s="11" t="s">
        <v>75</v>
      </c>
      <c r="K278" s="11">
        <v>277</v>
      </c>
      <c r="L278" s="11" t="s">
        <v>181</v>
      </c>
      <c r="M278" s="11" t="s">
        <v>15</v>
      </c>
      <c r="N278">
        <f>_xlfn.XLOOKUP(spaces_3iWczBNnn5rbfoUlE0Jd_uploads_git_blob_9864c7f811c613c3faab876659c6423__25[[#This Row],[Número de Orden]],Cocinadinamica!B279:B1047,Cocinadinamica!C279:C1047)</f>
        <v>36</v>
      </c>
      <c r="O278" s="7">
        <f>spaces_3iWczBNnn5rbfoUlE0Jd_uploads_git_blob_9864c7f811c613c3faab876659c6423__25[[#This Row],[Hora de Llegada]]</f>
        <v>45019.061111111114</v>
      </c>
      <c r="P278" s="9">
        <f>spaces_3iWczBNnn5rbfoUlE0Jd_uploads_git_blob_9864c7f811c613c3faab876659c6423__25[[#This Row],[Hora de Llegada]]</f>
        <v>45019.061111111114</v>
      </c>
      <c r="Q278" s="9">
        <f>spaces_3iWczBNnn5rbfoUlE0Jd_uploads_git_blob_9864c7f811c613c3faab876659c6423__25[[#This Row],[Hora de Salida]]</f>
        <v>45019.163888888892</v>
      </c>
      <c r="R278" s="9" cm="1">
        <f t="array" ref="R27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0.10277777777810115</v>
      </c>
      <c r="S278" s="9">
        <f>_xlfn.XLOOKUP(spaces_3iWczBNnn5rbfoUlE0Jd_uploads_git_blob_9864c7f811c613c3faab876659c6423__25[[#This Row],[Número de Orden]],Cocinadinamica!E279:E1047,Cocinadinamica!F279:F1047)/1440</f>
        <v>2.013888888888889E-2</v>
      </c>
      <c r="T278" s="9" cm="1">
        <f t="array" ref="T27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8.2638888889212267E-2</v>
      </c>
      <c r="U278" s="9" t="str" cm="1">
        <f t="array" ref="U27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79" spans="1:21" x14ac:dyDescent="0.35">
      <c r="A279" s="28">
        <v>5</v>
      </c>
      <c r="B279" s="13" t="s">
        <v>123</v>
      </c>
      <c r="C279" s="13">
        <v>4</v>
      </c>
      <c r="D279" s="14">
        <v>45019.131944444445</v>
      </c>
      <c r="E279" s="14">
        <v>45019.216666666667</v>
      </c>
      <c r="F279" s="13" t="s">
        <v>170</v>
      </c>
      <c r="G279" s="13" t="s">
        <v>86</v>
      </c>
      <c r="H279" s="13" t="s">
        <v>87</v>
      </c>
      <c r="I279" s="17">
        <v>41.36</v>
      </c>
      <c r="J279" s="13" t="s">
        <v>75</v>
      </c>
      <c r="K279" s="13">
        <v>278</v>
      </c>
      <c r="L279" s="13" t="s">
        <v>275</v>
      </c>
      <c r="M279" s="13" t="s">
        <v>1466</v>
      </c>
      <c r="N279">
        <f>_xlfn.XLOOKUP(spaces_3iWczBNnn5rbfoUlE0Jd_uploads_git_blob_9864c7f811c613c3faab876659c6423__25[[#This Row],[Número de Orden]],Cocinadinamica!B280:B1048,Cocinadinamica!C280:C1048)</f>
        <v>56</v>
      </c>
      <c r="O279" s="7">
        <f>spaces_3iWczBNnn5rbfoUlE0Jd_uploads_git_blob_9864c7f811c613c3faab876659c6423__25[[#This Row],[Hora de Llegada]]</f>
        <v>45019.131944444445</v>
      </c>
      <c r="P279" s="9">
        <f>spaces_3iWczBNnn5rbfoUlE0Jd_uploads_git_blob_9864c7f811c613c3faab876659c6423__25[[#This Row],[Hora de Llegada]]</f>
        <v>45019.131944444445</v>
      </c>
      <c r="Q279" s="9">
        <f>spaces_3iWczBNnn5rbfoUlE0Jd_uploads_git_blob_9864c7f811c613c3faab876659c6423__25[[#This Row],[Hora de Salida]]</f>
        <v>45019.216666666667</v>
      </c>
      <c r="R279" s="9" cm="1">
        <f t="array" ref="R27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8.4722222221898846E-2</v>
      </c>
      <c r="S279" s="9">
        <f>_xlfn.XLOOKUP(spaces_3iWczBNnn5rbfoUlE0Jd_uploads_git_blob_9864c7f811c613c3faab876659c6423__25[[#This Row],[Número de Orden]],Cocinadinamica!E280:E1048,Cocinadinamica!F280:F1048)/1440</f>
        <v>4.2361111111111113E-2</v>
      </c>
      <c r="T279" s="9" cm="1">
        <f t="array" ref="T27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4.2361111110787733E-2</v>
      </c>
      <c r="U279" s="9" t="str" cm="1">
        <f t="array" ref="U27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80" spans="1:21" x14ac:dyDescent="0.35">
      <c r="A280" s="27">
        <v>11</v>
      </c>
      <c r="B280" s="11" t="s">
        <v>896</v>
      </c>
      <c r="C280" s="11">
        <v>5</v>
      </c>
      <c r="D280" s="12">
        <v>45019.010416666664</v>
      </c>
      <c r="E280" s="12">
        <v>45019.107638888891</v>
      </c>
      <c r="F280" s="11" t="s">
        <v>100</v>
      </c>
      <c r="G280" s="11" t="s">
        <v>73</v>
      </c>
      <c r="H280" s="11" t="s">
        <v>74</v>
      </c>
      <c r="I280" s="16">
        <v>43.53</v>
      </c>
      <c r="J280" s="11" t="s">
        <v>75</v>
      </c>
      <c r="K280" s="11">
        <v>279</v>
      </c>
      <c r="L280" s="11" t="s">
        <v>275</v>
      </c>
      <c r="M280" s="11" t="s">
        <v>1467</v>
      </c>
      <c r="N280">
        <f>_xlfn.XLOOKUP(spaces_3iWczBNnn5rbfoUlE0Jd_uploads_git_blob_9864c7f811c613c3faab876659c6423__25[[#This Row],[Número de Orden]],Cocinadinamica!B281:B1049,Cocinadinamica!C281:C1049)</f>
        <v>79</v>
      </c>
      <c r="O280" s="7">
        <f>spaces_3iWczBNnn5rbfoUlE0Jd_uploads_git_blob_9864c7f811c613c3faab876659c6423__25[[#This Row],[Hora de Llegada]]</f>
        <v>45019.010416666664</v>
      </c>
      <c r="P280" s="9">
        <f>spaces_3iWczBNnn5rbfoUlE0Jd_uploads_git_blob_9864c7f811c613c3faab876659c6423__25[[#This Row],[Hora de Llegada]]</f>
        <v>45019.010416666664</v>
      </c>
      <c r="Q280" s="9">
        <f>spaces_3iWczBNnn5rbfoUlE0Jd_uploads_git_blob_9864c7f811c613c3faab876659c6423__25[[#This Row],[Hora de Salida]]</f>
        <v>45019.107638888891</v>
      </c>
      <c r="R280" s="9" cm="1">
        <f t="array" ref="R28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9.7222222226264421E-2</v>
      </c>
      <c r="S280" s="9">
        <f>_xlfn.XLOOKUP(spaces_3iWczBNnn5rbfoUlE0Jd_uploads_git_blob_9864c7f811c613c3faab876659c6423__25[[#This Row],[Número de Orden]],Cocinadinamica!E281:E1049,Cocinadinamica!F281:F1049)/1440</f>
        <v>9.8611111111111108E-2</v>
      </c>
      <c r="T280" s="9" cm="1">
        <f t="array" ref="T28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80" s="9" t="str" cm="1">
        <f t="array" ref="U28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81" spans="1:21" x14ac:dyDescent="0.35">
      <c r="A281" s="28">
        <v>14</v>
      </c>
      <c r="B281" s="13" t="s">
        <v>1016</v>
      </c>
      <c r="C281" s="13">
        <v>6</v>
      </c>
      <c r="D281" s="14">
        <v>45019.020833333336</v>
      </c>
      <c r="E281" s="14">
        <v>45019.111805555556</v>
      </c>
      <c r="F281" s="13" t="s">
        <v>85</v>
      </c>
      <c r="G281" s="13" t="s">
        <v>86</v>
      </c>
      <c r="H281" s="13" t="s">
        <v>74</v>
      </c>
      <c r="I281" s="17">
        <v>36.08</v>
      </c>
      <c r="J281" s="13" t="s">
        <v>94</v>
      </c>
      <c r="K281" s="13">
        <v>280</v>
      </c>
      <c r="L281" s="13" t="s">
        <v>187</v>
      </c>
      <c r="M281" s="13" t="s">
        <v>1468</v>
      </c>
      <c r="N281">
        <f>_xlfn.XLOOKUP(spaces_3iWczBNnn5rbfoUlE0Jd_uploads_git_blob_9864c7f811c613c3faab876659c6423__25[[#This Row],[Número de Orden]],Cocinadinamica!B282:B1050,Cocinadinamica!C282:C1050)</f>
        <v>47</v>
      </c>
      <c r="O281" s="7">
        <f>spaces_3iWczBNnn5rbfoUlE0Jd_uploads_git_blob_9864c7f811c613c3faab876659c6423__25[[#This Row],[Hora de Llegada]]</f>
        <v>45019.020833333336</v>
      </c>
      <c r="P281" s="9">
        <f>spaces_3iWczBNnn5rbfoUlE0Jd_uploads_git_blob_9864c7f811c613c3faab876659c6423__25[[#This Row],[Hora de Llegada]]</f>
        <v>45019.020833333336</v>
      </c>
      <c r="Q281" s="9">
        <f>spaces_3iWczBNnn5rbfoUlE0Jd_uploads_git_blob_9864c7f811c613c3faab876659c6423__25[[#This Row],[Hora de Salida]]</f>
        <v>45019.111805555556</v>
      </c>
      <c r="R281" s="9" cm="1">
        <f t="array" ref="R28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9.0972222220443655E-2</v>
      </c>
      <c r="S281" s="9">
        <f>_xlfn.XLOOKUP(spaces_3iWczBNnn5rbfoUlE0Jd_uploads_git_blob_9864c7f811c613c3faab876659c6423__25[[#This Row],[Número de Orden]],Cocinadinamica!E282:E1050,Cocinadinamica!F282:F1050)/1440</f>
        <v>5.9722222222222225E-2</v>
      </c>
      <c r="T281" s="9" cm="1">
        <f t="array" ref="T28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3.124999999822143E-2</v>
      </c>
      <c r="U281" s="9" t="str" cm="1">
        <f t="array" ref="U28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82" spans="1:21" x14ac:dyDescent="0.35">
      <c r="A282" s="27" t="s">
        <v>98</v>
      </c>
      <c r="B282" s="11" t="s">
        <v>389</v>
      </c>
      <c r="C282" s="11">
        <v>2</v>
      </c>
      <c r="D282" s="12">
        <v>45019.161111111112</v>
      </c>
      <c r="E282" s="12">
        <v>45019.326388888891</v>
      </c>
      <c r="F282" s="11" t="s">
        <v>72</v>
      </c>
      <c r="G282" s="11" t="s">
        <v>163</v>
      </c>
      <c r="H282" s="11" t="s">
        <v>87</v>
      </c>
      <c r="I282" s="16">
        <v>4.43</v>
      </c>
      <c r="J282" s="11" t="s">
        <v>88</v>
      </c>
      <c r="K282" s="11">
        <v>281</v>
      </c>
      <c r="L282" s="11" t="s">
        <v>76</v>
      </c>
      <c r="M282" s="11" t="s">
        <v>25</v>
      </c>
      <c r="N282">
        <f>_xlfn.XLOOKUP(spaces_3iWczBNnn5rbfoUlE0Jd_uploads_git_blob_9864c7f811c613c3faab876659c6423__25[[#This Row],[Número de Orden]],Cocinadinamica!B283:B1051,Cocinadinamica!C283:C1051)</f>
        <v>26</v>
      </c>
      <c r="O282" s="7">
        <f>spaces_3iWczBNnn5rbfoUlE0Jd_uploads_git_blob_9864c7f811c613c3faab876659c6423__25[[#This Row],[Hora de Llegada]]</f>
        <v>45019.161111111112</v>
      </c>
      <c r="P282" s="9">
        <f>spaces_3iWczBNnn5rbfoUlE0Jd_uploads_git_blob_9864c7f811c613c3faab876659c6423__25[[#This Row],[Hora de Llegada]]</f>
        <v>45019.161111111112</v>
      </c>
      <c r="Q282" s="9">
        <f>spaces_3iWczBNnn5rbfoUlE0Jd_uploads_git_blob_9864c7f811c613c3faab876659c6423__25[[#This Row],[Hora de Salida]]</f>
        <v>45019.326388888891</v>
      </c>
      <c r="R282" s="9" cm="1">
        <f t="array" ref="R28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0.1756944444423425</v>
      </c>
      <c r="S282" s="9">
        <f>_xlfn.XLOOKUP(spaces_3iWczBNnn5rbfoUlE0Jd_uploads_git_blob_9864c7f811c613c3faab876659c6423__25[[#This Row],[Número de Orden]],Cocinadinamica!E283:E1051,Cocinadinamica!F283:F1051)/1440</f>
        <v>6.2500000000000003E-3</v>
      </c>
      <c r="T282" s="9" cm="1">
        <f t="array" ref="T28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0.1694444444423425</v>
      </c>
      <c r="U282" s="9" t="str" cm="1">
        <f t="array" ref="U28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83" spans="1:21" x14ac:dyDescent="0.35">
      <c r="A283" s="28">
        <v>6</v>
      </c>
      <c r="B283" s="13" t="s">
        <v>1017</v>
      </c>
      <c r="C283" s="13">
        <v>1</v>
      </c>
      <c r="D283" s="14">
        <v>45019.049305555556</v>
      </c>
      <c r="E283" s="14">
        <v>45019.209722222222</v>
      </c>
      <c r="F283" s="13" t="s">
        <v>72</v>
      </c>
      <c r="G283" s="13" t="s">
        <v>86</v>
      </c>
      <c r="H283" s="13" t="s">
        <v>74</v>
      </c>
      <c r="I283" s="17">
        <v>19.05</v>
      </c>
      <c r="J283" s="13" t="s">
        <v>75</v>
      </c>
      <c r="K283" s="13">
        <v>282</v>
      </c>
      <c r="L283" s="13" t="s">
        <v>174</v>
      </c>
      <c r="M283" s="13" t="s">
        <v>1469</v>
      </c>
      <c r="N283">
        <f>_xlfn.XLOOKUP(spaces_3iWczBNnn5rbfoUlE0Jd_uploads_git_blob_9864c7f811c613c3faab876659c6423__25[[#This Row],[Número de Orden]],Cocinadinamica!B284:B1052,Cocinadinamica!C284:C1052)</f>
        <v>32</v>
      </c>
      <c r="O283" s="7">
        <f>spaces_3iWczBNnn5rbfoUlE0Jd_uploads_git_blob_9864c7f811c613c3faab876659c6423__25[[#This Row],[Hora de Llegada]]</f>
        <v>45019.049305555556</v>
      </c>
      <c r="P283" s="9">
        <f>spaces_3iWczBNnn5rbfoUlE0Jd_uploads_git_blob_9864c7f811c613c3faab876659c6423__25[[#This Row],[Hora de Llegada]]</f>
        <v>45019.049305555556</v>
      </c>
      <c r="Q283" s="9">
        <f>spaces_3iWczBNnn5rbfoUlE0Jd_uploads_git_blob_9864c7f811c613c3faab876659c6423__25[[#This Row],[Hora de Salida]]</f>
        <v>45019.209722222222</v>
      </c>
      <c r="R283" s="9" cm="1">
        <f t="array" ref="R28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0.16041666666569654</v>
      </c>
      <c r="S283" s="9">
        <f>_xlfn.XLOOKUP(spaces_3iWczBNnn5rbfoUlE0Jd_uploads_git_blob_9864c7f811c613c3faab876659c6423__25[[#This Row],[Número de Orden]],Cocinadinamica!E284:E1052,Cocinadinamica!F284:F1052)/1440</f>
        <v>7.9166666666666663E-2</v>
      </c>
      <c r="T283" s="9" cm="1">
        <f t="array" ref="T28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8.1249999999029876E-2</v>
      </c>
      <c r="U283" s="9" t="str" cm="1">
        <f t="array" ref="U28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84" spans="1:21" x14ac:dyDescent="0.35">
      <c r="A284" s="27" t="s">
        <v>177</v>
      </c>
      <c r="B284" s="11" t="s">
        <v>391</v>
      </c>
      <c r="C284" s="11">
        <v>5</v>
      </c>
      <c r="D284" s="12">
        <v>45019.044444444444</v>
      </c>
      <c r="E284" s="12">
        <v>45019.199999999997</v>
      </c>
      <c r="F284" s="11" t="s">
        <v>85</v>
      </c>
      <c r="G284" s="11" t="s">
        <v>73</v>
      </c>
      <c r="H284" s="11" t="s">
        <v>74</v>
      </c>
      <c r="I284" s="16">
        <v>43.07</v>
      </c>
      <c r="J284" s="11" t="s">
        <v>75</v>
      </c>
      <c r="K284" s="11">
        <v>283</v>
      </c>
      <c r="L284" s="11" t="s">
        <v>89</v>
      </c>
      <c r="M284" s="11" t="s">
        <v>47</v>
      </c>
      <c r="N284">
        <f>_xlfn.XLOOKUP(spaces_3iWczBNnn5rbfoUlE0Jd_uploads_git_blob_9864c7f811c613c3faab876659c6423__25[[#This Row],[Número de Orden]],Cocinadinamica!B285:B1053,Cocinadinamica!C285:C1053)</f>
        <v>33</v>
      </c>
      <c r="O284" s="7">
        <f>spaces_3iWczBNnn5rbfoUlE0Jd_uploads_git_blob_9864c7f811c613c3faab876659c6423__25[[#This Row],[Hora de Llegada]]</f>
        <v>45019.044444444444</v>
      </c>
      <c r="P284" s="9">
        <f>spaces_3iWczBNnn5rbfoUlE0Jd_uploads_git_blob_9864c7f811c613c3faab876659c6423__25[[#This Row],[Hora de Llegada]]</f>
        <v>45019.044444444444</v>
      </c>
      <c r="Q284" s="9">
        <f>spaces_3iWczBNnn5rbfoUlE0Jd_uploads_git_blob_9864c7f811c613c3faab876659c6423__25[[#This Row],[Hora de Salida]]</f>
        <v>45019.199999999997</v>
      </c>
      <c r="R284" s="9" cm="1">
        <f t="array" ref="R28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0.15555555555329192</v>
      </c>
      <c r="S284" s="9">
        <f>_xlfn.XLOOKUP(spaces_3iWczBNnn5rbfoUlE0Jd_uploads_git_blob_9864c7f811c613c3faab876659c6423__25[[#This Row],[Número de Orden]],Cocinadinamica!E285:E1053,Cocinadinamica!F285:F1053)/1440</f>
        <v>4.1666666666666666E-3</v>
      </c>
      <c r="T284" s="9" cm="1">
        <f t="array" ref="T28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0.15138888888662524</v>
      </c>
      <c r="U284" s="9" t="str" cm="1">
        <f t="array" ref="U28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85" spans="1:21" x14ac:dyDescent="0.35">
      <c r="A285" s="28">
        <v>11</v>
      </c>
      <c r="B285" s="13" t="s">
        <v>1018</v>
      </c>
      <c r="C285" s="13">
        <v>4</v>
      </c>
      <c r="D285" s="14">
        <v>45019.102777777778</v>
      </c>
      <c r="E285" s="14">
        <v>45019.192361111112</v>
      </c>
      <c r="F285" s="13" t="s">
        <v>85</v>
      </c>
      <c r="G285" s="13" t="s">
        <v>86</v>
      </c>
      <c r="H285" s="13" t="s">
        <v>109</v>
      </c>
      <c r="I285" s="17">
        <v>29.99</v>
      </c>
      <c r="J285" s="13" t="s">
        <v>88</v>
      </c>
      <c r="K285" s="13">
        <v>284</v>
      </c>
      <c r="L285" s="13" t="s">
        <v>76</v>
      </c>
      <c r="M285" s="13" t="s">
        <v>1470</v>
      </c>
      <c r="N285">
        <f>_xlfn.XLOOKUP(spaces_3iWczBNnn5rbfoUlE0Jd_uploads_git_blob_9864c7f811c613c3faab876659c6423__25[[#This Row],[Número de Orden]],Cocinadinamica!B286:B1054,Cocinadinamica!C286:C1054)</f>
        <v>64</v>
      </c>
      <c r="O285" s="7">
        <f>spaces_3iWczBNnn5rbfoUlE0Jd_uploads_git_blob_9864c7f811c613c3faab876659c6423__25[[#This Row],[Hora de Llegada]]</f>
        <v>45019.102777777778</v>
      </c>
      <c r="P285" s="9">
        <f>spaces_3iWczBNnn5rbfoUlE0Jd_uploads_git_blob_9864c7f811c613c3faab876659c6423__25[[#This Row],[Hora de Llegada]]</f>
        <v>45019.102777777778</v>
      </c>
      <c r="Q285" s="9">
        <f>spaces_3iWczBNnn5rbfoUlE0Jd_uploads_git_blob_9864c7f811c613c3faab876659c6423__25[[#This Row],[Hora de Salida]]</f>
        <v>45019.192361111112</v>
      </c>
      <c r="R285" s="9" cm="1">
        <f t="array" ref="R28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9.9999999998544808E-2</v>
      </c>
      <c r="S285" s="9">
        <f>_xlfn.XLOOKUP(spaces_3iWczBNnn5rbfoUlE0Jd_uploads_git_blob_9864c7f811c613c3faab876659c6423__25[[#This Row],[Número de Orden]],Cocinadinamica!E286:E1054,Cocinadinamica!F286:F1054)/1440</f>
        <v>0.13541666666666666</v>
      </c>
      <c r="T285" s="9" cm="1">
        <f t="array" ref="T28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85" s="9" t="str" cm="1">
        <f t="array" ref="U28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86" spans="1:21" x14ac:dyDescent="0.35">
      <c r="A286" s="27" t="s">
        <v>98</v>
      </c>
      <c r="B286" s="11" t="s">
        <v>393</v>
      </c>
      <c r="C286" s="11">
        <v>6</v>
      </c>
      <c r="D286" s="12">
        <v>45019.127083333333</v>
      </c>
      <c r="E286" s="12">
        <v>45019.253472222219</v>
      </c>
      <c r="F286" s="11" t="s">
        <v>72</v>
      </c>
      <c r="G286" s="11" t="s">
        <v>86</v>
      </c>
      <c r="H286" s="11" t="s">
        <v>109</v>
      </c>
      <c r="I286" s="16">
        <v>10.94</v>
      </c>
      <c r="J286" s="11" t="s">
        <v>94</v>
      </c>
      <c r="K286" s="11">
        <v>285</v>
      </c>
      <c r="L286" s="11" t="s">
        <v>181</v>
      </c>
      <c r="M286" s="11" t="s">
        <v>43</v>
      </c>
      <c r="N286">
        <f>_xlfn.XLOOKUP(spaces_3iWczBNnn5rbfoUlE0Jd_uploads_git_blob_9864c7f811c613c3faab876659c6423__25[[#This Row],[Número de Orden]],Cocinadinamica!B287:B1055,Cocinadinamica!C287:C1055)</f>
        <v>16</v>
      </c>
      <c r="O286" s="7">
        <f>spaces_3iWczBNnn5rbfoUlE0Jd_uploads_git_blob_9864c7f811c613c3faab876659c6423__25[[#This Row],[Hora de Llegada]]</f>
        <v>45019.127083333333</v>
      </c>
      <c r="P286" s="9">
        <f>spaces_3iWczBNnn5rbfoUlE0Jd_uploads_git_blob_9864c7f811c613c3faab876659c6423__25[[#This Row],[Hora de Llegada]]</f>
        <v>45019.127083333333</v>
      </c>
      <c r="Q286" s="9">
        <f>spaces_3iWczBNnn5rbfoUlE0Jd_uploads_git_blob_9864c7f811c613c3faab876659c6423__25[[#This Row],[Hora de Salida]]</f>
        <v>45019.253472222219</v>
      </c>
      <c r="R286" s="9" cm="1">
        <f t="array" ref="R28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0.12638888888614019</v>
      </c>
      <c r="S286" s="9">
        <f>_xlfn.XLOOKUP(spaces_3iWczBNnn5rbfoUlE0Jd_uploads_git_blob_9864c7f811c613c3faab876659c6423__25[[#This Row],[Número de Orden]],Cocinadinamica!E287:E1055,Cocinadinamica!F287:F1055)/1440</f>
        <v>8.3333333333333332E-3</v>
      </c>
      <c r="T286" s="9" cm="1">
        <f t="array" ref="T28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0.11805555555280686</v>
      </c>
      <c r="U286" s="9" t="str" cm="1">
        <f t="array" ref="U28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87" spans="1:21" x14ac:dyDescent="0.35">
      <c r="A287" s="28" t="s">
        <v>125</v>
      </c>
      <c r="B287" s="13" t="s">
        <v>394</v>
      </c>
      <c r="C287" s="13">
        <v>6</v>
      </c>
      <c r="D287" s="14">
        <v>45019.015277777777</v>
      </c>
      <c r="E287" s="14">
        <v>45019.102777777778</v>
      </c>
      <c r="F287" s="13" t="s">
        <v>170</v>
      </c>
      <c r="G287" s="13" t="s">
        <v>86</v>
      </c>
      <c r="H287" s="13" t="s">
        <v>74</v>
      </c>
      <c r="I287" s="17">
        <v>41.96</v>
      </c>
      <c r="J287" s="13" t="s">
        <v>88</v>
      </c>
      <c r="K287" s="13">
        <v>286</v>
      </c>
      <c r="L287" s="13" t="s">
        <v>164</v>
      </c>
      <c r="M287" s="13" t="s">
        <v>37</v>
      </c>
      <c r="N287">
        <f>_xlfn.XLOOKUP(spaces_3iWczBNnn5rbfoUlE0Jd_uploads_git_blob_9864c7f811c613c3faab876659c6423__25[[#This Row],[Número de Orden]],Cocinadinamica!B288:B1056,Cocinadinamica!C288:C1056)</f>
        <v>28</v>
      </c>
      <c r="O287" s="7">
        <f>spaces_3iWczBNnn5rbfoUlE0Jd_uploads_git_blob_9864c7f811c613c3faab876659c6423__25[[#This Row],[Hora de Llegada]]</f>
        <v>45019.015277777777</v>
      </c>
      <c r="P287" s="9">
        <f>spaces_3iWczBNnn5rbfoUlE0Jd_uploads_git_blob_9864c7f811c613c3faab876659c6423__25[[#This Row],[Hora de Llegada]]</f>
        <v>45019.015277777777</v>
      </c>
      <c r="Q287" s="9">
        <f>spaces_3iWczBNnn5rbfoUlE0Jd_uploads_git_blob_9864c7f811c613c3faab876659c6423__25[[#This Row],[Hora de Salida]]</f>
        <v>45019.102777777778</v>
      </c>
      <c r="R287" s="9" cm="1">
        <f t="array" ref="R28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9.7916666665696539E-2</v>
      </c>
      <c r="S287" s="9">
        <f>_xlfn.XLOOKUP(spaces_3iWczBNnn5rbfoUlE0Jd_uploads_git_blob_9864c7f811c613c3faab876659c6423__25[[#This Row],[Número de Orden]],Cocinadinamica!E288:E1056,Cocinadinamica!F288:F1056)/1440</f>
        <v>1.7361111111111112E-2</v>
      </c>
      <c r="T287" s="9" cm="1">
        <f t="array" ref="T28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8.0555555554585434E-2</v>
      </c>
      <c r="U287" s="9" t="str" cm="1">
        <f t="array" ref="U28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88" spans="1:21" x14ac:dyDescent="0.35">
      <c r="A288" s="27">
        <v>20</v>
      </c>
      <c r="B288" s="11" t="s">
        <v>944</v>
      </c>
      <c r="C288" s="11">
        <v>2</v>
      </c>
      <c r="D288" s="12">
        <v>45019.150694444441</v>
      </c>
      <c r="E288" s="12">
        <v>45019.197222222225</v>
      </c>
      <c r="F288" s="11" t="s">
        <v>85</v>
      </c>
      <c r="G288" s="11" t="s">
        <v>86</v>
      </c>
      <c r="H288" s="11" t="s">
        <v>109</v>
      </c>
      <c r="I288" s="16">
        <v>31.67</v>
      </c>
      <c r="J288" s="11" t="s">
        <v>94</v>
      </c>
      <c r="K288" s="11">
        <v>287</v>
      </c>
      <c r="L288" s="11" t="s">
        <v>110</v>
      </c>
      <c r="M288" s="11" t="s">
        <v>1471</v>
      </c>
      <c r="N288">
        <f>_xlfn.XLOOKUP(spaces_3iWczBNnn5rbfoUlE0Jd_uploads_git_blob_9864c7f811c613c3faab876659c6423__25[[#This Row],[Número de Orden]],Cocinadinamica!B289:B1057,Cocinadinamica!C289:C1057)</f>
        <v>81</v>
      </c>
      <c r="O288" s="7">
        <f>spaces_3iWczBNnn5rbfoUlE0Jd_uploads_git_blob_9864c7f811c613c3faab876659c6423__25[[#This Row],[Hora de Llegada]]</f>
        <v>45019.150694444441</v>
      </c>
      <c r="P288" s="9">
        <f>spaces_3iWczBNnn5rbfoUlE0Jd_uploads_git_blob_9864c7f811c613c3faab876659c6423__25[[#This Row],[Hora de Llegada]]</f>
        <v>45019.150694444441</v>
      </c>
      <c r="Q288" s="9">
        <f>spaces_3iWczBNnn5rbfoUlE0Jd_uploads_git_blob_9864c7f811c613c3faab876659c6423__25[[#This Row],[Hora de Salida]]</f>
        <v>45019.197222222225</v>
      </c>
      <c r="R288" s="9" cm="1">
        <f t="array" ref="R28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4.652777778392192E-2</v>
      </c>
      <c r="S288" s="9">
        <f>_xlfn.XLOOKUP(spaces_3iWczBNnn5rbfoUlE0Jd_uploads_git_blob_9864c7f811c613c3faab876659c6423__25[[#This Row],[Número de Orden]],Cocinadinamica!E289:E1057,Cocinadinamica!F289:F1057)/1440</f>
        <v>8.4027777777777785E-2</v>
      </c>
      <c r="T288" s="9" cm="1">
        <f t="array" ref="T28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88" s="9" t="str" cm="1">
        <f t="array" ref="U28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89" spans="1:21" x14ac:dyDescent="0.35">
      <c r="A289" s="28">
        <v>15</v>
      </c>
      <c r="B289" s="13" t="s">
        <v>1019</v>
      </c>
      <c r="C289" s="13">
        <v>3</v>
      </c>
      <c r="D289" s="14">
        <v>45019.088888888888</v>
      </c>
      <c r="E289" s="14">
        <v>45019.231249999997</v>
      </c>
      <c r="F289" s="13" t="s">
        <v>85</v>
      </c>
      <c r="G289" s="13" t="s">
        <v>73</v>
      </c>
      <c r="H289" s="13" t="s">
        <v>74</v>
      </c>
      <c r="I289" s="17">
        <v>13.3</v>
      </c>
      <c r="J289" s="13" t="s">
        <v>94</v>
      </c>
      <c r="K289" s="13">
        <v>288</v>
      </c>
      <c r="L289" s="13" t="s">
        <v>174</v>
      </c>
      <c r="M289" s="13" t="s">
        <v>1472</v>
      </c>
      <c r="N289">
        <f>_xlfn.XLOOKUP(spaces_3iWczBNnn5rbfoUlE0Jd_uploads_git_blob_9864c7f811c613c3faab876659c6423__25[[#This Row],[Número de Orden]],Cocinadinamica!B290:B1058,Cocinadinamica!C290:C1058)</f>
        <v>36</v>
      </c>
      <c r="O289" s="7">
        <f>spaces_3iWczBNnn5rbfoUlE0Jd_uploads_git_blob_9864c7f811c613c3faab876659c6423__25[[#This Row],[Hora de Llegada]]</f>
        <v>45019.088888888888</v>
      </c>
      <c r="P289" s="9">
        <f>spaces_3iWczBNnn5rbfoUlE0Jd_uploads_git_blob_9864c7f811c613c3faab876659c6423__25[[#This Row],[Hora de Llegada]]</f>
        <v>45019.088888888888</v>
      </c>
      <c r="Q289" s="9">
        <f>spaces_3iWczBNnn5rbfoUlE0Jd_uploads_git_blob_9864c7f811c613c3faab876659c6423__25[[#This Row],[Hora de Salida]]</f>
        <v>45019.231249999997</v>
      </c>
      <c r="R289" s="9" cm="1">
        <f t="array" ref="R28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0.14236111110949423</v>
      </c>
      <c r="S289" s="9">
        <f>_xlfn.XLOOKUP(spaces_3iWczBNnn5rbfoUlE0Jd_uploads_git_blob_9864c7f811c613c3faab876659c6423__25[[#This Row],[Número de Orden]],Cocinadinamica!E290:E1058,Cocinadinamica!F290:F1058)/1440</f>
        <v>2.6388888888888889E-2</v>
      </c>
      <c r="T289" s="9" cm="1">
        <f t="array" ref="T28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0.11597222222060534</v>
      </c>
      <c r="U289" s="9" t="str" cm="1">
        <f t="array" ref="U28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90" spans="1:21" x14ac:dyDescent="0.35">
      <c r="A290" s="27">
        <v>15</v>
      </c>
      <c r="B290" s="11" t="s">
        <v>1020</v>
      </c>
      <c r="C290" s="11">
        <v>5</v>
      </c>
      <c r="D290" s="12">
        <v>45019.130555555559</v>
      </c>
      <c r="E290" s="12">
        <v>45019.265972222223</v>
      </c>
      <c r="F290" s="11" t="s">
        <v>85</v>
      </c>
      <c r="G290" s="11" t="s">
        <v>86</v>
      </c>
      <c r="H290" s="11" t="s">
        <v>109</v>
      </c>
      <c r="I290" s="16">
        <v>26.56</v>
      </c>
      <c r="J290" s="11" t="s">
        <v>75</v>
      </c>
      <c r="K290" s="11">
        <v>289</v>
      </c>
      <c r="L290" s="11" t="s">
        <v>181</v>
      </c>
      <c r="M290" s="11" t="s">
        <v>1473</v>
      </c>
      <c r="N290">
        <f>_xlfn.XLOOKUP(spaces_3iWczBNnn5rbfoUlE0Jd_uploads_git_blob_9864c7f811c613c3faab876659c6423__25[[#This Row],[Número de Orden]],Cocinadinamica!B291:B1059,Cocinadinamica!C291:C1059)</f>
        <v>57</v>
      </c>
      <c r="O290" s="7">
        <f>spaces_3iWczBNnn5rbfoUlE0Jd_uploads_git_blob_9864c7f811c613c3faab876659c6423__25[[#This Row],[Hora de Llegada]]</f>
        <v>45019.130555555559</v>
      </c>
      <c r="P290" s="9">
        <f>spaces_3iWczBNnn5rbfoUlE0Jd_uploads_git_blob_9864c7f811c613c3faab876659c6423__25[[#This Row],[Hora de Llegada]]</f>
        <v>45019.130555555559</v>
      </c>
      <c r="Q290" s="9">
        <f>spaces_3iWczBNnn5rbfoUlE0Jd_uploads_git_blob_9864c7f811c613c3faab876659c6423__25[[#This Row],[Hora de Salida]]</f>
        <v>45019.265972222223</v>
      </c>
      <c r="R290" s="9" cm="1">
        <f t="array" ref="R29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0.13541666666424135</v>
      </c>
      <c r="S290" s="9">
        <f>_xlfn.XLOOKUP(spaces_3iWczBNnn5rbfoUlE0Jd_uploads_git_blob_9864c7f811c613c3faab876659c6423__25[[#This Row],[Número de Orden]],Cocinadinamica!E291:E1059,Cocinadinamica!F291:F1059)/1440</f>
        <v>4.7222222222222221E-2</v>
      </c>
      <c r="T290" s="9" cm="1">
        <f t="array" ref="T29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8.8194444442019126E-2</v>
      </c>
      <c r="U290" s="9" t="str" cm="1">
        <f t="array" ref="U29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91" spans="1:21" x14ac:dyDescent="0.35">
      <c r="A291" s="28" t="s">
        <v>177</v>
      </c>
      <c r="B291" s="13" t="s">
        <v>398</v>
      </c>
      <c r="C291" s="13">
        <v>3</v>
      </c>
      <c r="D291" s="14">
        <v>45019.087500000001</v>
      </c>
      <c r="E291" s="14">
        <v>45019.189583333333</v>
      </c>
      <c r="F291" s="13" t="s">
        <v>170</v>
      </c>
      <c r="G291" s="13" t="s">
        <v>86</v>
      </c>
      <c r="H291" s="13" t="s">
        <v>74</v>
      </c>
      <c r="I291" s="17">
        <v>14.59</v>
      </c>
      <c r="J291" s="13" t="s">
        <v>88</v>
      </c>
      <c r="K291" s="13">
        <v>290</v>
      </c>
      <c r="L291" s="13" t="s">
        <v>181</v>
      </c>
      <c r="M291" s="13" t="s">
        <v>19</v>
      </c>
      <c r="N291">
        <f>_xlfn.XLOOKUP(spaces_3iWczBNnn5rbfoUlE0Jd_uploads_git_blob_9864c7f811c613c3faab876659c6423__25[[#This Row],[Número de Orden]],Cocinadinamica!B292:B1060,Cocinadinamica!C292:C1060)</f>
        <v>15</v>
      </c>
      <c r="O291" s="7">
        <f>spaces_3iWczBNnn5rbfoUlE0Jd_uploads_git_blob_9864c7f811c613c3faab876659c6423__25[[#This Row],[Hora de Llegada]]</f>
        <v>45019.087500000001</v>
      </c>
      <c r="P291" s="9">
        <f>spaces_3iWczBNnn5rbfoUlE0Jd_uploads_git_blob_9864c7f811c613c3faab876659c6423__25[[#This Row],[Hora de Llegada]]</f>
        <v>45019.087500000001</v>
      </c>
      <c r="Q291" s="9">
        <f>spaces_3iWczBNnn5rbfoUlE0Jd_uploads_git_blob_9864c7f811c613c3faab876659c6423__25[[#This Row],[Hora de Salida]]</f>
        <v>45019.189583333333</v>
      </c>
      <c r="R291" s="9" cm="1">
        <f t="array" ref="R29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0.11249999999563443</v>
      </c>
      <c r="S291" s="9">
        <f>_xlfn.XLOOKUP(spaces_3iWczBNnn5rbfoUlE0Jd_uploads_git_blob_9864c7f811c613c3faab876659c6423__25[[#This Row],[Número de Orden]],Cocinadinamica!E292:E1060,Cocinadinamica!F292:F1060)/1440</f>
        <v>3.9583333333333331E-2</v>
      </c>
      <c r="T291" s="9" cm="1">
        <f t="array" ref="T29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7.2916666662301094E-2</v>
      </c>
      <c r="U291" s="9" t="str" cm="1">
        <f t="array" ref="U29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92" spans="1:21" x14ac:dyDescent="0.35">
      <c r="A292" s="27">
        <v>2</v>
      </c>
      <c r="B292" s="11" t="s">
        <v>1021</v>
      </c>
      <c r="C292" s="11">
        <v>6</v>
      </c>
      <c r="D292" s="12">
        <v>45019.137499999997</v>
      </c>
      <c r="E292" s="12">
        <v>45019.256249999999</v>
      </c>
      <c r="F292" s="11" t="s">
        <v>100</v>
      </c>
      <c r="G292" s="11" t="s">
        <v>163</v>
      </c>
      <c r="H292" s="11" t="s">
        <v>87</v>
      </c>
      <c r="I292" s="16">
        <v>15.44</v>
      </c>
      <c r="J292" s="11" t="s">
        <v>88</v>
      </c>
      <c r="K292" s="11">
        <v>291</v>
      </c>
      <c r="L292" s="11" t="s">
        <v>95</v>
      </c>
      <c r="M292" s="11" t="s">
        <v>1474</v>
      </c>
      <c r="N292">
        <f>_xlfn.XLOOKUP(spaces_3iWczBNnn5rbfoUlE0Jd_uploads_git_blob_9864c7f811c613c3faab876659c6423__25[[#This Row],[Número de Orden]],Cocinadinamica!B293:B1061,Cocinadinamica!C293:C1061)</f>
        <v>104</v>
      </c>
      <c r="O292" s="7">
        <f>spaces_3iWczBNnn5rbfoUlE0Jd_uploads_git_blob_9864c7f811c613c3faab876659c6423__25[[#This Row],[Hora de Llegada]]</f>
        <v>45019.137499999997</v>
      </c>
      <c r="P292" s="9">
        <f>spaces_3iWczBNnn5rbfoUlE0Jd_uploads_git_blob_9864c7f811c613c3faab876659c6423__25[[#This Row],[Hora de Llegada]]</f>
        <v>45019.137499999997</v>
      </c>
      <c r="Q292" s="9">
        <f>spaces_3iWczBNnn5rbfoUlE0Jd_uploads_git_blob_9864c7f811c613c3faab876659c6423__25[[#This Row],[Hora de Salida]]</f>
        <v>45019.256249999999</v>
      </c>
      <c r="R292" s="9" cm="1">
        <f t="array" ref="R29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0.12916666666569654</v>
      </c>
      <c r="S292" s="9">
        <f>_xlfn.XLOOKUP(spaces_3iWczBNnn5rbfoUlE0Jd_uploads_git_blob_9864c7f811c613c3faab876659c6423__25[[#This Row],[Número de Orden]],Cocinadinamica!E293:E1061,Cocinadinamica!F293:F1061)/1440</f>
        <v>6.5972222222222224E-2</v>
      </c>
      <c r="T292" s="9" cm="1">
        <f t="array" ref="T29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6.3194444443474315E-2</v>
      </c>
      <c r="U292" s="9" t="str" cm="1">
        <f t="array" ref="U29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93" spans="1:21" x14ac:dyDescent="0.35">
      <c r="A293" s="28" t="s">
        <v>232</v>
      </c>
      <c r="B293" s="13" t="s">
        <v>400</v>
      </c>
      <c r="C293" s="13">
        <v>3</v>
      </c>
      <c r="D293" s="14">
        <v>45019.006249999999</v>
      </c>
      <c r="E293" s="14">
        <v>45019.07708333333</v>
      </c>
      <c r="F293" s="13" t="s">
        <v>170</v>
      </c>
      <c r="G293" s="13" t="s">
        <v>73</v>
      </c>
      <c r="H293" s="13" t="s">
        <v>109</v>
      </c>
      <c r="I293" s="17">
        <v>29.72</v>
      </c>
      <c r="J293" s="13" t="s">
        <v>94</v>
      </c>
      <c r="K293" s="13">
        <v>292</v>
      </c>
      <c r="L293" s="13" t="s">
        <v>164</v>
      </c>
      <c r="M293" s="13" t="s">
        <v>27</v>
      </c>
      <c r="N293">
        <f>_xlfn.XLOOKUP(spaces_3iWczBNnn5rbfoUlE0Jd_uploads_git_blob_9864c7f811c613c3faab876659c6423__25[[#This Row],[Número de Orden]],Cocinadinamica!B294:B1062,Cocinadinamica!C294:C1062)</f>
        <v>36</v>
      </c>
      <c r="O293" s="7">
        <f>spaces_3iWczBNnn5rbfoUlE0Jd_uploads_git_blob_9864c7f811c613c3faab876659c6423__25[[#This Row],[Hora de Llegada]]</f>
        <v>45019.006249999999</v>
      </c>
      <c r="P293" s="9">
        <f>spaces_3iWczBNnn5rbfoUlE0Jd_uploads_git_blob_9864c7f811c613c3faab876659c6423__25[[#This Row],[Hora de Llegada]]</f>
        <v>45019.006249999999</v>
      </c>
      <c r="Q293" s="9">
        <f>spaces_3iWczBNnn5rbfoUlE0Jd_uploads_git_blob_9864c7f811c613c3faab876659c6423__25[[#This Row],[Hora de Salida]]</f>
        <v>45019.07708333333</v>
      </c>
      <c r="R293" s="9" cm="1">
        <f t="array" ref="R29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7.0833333331393078E-2</v>
      </c>
      <c r="S293" s="9">
        <f>_xlfn.XLOOKUP(spaces_3iWczBNnn5rbfoUlE0Jd_uploads_git_blob_9864c7f811c613c3faab876659c6423__25[[#This Row],[Número de Orden]],Cocinadinamica!E294:E1062,Cocinadinamica!F294:F1062)/1440</f>
        <v>1.5972222222222221E-2</v>
      </c>
      <c r="T293" s="9" cm="1">
        <f t="array" ref="T29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5.4861111109170857E-2</v>
      </c>
      <c r="U293" s="9" t="str" cm="1">
        <f t="array" ref="U29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94" spans="1:21" x14ac:dyDescent="0.35">
      <c r="A294" s="27">
        <v>16</v>
      </c>
      <c r="B294" s="11" t="s">
        <v>1022</v>
      </c>
      <c r="C294" s="11">
        <v>4</v>
      </c>
      <c r="D294" s="12">
        <v>45019.121527777781</v>
      </c>
      <c r="E294" s="12">
        <v>45019.190972222219</v>
      </c>
      <c r="F294" s="11" t="s">
        <v>170</v>
      </c>
      <c r="G294" s="11" t="s">
        <v>86</v>
      </c>
      <c r="H294" s="11" t="s">
        <v>109</v>
      </c>
      <c r="I294" s="16">
        <v>33.11</v>
      </c>
      <c r="J294" s="11" t="s">
        <v>94</v>
      </c>
      <c r="K294" s="11">
        <v>293</v>
      </c>
      <c r="L294" s="11" t="s">
        <v>164</v>
      </c>
      <c r="M294" s="11" t="s">
        <v>1475</v>
      </c>
      <c r="N294">
        <f>_xlfn.XLOOKUP(spaces_3iWczBNnn5rbfoUlE0Jd_uploads_git_blob_9864c7f811c613c3faab876659c6423__25[[#This Row],[Número de Orden]],Cocinadinamica!B295:B1063,Cocinadinamica!C295:C1063)</f>
        <v>88</v>
      </c>
      <c r="O294" s="7">
        <f>spaces_3iWczBNnn5rbfoUlE0Jd_uploads_git_blob_9864c7f811c613c3faab876659c6423__25[[#This Row],[Hora de Llegada]]</f>
        <v>45019.121527777781</v>
      </c>
      <c r="P294" s="9">
        <f>spaces_3iWczBNnn5rbfoUlE0Jd_uploads_git_blob_9864c7f811c613c3faab876659c6423__25[[#This Row],[Hora de Llegada]]</f>
        <v>45019.121527777781</v>
      </c>
      <c r="Q294" s="9">
        <f>spaces_3iWczBNnn5rbfoUlE0Jd_uploads_git_blob_9864c7f811c613c3faab876659c6423__25[[#This Row],[Hora de Salida]]</f>
        <v>45019.190972222219</v>
      </c>
      <c r="R294" s="9" cm="1">
        <f t="array" ref="R29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6.9444444437976927E-2</v>
      </c>
      <c r="S294" s="9">
        <f>_xlfn.XLOOKUP(spaces_3iWczBNnn5rbfoUlE0Jd_uploads_git_blob_9864c7f811c613c3faab876659c6423__25[[#This Row],[Número de Orden]],Cocinadinamica!E295:E1063,Cocinadinamica!F295:F1063)/1440</f>
        <v>8.3333333333333329E-2</v>
      </c>
      <c r="T294" s="9" cm="1">
        <f t="array" ref="T29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94" s="9" t="str" cm="1">
        <f t="array" ref="U29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95" spans="1:21" x14ac:dyDescent="0.35">
      <c r="A295" s="28">
        <v>17</v>
      </c>
      <c r="B295" s="13" t="s">
        <v>314</v>
      </c>
      <c r="C295" s="13">
        <v>6</v>
      </c>
      <c r="D295" s="14">
        <v>45019.018055555556</v>
      </c>
      <c r="E295" s="14">
        <v>45019.164583333331</v>
      </c>
      <c r="F295" s="13" t="s">
        <v>100</v>
      </c>
      <c r="G295" s="13" t="s">
        <v>163</v>
      </c>
      <c r="H295" s="13" t="s">
        <v>74</v>
      </c>
      <c r="I295" s="17">
        <v>20.36</v>
      </c>
      <c r="J295" s="13" t="s">
        <v>75</v>
      </c>
      <c r="K295" s="13">
        <v>294</v>
      </c>
      <c r="L295" s="13" t="s">
        <v>110</v>
      </c>
      <c r="M295" s="13" t="s">
        <v>1476</v>
      </c>
      <c r="N295">
        <f>_xlfn.XLOOKUP(spaces_3iWczBNnn5rbfoUlE0Jd_uploads_git_blob_9864c7f811c613c3faab876659c6423__25[[#This Row],[Número de Orden]],Cocinadinamica!B296:B1064,Cocinadinamica!C296:C1064)</f>
        <v>132</v>
      </c>
      <c r="O295" s="7">
        <f>spaces_3iWczBNnn5rbfoUlE0Jd_uploads_git_blob_9864c7f811c613c3faab876659c6423__25[[#This Row],[Hora de Llegada]]</f>
        <v>45019.018055555556</v>
      </c>
      <c r="P295" s="9">
        <f>spaces_3iWczBNnn5rbfoUlE0Jd_uploads_git_blob_9864c7f811c613c3faab876659c6423__25[[#This Row],[Hora de Llegada]]</f>
        <v>45019.018055555556</v>
      </c>
      <c r="Q295" s="9">
        <f>spaces_3iWczBNnn5rbfoUlE0Jd_uploads_git_blob_9864c7f811c613c3faab876659c6423__25[[#This Row],[Hora de Salida]]</f>
        <v>45019.164583333331</v>
      </c>
      <c r="R295" s="9" cm="1">
        <f t="array" ref="R29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0.14652777777519077</v>
      </c>
      <c r="S295" s="9">
        <f>_xlfn.XLOOKUP(spaces_3iWczBNnn5rbfoUlE0Jd_uploads_git_blob_9864c7f811c613c3faab876659c6423__25[[#This Row],[Número de Orden]],Cocinadinamica!E296:E1064,Cocinadinamica!F296:F1064)/1440</f>
        <v>5.9722222222222225E-2</v>
      </c>
      <c r="T295" s="9" cm="1">
        <f t="array" ref="T29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8.6805555552968539E-2</v>
      </c>
      <c r="U295" s="9" t="str" cm="1">
        <f t="array" ref="U29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96" spans="1:21" x14ac:dyDescent="0.35">
      <c r="A296" s="27">
        <v>3</v>
      </c>
      <c r="B296" s="11" t="s">
        <v>1023</v>
      </c>
      <c r="C296" s="11">
        <v>1</v>
      </c>
      <c r="D296" s="12">
        <v>45019.006944444445</v>
      </c>
      <c r="E296" s="12">
        <v>45019.084027777775</v>
      </c>
      <c r="F296" s="11" t="s">
        <v>100</v>
      </c>
      <c r="G296" s="11" t="s">
        <v>86</v>
      </c>
      <c r="H296" s="11" t="s">
        <v>74</v>
      </c>
      <c r="I296" s="16">
        <v>46.42</v>
      </c>
      <c r="J296" s="11" t="s">
        <v>94</v>
      </c>
      <c r="K296" s="11">
        <v>295</v>
      </c>
      <c r="L296" s="11" t="s">
        <v>174</v>
      </c>
      <c r="M296" s="11" t="s">
        <v>1477</v>
      </c>
      <c r="N296">
        <f>_xlfn.XLOOKUP(spaces_3iWczBNnn5rbfoUlE0Jd_uploads_git_blob_9864c7f811c613c3faab876659c6423__25[[#This Row],[Número de Orden]],Cocinadinamica!B297:B1065,Cocinadinamica!C297:C1065)</f>
        <v>97</v>
      </c>
      <c r="O296" s="7">
        <f>spaces_3iWczBNnn5rbfoUlE0Jd_uploads_git_blob_9864c7f811c613c3faab876659c6423__25[[#This Row],[Hora de Llegada]]</f>
        <v>45019.006944444445</v>
      </c>
      <c r="P296" s="9">
        <f>spaces_3iWczBNnn5rbfoUlE0Jd_uploads_git_blob_9864c7f811c613c3faab876659c6423__25[[#This Row],[Hora de Llegada]]</f>
        <v>45019.006944444445</v>
      </c>
      <c r="Q296" s="9">
        <f>spaces_3iWczBNnn5rbfoUlE0Jd_uploads_git_blob_9864c7f811c613c3faab876659c6423__25[[#This Row],[Hora de Salida]]</f>
        <v>45019.084027777775</v>
      </c>
      <c r="R296" s="9" cm="1">
        <f t="array" ref="R29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7.7083333329937886E-2</v>
      </c>
      <c r="S296" s="9">
        <f>_xlfn.XLOOKUP(spaces_3iWczBNnn5rbfoUlE0Jd_uploads_git_blob_9864c7f811c613c3faab876659c6423__25[[#This Row],[Número de Orden]],Cocinadinamica!E297:E1065,Cocinadinamica!F297:F1065)/1440</f>
        <v>0.12291666666666666</v>
      </c>
      <c r="T296" s="9" cm="1">
        <f t="array" ref="T29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96" s="9" t="str" cm="1">
        <f t="array" ref="U29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297" spans="1:21" x14ac:dyDescent="0.35">
      <c r="A297" s="28">
        <v>14</v>
      </c>
      <c r="B297" s="13" t="s">
        <v>1024</v>
      </c>
      <c r="C297" s="13">
        <v>1</v>
      </c>
      <c r="D297" s="14">
        <v>45019.117361111108</v>
      </c>
      <c r="E297" s="14">
        <v>45019.248611111114</v>
      </c>
      <c r="F297" s="13" t="s">
        <v>100</v>
      </c>
      <c r="G297" s="13" t="s">
        <v>73</v>
      </c>
      <c r="H297" s="13" t="s">
        <v>74</v>
      </c>
      <c r="I297" s="17">
        <v>29.07</v>
      </c>
      <c r="J297" s="13" t="s">
        <v>88</v>
      </c>
      <c r="K297" s="13">
        <v>296</v>
      </c>
      <c r="L297" s="13" t="s">
        <v>181</v>
      </c>
      <c r="M297" s="13" t="s">
        <v>1478</v>
      </c>
      <c r="N297">
        <f>_xlfn.XLOOKUP(spaces_3iWczBNnn5rbfoUlE0Jd_uploads_git_blob_9864c7f811c613c3faab876659c6423__25[[#This Row],[Número de Orden]],Cocinadinamica!B298:B1066,Cocinadinamica!C298:C1066)</f>
        <v>23</v>
      </c>
      <c r="O297" s="7">
        <f>spaces_3iWczBNnn5rbfoUlE0Jd_uploads_git_blob_9864c7f811c613c3faab876659c6423__25[[#This Row],[Hora de Llegada]]</f>
        <v>45019.117361111108</v>
      </c>
      <c r="P297" s="9">
        <f>spaces_3iWczBNnn5rbfoUlE0Jd_uploads_git_blob_9864c7f811c613c3faab876659c6423__25[[#This Row],[Hora de Llegada]]</f>
        <v>45019.117361111108</v>
      </c>
      <c r="Q297" s="9">
        <f>spaces_3iWczBNnn5rbfoUlE0Jd_uploads_git_blob_9864c7f811c613c3faab876659c6423__25[[#This Row],[Hora de Salida]]</f>
        <v>45019.248611111114</v>
      </c>
      <c r="R297" s="9" cm="1">
        <f t="array" ref="R29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0.14166666667006211</v>
      </c>
      <c r="S297" s="9">
        <f>_xlfn.XLOOKUP(spaces_3iWczBNnn5rbfoUlE0Jd_uploads_git_blob_9864c7f811c613c3faab876659c6423__25[[#This Row],[Número de Orden]],Cocinadinamica!E298:E1066,Cocinadinamica!F298:F1066)/1440</f>
        <v>3.1944444444444442E-2</v>
      </c>
      <c r="T297" s="9" cm="1">
        <f t="array" ref="T29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0.10972222222561767</v>
      </c>
      <c r="U297" s="9" t="str" cm="1">
        <f t="array" ref="U29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98" spans="1:21" x14ac:dyDescent="0.35">
      <c r="A298" s="27">
        <v>4</v>
      </c>
      <c r="B298" s="11" t="s">
        <v>84</v>
      </c>
      <c r="C298" s="11">
        <v>3</v>
      </c>
      <c r="D298" s="12">
        <v>45019.043749999997</v>
      </c>
      <c r="E298" s="12">
        <v>45019.185416666667</v>
      </c>
      <c r="F298" s="11" t="s">
        <v>223</v>
      </c>
      <c r="G298" s="11" t="s">
        <v>86</v>
      </c>
      <c r="H298" s="11" t="s">
        <v>74</v>
      </c>
      <c r="I298" s="16">
        <v>43.46</v>
      </c>
      <c r="J298" s="11" t="s">
        <v>88</v>
      </c>
      <c r="K298" s="11">
        <v>297</v>
      </c>
      <c r="L298" s="11" t="s">
        <v>181</v>
      </c>
      <c r="M298" s="11" t="s">
        <v>1479</v>
      </c>
      <c r="N298">
        <f>_xlfn.XLOOKUP(spaces_3iWczBNnn5rbfoUlE0Jd_uploads_git_blob_9864c7f811c613c3faab876659c6423__25[[#This Row],[Número de Orden]],Cocinadinamica!B299:B1067,Cocinadinamica!C299:C1067)</f>
        <v>72</v>
      </c>
      <c r="O298" s="7">
        <f>spaces_3iWczBNnn5rbfoUlE0Jd_uploads_git_blob_9864c7f811c613c3faab876659c6423__25[[#This Row],[Hora de Llegada]]</f>
        <v>45019.043749999997</v>
      </c>
      <c r="P298" s="9">
        <f>spaces_3iWczBNnn5rbfoUlE0Jd_uploads_git_blob_9864c7f811c613c3faab876659c6423__25[[#This Row],[Hora de Llegada]]</f>
        <v>45019.043749999997</v>
      </c>
      <c r="Q298" s="9">
        <f>spaces_3iWczBNnn5rbfoUlE0Jd_uploads_git_blob_9864c7f811c613c3faab876659c6423__25[[#This Row],[Hora de Salida]]</f>
        <v>45019.185416666667</v>
      </c>
      <c r="R298" s="9" cm="1">
        <f t="array" ref="R29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0.15208333333430346</v>
      </c>
      <c r="S298" s="9">
        <f>_xlfn.XLOOKUP(spaces_3iWczBNnn5rbfoUlE0Jd_uploads_git_blob_9864c7f811c613c3faab876659c6423__25[[#This Row],[Número de Orden]],Cocinadinamica!E299:E1067,Cocinadinamica!F299:F1067)/1440</f>
        <v>7.7777777777777779E-2</v>
      </c>
      <c r="T298" s="9" cm="1">
        <f t="array" ref="T29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7.4305555556525682E-2</v>
      </c>
      <c r="U298" s="9" t="str" cm="1">
        <f t="array" ref="U29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299" spans="1:21" x14ac:dyDescent="0.35">
      <c r="A299" s="28">
        <v>11</v>
      </c>
      <c r="B299" s="13" t="s">
        <v>1025</v>
      </c>
      <c r="C299" s="13">
        <v>4</v>
      </c>
      <c r="D299" s="14">
        <v>45019.134722222225</v>
      </c>
      <c r="E299" s="14">
        <v>45019.228472222225</v>
      </c>
      <c r="F299" s="13" t="s">
        <v>85</v>
      </c>
      <c r="G299" s="13" t="s">
        <v>163</v>
      </c>
      <c r="H299" s="13" t="s">
        <v>74</v>
      </c>
      <c r="I299" s="17">
        <v>23.24</v>
      </c>
      <c r="J299" s="13" t="s">
        <v>94</v>
      </c>
      <c r="K299" s="13">
        <v>298</v>
      </c>
      <c r="L299" s="13" t="s">
        <v>95</v>
      </c>
      <c r="M299" s="13" t="s">
        <v>1480</v>
      </c>
      <c r="N299">
        <f>_xlfn.XLOOKUP(spaces_3iWczBNnn5rbfoUlE0Jd_uploads_git_blob_9864c7f811c613c3faab876659c6423__25[[#This Row],[Número de Orden]],Cocinadinamica!B300:B1068,Cocinadinamica!C300:C1068)</f>
        <v>102</v>
      </c>
      <c r="O299" s="7">
        <f>spaces_3iWczBNnn5rbfoUlE0Jd_uploads_git_blob_9864c7f811c613c3faab876659c6423__25[[#This Row],[Hora de Llegada]]</f>
        <v>45019.134722222225</v>
      </c>
      <c r="P299" s="9">
        <f>spaces_3iWczBNnn5rbfoUlE0Jd_uploads_git_blob_9864c7f811c613c3faab876659c6423__25[[#This Row],[Hora de Llegada]]</f>
        <v>45019.134722222225</v>
      </c>
      <c r="Q299" s="9">
        <f>spaces_3iWczBNnn5rbfoUlE0Jd_uploads_git_blob_9864c7f811c613c3faab876659c6423__25[[#This Row],[Hora de Salida]]</f>
        <v>45019.228472222225</v>
      </c>
      <c r="R299" s="9" cm="1">
        <f t="array" ref="R29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9.375E-2</v>
      </c>
      <c r="S299" s="9">
        <f>_xlfn.XLOOKUP(spaces_3iWczBNnn5rbfoUlE0Jd_uploads_git_blob_9864c7f811c613c3faab876659c6423__25[[#This Row],[Número de Orden]],Cocinadinamica!E300:E1068,Cocinadinamica!F300:F1068)/1440</f>
        <v>9.7916666666666666E-2</v>
      </c>
      <c r="T299" s="9" cm="1">
        <f t="array" ref="T29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299" s="9" t="str" cm="1">
        <f t="array" ref="U29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300" spans="1:21" x14ac:dyDescent="0.35">
      <c r="A300" s="27">
        <v>6</v>
      </c>
      <c r="B300" s="11" t="s">
        <v>1026</v>
      </c>
      <c r="C300" s="11">
        <v>1</v>
      </c>
      <c r="D300" s="12">
        <v>45019.054861111108</v>
      </c>
      <c r="E300" s="12">
        <v>45019.114583333336</v>
      </c>
      <c r="F300" s="11" t="s">
        <v>85</v>
      </c>
      <c r="G300" s="11" t="s">
        <v>73</v>
      </c>
      <c r="H300" s="11" t="s">
        <v>87</v>
      </c>
      <c r="I300" s="16">
        <v>29.68</v>
      </c>
      <c r="J300" s="11" t="s">
        <v>88</v>
      </c>
      <c r="K300" s="11">
        <v>299</v>
      </c>
      <c r="L300" s="11" t="s">
        <v>174</v>
      </c>
      <c r="M300" s="11" t="s">
        <v>1481</v>
      </c>
      <c r="N300">
        <f>_xlfn.XLOOKUP(spaces_3iWczBNnn5rbfoUlE0Jd_uploads_git_blob_9864c7f811c613c3faab876659c6423__25[[#This Row],[Número de Orden]],Cocinadinamica!B301:B1069,Cocinadinamica!C301:C1069)</f>
        <v>74</v>
      </c>
      <c r="O300" s="7">
        <f>spaces_3iWczBNnn5rbfoUlE0Jd_uploads_git_blob_9864c7f811c613c3faab876659c6423__25[[#This Row],[Hora de Llegada]]</f>
        <v>45019.054861111108</v>
      </c>
      <c r="P300" s="9">
        <f>spaces_3iWczBNnn5rbfoUlE0Jd_uploads_git_blob_9864c7f811c613c3faab876659c6423__25[[#This Row],[Hora de Llegada]]</f>
        <v>45019.054861111108</v>
      </c>
      <c r="Q300" s="9">
        <f>spaces_3iWczBNnn5rbfoUlE0Jd_uploads_git_blob_9864c7f811c613c3faab876659c6423__25[[#This Row],[Hora de Salida]]</f>
        <v>45019.114583333336</v>
      </c>
      <c r="R300" s="9" cm="1">
        <f t="array" ref="R30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7.013888889196096E-2</v>
      </c>
      <c r="S300" s="9">
        <f>_xlfn.XLOOKUP(spaces_3iWczBNnn5rbfoUlE0Jd_uploads_git_blob_9864c7f811c613c3faab876659c6423__25[[#This Row],[Número de Orden]],Cocinadinamica!E301:E1069,Cocinadinamica!F301:F1069)/1440</f>
        <v>7.8472222222222221E-2</v>
      </c>
      <c r="T300" s="9" cm="1">
        <f t="array" ref="T30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300" s="9" t="str" cm="1">
        <f t="array" ref="U30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301" spans="1:21" x14ac:dyDescent="0.35">
      <c r="A301" s="28">
        <v>18</v>
      </c>
      <c r="B301" s="13" t="s">
        <v>937</v>
      </c>
      <c r="C301" s="13">
        <v>6</v>
      </c>
      <c r="D301" s="14">
        <v>45019.095138888886</v>
      </c>
      <c r="E301" s="14">
        <v>45019.179861111108</v>
      </c>
      <c r="F301" s="13" t="s">
        <v>100</v>
      </c>
      <c r="G301" s="13" t="s">
        <v>163</v>
      </c>
      <c r="H301" s="13" t="s">
        <v>74</v>
      </c>
      <c r="I301" s="17">
        <v>38.380000000000003</v>
      </c>
      <c r="J301" s="13" t="s">
        <v>94</v>
      </c>
      <c r="K301" s="13">
        <v>300</v>
      </c>
      <c r="L301" s="13" t="s">
        <v>221</v>
      </c>
      <c r="M301" s="13" t="s">
        <v>1482</v>
      </c>
      <c r="N301">
        <f>_xlfn.XLOOKUP(spaces_3iWczBNnn5rbfoUlE0Jd_uploads_git_blob_9864c7f811c613c3faab876659c6423__25[[#This Row],[Número de Orden]],Cocinadinamica!B302:B1070,Cocinadinamica!C302:C1070)</f>
        <v>116</v>
      </c>
      <c r="O301" s="7">
        <f>spaces_3iWczBNnn5rbfoUlE0Jd_uploads_git_blob_9864c7f811c613c3faab876659c6423__25[[#This Row],[Hora de Llegada]]</f>
        <v>45019.095138888886</v>
      </c>
      <c r="P301" s="9">
        <f>spaces_3iWczBNnn5rbfoUlE0Jd_uploads_git_blob_9864c7f811c613c3faab876659c6423__25[[#This Row],[Hora de Llegada]]</f>
        <v>45019.095138888886</v>
      </c>
      <c r="Q301" s="9">
        <f>spaces_3iWczBNnn5rbfoUlE0Jd_uploads_git_blob_9864c7f811c613c3faab876659c6423__25[[#This Row],[Hora de Salida]]</f>
        <v>45019.179861111108</v>
      </c>
      <c r="R301" s="9" cm="1">
        <f t="array" ref="R30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8.4722222221898846E-2</v>
      </c>
      <c r="S301" s="9">
        <f>_xlfn.XLOOKUP(spaces_3iWczBNnn5rbfoUlE0Jd_uploads_git_blob_9864c7f811c613c3faab876659c6423__25[[#This Row],[Número de Orden]],Cocinadinamica!E302:E1070,Cocinadinamica!F302:F1070)/1440</f>
        <v>8.1944444444444445E-2</v>
      </c>
      <c r="T301" s="9" cm="1">
        <f t="array" ref="T30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2.7777777774544016E-3</v>
      </c>
      <c r="U301" s="9" t="str" cm="1">
        <f t="array" ref="U30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02" spans="1:21" x14ac:dyDescent="0.35">
      <c r="A302" s="27">
        <v>8</v>
      </c>
      <c r="B302" s="11" t="s">
        <v>1027</v>
      </c>
      <c r="C302" s="11">
        <v>6</v>
      </c>
      <c r="D302" s="12">
        <v>45019.093055555553</v>
      </c>
      <c r="E302" s="12">
        <v>45019.172222222223</v>
      </c>
      <c r="F302" s="11" t="s">
        <v>85</v>
      </c>
      <c r="G302" s="11" t="s">
        <v>86</v>
      </c>
      <c r="H302" s="11" t="s">
        <v>74</v>
      </c>
      <c r="I302" s="16">
        <v>16.52</v>
      </c>
      <c r="J302" s="11" t="s">
        <v>94</v>
      </c>
      <c r="K302" s="11">
        <v>301</v>
      </c>
      <c r="L302" s="11" t="s">
        <v>174</v>
      </c>
      <c r="M302" s="11" t="s">
        <v>1483</v>
      </c>
      <c r="N302">
        <f>_xlfn.XLOOKUP(spaces_3iWczBNnn5rbfoUlE0Jd_uploads_git_blob_9864c7f811c613c3faab876659c6423__25[[#This Row],[Número de Orden]],Cocinadinamica!B303:B1071,Cocinadinamica!C303:C1071)</f>
        <v>90</v>
      </c>
      <c r="O302" s="7">
        <f>spaces_3iWczBNnn5rbfoUlE0Jd_uploads_git_blob_9864c7f811c613c3faab876659c6423__25[[#This Row],[Hora de Llegada]]</f>
        <v>45019.093055555553</v>
      </c>
      <c r="P302" s="9">
        <f>spaces_3iWczBNnn5rbfoUlE0Jd_uploads_git_blob_9864c7f811c613c3faab876659c6423__25[[#This Row],[Hora de Llegada]]</f>
        <v>45019.093055555553</v>
      </c>
      <c r="Q302" s="9">
        <f>spaces_3iWczBNnn5rbfoUlE0Jd_uploads_git_blob_9864c7f811c613c3faab876659c6423__25[[#This Row],[Hora de Salida]]</f>
        <v>45019.172222222223</v>
      </c>
      <c r="R302" s="9" cm="1">
        <f t="array" ref="R30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7.9166666670062114E-2</v>
      </c>
      <c r="S302" s="9">
        <f>_xlfn.XLOOKUP(spaces_3iWczBNnn5rbfoUlE0Jd_uploads_git_blob_9864c7f811c613c3faab876659c6423__25[[#This Row],[Número de Orden]],Cocinadinamica!E303:E1071,Cocinadinamica!F303:F1071)/1440</f>
        <v>0.12708333333333333</v>
      </c>
      <c r="T302" s="9" cm="1">
        <f t="array" ref="T30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302" s="9" t="str" cm="1">
        <f t="array" ref="U30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303" spans="1:21" x14ac:dyDescent="0.35">
      <c r="A303" s="28" t="s">
        <v>121</v>
      </c>
      <c r="B303" s="13" t="s">
        <v>410</v>
      </c>
      <c r="C303" s="13">
        <v>2</v>
      </c>
      <c r="D303" s="14">
        <v>45019.055555555555</v>
      </c>
      <c r="E303" s="14">
        <v>45019.205555555556</v>
      </c>
      <c r="F303" s="13" t="s">
        <v>223</v>
      </c>
      <c r="G303" s="13" t="s">
        <v>163</v>
      </c>
      <c r="H303" s="13" t="s">
        <v>74</v>
      </c>
      <c r="I303" s="17">
        <v>39.89</v>
      </c>
      <c r="J303" s="13" t="s">
        <v>94</v>
      </c>
      <c r="K303" s="13">
        <v>302</v>
      </c>
      <c r="L303" s="13" t="s">
        <v>110</v>
      </c>
      <c r="M303" s="13" t="s">
        <v>33</v>
      </c>
      <c r="N303">
        <f>_xlfn.XLOOKUP(spaces_3iWczBNnn5rbfoUlE0Jd_uploads_git_blob_9864c7f811c613c3faab876659c6423__25[[#This Row],[Número de Orden]],Cocinadinamica!B304:B1072,Cocinadinamica!C304:C1072)</f>
        <v>39</v>
      </c>
      <c r="O303" s="7">
        <f>spaces_3iWczBNnn5rbfoUlE0Jd_uploads_git_blob_9864c7f811c613c3faab876659c6423__25[[#This Row],[Hora de Llegada]]</f>
        <v>45019.055555555555</v>
      </c>
      <c r="P303" s="9">
        <f>spaces_3iWczBNnn5rbfoUlE0Jd_uploads_git_blob_9864c7f811c613c3faab876659c6423__25[[#This Row],[Hora de Llegada]]</f>
        <v>45019.055555555555</v>
      </c>
      <c r="Q303" s="9">
        <f>spaces_3iWczBNnn5rbfoUlE0Jd_uploads_git_blob_9864c7f811c613c3faab876659c6423__25[[#This Row],[Hora de Salida]]</f>
        <v>45019.205555555556</v>
      </c>
      <c r="R303" s="9" cm="1">
        <f t="array" ref="R30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0.15000000000145519</v>
      </c>
      <c r="S303" s="9">
        <f>_xlfn.XLOOKUP(spaces_3iWczBNnn5rbfoUlE0Jd_uploads_git_blob_9864c7f811c613c3faab876659c6423__25[[#This Row],[Número de Orden]],Cocinadinamica!E304:E1072,Cocinadinamica!F304:F1072)/1440</f>
        <v>1.0416666666666666E-2</v>
      </c>
      <c r="T303" s="9" cm="1">
        <f t="array" ref="T30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0.13958333333478853</v>
      </c>
      <c r="U303" s="9" t="str" cm="1">
        <f t="array" ref="U30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04" spans="1:21" x14ac:dyDescent="0.35">
      <c r="A304" s="27">
        <v>14</v>
      </c>
      <c r="B304" s="11" t="s">
        <v>1028</v>
      </c>
      <c r="C304" s="11">
        <v>5</v>
      </c>
      <c r="D304" s="12">
        <v>45019.151388888888</v>
      </c>
      <c r="E304" s="12">
        <v>45019.26666666667</v>
      </c>
      <c r="F304" s="11" t="s">
        <v>85</v>
      </c>
      <c r="G304" s="11" t="s">
        <v>163</v>
      </c>
      <c r="H304" s="11" t="s">
        <v>109</v>
      </c>
      <c r="I304" s="16">
        <v>16.489999999999998</v>
      </c>
      <c r="J304" s="11" t="s">
        <v>88</v>
      </c>
      <c r="K304" s="11">
        <v>303</v>
      </c>
      <c r="L304" s="11" t="s">
        <v>89</v>
      </c>
      <c r="M304" s="11" t="s">
        <v>1484</v>
      </c>
      <c r="N304">
        <f>_xlfn.XLOOKUP(spaces_3iWczBNnn5rbfoUlE0Jd_uploads_git_blob_9864c7f811c613c3faab876659c6423__25[[#This Row],[Número de Orden]],Cocinadinamica!B305:B1073,Cocinadinamica!C305:C1073)</f>
        <v>82</v>
      </c>
      <c r="O304" s="7">
        <f>spaces_3iWczBNnn5rbfoUlE0Jd_uploads_git_blob_9864c7f811c613c3faab876659c6423__25[[#This Row],[Hora de Llegada]]</f>
        <v>45019.151388888888</v>
      </c>
      <c r="P304" s="9">
        <f>spaces_3iWczBNnn5rbfoUlE0Jd_uploads_git_blob_9864c7f811c613c3faab876659c6423__25[[#This Row],[Hora de Llegada]]</f>
        <v>45019.151388888888</v>
      </c>
      <c r="Q304" s="9">
        <f>spaces_3iWczBNnn5rbfoUlE0Jd_uploads_git_blob_9864c7f811c613c3faab876659c6423__25[[#This Row],[Hora de Salida]]</f>
        <v>45019.26666666667</v>
      </c>
      <c r="R304" s="9" cm="1">
        <f t="array" ref="R30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0.12569444444670808</v>
      </c>
      <c r="S304" s="9">
        <f>_xlfn.XLOOKUP(spaces_3iWczBNnn5rbfoUlE0Jd_uploads_git_blob_9864c7f811c613c3faab876659c6423__25[[#This Row],[Número de Orden]],Cocinadinamica!E305:E1073,Cocinadinamica!F305:F1073)/1440</f>
        <v>6.3888888888888884E-2</v>
      </c>
      <c r="T304" s="9" cm="1">
        <f t="array" ref="T30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6.1805555557819192E-2</v>
      </c>
      <c r="U304" s="9" t="str" cm="1">
        <f t="array" ref="U30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05" spans="1:21" x14ac:dyDescent="0.35">
      <c r="A305" s="28">
        <v>6</v>
      </c>
      <c r="B305" s="13" t="s">
        <v>1029</v>
      </c>
      <c r="C305" s="13">
        <v>4</v>
      </c>
      <c r="D305" s="14">
        <v>45019.14166666667</v>
      </c>
      <c r="E305" s="14">
        <v>45019.194444444445</v>
      </c>
      <c r="F305" s="13" t="s">
        <v>223</v>
      </c>
      <c r="G305" s="13" t="s">
        <v>86</v>
      </c>
      <c r="H305" s="13" t="s">
        <v>74</v>
      </c>
      <c r="I305" s="17">
        <v>22.05</v>
      </c>
      <c r="J305" s="13" t="s">
        <v>94</v>
      </c>
      <c r="K305" s="13">
        <v>304</v>
      </c>
      <c r="L305" s="13" t="s">
        <v>110</v>
      </c>
      <c r="M305" s="13" t="s">
        <v>1485</v>
      </c>
      <c r="N305">
        <f>_xlfn.XLOOKUP(spaces_3iWczBNnn5rbfoUlE0Jd_uploads_git_blob_9864c7f811c613c3faab876659c6423__25[[#This Row],[Número de Orden]],Cocinadinamica!B306:B1074,Cocinadinamica!C306:C1074)</f>
        <v>108</v>
      </c>
      <c r="O305" s="7">
        <f>spaces_3iWczBNnn5rbfoUlE0Jd_uploads_git_blob_9864c7f811c613c3faab876659c6423__25[[#This Row],[Hora de Llegada]]</f>
        <v>45019.14166666667</v>
      </c>
      <c r="P305" s="9">
        <f>spaces_3iWczBNnn5rbfoUlE0Jd_uploads_git_blob_9864c7f811c613c3faab876659c6423__25[[#This Row],[Hora de Llegada]]</f>
        <v>45019.14166666667</v>
      </c>
      <c r="Q305" s="9">
        <f>spaces_3iWczBNnn5rbfoUlE0Jd_uploads_git_blob_9864c7f811c613c3faab876659c6423__25[[#This Row],[Hora de Salida]]</f>
        <v>45019.194444444445</v>
      </c>
      <c r="R305" s="9" cm="1">
        <f t="array" ref="R30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5.2777777775190771E-2</v>
      </c>
      <c r="S305" s="9">
        <f>_xlfn.XLOOKUP(spaces_3iWczBNnn5rbfoUlE0Jd_uploads_git_blob_9864c7f811c613c3faab876659c6423__25[[#This Row],[Número de Orden]],Cocinadinamica!E306:E1074,Cocinadinamica!F306:F1074)/1440</f>
        <v>5.9027777777777776E-2</v>
      </c>
      <c r="T305" s="9" cm="1">
        <f t="array" ref="T30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305" s="9" t="str" cm="1">
        <f t="array" ref="U30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306" spans="1:21" x14ac:dyDescent="0.35">
      <c r="A306" s="27">
        <v>1</v>
      </c>
      <c r="B306" s="11" t="s">
        <v>1030</v>
      </c>
      <c r="C306" s="11">
        <v>2</v>
      </c>
      <c r="D306" s="12">
        <v>45019.03125</v>
      </c>
      <c r="E306" s="12">
        <v>45019.175694444442</v>
      </c>
      <c r="F306" s="11" t="s">
        <v>223</v>
      </c>
      <c r="G306" s="11" t="s">
        <v>86</v>
      </c>
      <c r="H306" s="11" t="s">
        <v>74</v>
      </c>
      <c r="I306" s="16">
        <v>37.92</v>
      </c>
      <c r="J306" s="11" t="s">
        <v>94</v>
      </c>
      <c r="K306" s="11">
        <v>305</v>
      </c>
      <c r="L306" s="11" t="s">
        <v>101</v>
      </c>
      <c r="M306" s="11" t="s">
        <v>1486</v>
      </c>
      <c r="N306">
        <f>_xlfn.XLOOKUP(spaces_3iWczBNnn5rbfoUlE0Jd_uploads_git_blob_9864c7f811c613c3faab876659c6423__25[[#This Row],[Número de Orden]],Cocinadinamica!B307:B1075,Cocinadinamica!C307:C1075)</f>
        <v>51</v>
      </c>
      <c r="O306" s="7">
        <f>spaces_3iWczBNnn5rbfoUlE0Jd_uploads_git_blob_9864c7f811c613c3faab876659c6423__25[[#This Row],[Hora de Llegada]]</f>
        <v>45019.03125</v>
      </c>
      <c r="P306" s="9">
        <f>spaces_3iWczBNnn5rbfoUlE0Jd_uploads_git_blob_9864c7f811c613c3faab876659c6423__25[[#This Row],[Hora de Llegada]]</f>
        <v>45019.03125</v>
      </c>
      <c r="Q306" s="9">
        <f>spaces_3iWczBNnn5rbfoUlE0Jd_uploads_git_blob_9864c7f811c613c3faab876659c6423__25[[#This Row],[Hora de Salida]]</f>
        <v>45019.175694444442</v>
      </c>
      <c r="R306" s="9" cm="1">
        <f t="array" ref="R30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0.1444444444423425</v>
      </c>
      <c r="S306" s="9">
        <f>_xlfn.XLOOKUP(spaces_3iWczBNnn5rbfoUlE0Jd_uploads_git_blob_9864c7f811c613c3faab876659c6423__25[[#This Row],[Número de Orden]],Cocinadinamica!E307:E1075,Cocinadinamica!F307:F1075)/1440</f>
        <v>4.5138888888888888E-2</v>
      </c>
      <c r="T306" s="9" cm="1">
        <f t="array" ref="T30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9.9305555553453606E-2</v>
      </c>
      <c r="U306" s="9" t="str" cm="1">
        <f t="array" ref="U30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07" spans="1:21" x14ac:dyDescent="0.35">
      <c r="A307" s="28" t="s">
        <v>70</v>
      </c>
      <c r="B307" s="13" t="s">
        <v>414</v>
      </c>
      <c r="C307" s="13">
        <v>4</v>
      </c>
      <c r="D307" s="14">
        <v>45019.002083333333</v>
      </c>
      <c r="E307" s="14">
        <v>45019.105555555558</v>
      </c>
      <c r="F307" s="13" t="s">
        <v>85</v>
      </c>
      <c r="G307" s="13" t="s">
        <v>86</v>
      </c>
      <c r="H307" s="13" t="s">
        <v>74</v>
      </c>
      <c r="I307" s="17">
        <v>16.96</v>
      </c>
      <c r="J307" s="13" t="s">
        <v>88</v>
      </c>
      <c r="K307" s="13">
        <v>306</v>
      </c>
      <c r="L307" s="13" t="s">
        <v>101</v>
      </c>
      <c r="M307" s="13" t="s">
        <v>33</v>
      </c>
      <c r="N307">
        <f>_xlfn.XLOOKUP(spaces_3iWczBNnn5rbfoUlE0Jd_uploads_git_blob_9864c7f811c613c3faab876659c6423__25[[#This Row],[Número de Orden]],Cocinadinamica!B308:B1076,Cocinadinamica!C308:C1076)</f>
        <v>13</v>
      </c>
      <c r="O307" s="7">
        <f>spaces_3iWczBNnn5rbfoUlE0Jd_uploads_git_blob_9864c7f811c613c3faab876659c6423__25[[#This Row],[Hora de Llegada]]</f>
        <v>45019.002083333333</v>
      </c>
      <c r="P307" s="9">
        <f>spaces_3iWczBNnn5rbfoUlE0Jd_uploads_git_blob_9864c7f811c613c3faab876659c6423__25[[#This Row],[Hora de Llegada]]</f>
        <v>45019.002083333333</v>
      </c>
      <c r="Q307" s="9">
        <f>spaces_3iWczBNnn5rbfoUlE0Jd_uploads_git_blob_9864c7f811c613c3faab876659c6423__25[[#This Row],[Hora de Salida]]</f>
        <v>45019.105555555558</v>
      </c>
      <c r="R307" s="9" cm="1">
        <f t="array" ref="R30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0.11388888888905058</v>
      </c>
      <c r="S307" s="9">
        <f>_xlfn.XLOOKUP(spaces_3iWczBNnn5rbfoUlE0Jd_uploads_git_blob_9864c7f811c613c3faab876659c6423__25[[#This Row],[Número de Orden]],Cocinadinamica!E308:E1076,Cocinadinamica!F308:F1076)/1440</f>
        <v>1.4583333333333334E-2</v>
      </c>
      <c r="T307" s="9" cm="1">
        <f t="array" ref="T30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9.930555555571724E-2</v>
      </c>
      <c r="U307" s="9" t="str" cm="1">
        <f t="array" ref="U30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08" spans="1:21" x14ac:dyDescent="0.35">
      <c r="A308" s="27" t="s">
        <v>92</v>
      </c>
      <c r="B308" s="11" t="s">
        <v>93</v>
      </c>
      <c r="C308" s="11">
        <v>5</v>
      </c>
      <c r="D308" s="12">
        <v>45019.131249999999</v>
      </c>
      <c r="E308" s="12">
        <v>45019.23541666667</v>
      </c>
      <c r="F308" s="11" t="s">
        <v>223</v>
      </c>
      <c r="G308" s="11" t="s">
        <v>86</v>
      </c>
      <c r="H308" s="11" t="s">
        <v>87</v>
      </c>
      <c r="I308" s="16">
        <v>31.66</v>
      </c>
      <c r="J308" s="11" t="s">
        <v>75</v>
      </c>
      <c r="K308" s="11">
        <v>307</v>
      </c>
      <c r="L308" s="11" t="s">
        <v>76</v>
      </c>
      <c r="M308" s="11" t="s">
        <v>43</v>
      </c>
      <c r="N308">
        <f>_xlfn.XLOOKUP(spaces_3iWczBNnn5rbfoUlE0Jd_uploads_git_blob_9864c7f811c613c3faab876659c6423__25[[#This Row],[Número de Orden]],Cocinadinamica!B309:B1077,Cocinadinamica!C309:C1077)</f>
        <v>24</v>
      </c>
      <c r="O308" s="7">
        <f>spaces_3iWczBNnn5rbfoUlE0Jd_uploads_git_blob_9864c7f811c613c3faab876659c6423__25[[#This Row],[Hora de Llegada]]</f>
        <v>45019.131249999999</v>
      </c>
      <c r="P308" s="9">
        <f>spaces_3iWczBNnn5rbfoUlE0Jd_uploads_git_blob_9864c7f811c613c3faab876659c6423__25[[#This Row],[Hora de Llegada]]</f>
        <v>45019.131249999999</v>
      </c>
      <c r="Q308" s="9">
        <f>spaces_3iWczBNnn5rbfoUlE0Jd_uploads_git_blob_9864c7f811c613c3faab876659c6423__25[[#This Row],[Hora de Salida]]</f>
        <v>45019.23541666667</v>
      </c>
      <c r="R308" s="9" cm="1">
        <f t="array" ref="R30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0.10416666667151731</v>
      </c>
      <c r="S308" s="9">
        <f>_xlfn.XLOOKUP(spaces_3iWczBNnn5rbfoUlE0Jd_uploads_git_blob_9864c7f811c613c3faab876659c6423__25[[#This Row],[Número de Orden]],Cocinadinamica!E309:E1077,Cocinadinamica!F309:F1077)/1440</f>
        <v>2.7083333333333334E-2</v>
      </c>
      <c r="T308" s="9" cm="1">
        <f t="array" ref="T30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7.7083333338183971E-2</v>
      </c>
      <c r="U308" s="9" t="str" cm="1">
        <f t="array" ref="U30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09" spans="1:21" x14ac:dyDescent="0.35">
      <c r="A309" s="28">
        <v>14</v>
      </c>
      <c r="B309" s="13" t="s">
        <v>1031</v>
      </c>
      <c r="C309" s="13">
        <v>6</v>
      </c>
      <c r="D309" s="14">
        <v>45019.079861111109</v>
      </c>
      <c r="E309" s="14">
        <v>45019.193749999999</v>
      </c>
      <c r="F309" s="13" t="s">
        <v>100</v>
      </c>
      <c r="G309" s="13" t="s">
        <v>86</v>
      </c>
      <c r="H309" s="13" t="s">
        <v>74</v>
      </c>
      <c r="I309" s="17">
        <v>33.79</v>
      </c>
      <c r="J309" s="13" t="s">
        <v>94</v>
      </c>
      <c r="K309" s="13">
        <v>308</v>
      </c>
      <c r="L309" s="13" t="s">
        <v>174</v>
      </c>
      <c r="M309" s="13" t="s">
        <v>1487</v>
      </c>
      <c r="N309">
        <f>_xlfn.XLOOKUP(spaces_3iWczBNnn5rbfoUlE0Jd_uploads_git_blob_9864c7f811c613c3faab876659c6423__25[[#This Row],[Número de Orden]],Cocinadinamica!B310:B1078,Cocinadinamica!C310:C1078)</f>
        <v>90</v>
      </c>
      <c r="O309" s="7">
        <f>spaces_3iWczBNnn5rbfoUlE0Jd_uploads_git_blob_9864c7f811c613c3faab876659c6423__25[[#This Row],[Hora de Llegada]]</f>
        <v>45019.079861111109</v>
      </c>
      <c r="P309" s="9">
        <f>spaces_3iWczBNnn5rbfoUlE0Jd_uploads_git_blob_9864c7f811c613c3faab876659c6423__25[[#This Row],[Hora de Llegada]]</f>
        <v>45019.079861111109</v>
      </c>
      <c r="Q309" s="9">
        <f>spaces_3iWczBNnn5rbfoUlE0Jd_uploads_git_blob_9864c7f811c613c3faab876659c6423__25[[#This Row],[Hora de Salida]]</f>
        <v>45019.193749999999</v>
      </c>
      <c r="R309" s="9" cm="1">
        <f t="array" ref="R30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0.11388888888905058</v>
      </c>
      <c r="S309" s="9">
        <f>_xlfn.XLOOKUP(spaces_3iWczBNnn5rbfoUlE0Jd_uploads_git_blob_9864c7f811c613c3faab876659c6423__25[[#This Row],[Número de Orden]],Cocinadinamica!E310:E1078,Cocinadinamica!F310:F1078)/1440</f>
        <v>0.12916666666666668</v>
      </c>
      <c r="T309" s="9" cm="1">
        <f t="array" ref="T30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309" s="9" t="str" cm="1">
        <f t="array" ref="U30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310" spans="1:21" x14ac:dyDescent="0.35">
      <c r="A310" s="27">
        <v>9</v>
      </c>
      <c r="B310" s="11" t="s">
        <v>1032</v>
      </c>
      <c r="C310" s="11">
        <v>3</v>
      </c>
      <c r="D310" s="12">
        <v>45019.019444444442</v>
      </c>
      <c r="E310" s="12">
        <v>45019.170138888891</v>
      </c>
      <c r="F310" s="11" t="s">
        <v>223</v>
      </c>
      <c r="G310" s="11" t="s">
        <v>86</v>
      </c>
      <c r="H310" s="11" t="s">
        <v>74</v>
      </c>
      <c r="I310" s="16">
        <v>36.090000000000003</v>
      </c>
      <c r="J310" s="11" t="s">
        <v>94</v>
      </c>
      <c r="K310" s="11">
        <v>309</v>
      </c>
      <c r="L310" s="11" t="s">
        <v>164</v>
      </c>
      <c r="M310" s="11" t="s">
        <v>1488</v>
      </c>
      <c r="N310">
        <f>_xlfn.XLOOKUP(spaces_3iWczBNnn5rbfoUlE0Jd_uploads_git_blob_9864c7f811c613c3faab876659c6423__25[[#This Row],[Número de Orden]],Cocinadinamica!B311:B1079,Cocinadinamica!C311:C1079)</f>
        <v>67</v>
      </c>
      <c r="O310" s="7">
        <f>spaces_3iWczBNnn5rbfoUlE0Jd_uploads_git_blob_9864c7f811c613c3faab876659c6423__25[[#This Row],[Hora de Llegada]]</f>
        <v>45019.019444444442</v>
      </c>
      <c r="P310" s="9">
        <f>spaces_3iWczBNnn5rbfoUlE0Jd_uploads_git_blob_9864c7f811c613c3faab876659c6423__25[[#This Row],[Hora de Llegada]]</f>
        <v>45019.019444444442</v>
      </c>
      <c r="Q310" s="9">
        <f>spaces_3iWczBNnn5rbfoUlE0Jd_uploads_git_blob_9864c7f811c613c3faab876659c6423__25[[#This Row],[Hora de Salida]]</f>
        <v>45019.170138888891</v>
      </c>
      <c r="R310" s="9" cm="1">
        <f t="array" ref="R31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0.15069444444816327</v>
      </c>
      <c r="S310" s="9">
        <f>_xlfn.XLOOKUP(spaces_3iWczBNnn5rbfoUlE0Jd_uploads_git_blob_9864c7f811c613c3faab876659c6423__25[[#This Row],[Número de Orden]],Cocinadinamica!E311:E1079,Cocinadinamica!F311:F1079)/1440</f>
        <v>8.5416666666666669E-2</v>
      </c>
      <c r="T310" s="9" cm="1">
        <f t="array" ref="T31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6.5277777781496599E-2</v>
      </c>
      <c r="U310" s="9" t="str" cm="1">
        <f t="array" ref="U31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1" spans="1:21" x14ac:dyDescent="0.35">
      <c r="A311" s="28">
        <v>17</v>
      </c>
      <c r="B311" s="13" t="s">
        <v>1033</v>
      </c>
      <c r="C311" s="13">
        <v>3</v>
      </c>
      <c r="D311" s="14">
        <v>45019.12777777778</v>
      </c>
      <c r="E311" s="14">
        <v>45019.265972222223</v>
      </c>
      <c r="F311" s="13" t="s">
        <v>85</v>
      </c>
      <c r="G311" s="13" t="s">
        <v>73</v>
      </c>
      <c r="H311" s="13" t="s">
        <v>74</v>
      </c>
      <c r="I311" s="17">
        <v>11.47</v>
      </c>
      <c r="J311" s="13" t="s">
        <v>75</v>
      </c>
      <c r="K311" s="13">
        <v>310</v>
      </c>
      <c r="L311" s="13" t="s">
        <v>174</v>
      </c>
      <c r="M311" s="13" t="s">
        <v>1489</v>
      </c>
      <c r="N311">
        <f>_xlfn.XLOOKUP(spaces_3iWczBNnn5rbfoUlE0Jd_uploads_git_blob_9864c7f811c613c3faab876659c6423__25[[#This Row],[Número de Orden]],Cocinadinamica!B312:B1080,Cocinadinamica!C312:C1080)</f>
        <v>57</v>
      </c>
      <c r="O311" s="7">
        <f>spaces_3iWczBNnn5rbfoUlE0Jd_uploads_git_blob_9864c7f811c613c3faab876659c6423__25[[#This Row],[Hora de Llegada]]</f>
        <v>45019.12777777778</v>
      </c>
      <c r="P311" s="9">
        <f>spaces_3iWczBNnn5rbfoUlE0Jd_uploads_git_blob_9864c7f811c613c3faab876659c6423__25[[#This Row],[Hora de Llegada]]</f>
        <v>45019.12777777778</v>
      </c>
      <c r="Q311" s="9">
        <f>spaces_3iWczBNnn5rbfoUlE0Jd_uploads_git_blob_9864c7f811c613c3faab876659c6423__25[[#This Row],[Hora de Salida]]</f>
        <v>45019.265972222223</v>
      </c>
      <c r="R311" s="9" cm="1">
        <f t="array" ref="R31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0.13819444444379769</v>
      </c>
      <c r="S311" s="9">
        <f>_xlfn.XLOOKUP(spaces_3iWczBNnn5rbfoUlE0Jd_uploads_git_blob_9864c7f811c613c3faab876659c6423__25[[#This Row],[Número de Orden]],Cocinadinamica!E312:E1080,Cocinadinamica!F312:F1080)/1440</f>
        <v>6.7361111111111108E-2</v>
      </c>
      <c r="T311" s="9" cm="1">
        <f t="array" ref="T31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7.0833333332686585E-2</v>
      </c>
      <c r="U311" s="9" t="str" cm="1">
        <f t="array" ref="U31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2" spans="1:21" x14ac:dyDescent="0.35">
      <c r="A312" s="27">
        <v>6</v>
      </c>
      <c r="B312" s="11" t="s">
        <v>1034</v>
      </c>
      <c r="C312" s="11">
        <v>4</v>
      </c>
      <c r="D312" s="12">
        <v>45019.069444444445</v>
      </c>
      <c r="E312" s="12">
        <v>45019.113194444442</v>
      </c>
      <c r="F312" s="11" t="s">
        <v>170</v>
      </c>
      <c r="G312" s="11" t="s">
        <v>163</v>
      </c>
      <c r="H312" s="11" t="s">
        <v>87</v>
      </c>
      <c r="I312" s="16">
        <v>39.270000000000003</v>
      </c>
      <c r="J312" s="11" t="s">
        <v>88</v>
      </c>
      <c r="K312" s="11">
        <v>311</v>
      </c>
      <c r="L312" s="11" t="s">
        <v>221</v>
      </c>
      <c r="M312" s="11" t="s">
        <v>1490</v>
      </c>
      <c r="N312">
        <f>_xlfn.XLOOKUP(spaces_3iWczBNnn5rbfoUlE0Jd_uploads_git_blob_9864c7f811c613c3faab876659c6423__25[[#This Row],[Número de Orden]],Cocinadinamica!B313:B1081,Cocinadinamica!C313:C1081)</f>
        <v>22</v>
      </c>
      <c r="O312" s="7">
        <f>spaces_3iWczBNnn5rbfoUlE0Jd_uploads_git_blob_9864c7f811c613c3faab876659c6423__25[[#This Row],[Hora de Llegada]]</f>
        <v>45019.069444444445</v>
      </c>
      <c r="P312" s="9">
        <f>spaces_3iWczBNnn5rbfoUlE0Jd_uploads_git_blob_9864c7f811c613c3faab876659c6423__25[[#This Row],[Hora de Llegada]]</f>
        <v>45019.069444444445</v>
      </c>
      <c r="Q312" s="9">
        <f>spaces_3iWczBNnn5rbfoUlE0Jd_uploads_git_blob_9864c7f811c613c3faab876659c6423__25[[#This Row],[Hora de Salida]]</f>
        <v>45019.113194444442</v>
      </c>
      <c r="R312" s="9" cm="1">
        <f t="array" ref="R31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5.4166666661330964E-2</v>
      </c>
      <c r="S312" s="9">
        <f>_xlfn.XLOOKUP(spaces_3iWczBNnn5rbfoUlE0Jd_uploads_git_blob_9864c7f811c613c3faab876659c6423__25[[#This Row],[Número de Orden]],Cocinadinamica!E313:E1081,Cocinadinamica!F313:F1081)/1440</f>
        <v>5.1388888888888887E-2</v>
      </c>
      <c r="T312" s="9" cm="1">
        <f t="array" ref="T31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2.7777777724420777E-3</v>
      </c>
      <c r="U312" s="9" t="str" cm="1">
        <f t="array" ref="U31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3" spans="1:21" x14ac:dyDescent="0.35">
      <c r="A313" s="28">
        <v>2</v>
      </c>
      <c r="B313" s="13" t="s">
        <v>676</v>
      </c>
      <c r="C313" s="13">
        <v>4</v>
      </c>
      <c r="D313" s="14">
        <v>45019.129861111112</v>
      </c>
      <c r="E313" s="14">
        <v>45019.258333333331</v>
      </c>
      <c r="F313" s="13" t="s">
        <v>170</v>
      </c>
      <c r="G313" s="13" t="s">
        <v>86</v>
      </c>
      <c r="H313" s="13" t="s">
        <v>74</v>
      </c>
      <c r="I313" s="17">
        <v>30.89</v>
      </c>
      <c r="J313" s="13" t="s">
        <v>94</v>
      </c>
      <c r="K313" s="13">
        <v>312</v>
      </c>
      <c r="L313" s="13" t="s">
        <v>174</v>
      </c>
      <c r="M313" s="13" t="s">
        <v>1491</v>
      </c>
      <c r="N313">
        <f>_xlfn.XLOOKUP(spaces_3iWczBNnn5rbfoUlE0Jd_uploads_git_blob_9864c7f811c613c3faab876659c6423__25[[#This Row],[Número de Orden]],Cocinadinamica!B314:B1082,Cocinadinamica!C314:C1082)</f>
        <v>54</v>
      </c>
      <c r="O313" s="7">
        <f>spaces_3iWczBNnn5rbfoUlE0Jd_uploads_git_blob_9864c7f811c613c3faab876659c6423__25[[#This Row],[Hora de Llegada]]</f>
        <v>45019.129861111112</v>
      </c>
      <c r="P313" s="9">
        <f>spaces_3iWczBNnn5rbfoUlE0Jd_uploads_git_blob_9864c7f811c613c3faab876659c6423__25[[#This Row],[Hora de Llegada]]</f>
        <v>45019.129861111112</v>
      </c>
      <c r="Q313" s="9">
        <f>spaces_3iWczBNnn5rbfoUlE0Jd_uploads_git_blob_9864c7f811c613c3faab876659c6423__25[[#This Row],[Hora de Salida]]</f>
        <v>45019.258333333331</v>
      </c>
      <c r="R313" s="9" cm="1">
        <f t="array" ref="R31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0.12847222221898846</v>
      </c>
      <c r="S313" s="9">
        <f>_xlfn.XLOOKUP(spaces_3iWczBNnn5rbfoUlE0Jd_uploads_git_blob_9864c7f811c613c3faab876659c6423__25[[#This Row],[Número de Orden]],Cocinadinamica!E314:E1082,Cocinadinamica!F314:F1082)/1440</f>
        <v>3.8194444444444448E-2</v>
      </c>
      <c r="T313" s="9" cm="1">
        <f t="array" ref="T31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9.0277777774544016E-2</v>
      </c>
      <c r="U313" s="9" t="str" cm="1">
        <f t="array" ref="U31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4" spans="1:21" x14ac:dyDescent="0.35">
      <c r="A314" s="27">
        <v>10</v>
      </c>
      <c r="B314" s="11" t="s">
        <v>868</v>
      </c>
      <c r="C314" s="11">
        <v>3</v>
      </c>
      <c r="D314" s="12">
        <v>45019.099305555559</v>
      </c>
      <c r="E314" s="12">
        <v>45019.240277777775</v>
      </c>
      <c r="F314" s="11" t="s">
        <v>223</v>
      </c>
      <c r="G314" s="11" t="s">
        <v>163</v>
      </c>
      <c r="H314" s="11" t="s">
        <v>109</v>
      </c>
      <c r="I314" s="16">
        <v>43.14</v>
      </c>
      <c r="J314" s="11" t="s">
        <v>94</v>
      </c>
      <c r="K314" s="11">
        <v>313</v>
      </c>
      <c r="L314" s="11" t="s">
        <v>181</v>
      </c>
      <c r="M314" s="11" t="s">
        <v>1492</v>
      </c>
      <c r="N314">
        <f>_xlfn.XLOOKUP(spaces_3iWczBNnn5rbfoUlE0Jd_uploads_git_blob_9864c7f811c613c3faab876659c6423__25[[#This Row],[Número de Orden]],Cocinadinamica!B315:B1083,Cocinadinamica!C315:C1083)</f>
        <v>92</v>
      </c>
      <c r="O314" s="7">
        <f>spaces_3iWczBNnn5rbfoUlE0Jd_uploads_git_blob_9864c7f811c613c3faab876659c6423__25[[#This Row],[Hora de Llegada]]</f>
        <v>45019.099305555559</v>
      </c>
      <c r="P314" s="9">
        <f>spaces_3iWczBNnn5rbfoUlE0Jd_uploads_git_blob_9864c7f811c613c3faab876659c6423__25[[#This Row],[Hora de Llegada]]</f>
        <v>45019.099305555559</v>
      </c>
      <c r="Q314" s="9">
        <f>spaces_3iWczBNnn5rbfoUlE0Jd_uploads_git_blob_9864c7f811c613c3faab876659c6423__25[[#This Row],[Hora de Salida]]</f>
        <v>45019.240277777775</v>
      </c>
      <c r="R314" s="9" cm="1">
        <f t="array" ref="R31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0.14097222221607808</v>
      </c>
      <c r="S314" s="9">
        <f>_xlfn.XLOOKUP(spaces_3iWczBNnn5rbfoUlE0Jd_uploads_git_blob_9864c7f811c613c3faab876659c6423__25[[#This Row],[Número de Orden]],Cocinadinamica!E315:E1083,Cocinadinamica!F315:F1083)/1440</f>
        <v>7.3611111111111113E-2</v>
      </c>
      <c r="T314" s="9" cm="1">
        <f t="array" ref="T31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6.7361111104966967E-2</v>
      </c>
      <c r="U314" s="9" t="str" cm="1">
        <f t="array" ref="U31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5" spans="1:21" x14ac:dyDescent="0.35">
      <c r="A315" s="28" t="s">
        <v>92</v>
      </c>
      <c r="B315" s="13" t="s">
        <v>421</v>
      </c>
      <c r="C315" s="13">
        <v>5</v>
      </c>
      <c r="D315" s="14">
        <v>45019.031944444447</v>
      </c>
      <c r="E315" s="14">
        <v>45019.161805555559</v>
      </c>
      <c r="F315" s="13" t="s">
        <v>72</v>
      </c>
      <c r="G315" s="13" t="s">
        <v>86</v>
      </c>
      <c r="H315" s="13" t="s">
        <v>109</v>
      </c>
      <c r="I315" s="17">
        <v>32.18</v>
      </c>
      <c r="J315" s="13" t="s">
        <v>88</v>
      </c>
      <c r="K315" s="13">
        <v>314</v>
      </c>
      <c r="L315" s="13" t="s">
        <v>101</v>
      </c>
      <c r="M315" s="13" t="s">
        <v>17</v>
      </c>
      <c r="N315">
        <f>_xlfn.XLOOKUP(spaces_3iWczBNnn5rbfoUlE0Jd_uploads_git_blob_9864c7f811c613c3faab876659c6423__25[[#This Row],[Número de Orden]],Cocinadinamica!B316:B1084,Cocinadinamica!C316:C1084)</f>
        <v>11</v>
      </c>
      <c r="O315" s="7">
        <f>spaces_3iWczBNnn5rbfoUlE0Jd_uploads_git_blob_9864c7f811c613c3faab876659c6423__25[[#This Row],[Hora de Llegada]]</f>
        <v>45019.031944444447</v>
      </c>
      <c r="P315" s="9">
        <f>spaces_3iWczBNnn5rbfoUlE0Jd_uploads_git_blob_9864c7f811c613c3faab876659c6423__25[[#This Row],[Hora de Llegada]]</f>
        <v>45019.031944444447</v>
      </c>
      <c r="Q315" s="9">
        <f>spaces_3iWczBNnn5rbfoUlE0Jd_uploads_git_blob_9864c7f811c613c3faab876659c6423__25[[#This Row],[Hora de Salida]]</f>
        <v>45019.161805555559</v>
      </c>
      <c r="R315" s="9" cm="1">
        <f t="array" ref="R31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0.14027777777664596</v>
      </c>
      <c r="S315" s="9">
        <f>_xlfn.XLOOKUP(spaces_3iWczBNnn5rbfoUlE0Jd_uploads_git_blob_9864c7f811c613c3faab876659c6423__25[[#This Row],[Número de Orden]],Cocinadinamica!E316:E1084,Cocinadinamica!F316:F1084)/1440</f>
        <v>3.472222222222222E-3</v>
      </c>
      <c r="T315" s="9" cm="1">
        <f t="array" ref="T31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0.13680555555442375</v>
      </c>
      <c r="U315" s="9" t="str" cm="1">
        <f t="array" ref="U31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6" spans="1:21" x14ac:dyDescent="0.35">
      <c r="A316" s="27">
        <v>14</v>
      </c>
      <c r="B316" s="11" t="s">
        <v>542</v>
      </c>
      <c r="C316" s="11">
        <v>1</v>
      </c>
      <c r="D316" s="12">
        <v>45019.008333333331</v>
      </c>
      <c r="E316" s="12">
        <v>45019.145138888889</v>
      </c>
      <c r="F316" s="11" t="s">
        <v>100</v>
      </c>
      <c r="G316" s="11" t="s">
        <v>86</v>
      </c>
      <c r="H316" s="11" t="s">
        <v>74</v>
      </c>
      <c r="I316" s="16">
        <v>20.6</v>
      </c>
      <c r="J316" s="11" t="s">
        <v>75</v>
      </c>
      <c r="K316" s="11">
        <v>315</v>
      </c>
      <c r="L316" s="11" t="s">
        <v>101</v>
      </c>
      <c r="M316" s="11" t="s">
        <v>1493</v>
      </c>
      <c r="N316">
        <f>_xlfn.XLOOKUP(spaces_3iWczBNnn5rbfoUlE0Jd_uploads_git_blob_9864c7f811c613c3faab876659c6423__25[[#This Row],[Número de Orden]],Cocinadinamica!B317:B1085,Cocinadinamica!C317:C1085)</f>
        <v>66</v>
      </c>
      <c r="O316" s="7">
        <f>spaces_3iWczBNnn5rbfoUlE0Jd_uploads_git_blob_9864c7f811c613c3faab876659c6423__25[[#This Row],[Hora de Llegada]]</f>
        <v>45019.008333333331</v>
      </c>
      <c r="P316" s="9">
        <f>spaces_3iWczBNnn5rbfoUlE0Jd_uploads_git_blob_9864c7f811c613c3faab876659c6423__25[[#This Row],[Hora de Llegada]]</f>
        <v>45019.008333333331</v>
      </c>
      <c r="Q316" s="9">
        <f>spaces_3iWczBNnn5rbfoUlE0Jd_uploads_git_blob_9864c7f811c613c3faab876659c6423__25[[#This Row],[Hora de Salida]]</f>
        <v>45019.145138888889</v>
      </c>
      <c r="R316" s="9" cm="1">
        <f t="array" ref="R31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0.1368055555576575</v>
      </c>
      <c r="S316" s="9">
        <f>_xlfn.XLOOKUP(spaces_3iWczBNnn5rbfoUlE0Jd_uploads_git_blob_9864c7f811c613c3faab876659c6423__25[[#This Row],[Número de Orden]],Cocinadinamica!E317:E1085,Cocinadinamica!F317:F1085)/1440</f>
        <v>8.7499999999999994E-2</v>
      </c>
      <c r="T316" s="9" cm="1">
        <f t="array" ref="T31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4.9305555557657504E-2</v>
      </c>
      <c r="U316" s="9" t="str" cm="1">
        <f t="array" ref="U31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7" spans="1:21" x14ac:dyDescent="0.35">
      <c r="A317" s="28">
        <v>2</v>
      </c>
      <c r="B317" s="13" t="s">
        <v>1035</v>
      </c>
      <c r="C317" s="13">
        <v>2</v>
      </c>
      <c r="D317" s="14">
        <v>45019.068055555559</v>
      </c>
      <c r="E317" s="14">
        <v>45019.230555555558</v>
      </c>
      <c r="F317" s="13" t="s">
        <v>85</v>
      </c>
      <c r="G317" s="13" t="s">
        <v>163</v>
      </c>
      <c r="H317" s="13" t="s">
        <v>74</v>
      </c>
      <c r="I317" s="17">
        <v>31.13</v>
      </c>
      <c r="J317" s="13" t="s">
        <v>94</v>
      </c>
      <c r="K317" s="13">
        <v>316</v>
      </c>
      <c r="L317" s="13" t="s">
        <v>76</v>
      </c>
      <c r="M317" s="13" t="s">
        <v>1494</v>
      </c>
      <c r="N317">
        <f>_xlfn.XLOOKUP(spaces_3iWczBNnn5rbfoUlE0Jd_uploads_git_blob_9864c7f811c613c3faab876659c6423__25[[#This Row],[Número de Orden]],Cocinadinamica!B318:B1086,Cocinadinamica!C318:C1086)</f>
        <v>64</v>
      </c>
      <c r="O317" s="7">
        <f>spaces_3iWczBNnn5rbfoUlE0Jd_uploads_git_blob_9864c7f811c613c3faab876659c6423__25[[#This Row],[Hora de Llegada]]</f>
        <v>45019.068055555559</v>
      </c>
      <c r="P317" s="9">
        <f>spaces_3iWczBNnn5rbfoUlE0Jd_uploads_git_blob_9864c7f811c613c3faab876659c6423__25[[#This Row],[Hora de Llegada]]</f>
        <v>45019.068055555559</v>
      </c>
      <c r="Q317" s="9">
        <f>spaces_3iWczBNnn5rbfoUlE0Jd_uploads_git_blob_9864c7f811c613c3faab876659c6423__25[[#This Row],[Hora de Salida]]</f>
        <v>45019.230555555558</v>
      </c>
      <c r="R317" s="9" cm="1">
        <f t="array" ref="R31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0.16249999999854481</v>
      </c>
      <c r="S317" s="9">
        <f>_xlfn.XLOOKUP(spaces_3iWczBNnn5rbfoUlE0Jd_uploads_git_blob_9864c7f811c613c3faab876659c6423__25[[#This Row],[Número de Orden]],Cocinadinamica!E318:E1086,Cocinadinamica!F318:F1086)/1440</f>
        <v>0.10972222222222222</v>
      </c>
      <c r="T317" s="9" cm="1">
        <f t="array" ref="T31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5.2777777776322587E-2</v>
      </c>
      <c r="U317" s="9" t="str" cm="1">
        <f t="array" ref="U31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8" spans="1:21" x14ac:dyDescent="0.35">
      <c r="A318" s="27">
        <v>17</v>
      </c>
      <c r="B318" s="11" t="s">
        <v>905</v>
      </c>
      <c r="C318" s="11">
        <v>2</v>
      </c>
      <c r="D318" s="12">
        <v>45019.100694444445</v>
      </c>
      <c r="E318" s="12">
        <v>45019.261111111111</v>
      </c>
      <c r="F318" s="11" t="s">
        <v>100</v>
      </c>
      <c r="G318" s="11" t="s">
        <v>163</v>
      </c>
      <c r="H318" s="11" t="s">
        <v>87</v>
      </c>
      <c r="I318" s="16">
        <v>24.55</v>
      </c>
      <c r="J318" s="11" t="s">
        <v>75</v>
      </c>
      <c r="K318" s="11">
        <v>317</v>
      </c>
      <c r="L318" s="11" t="s">
        <v>174</v>
      </c>
      <c r="M318" s="11" t="s">
        <v>1495</v>
      </c>
      <c r="N318">
        <f>_xlfn.XLOOKUP(spaces_3iWczBNnn5rbfoUlE0Jd_uploads_git_blob_9864c7f811c613c3faab876659c6423__25[[#This Row],[Número de Orden]],Cocinadinamica!B319:B1087,Cocinadinamica!C319:C1087)</f>
        <v>73</v>
      </c>
      <c r="O318" s="7">
        <f>spaces_3iWczBNnn5rbfoUlE0Jd_uploads_git_blob_9864c7f811c613c3faab876659c6423__25[[#This Row],[Hora de Llegada]]</f>
        <v>45019.100694444445</v>
      </c>
      <c r="P318" s="9">
        <f>spaces_3iWczBNnn5rbfoUlE0Jd_uploads_git_blob_9864c7f811c613c3faab876659c6423__25[[#This Row],[Hora de Llegada]]</f>
        <v>45019.100694444445</v>
      </c>
      <c r="Q318" s="9">
        <f>spaces_3iWczBNnn5rbfoUlE0Jd_uploads_git_blob_9864c7f811c613c3faab876659c6423__25[[#This Row],[Hora de Salida]]</f>
        <v>45019.261111111111</v>
      </c>
      <c r="R318" s="9" cm="1">
        <f t="array" ref="R31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0.16041666666569654</v>
      </c>
      <c r="S318" s="9">
        <f>_xlfn.XLOOKUP(spaces_3iWczBNnn5rbfoUlE0Jd_uploads_git_blob_9864c7f811c613c3faab876659c6423__25[[#This Row],[Número de Orden]],Cocinadinamica!E319:E1087,Cocinadinamica!F319:F1087)/1440</f>
        <v>6.1111111111111109E-2</v>
      </c>
      <c r="T318" s="9" cm="1">
        <f t="array" ref="T31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9.9305555554585423E-2</v>
      </c>
      <c r="U318" s="9" t="str" cm="1">
        <f t="array" ref="U31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19" spans="1:21" x14ac:dyDescent="0.35">
      <c r="A319" s="28" t="s">
        <v>240</v>
      </c>
      <c r="B319" s="13" t="s">
        <v>425</v>
      </c>
      <c r="C319" s="13">
        <v>3</v>
      </c>
      <c r="D319" s="14">
        <v>45019.147916666669</v>
      </c>
      <c r="E319" s="14">
        <v>45019.214583333334</v>
      </c>
      <c r="F319" s="13" t="s">
        <v>170</v>
      </c>
      <c r="G319" s="13" t="s">
        <v>73</v>
      </c>
      <c r="H319" s="13" t="s">
        <v>74</v>
      </c>
      <c r="I319" s="17">
        <v>10.08</v>
      </c>
      <c r="J319" s="13" t="s">
        <v>94</v>
      </c>
      <c r="K319" s="13">
        <v>318</v>
      </c>
      <c r="L319" s="13" t="s">
        <v>275</v>
      </c>
      <c r="M319" s="13" t="s">
        <v>23</v>
      </c>
      <c r="N319">
        <f>_xlfn.XLOOKUP(spaces_3iWczBNnn5rbfoUlE0Jd_uploads_git_blob_9864c7f811c613c3faab876659c6423__25[[#This Row],[Número de Orden]],Cocinadinamica!B320:B1088,Cocinadinamica!C320:C1088)</f>
        <v>12</v>
      </c>
      <c r="O319" s="7">
        <f>spaces_3iWczBNnn5rbfoUlE0Jd_uploads_git_blob_9864c7f811c613c3faab876659c6423__25[[#This Row],[Hora de Llegada]]</f>
        <v>45019.147916666669</v>
      </c>
      <c r="P319" s="9">
        <f>spaces_3iWczBNnn5rbfoUlE0Jd_uploads_git_blob_9864c7f811c613c3faab876659c6423__25[[#This Row],[Hora de Llegada]]</f>
        <v>45019.147916666669</v>
      </c>
      <c r="Q319" s="9">
        <f>spaces_3iWczBNnn5rbfoUlE0Jd_uploads_git_blob_9864c7f811c613c3faab876659c6423__25[[#This Row],[Hora de Salida]]</f>
        <v>45019.214583333334</v>
      </c>
      <c r="R319" s="9" cm="1">
        <f t="array" ref="R31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6.6666666665696539E-2</v>
      </c>
      <c r="S319" s="9">
        <f>_xlfn.XLOOKUP(spaces_3iWczBNnn5rbfoUlE0Jd_uploads_git_blob_9864c7f811c613c3faab876659c6423__25[[#This Row],[Número de Orden]],Cocinadinamica!E320:E1088,Cocinadinamica!F320:F1088)/1440</f>
        <v>2.7083333333333334E-2</v>
      </c>
      <c r="T319" s="9" cm="1">
        <f t="array" ref="T31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3.9583333332363205E-2</v>
      </c>
      <c r="U319" s="9" t="str" cm="1">
        <f t="array" ref="U31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0" spans="1:21" x14ac:dyDescent="0.35">
      <c r="A320" s="27">
        <v>1</v>
      </c>
      <c r="B320" s="11" t="s">
        <v>507</v>
      </c>
      <c r="C320" s="11">
        <v>1</v>
      </c>
      <c r="D320" s="12">
        <v>45019.033333333333</v>
      </c>
      <c r="E320" s="12">
        <v>45019.165972222225</v>
      </c>
      <c r="F320" s="11" t="s">
        <v>223</v>
      </c>
      <c r="G320" s="11" t="s">
        <v>86</v>
      </c>
      <c r="H320" s="11" t="s">
        <v>87</v>
      </c>
      <c r="I320" s="16">
        <v>30.05</v>
      </c>
      <c r="J320" s="11" t="s">
        <v>75</v>
      </c>
      <c r="K320" s="11">
        <v>319</v>
      </c>
      <c r="L320" s="11" t="s">
        <v>95</v>
      </c>
      <c r="M320" s="11" t="s">
        <v>1496</v>
      </c>
      <c r="N320">
        <f>_xlfn.XLOOKUP(spaces_3iWczBNnn5rbfoUlE0Jd_uploads_git_blob_9864c7f811c613c3faab876659c6423__25[[#This Row],[Número de Orden]],Cocinadinamica!B321:B1089,Cocinadinamica!C321:C1089)</f>
        <v>106</v>
      </c>
      <c r="O320" s="7">
        <f>spaces_3iWczBNnn5rbfoUlE0Jd_uploads_git_blob_9864c7f811c613c3faab876659c6423__25[[#This Row],[Hora de Llegada]]</f>
        <v>45019.033333333333</v>
      </c>
      <c r="P320" s="9">
        <f>spaces_3iWczBNnn5rbfoUlE0Jd_uploads_git_blob_9864c7f811c613c3faab876659c6423__25[[#This Row],[Hora de Llegada]]</f>
        <v>45019.033333333333</v>
      </c>
      <c r="Q320" s="9">
        <f>spaces_3iWczBNnn5rbfoUlE0Jd_uploads_git_blob_9864c7f811c613c3faab876659c6423__25[[#This Row],[Hora de Salida]]</f>
        <v>45019.165972222225</v>
      </c>
      <c r="R320" s="9" cm="1">
        <f t="array" ref="R32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0.13263888889196096</v>
      </c>
      <c r="S320" s="9">
        <f>_xlfn.XLOOKUP(spaces_3iWczBNnn5rbfoUlE0Jd_uploads_git_blob_9864c7f811c613c3faab876659c6423__25[[#This Row],[Número de Orden]],Cocinadinamica!E321:E1089,Cocinadinamica!F321:F1089)/1440</f>
        <v>8.7499999999999994E-2</v>
      </c>
      <c r="T320" s="9" cm="1">
        <f t="array" ref="T32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4.5138888891960965E-2</v>
      </c>
      <c r="U320" s="9" t="str" cm="1">
        <f t="array" ref="U32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1" spans="1:21" x14ac:dyDescent="0.35">
      <c r="A321" s="28">
        <v>9</v>
      </c>
      <c r="B321" s="13" t="s">
        <v>1036</v>
      </c>
      <c r="C321" s="13">
        <v>1</v>
      </c>
      <c r="D321" s="14">
        <v>45019.0625</v>
      </c>
      <c r="E321" s="14">
        <v>45019.178472222222</v>
      </c>
      <c r="F321" s="13" t="s">
        <v>170</v>
      </c>
      <c r="G321" s="13" t="s">
        <v>86</v>
      </c>
      <c r="H321" s="13" t="s">
        <v>109</v>
      </c>
      <c r="I321" s="17">
        <v>44.02</v>
      </c>
      <c r="J321" s="13" t="s">
        <v>94</v>
      </c>
      <c r="K321" s="13">
        <v>320</v>
      </c>
      <c r="L321" s="13" t="s">
        <v>181</v>
      </c>
      <c r="M321" s="13" t="s">
        <v>1497</v>
      </c>
      <c r="N321">
        <f>_xlfn.XLOOKUP(spaces_3iWczBNnn5rbfoUlE0Jd_uploads_git_blob_9864c7f811c613c3faab876659c6423__25[[#This Row],[Número de Orden]],Cocinadinamica!B322:B1090,Cocinadinamica!C322:C1090)</f>
        <v>39</v>
      </c>
      <c r="O321" s="7">
        <f>spaces_3iWczBNnn5rbfoUlE0Jd_uploads_git_blob_9864c7f811c613c3faab876659c6423__25[[#This Row],[Hora de Llegada]]</f>
        <v>45019.0625</v>
      </c>
      <c r="P321" s="9">
        <f>spaces_3iWczBNnn5rbfoUlE0Jd_uploads_git_blob_9864c7f811c613c3faab876659c6423__25[[#This Row],[Hora de Llegada]]</f>
        <v>45019.0625</v>
      </c>
      <c r="Q321" s="9">
        <f>spaces_3iWczBNnn5rbfoUlE0Jd_uploads_git_blob_9864c7f811c613c3faab876659c6423__25[[#This Row],[Hora de Salida]]</f>
        <v>45019.178472222222</v>
      </c>
      <c r="R321" s="9" cm="1">
        <f t="array" ref="R32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0.11597222222189885</v>
      </c>
      <c r="S321" s="9">
        <f>_xlfn.XLOOKUP(spaces_3iWczBNnn5rbfoUlE0Jd_uploads_git_blob_9864c7f811c613c3faab876659c6423__25[[#This Row],[Número de Orden]],Cocinadinamica!E322:E1090,Cocinadinamica!F322:F1090)/1440</f>
        <v>9.0277777777777776E-2</v>
      </c>
      <c r="T321" s="9" cm="1">
        <f t="array" ref="T32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2.569444444412107E-2</v>
      </c>
      <c r="U321" s="9" t="str" cm="1">
        <f t="array" ref="U32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2" spans="1:21" x14ac:dyDescent="0.35">
      <c r="A322" s="27">
        <v>18</v>
      </c>
      <c r="B322" s="11" t="s">
        <v>1037</v>
      </c>
      <c r="C322" s="11">
        <v>5</v>
      </c>
      <c r="D322" s="12">
        <v>45019.086111111108</v>
      </c>
      <c r="E322" s="12">
        <v>45019.179166666669</v>
      </c>
      <c r="F322" s="11" t="s">
        <v>223</v>
      </c>
      <c r="G322" s="11" t="s">
        <v>86</v>
      </c>
      <c r="H322" s="11" t="s">
        <v>74</v>
      </c>
      <c r="I322" s="16">
        <v>23.59</v>
      </c>
      <c r="J322" s="11" t="s">
        <v>75</v>
      </c>
      <c r="K322" s="11">
        <v>321</v>
      </c>
      <c r="L322" s="11" t="s">
        <v>275</v>
      </c>
      <c r="M322" s="11" t="s">
        <v>1498</v>
      </c>
      <c r="N322">
        <f>_xlfn.XLOOKUP(spaces_3iWczBNnn5rbfoUlE0Jd_uploads_git_blob_9864c7f811c613c3faab876659c6423__25[[#This Row],[Número de Orden]],Cocinadinamica!B323:B1091,Cocinadinamica!C323:C1091)</f>
        <v>57</v>
      </c>
      <c r="O322" s="7">
        <f>spaces_3iWczBNnn5rbfoUlE0Jd_uploads_git_blob_9864c7f811c613c3faab876659c6423__25[[#This Row],[Hora de Llegada]]</f>
        <v>45019.086111111108</v>
      </c>
      <c r="P322" s="9">
        <f>spaces_3iWczBNnn5rbfoUlE0Jd_uploads_git_blob_9864c7f811c613c3faab876659c6423__25[[#This Row],[Hora de Llegada]]</f>
        <v>45019.086111111108</v>
      </c>
      <c r="Q322" s="9">
        <f>spaces_3iWczBNnn5rbfoUlE0Jd_uploads_git_blob_9864c7f811c613c3faab876659c6423__25[[#This Row],[Hora de Salida]]</f>
        <v>45019.179166666669</v>
      </c>
      <c r="R322" s="9" cm="1">
        <f t="array" ref="R32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9.3055555560567882E-2</v>
      </c>
      <c r="S322" s="9">
        <f>_xlfn.XLOOKUP(spaces_3iWczBNnn5rbfoUlE0Jd_uploads_git_blob_9864c7f811c613c3faab876659c6423__25[[#This Row],[Número de Orden]],Cocinadinamica!E323:E1091,Cocinadinamica!F323:F1091)/1440</f>
        <v>6.5972222222222224E-2</v>
      </c>
      <c r="T322" s="9" cm="1">
        <f t="array" ref="T32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2.7083333338345658E-2</v>
      </c>
      <c r="U322" s="9" t="str" cm="1">
        <f t="array" ref="U32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3" spans="1:21" x14ac:dyDescent="0.35">
      <c r="A323" s="28">
        <v>12</v>
      </c>
      <c r="B323" s="13" t="s">
        <v>1038</v>
      </c>
      <c r="C323" s="13">
        <v>1</v>
      </c>
      <c r="D323" s="14">
        <v>45019.15347222222</v>
      </c>
      <c r="E323" s="14">
        <v>45019.240972222222</v>
      </c>
      <c r="F323" s="13" t="s">
        <v>100</v>
      </c>
      <c r="G323" s="13" t="s">
        <v>73</v>
      </c>
      <c r="H323" s="13" t="s">
        <v>74</v>
      </c>
      <c r="I323" s="17">
        <v>24.69</v>
      </c>
      <c r="J323" s="13" t="s">
        <v>88</v>
      </c>
      <c r="K323" s="13">
        <v>322</v>
      </c>
      <c r="L323" s="13" t="s">
        <v>187</v>
      </c>
      <c r="M323" s="13" t="s">
        <v>1499</v>
      </c>
      <c r="N323">
        <f>_xlfn.XLOOKUP(spaces_3iWczBNnn5rbfoUlE0Jd_uploads_git_blob_9864c7f811c613c3faab876659c6423__25[[#This Row],[Número de Orden]],Cocinadinamica!B324:B1092,Cocinadinamica!C324:C1092)</f>
        <v>34</v>
      </c>
      <c r="O323" s="7">
        <f>spaces_3iWczBNnn5rbfoUlE0Jd_uploads_git_blob_9864c7f811c613c3faab876659c6423__25[[#This Row],[Hora de Llegada]]</f>
        <v>45019.15347222222</v>
      </c>
      <c r="P323" s="9">
        <f>spaces_3iWczBNnn5rbfoUlE0Jd_uploads_git_blob_9864c7f811c613c3faab876659c6423__25[[#This Row],[Hora de Llegada]]</f>
        <v>45019.15347222222</v>
      </c>
      <c r="Q323" s="9">
        <f>spaces_3iWczBNnn5rbfoUlE0Jd_uploads_git_blob_9864c7f811c613c3faab876659c6423__25[[#This Row],[Hora de Salida]]</f>
        <v>45019.240972222222</v>
      </c>
      <c r="R323" s="9" cm="1">
        <f t="array" ref="R32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9.7916666665696539E-2</v>
      </c>
      <c r="S323" s="9">
        <f>_xlfn.XLOOKUP(spaces_3iWczBNnn5rbfoUlE0Jd_uploads_git_blob_9864c7f811c613c3faab876659c6423__25[[#This Row],[Número de Orden]],Cocinadinamica!E324:E1092,Cocinadinamica!F324:F1092)/1440</f>
        <v>4.1666666666666664E-2</v>
      </c>
      <c r="T323" s="9" cm="1">
        <f t="array" ref="T32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5.6249999999029875E-2</v>
      </c>
      <c r="U323" s="9" t="str" cm="1">
        <f t="array" ref="U32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4" spans="1:21" x14ac:dyDescent="0.35">
      <c r="A324" s="27">
        <v>8</v>
      </c>
      <c r="B324" s="11" t="s">
        <v>1039</v>
      </c>
      <c r="C324" s="11">
        <v>1</v>
      </c>
      <c r="D324" s="12">
        <v>45019.057638888888</v>
      </c>
      <c r="E324" s="12">
        <v>45019.179861111108</v>
      </c>
      <c r="F324" s="11" t="s">
        <v>85</v>
      </c>
      <c r="G324" s="11" t="s">
        <v>163</v>
      </c>
      <c r="H324" s="11" t="s">
        <v>87</v>
      </c>
      <c r="I324" s="16">
        <v>44.3</v>
      </c>
      <c r="J324" s="11" t="s">
        <v>75</v>
      </c>
      <c r="K324" s="11">
        <v>323</v>
      </c>
      <c r="L324" s="11" t="s">
        <v>101</v>
      </c>
      <c r="M324" s="11" t="s">
        <v>1500</v>
      </c>
      <c r="N324">
        <f>_xlfn.XLOOKUP(spaces_3iWczBNnn5rbfoUlE0Jd_uploads_git_blob_9864c7f811c613c3faab876659c6423__25[[#This Row],[Número de Orden]],Cocinadinamica!B325:B1093,Cocinadinamica!C325:C1093)</f>
        <v>87</v>
      </c>
      <c r="O324" s="7">
        <f>spaces_3iWczBNnn5rbfoUlE0Jd_uploads_git_blob_9864c7f811c613c3faab876659c6423__25[[#This Row],[Hora de Llegada]]</f>
        <v>45019.057638888888</v>
      </c>
      <c r="P324" s="9">
        <f>spaces_3iWczBNnn5rbfoUlE0Jd_uploads_git_blob_9864c7f811c613c3faab876659c6423__25[[#This Row],[Hora de Llegada]]</f>
        <v>45019.057638888888</v>
      </c>
      <c r="Q324" s="9">
        <f>spaces_3iWczBNnn5rbfoUlE0Jd_uploads_git_blob_9864c7f811c613c3faab876659c6423__25[[#This Row],[Hora de Salida]]</f>
        <v>45019.179861111108</v>
      </c>
      <c r="R324" s="9" cm="1">
        <f t="array" ref="R32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0.12222222222044365</v>
      </c>
      <c r="S324" s="9">
        <f>_xlfn.XLOOKUP(spaces_3iWczBNnn5rbfoUlE0Jd_uploads_git_blob_9864c7f811c613c3faab876659c6423__25[[#This Row],[Número de Orden]],Cocinadinamica!E325:E1093,Cocinadinamica!F325:F1093)/1440</f>
        <v>8.4722222222222227E-2</v>
      </c>
      <c r="T324" s="9" cm="1">
        <f t="array" ref="T32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3.7499999998221428E-2</v>
      </c>
      <c r="U324" s="9" t="str" cm="1">
        <f t="array" ref="U32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5" spans="1:21" x14ac:dyDescent="0.35">
      <c r="A325" s="28">
        <v>9</v>
      </c>
      <c r="B325" s="13" t="s">
        <v>1040</v>
      </c>
      <c r="C325" s="13">
        <v>6</v>
      </c>
      <c r="D325" s="14">
        <v>45019.029861111114</v>
      </c>
      <c r="E325" s="14">
        <v>45019.07708333333</v>
      </c>
      <c r="F325" s="13" t="s">
        <v>223</v>
      </c>
      <c r="G325" s="13" t="s">
        <v>73</v>
      </c>
      <c r="H325" s="13" t="s">
        <v>74</v>
      </c>
      <c r="I325" s="17">
        <v>21.6</v>
      </c>
      <c r="J325" s="13" t="s">
        <v>75</v>
      </c>
      <c r="K325" s="13">
        <v>324</v>
      </c>
      <c r="L325" s="13" t="s">
        <v>76</v>
      </c>
      <c r="M325" s="13" t="s">
        <v>1501</v>
      </c>
      <c r="N325">
        <f>_xlfn.XLOOKUP(spaces_3iWczBNnn5rbfoUlE0Jd_uploads_git_blob_9864c7f811c613c3faab876659c6423__25[[#This Row],[Número de Orden]],Cocinadinamica!B326:B1094,Cocinadinamica!C326:C1094)</f>
        <v>56</v>
      </c>
      <c r="O325" s="7">
        <f>spaces_3iWczBNnn5rbfoUlE0Jd_uploads_git_blob_9864c7f811c613c3faab876659c6423__25[[#This Row],[Hora de Llegada]]</f>
        <v>45019.029861111114</v>
      </c>
      <c r="P325" s="9">
        <f>spaces_3iWczBNnn5rbfoUlE0Jd_uploads_git_blob_9864c7f811c613c3faab876659c6423__25[[#This Row],[Hora de Llegada]]</f>
        <v>45019.029861111114</v>
      </c>
      <c r="Q325" s="9">
        <f>spaces_3iWczBNnn5rbfoUlE0Jd_uploads_git_blob_9864c7f811c613c3faab876659c6423__25[[#This Row],[Hora de Salida]]</f>
        <v>45019.07708333333</v>
      </c>
      <c r="R325" s="9" cm="1">
        <f t="array" ref="R32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4.722222221607808E-2</v>
      </c>
      <c r="S325" s="9">
        <f>_xlfn.XLOOKUP(spaces_3iWczBNnn5rbfoUlE0Jd_uploads_git_blob_9864c7f811c613c3faab876659c6423__25[[#This Row],[Número de Orden]],Cocinadinamica!E326:E1094,Cocinadinamica!F326:F1094)/1440</f>
        <v>6.25E-2</v>
      </c>
      <c r="T325" s="9" cm="1">
        <f t="array" ref="T32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325" s="9" t="str" cm="1">
        <f t="array" ref="U32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326" spans="1:21" x14ac:dyDescent="0.35">
      <c r="A326" s="27">
        <v>18</v>
      </c>
      <c r="B326" s="11" t="s">
        <v>1041</v>
      </c>
      <c r="C326" s="11">
        <v>1</v>
      </c>
      <c r="D326" s="12">
        <v>45019.041666666664</v>
      </c>
      <c r="E326" s="12">
        <v>45019.095833333333</v>
      </c>
      <c r="F326" s="11" t="s">
        <v>100</v>
      </c>
      <c r="G326" s="11" t="s">
        <v>86</v>
      </c>
      <c r="H326" s="11" t="s">
        <v>74</v>
      </c>
      <c r="I326" s="16">
        <v>32.5</v>
      </c>
      <c r="J326" s="11" t="s">
        <v>94</v>
      </c>
      <c r="K326" s="11">
        <v>325</v>
      </c>
      <c r="L326" s="11" t="s">
        <v>76</v>
      </c>
      <c r="M326" s="11" t="s">
        <v>1502</v>
      </c>
      <c r="N326">
        <f>_xlfn.XLOOKUP(spaces_3iWczBNnn5rbfoUlE0Jd_uploads_git_blob_9864c7f811c613c3faab876659c6423__25[[#This Row],[Número de Orden]],Cocinadinamica!B327:B1095,Cocinadinamica!C327:C1095)</f>
        <v>61</v>
      </c>
      <c r="O326" s="7">
        <f>spaces_3iWczBNnn5rbfoUlE0Jd_uploads_git_blob_9864c7f811c613c3faab876659c6423__25[[#This Row],[Hora de Llegada]]</f>
        <v>45019.041666666664</v>
      </c>
      <c r="P326" s="9">
        <f>spaces_3iWczBNnn5rbfoUlE0Jd_uploads_git_blob_9864c7f811c613c3faab876659c6423__25[[#This Row],[Hora de Llegada]]</f>
        <v>45019.041666666664</v>
      </c>
      <c r="Q326" s="9">
        <f>spaces_3iWczBNnn5rbfoUlE0Jd_uploads_git_blob_9864c7f811c613c3faab876659c6423__25[[#This Row],[Hora de Salida]]</f>
        <v>45019.095833333333</v>
      </c>
      <c r="R326" s="9" cm="1">
        <f t="array" ref="R32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5.4166666668606922E-2</v>
      </c>
      <c r="S326" s="9">
        <f>_xlfn.XLOOKUP(spaces_3iWczBNnn5rbfoUlE0Jd_uploads_git_blob_9864c7f811c613c3faab876659c6423__25[[#This Row],[Número de Orden]],Cocinadinamica!E327:E1095,Cocinadinamica!F327:F1095)/1440</f>
        <v>4.9305555555555554E-2</v>
      </c>
      <c r="T326" s="9" cm="1">
        <f t="array" ref="T32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4.8611111130513682E-3</v>
      </c>
      <c r="U326" s="9" t="str" cm="1">
        <f t="array" ref="U32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7" spans="1:21" x14ac:dyDescent="0.35">
      <c r="A327" s="28">
        <v>14</v>
      </c>
      <c r="B327" s="13" t="s">
        <v>814</v>
      </c>
      <c r="C327" s="13">
        <v>4</v>
      </c>
      <c r="D327" s="14">
        <v>45020.068749999999</v>
      </c>
      <c r="E327" s="14">
        <v>45020.231944444444</v>
      </c>
      <c r="F327" s="13" t="s">
        <v>223</v>
      </c>
      <c r="G327" s="13" t="s">
        <v>163</v>
      </c>
      <c r="H327" s="13" t="s">
        <v>109</v>
      </c>
      <c r="I327" s="17">
        <v>13.85</v>
      </c>
      <c r="J327" s="13" t="s">
        <v>88</v>
      </c>
      <c r="K327" s="13">
        <v>326</v>
      </c>
      <c r="L327" s="13" t="s">
        <v>76</v>
      </c>
      <c r="M327" s="13" t="s">
        <v>1503</v>
      </c>
      <c r="N327">
        <f>_xlfn.XLOOKUP(spaces_3iWczBNnn5rbfoUlE0Jd_uploads_git_blob_9864c7f811c613c3faab876659c6423__25[[#This Row],[Número de Orden]],Cocinadinamica!B328:B1096,Cocinadinamica!C328:C1096)</f>
        <v>34</v>
      </c>
      <c r="O327" s="7">
        <f>spaces_3iWczBNnn5rbfoUlE0Jd_uploads_git_blob_9864c7f811c613c3faab876659c6423__25[[#This Row],[Hora de Llegada]]</f>
        <v>45020.068749999999</v>
      </c>
      <c r="P327" s="9">
        <f>spaces_3iWczBNnn5rbfoUlE0Jd_uploads_git_blob_9864c7f811c613c3faab876659c6423__25[[#This Row],[Hora de Llegada]]</f>
        <v>45020.068749999999</v>
      </c>
      <c r="Q327" s="9">
        <f>spaces_3iWczBNnn5rbfoUlE0Jd_uploads_git_blob_9864c7f811c613c3faab876659c6423__25[[#This Row],[Hora de Salida]]</f>
        <v>45020.231944444444</v>
      </c>
      <c r="R327" s="9" cm="1">
        <f t="array" ref="R32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0.17361111110949423</v>
      </c>
      <c r="S327" s="9">
        <f>_xlfn.XLOOKUP(spaces_3iWczBNnn5rbfoUlE0Jd_uploads_git_blob_9864c7f811c613c3faab876659c6423__25[[#This Row],[Número de Orden]],Cocinadinamica!E328:E1096,Cocinadinamica!F328:F1096)/1440</f>
        <v>6.3194444444444442E-2</v>
      </c>
      <c r="T327" s="9" cm="1">
        <f t="array" ref="T32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0.11041666666504979</v>
      </c>
      <c r="U327" s="9" t="str" cm="1">
        <f t="array" ref="U32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8" spans="1:21" x14ac:dyDescent="0.35">
      <c r="A328" s="27">
        <v>12</v>
      </c>
      <c r="B328" s="11" t="s">
        <v>725</v>
      </c>
      <c r="C328" s="11">
        <v>5</v>
      </c>
      <c r="D328" s="12">
        <v>45020.124305555553</v>
      </c>
      <c r="E328" s="12">
        <v>45020.191666666666</v>
      </c>
      <c r="F328" s="11" t="s">
        <v>85</v>
      </c>
      <c r="G328" s="11" t="s">
        <v>73</v>
      </c>
      <c r="H328" s="11" t="s">
        <v>74</v>
      </c>
      <c r="I328" s="16">
        <v>15.08</v>
      </c>
      <c r="J328" s="11" t="s">
        <v>94</v>
      </c>
      <c r="K328" s="11">
        <v>327</v>
      </c>
      <c r="L328" s="11" t="s">
        <v>110</v>
      </c>
      <c r="M328" s="11" t="s">
        <v>1504</v>
      </c>
      <c r="N328">
        <f>_xlfn.XLOOKUP(spaces_3iWczBNnn5rbfoUlE0Jd_uploads_git_blob_9864c7f811c613c3faab876659c6423__25[[#This Row],[Número de Orden]],Cocinadinamica!B329:B1097,Cocinadinamica!C329:C1097)</f>
        <v>61</v>
      </c>
      <c r="O328" s="7">
        <f>spaces_3iWczBNnn5rbfoUlE0Jd_uploads_git_blob_9864c7f811c613c3faab876659c6423__25[[#This Row],[Hora de Llegada]]</f>
        <v>45020.124305555553</v>
      </c>
      <c r="P328" s="9">
        <f>spaces_3iWczBNnn5rbfoUlE0Jd_uploads_git_blob_9864c7f811c613c3faab876659c6423__25[[#This Row],[Hora de Llegada]]</f>
        <v>45020.124305555553</v>
      </c>
      <c r="Q328" s="9">
        <f>spaces_3iWczBNnn5rbfoUlE0Jd_uploads_git_blob_9864c7f811c613c3faab876659c6423__25[[#This Row],[Hora de Salida]]</f>
        <v>45020.191666666666</v>
      </c>
      <c r="R328" s="9" cm="1">
        <f t="array" ref="R32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6.7361111112404615E-2</v>
      </c>
      <c r="S328" s="9">
        <f>_xlfn.XLOOKUP(spaces_3iWczBNnn5rbfoUlE0Jd_uploads_git_blob_9864c7f811c613c3faab876659c6423__25[[#This Row],[Número de Orden]],Cocinadinamica!E329:E1097,Cocinadinamica!F329:F1097)/1440</f>
        <v>5.1388888888888887E-2</v>
      </c>
      <c r="T328" s="9" cm="1">
        <f t="array" ref="T32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1.5972222223515728E-2</v>
      </c>
      <c r="U328" s="9" t="str" cm="1">
        <f t="array" ref="U32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29" spans="1:21" x14ac:dyDescent="0.35">
      <c r="A329" s="28" t="s">
        <v>210</v>
      </c>
      <c r="B329" s="13" t="s">
        <v>435</v>
      </c>
      <c r="C329" s="13">
        <v>3</v>
      </c>
      <c r="D329" s="14">
        <v>45020.072222222225</v>
      </c>
      <c r="E329" s="14">
        <v>45020.171527777777</v>
      </c>
      <c r="F329" s="13" t="s">
        <v>100</v>
      </c>
      <c r="G329" s="13" t="s">
        <v>73</v>
      </c>
      <c r="H329" s="13" t="s">
        <v>74</v>
      </c>
      <c r="I329" s="17">
        <v>13.85</v>
      </c>
      <c r="J329" s="13" t="s">
        <v>94</v>
      </c>
      <c r="K329" s="13">
        <v>328</v>
      </c>
      <c r="L329" s="13" t="s">
        <v>101</v>
      </c>
      <c r="M329" s="13" t="s">
        <v>31</v>
      </c>
      <c r="N329">
        <f>_xlfn.XLOOKUP(spaces_3iWczBNnn5rbfoUlE0Jd_uploads_git_blob_9864c7f811c613c3faab876659c6423__25[[#This Row],[Número de Orden]],Cocinadinamica!B330:B1098,Cocinadinamica!C330:C1098)</f>
        <v>14</v>
      </c>
      <c r="O329" s="7">
        <f>spaces_3iWczBNnn5rbfoUlE0Jd_uploads_git_blob_9864c7f811c613c3faab876659c6423__25[[#This Row],[Hora de Llegada]]</f>
        <v>45020.072222222225</v>
      </c>
      <c r="P329" s="9">
        <f>spaces_3iWczBNnn5rbfoUlE0Jd_uploads_git_blob_9864c7f811c613c3faab876659c6423__25[[#This Row],[Hora de Llegada]]</f>
        <v>45020.072222222225</v>
      </c>
      <c r="Q329" s="9">
        <f>spaces_3iWczBNnn5rbfoUlE0Jd_uploads_git_blob_9864c7f811c613c3faab876659c6423__25[[#This Row],[Hora de Salida]]</f>
        <v>45020.171527777777</v>
      </c>
      <c r="R329" s="9" cm="1">
        <f t="array" ref="R32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9.9305555551836733E-2</v>
      </c>
      <c r="S329" s="9">
        <f>_xlfn.XLOOKUP(spaces_3iWczBNnn5rbfoUlE0Jd_uploads_git_blob_9864c7f811c613c3faab876659c6423__25[[#This Row],[Número de Orden]],Cocinadinamica!E330:E1098,Cocinadinamica!F330:F1098)/1440</f>
        <v>1.4583333333333334E-2</v>
      </c>
      <c r="T329" s="9" cm="1">
        <f t="array" ref="T32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8.4722222218503396E-2</v>
      </c>
      <c r="U329" s="9" t="str" cm="1">
        <f t="array" ref="U32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0" spans="1:21" x14ac:dyDescent="0.35">
      <c r="A330" s="27">
        <v>13</v>
      </c>
      <c r="B330" s="11" t="s">
        <v>1042</v>
      </c>
      <c r="C330" s="11">
        <v>1</v>
      </c>
      <c r="D330" s="12">
        <v>45020.018055555556</v>
      </c>
      <c r="E330" s="12">
        <v>45020.111805555556</v>
      </c>
      <c r="F330" s="11" t="s">
        <v>100</v>
      </c>
      <c r="G330" s="11" t="s">
        <v>86</v>
      </c>
      <c r="H330" s="11" t="s">
        <v>74</v>
      </c>
      <c r="I330" s="16">
        <v>38.89</v>
      </c>
      <c r="J330" s="11" t="s">
        <v>88</v>
      </c>
      <c r="K330" s="11">
        <v>329</v>
      </c>
      <c r="L330" s="11" t="s">
        <v>95</v>
      </c>
      <c r="M330" s="11" t="s">
        <v>1505</v>
      </c>
      <c r="N330">
        <f>_xlfn.XLOOKUP(spaces_3iWczBNnn5rbfoUlE0Jd_uploads_git_blob_9864c7f811c613c3faab876659c6423__25[[#This Row],[Número de Orden]],Cocinadinamica!B331:B1099,Cocinadinamica!C331:C1099)</f>
        <v>79</v>
      </c>
      <c r="O330" s="7">
        <f>spaces_3iWczBNnn5rbfoUlE0Jd_uploads_git_blob_9864c7f811c613c3faab876659c6423__25[[#This Row],[Hora de Llegada]]</f>
        <v>45020.018055555556</v>
      </c>
      <c r="P330" s="9">
        <f>spaces_3iWczBNnn5rbfoUlE0Jd_uploads_git_blob_9864c7f811c613c3faab876659c6423__25[[#This Row],[Hora de Llegada]]</f>
        <v>45020.018055555556</v>
      </c>
      <c r="Q330" s="9">
        <f>spaces_3iWczBNnn5rbfoUlE0Jd_uploads_git_blob_9864c7f811c613c3faab876659c6423__25[[#This Row],[Hora de Salida]]</f>
        <v>45020.111805555556</v>
      </c>
      <c r="R330" s="9" cm="1">
        <f t="array" ref="R33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0.10416666666424135</v>
      </c>
      <c r="S330" s="9">
        <f>_xlfn.XLOOKUP(spaces_3iWczBNnn5rbfoUlE0Jd_uploads_git_blob_9864c7f811c613c3faab876659c6423__25[[#This Row],[Número de Orden]],Cocinadinamica!E331:E1099,Cocinadinamica!F331:F1099)/1440</f>
        <v>9.6527777777777782E-2</v>
      </c>
      <c r="T330" s="9" cm="1">
        <f t="array" ref="T33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7.6388888864635657E-3</v>
      </c>
      <c r="U330" s="9" t="str" cm="1">
        <f t="array" ref="U33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1" spans="1:21" x14ac:dyDescent="0.35">
      <c r="A331" s="28">
        <v>10</v>
      </c>
      <c r="B331" s="13" t="s">
        <v>492</v>
      </c>
      <c r="C331" s="13">
        <v>6</v>
      </c>
      <c r="D331" s="14">
        <v>45020.076388888891</v>
      </c>
      <c r="E331" s="14">
        <v>45020.164583333331</v>
      </c>
      <c r="F331" s="13" t="s">
        <v>170</v>
      </c>
      <c r="G331" s="13" t="s">
        <v>163</v>
      </c>
      <c r="H331" s="13" t="s">
        <v>74</v>
      </c>
      <c r="I331" s="17">
        <v>32.17</v>
      </c>
      <c r="J331" s="13" t="s">
        <v>88</v>
      </c>
      <c r="K331" s="13">
        <v>330</v>
      </c>
      <c r="L331" s="13" t="s">
        <v>95</v>
      </c>
      <c r="M331" s="13" t="s">
        <v>1506</v>
      </c>
      <c r="N331">
        <f>_xlfn.XLOOKUP(spaces_3iWczBNnn5rbfoUlE0Jd_uploads_git_blob_9864c7f811c613c3faab876659c6423__25[[#This Row],[Número de Orden]],Cocinadinamica!B332:B1100,Cocinadinamica!C332:C1100)</f>
        <v>87</v>
      </c>
      <c r="O331" s="7">
        <f>spaces_3iWczBNnn5rbfoUlE0Jd_uploads_git_blob_9864c7f811c613c3faab876659c6423__25[[#This Row],[Hora de Llegada]]</f>
        <v>45020.076388888891</v>
      </c>
      <c r="P331" s="9">
        <f>spaces_3iWczBNnn5rbfoUlE0Jd_uploads_git_blob_9864c7f811c613c3faab876659c6423__25[[#This Row],[Hora de Llegada]]</f>
        <v>45020.076388888891</v>
      </c>
      <c r="Q331" s="9">
        <f>spaces_3iWczBNnn5rbfoUlE0Jd_uploads_git_blob_9864c7f811c613c3faab876659c6423__25[[#This Row],[Hora de Salida]]</f>
        <v>45020.164583333331</v>
      </c>
      <c r="R331" s="9" cm="1">
        <f t="array" ref="R33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9.8611111105128657E-2</v>
      </c>
      <c r="S331" s="9">
        <f>_xlfn.XLOOKUP(spaces_3iWczBNnn5rbfoUlE0Jd_uploads_git_blob_9864c7f811c613c3faab876659c6423__25[[#This Row],[Número de Orden]],Cocinadinamica!E332:E1100,Cocinadinamica!F332:F1100)/1440</f>
        <v>9.7222222222222224E-2</v>
      </c>
      <c r="T331" s="9" cm="1">
        <f t="array" ref="T33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1.3888888829064333E-3</v>
      </c>
      <c r="U331" s="9" t="str" cm="1">
        <f t="array" ref="U33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2" spans="1:21" x14ac:dyDescent="0.35">
      <c r="A332" s="27">
        <v>20</v>
      </c>
      <c r="B332" s="11" t="s">
        <v>1043</v>
      </c>
      <c r="C332" s="11">
        <v>3</v>
      </c>
      <c r="D332" s="12">
        <v>45020.129166666666</v>
      </c>
      <c r="E332" s="12">
        <v>45020.261805555558</v>
      </c>
      <c r="F332" s="11" t="s">
        <v>72</v>
      </c>
      <c r="G332" s="11" t="s">
        <v>73</v>
      </c>
      <c r="H332" s="11" t="s">
        <v>109</v>
      </c>
      <c r="I332" s="16">
        <v>36.61</v>
      </c>
      <c r="J332" s="11" t="s">
        <v>94</v>
      </c>
      <c r="K332" s="11">
        <v>331</v>
      </c>
      <c r="L332" s="11" t="s">
        <v>221</v>
      </c>
      <c r="M332" s="11" t="s">
        <v>1507</v>
      </c>
      <c r="N332">
        <f>_xlfn.XLOOKUP(spaces_3iWczBNnn5rbfoUlE0Jd_uploads_git_blob_9864c7f811c613c3faab876659c6423__25[[#This Row],[Número de Orden]],Cocinadinamica!B333:B1101,Cocinadinamica!C333:C1101)</f>
        <v>70</v>
      </c>
      <c r="O332" s="7">
        <f>spaces_3iWczBNnn5rbfoUlE0Jd_uploads_git_blob_9864c7f811c613c3faab876659c6423__25[[#This Row],[Hora de Llegada]]</f>
        <v>45020.129166666666</v>
      </c>
      <c r="P332" s="9">
        <f>spaces_3iWczBNnn5rbfoUlE0Jd_uploads_git_blob_9864c7f811c613c3faab876659c6423__25[[#This Row],[Hora de Llegada]]</f>
        <v>45020.129166666666</v>
      </c>
      <c r="Q332" s="9">
        <f>spaces_3iWczBNnn5rbfoUlE0Jd_uploads_git_blob_9864c7f811c613c3faab876659c6423__25[[#This Row],[Hora de Salida]]</f>
        <v>45020.261805555558</v>
      </c>
      <c r="R332" s="9" cm="1">
        <f t="array" ref="R33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0.13263888889196096</v>
      </c>
      <c r="S332" s="9">
        <f>_xlfn.XLOOKUP(spaces_3iWczBNnn5rbfoUlE0Jd_uploads_git_blob_9864c7f811c613c3faab876659c6423__25[[#This Row],[Número de Orden]],Cocinadinamica!E333:E1101,Cocinadinamica!F333:F1101)/1440</f>
        <v>8.4027777777777785E-2</v>
      </c>
      <c r="T332" s="9" cm="1">
        <f t="array" ref="T33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4.8611111114183175E-2</v>
      </c>
      <c r="U332" s="9" t="str" cm="1">
        <f t="array" ref="U33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3" spans="1:21" x14ac:dyDescent="0.35">
      <c r="A333" s="28" t="s">
        <v>185</v>
      </c>
      <c r="B333" s="13" t="s">
        <v>439</v>
      </c>
      <c r="C333" s="13">
        <v>1</v>
      </c>
      <c r="D333" s="14">
        <v>45020.009722222225</v>
      </c>
      <c r="E333" s="14">
        <v>45020.061805555553</v>
      </c>
      <c r="F333" s="13" t="s">
        <v>100</v>
      </c>
      <c r="G333" s="13" t="s">
        <v>86</v>
      </c>
      <c r="H333" s="13" t="s">
        <v>109</v>
      </c>
      <c r="I333" s="17">
        <v>25.21</v>
      </c>
      <c r="J333" s="13" t="s">
        <v>94</v>
      </c>
      <c r="K333" s="13">
        <v>332</v>
      </c>
      <c r="L333" s="13" t="s">
        <v>164</v>
      </c>
      <c r="M333" s="13" t="s">
        <v>19</v>
      </c>
      <c r="N333">
        <f>_xlfn.XLOOKUP(spaces_3iWczBNnn5rbfoUlE0Jd_uploads_git_blob_9864c7f811c613c3faab876659c6423__25[[#This Row],[Número de Orden]],Cocinadinamica!B334:B1102,Cocinadinamica!C334:C1102)</f>
        <v>45</v>
      </c>
      <c r="O333" s="7">
        <f>spaces_3iWczBNnn5rbfoUlE0Jd_uploads_git_blob_9864c7f811c613c3faab876659c6423__25[[#This Row],[Hora de Llegada]]</f>
        <v>45020.009722222225</v>
      </c>
      <c r="P333" s="9">
        <f>spaces_3iWczBNnn5rbfoUlE0Jd_uploads_git_blob_9864c7f811c613c3faab876659c6423__25[[#This Row],[Hora de Llegada]]</f>
        <v>45020.009722222225</v>
      </c>
      <c r="Q333" s="9">
        <f>spaces_3iWczBNnn5rbfoUlE0Jd_uploads_git_blob_9864c7f811c613c3faab876659c6423__25[[#This Row],[Hora de Salida]]</f>
        <v>45020.061805555553</v>
      </c>
      <c r="R333" s="9" cm="1">
        <f t="array" ref="R33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5.2083333328482695E-2</v>
      </c>
      <c r="S333" s="9">
        <f>_xlfn.XLOOKUP(spaces_3iWczBNnn5rbfoUlE0Jd_uploads_git_blob_9864c7f811c613c3faab876659c6423__25[[#This Row],[Número de Orden]],Cocinadinamica!E334:E1102,Cocinadinamica!F334:F1102)/1440</f>
        <v>1.1805555555555555E-2</v>
      </c>
      <c r="T333" s="9" cm="1">
        <f t="array" ref="T33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4.027777777292714E-2</v>
      </c>
      <c r="U333" s="9" t="str" cm="1">
        <f t="array" ref="U33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4" spans="1:21" x14ac:dyDescent="0.35">
      <c r="A334" s="27">
        <v>6</v>
      </c>
      <c r="B334" s="11" t="s">
        <v>617</v>
      </c>
      <c r="C334" s="11">
        <v>1</v>
      </c>
      <c r="D334" s="12">
        <v>45020.131944444445</v>
      </c>
      <c r="E334" s="12">
        <v>45020.186805555553</v>
      </c>
      <c r="F334" s="11" t="s">
        <v>72</v>
      </c>
      <c r="G334" s="11" t="s">
        <v>73</v>
      </c>
      <c r="H334" s="11" t="s">
        <v>74</v>
      </c>
      <c r="I334" s="16">
        <v>13.19</v>
      </c>
      <c r="J334" s="11" t="s">
        <v>75</v>
      </c>
      <c r="K334" s="11">
        <v>333</v>
      </c>
      <c r="L334" s="11" t="s">
        <v>221</v>
      </c>
      <c r="M334" s="11" t="s">
        <v>1382</v>
      </c>
      <c r="N334">
        <f>_xlfn.XLOOKUP(spaces_3iWczBNnn5rbfoUlE0Jd_uploads_git_blob_9864c7f811c613c3faab876659c6423__25[[#This Row],[Número de Orden]],Cocinadinamica!B335:B1103,Cocinadinamica!C335:C1103)</f>
        <v>30</v>
      </c>
      <c r="O334" s="7">
        <f>spaces_3iWczBNnn5rbfoUlE0Jd_uploads_git_blob_9864c7f811c613c3faab876659c6423__25[[#This Row],[Hora de Llegada]]</f>
        <v>45020.131944444445</v>
      </c>
      <c r="P334" s="9">
        <f>spaces_3iWczBNnn5rbfoUlE0Jd_uploads_git_blob_9864c7f811c613c3faab876659c6423__25[[#This Row],[Hora de Llegada]]</f>
        <v>45020.131944444445</v>
      </c>
      <c r="Q334" s="9">
        <f>spaces_3iWczBNnn5rbfoUlE0Jd_uploads_git_blob_9864c7f811c613c3faab876659c6423__25[[#This Row],[Hora de Salida]]</f>
        <v>45020.186805555553</v>
      </c>
      <c r="R334" s="9" cm="1">
        <f t="array" ref="R33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5.486111110803904E-2</v>
      </c>
      <c r="S334" s="9">
        <f>_xlfn.XLOOKUP(spaces_3iWczBNnn5rbfoUlE0Jd_uploads_git_blob_9864c7f811c613c3faab876659c6423__25[[#This Row],[Número de Orden]],Cocinadinamica!E335:E1103,Cocinadinamica!F335:F1103)/1440</f>
        <v>4.2361111111111113E-2</v>
      </c>
      <c r="T334" s="9" cm="1">
        <f t="array" ref="T33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1.2499999996927927E-2</v>
      </c>
      <c r="U334" s="9" t="str" cm="1">
        <f t="array" ref="U33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5" spans="1:21" x14ac:dyDescent="0.35">
      <c r="A335" s="28">
        <v>12</v>
      </c>
      <c r="B335" s="13" t="s">
        <v>1044</v>
      </c>
      <c r="C335" s="13">
        <v>4</v>
      </c>
      <c r="D335" s="14">
        <v>45020.118750000001</v>
      </c>
      <c r="E335" s="14">
        <v>45020.271527777775</v>
      </c>
      <c r="F335" s="13" t="s">
        <v>223</v>
      </c>
      <c r="G335" s="13" t="s">
        <v>163</v>
      </c>
      <c r="H335" s="13" t="s">
        <v>74</v>
      </c>
      <c r="I335" s="17">
        <v>17.5</v>
      </c>
      <c r="J335" s="13" t="s">
        <v>75</v>
      </c>
      <c r="K335" s="13">
        <v>334</v>
      </c>
      <c r="L335" s="13" t="s">
        <v>164</v>
      </c>
      <c r="M335" s="13" t="s">
        <v>1508</v>
      </c>
      <c r="N335">
        <f>_xlfn.XLOOKUP(spaces_3iWczBNnn5rbfoUlE0Jd_uploads_git_blob_9864c7f811c613c3faab876659c6423__25[[#This Row],[Número de Orden]],Cocinadinamica!B336:B1104,Cocinadinamica!C336:C1104)</f>
        <v>69</v>
      </c>
      <c r="O335" s="7">
        <f>spaces_3iWczBNnn5rbfoUlE0Jd_uploads_git_blob_9864c7f811c613c3faab876659c6423__25[[#This Row],[Hora de Llegada]]</f>
        <v>45020.118750000001</v>
      </c>
      <c r="P335" s="9">
        <f>spaces_3iWczBNnn5rbfoUlE0Jd_uploads_git_blob_9864c7f811c613c3faab876659c6423__25[[#This Row],[Hora de Llegada]]</f>
        <v>45020.118750000001</v>
      </c>
      <c r="Q335" s="9">
        <f>spaces_3iWczBNnn5rbfoUlE0Jd_uploads_git_blob_9864c7f811c613c3faab876659c6423__25[[#This Row],[Hora de Salida]]</f>
        <v>45020.271527777775</v>
      </c>
      <c r="R335" s="9" cm="1">
        <f t="array" ref="R33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0.15277777777373558</v>
      </c>
      <c r="S335" s="9">
        <f>_xlfn.XLOOKUP(spaces_3iWczBNnn5rbfoUlE0Jd_uploads_git_blob_9864c7f811c613c3faab876659c6423__25[[#This Row],[Número de Orden]],Cocinadinamica!E336:E1104,Cocinadinamica!F336:F1104)/1440</f>
        <v>0.10833333333333334</v>
      </c>
      <c r="T335" s="9" cm="1">
        <f t="array" ref="T33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4.4444444440402242E-2</v>
      </c>
      <c r="U335" s="9" t="str" cm="1">
        <f t="array" ref="U33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6" spans="1:21" x14ac:dyDescent="0.35">
      <c r="A336" s="27">
        <v>14</v>
      </c>
      <c r="B336" s="11" t="s">
        <v>1045</v>
      </c>
      <c r="C336" s="11">
        <v>3</v>
      </c>
      <c r="D336" s="12">
        <v>45020.080555555556</v>
      </c>
      <c r="E336" s="12">
        <v>45020.131249999999</v>
      </c>
      <c r="F336" s="11" t="s">
        <v>72</v>
      </c>
      <c r="G336" s="11" t="s">
        <v>86</v>
      </c>
      <c r="H336" s="11" t="s">
        <v>109</v>
      </c>
      <c r="I336" s="16">
        <v>41.56</v>
      </c>
      <c r="J336" s="11" t="s">
        <v>75</v>
      </c>
      <c r="K336" s="11">
        <v>335</v>
      </c>
      <c r="L336" s="11" t="s">
        <v>89</v>
      </c>
      <c r="M336" s="11" t="s">
        <v>1509</v>
      </c>
      <c r="N336">
        <f>_xlfn.XLOOKUP(spaces_3iWczBNnn5rbfoUlE0Jd_uploads_git_blob_9864c7f811c613c3faab876659c6423__25[[#This Row],[Número de Orden]],Cocinadinamica!B337:B1105,Cocinadinamica!C337:C1105)</f>
        <v>48</v>
      </c>
      <c r="O336" s="7">
        <f>spaces_3iWczBNnn5rbfoUlE0Jd_uploads_git_blob_9864c7f811c613c3faab876659c6423__25[[#This Row],[Hora de Llegada]]</f>
        <v>45020.080555555556</v>
      </c>
      <c r="P336" s="9">
        <f>spaces_3iWczBNnn5rbfoUlE0Jd_uploads_git_blob_9864c7f811c613c3faab876659c6423__25[[#This Row],[Hora de Llegada]]</f>
        <v>45020.080555555556</v>
      </c>
      <c r="Q336" s="9">
        <f>spaces_3iWczBNnn5rbfoUlE0Jd_uploads_git_blob_9864c7f811c613c3faab876659c6423__25[[#This Row],[Hora de Salida]]</f>
        <v>45020.131249999999</v>
      </c>
      <c r="R336" s="9" cm="1">
        <f t="array" ref="R33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5.0694444442342501E-2</v>
      </c>
      <c r="S336" s="9">
        <f>_xlfn.XLOOKUP(spaces_3iWczBNnn5rbfoUlE0Jd_uploads_git_blob_9864c7f811c613c3faab876659c6423__25[[#This Row],[Número de Orden]],Cocinadinamica!E337:E1105,Cocinadinamica!F337:F1105)/1440</f>
        <v>4.791666666666667E-2</v>
      </c>
      <c r="T336" s="9" cm="1">
        <f t="array" ref="T33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2.7777777756758312E-3</v>
      </c>
      <c r="U336" s="9" t="str" cm="1">
        <f t="array" ref="U33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7" spans="1:21" x14ac:dyDescent="0.35">
      <c r="A337" s="28">
        <v>4</v>
      </c>
      <c r="B337" s="13" t="s">
        <v>1046</v>
      </c>
      <c r="C337" s="13">
        <v>5</v>
      </c>
      <c r="D337" s="14">
        <v>45020.065972222219</v>
      </c>
      <c r="E337" s="14">
        <v>45020.20208333333</v>
      </c>
      <c r="F337" s="13" t="s">
        <v>100</v>
      </c>
      <c r="G337" s="13" t="s">
        <v>73</v>
      </c>
      <c r="H337" s="13" t="s">
        <v>74</v>
      </c>
      <c r="I337" s="17">
        <v>17.93</v>
      </c>
      <c r="J337" s="13" t="s">
        <v>75</v>
      </c>
      <c r="K337" s="13">
        <v>336</v>
      </c>
      <c r="L337" s="13" t="s">
        <v>164</v>
      </c>
      <c r="M337" s="13" t="s">
        <v>1510</v>
      </c>
      <c r="N337">
        <f>_xlfn.XLOOKUP(spaces_3iWczBNnn5rbfoUlE0Jd_uploads_git_blob_9864c7f811c613c3faab876659c6423__25[[#This Row],[Número de Orden]],Cocinadinamica!B338:B1106,Cocinadinamica!C338:C1106)</f>
        <v>65</v>
      </c>
      <c r="O337" s="7">
        <f>spaces_3iWczBNnn5rbfoUlE0Jd_uploads_git_blob_9864c7f811c613c3faab876659c6423__25[[#This Row],[Hora de Llegada]]</f>
        <v>45020.065972222219</v>
      </c>
      <c r="P337" s="9">
        <f>spaces_3iWczBNnn5rbfoUlE0Jd_uploads_git_blob_9864c7f811c613c3faab876659c6423__25[[#This Row],[Hora de Llegada]]</f>
        <v>45020.065972222219</v>
      </c>
      <c r="Q337" s="9">
        <f>spaces_3iWczBNnn5rbfoUlE0Jd_uploads_git_blob_9864c7f811c613c3faab876659c6423__25[[#This Row],[Hora de Salida]]</f>
        <v>45020.20208333333</v>
      </c>
      <c r="R337" s="9" cm="1">
        <f t="array" ref="R33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0.13611111111094942</v>
      </c>
      <c r="S337" s="9">
        <f>_xlfn.XLOOKUP(spaces_3iWczBNnn5rbfoUlE0Jd_uploads_git_blob_9864c7f811c613c3faab876659c6423__25[[#This Row],[Número de Orden]],Cocinadinamica!E338:E1106,Cocinadinamica!F338:F1106)/1440</f>
        <v>4.5138888888888888E-2</v>
      </c>
      <c r="T337" s="9" cm="1">
        <f t="array" ref="T33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9.0972222222060528E-2</v>
      </c>
      <c r="U337" s="9" t="str" cm="1">
        <f t="array" ref="U33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8" spans="1:21" x14ac:dyDescent="0.35">
      <c r="A338" s="27">
        <v>11</v>
      </c>
      <c r="B338" s="11" t="s">
        <v>1047</v>
      </c>
      <c r="C338" s="11">
        <v>2</v>
      </c>
      <c r="D338" s="12">
        <v>45020.068055555559</v>
      </c>
      <c r="E338" s="12">
        <v>45020.188194444447</v>
      </c>
      <c r="F338" s="11" t="s">
        <v>85</v>
      </c>
      <c r="G338" s="11" t="s">
        <v>73</v>
      </c>
      <c r="H338" s="11" t="s">
        <v>74</v>
      </c>
      <c r="I338" s="16">
        <v>19.28</v>
      </c>
      <c r="J338" s="11" t="s">
        <v>94</v>
      </c>
      <c r="K338" s="11">
        <v>337</v>
      </c>
      <c r="L338" s="11" t="s">
        <v>89</v>
      </c>
      <c r="M338" s="11" t="s">
        <v>1511</v>
      </c>
      <c r="N338">
        <f>_xlfn.XLOOKUP(spaces_3iWczBNnn5rbfoUlE0Jd_uploads_git_blob_9864c7f811c613c3faab876659c6423__25[[#This Row],[Número de Orden]],Cocinadinamica!B339:B1107,Cocinadinamica!C339:C1107)</f>
        <v>42</v>
      </c>
      <c r="O338" s="7">
        <f>spaces_3iWczBNnn5rbfoUlE0Jd_uploads_git_blob_9864c7f811c613c3faab876659c6423__25[[#This Row],[Hora de Llegada]]</f>
        <v>45020.068055555559</v>
      </c>
      <c r="P338" s="9">
        <f>spaces_3iWczBNnn5rbfoUlE0Jd_uploads_git_blob_9864c7f811c613c3faab876659c6423__25[[#This Row],[Hora de Llegada]]</f>
        <v>45020.068055555559</v>
      </c>
      <c r="Q338" s="9">
        <f>spaces_3iWczBNnn5rbfoUlE0Jd_uploads_git_blob_9864c7f811c613c3faab876659c6423__25[[#This Row],[Hora de Salida]]</f>
        <v>45020.188194444447</v>
      </c>
      <c r="R338" s="9" cm="1">
        <f t="array" ref="R33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0.12013888888759539</v>
      </c>
      <c r="S338" s="9">
        <f>_xlfn.XLOOKUP(spaces_3iWczBNnn5rbfoUlE0Jd_uploads_git_blob_9864c7f811c613c3faab876659c6423__25[[#This Row],[Número de Orden]],Cocinadinamica!E339:E1107,Cocinadinamica!F339:F1107)/1440</f>
        <v>4.027777777777778E-2</v>
      </c>
      <c r="T338" s="9" cm="1">
        <f t="array" ref="T33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7.9861111109817612E-2</v>
      </c>
      <c r="U338" s="9" t="str" cm="1">
        <f t="array" ref="U33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39" spans="1:21" x14ac:dyDescent="0.35">
      <c r="A339" s="28">
        <v>18</v>
      </c>
      <c r="B339" s="13" t="s">
        <v>1048</v>
      </c>
      <c r="C339" s="13">
        <v>2</v>
      </c>
      <c r="D339" s="14">
        <v>45020.022222222222</v>
      </c>
      <c r="E339" s="14">
        <v>45020.145833333336</v>
      </c>
      <c r="F339" s="13" t="s">
        <v>85</v>
      </c>
      <c r="G339" s="13" t="s">
        <v>86</v>
      </c>
      <c r="H339" s="13" t="s">
        <v>109</v>
      </c>
      <c r="I339" s="17">
        <v>30.62</v>
      </c>
      <c r="J339" s="13" t="s">
        <v>94</v>
      </c>
      <c r="K339" s="13">
        <v>338</v>
      </c>
      <c r="L339" s="13" t="s">
        <v>187</v>
      </c>
      <c r="M339" s="13" t="s">
        <v>1512</v>
      </c>
      <c r="N339">
        <f>_xlfn.XLOOKUP(spaces_3iWczBNnn5rbfoUlE0Jd_uploads_git_blob_9864c7f811c613c3faab876659c6423__25[[#This Row],[Número de Orden]],Cocinadinamica!B340:B1108,Cocinadinamica!C340:C1108)</f>
        <v>113</v>
      </c>
      <c r="O339" s="7">
        <f>spaces_3iWczBNnn5rbfoUlE0Jd_uploads_git_blob_9864c7f811c613c3faab876659c6423__25[[#This Row],[Hora de Llegada]]</f>
        <v>45020.022222222222</v>
      </c>
      <c r="P339" s="9">
        <f>spaces_3iWczBNnn5rbfoUlE0Jd_uploads_git_blob_9864c7f811c613c3faab876659c6423__25[[#This Row],[Hora de Llegada]]</f>
        <v>45020.022222222222</v>
      </c>
      <c r="Q339" s="9">
        <f>spaces_3iWczBNnn5rbfoUlE0Jd_uploads_git_blob_9864c7f811c613c3faab876659c6423__25[[#This Row],[Hora de Salida]]</f>
        <v>45020.145833333336</v>
      </c>
      <c r="R339" s="9" cm="1">
        <f t="array" ref="R33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0.12361111111385981</v>
      </c>
      <c r="S339" s="9">
        <f>_xlfn.XLOOKUP(spaces_3iWczBNnn5rbfoUlE0Jd_uploads_git_blob_9864c7f811c613c3faab876659c6423__25[[#This Row],[Número de Orden]],Cocinadinamica!E340:E1108,Cocinadinamica!F340:F1108)/1440</f>
        <v>9.930555555555555E-2</v>
      </c>
      <c r="T339" s="9" cm="1">
        <f t="array" ref="T33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2.4305555558304257E-2</v>
      </c>
      <c r="U339" s="9" t="str" cm="1">
        <f t="array" ref="U33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0" spans="1:21" x14ac:dyDescent="0.35">
      <c r="A340" s="27">
        <v>13</v>
      </c>
      <c r="B340" s="11" t="s">
        <v>1049</v>
      </c>
      <c r="C340" s="11">
        <v>2</v>
      </c>
      <c r="D340" s="12">
        <v>45020</v>
      </c>
      <c r="E340" s="12">
        <v>45020.084027777775</v>
      </c>
      <c r="F340" s="11" t="s">
        <v>170</v>
      </c>
      <c r="G340" s="11" t="s">
        <v>163</v>
      </c>
      <c r="H340" s="11" t="s">
        <v>109</v>
      </c>
      <c r="I340" s="16">
        <v>19.600000000000001</v>
      </c>
      <c r="J340" s="11" t="s">
        <v>94</v>
      </c>
      <c r="K340" s="11">
        <v>339</v>
      </c>
      <c r="L340" s="11" t="s">
        <v>76</v>
      </c>
      <c r="M340" s="11" t="s">
        <v>1513</v>
      </c>
      <c r="N340">
        <f>_xlfn.XLOOKUP(spaces_3iWczBNnn5rbfoUlE0Jd_uploads_git_blob_9864c7f811c613c3faab876659c6423__25[[#This Row],[Número de Orden]],Cocinadinamica!B341:B1109,Cocinadinamica!C341:C1109)</f>
        <v>42</v>
      </c>
      <c r="O340" s="7">
        <f>spaces_3iWczBNnn5rbfoUlE0Jd_uploads_git_blob_9864c7f811c613c3faab876659c6423__25[[#This Row],[Hora de Llegada]]</f>
        <v>45020</v>
      </c>
      <c r="P340" s="9">
        <f>spaces_3iWczBNnn5rbfoUlE0Jd_uploads_git_blob_9864c7f811c613c3faab876659c6423__25[[#This Row],[Hora de Llegada]]</f>
        <v>45020</v>
      </c>
      <c r="Q340" s="9">
        <f>spaces_3iWczBNnn5rbfoUlE0Jd_uploads_git_blob_9864c7f811c613c3faab876659c6423__25[[#This Row],[Hora de Salida]]</f>
        <v>45020.084027777775</v>
      </c>
      <c r="R340" s="9" cm="1">
        <f t="array" ref="R34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8.4027777775190771E-2</v>
      </c>
      <c r="S340" s="9">
        <f>_xlfn.XLOOKUP(spaces_3iWczBNnn5rbfoUlE0Jd_uploads_git_blob_9864c7f811c613c3faab876659c6423__25[[#This Row],[Número de Orden]],Cocinadinamica!E341:E1109,Cocinadinamica!F341:F1109)/1440</f>
        <v>3.1944444444444442E-2</v>
      </c>
      <c r="T340" s="9" cm="1">
        <f t="array" ref="T34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5.2083333330746329E-2</v>
      </c>
      <c r="U340" s="9" t="str" cm="1">
        <f t="array" ref="U34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1" spans="1:21" x14ac:dyDescent="0.35">
      <c r="A341" s="28">
        <v>15</v>
      </c>
      <c r="B341" s="13" t="s">
        <v>1050</v>
      </c>
      <c r="C341" s="13">
        <v>1</v>
      </c>
      <c r="D341" s="14">
        <v>45020.05</v>
      </c>
      <c r="E341" s="14">
        <v>45020.193055555559</v>
      </c>
      <c r="F341" s="13" t="s">
        <v>170</v>
      </c>
      <c r="G341" s="13" t="s">
        <v>86</v>
      </c>
      <c r="H341" s="13" t="s">
        <v>74</v>
      </c>
      <c r="I341" s="17">
        <v>38.520000000000003</v>
      </c>
      <c r="J341" s="13" t="s">
        <v>75</v>
      </c>
      <c r="K341" s="13">
        <v>340</v>
      </c>
      <c r="L341" s="13" t="s">
        <v>181</v>
      </c>
      <c r="M341" s="13" t="s">
        <v>1514</v>
      </c>
      <c r="N341">
        <f>_xlfn.XLOOKUP(spaces_3iWczBNnn5rbfoUlE0Jd_uploads_git_blob_9864c7f811c613c3faab876659c6423__25[[#This Row],[Número de Orden]],Cocinadinamica!B342:B1110,Cocinadinamica!C342:C1110)</f>
        <v>66</v>
      </c>
      <c r="O341" s="7">
        <f>spaces_3iWczBNnn5rbfoUlE0Jd_uploads_git_blob_9864c7f811c613c3faab876659c6423__25[[#This Row],[Hora de Llegada]]</f>
        <v>45020.05</v>
      </c>
      <c r="P341" s="9">
        <f>spaces_3iWczBNnn5rbfoUlE0Jd_uploads_git_blob_9864c7f811c613c3faab876659c6423__25[[#This Row],[Hora de Llegada]]</f>
        <v>45020.05</v>
      </c>
      <c r="Q341" s="9">
        <f>spaces_3iWczBNnn5rbfoUlE0Jd_uploads_git_blob_9864c7f811c613c3faab876659c6423__25[[#This Row],[Hora de Salida]]</f>
        <v>45020.193055555559</v>
      </c>
      <c r="R341" s="9" cm="1">
        <f t="array" ref="R34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0.14305555555620231</v>
      </c>
      <c r="S341" s="9">
        <f>_xlfn.XLOOKUP(spaces_3iWczBNnn5rbfoUlE0Jd_uploads_git_blob_9864c7f811c613c3faab876659c6423__25[[#This Row],[Número de Orden]],Cocinadinamica!E342:E1110,Cocinadinamica!F342:F1110)/1440</f>
        <v>6.3194444444444442E-2</v>
      </c>
      <c r="T341" s="9" cm="1">
        <f t="array" ref="T34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7.9861111111757865E-2</v>
      </c>
      <c r="U341" s="9" t="str" cm="1">
        <f t="array" ref="U34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2" spans="1:21" x14ac:dyDescent="0.35">
      <c r="A342" s="27">
        <v>14</v>
      </c>
      <c r="B342" s="11" t="s">
        <v>1051</v>
      </c>
      <c r="C342" s="11">
        <v>5</v>
      </c>
      <c r="D342" s="12">
        <v>45020.086805555555</v>
      </c>
      <c r="E342" s="12">
        <v>45020.179861111108</v>
      </c>
      <c r="F342" s="11" t="s">
        <v>170</v>
      </c>
      <c r="G342" s="11" t="s">
        <v>163</v>
      </c>
      <c r="H342" s="11" t="s">
        <v>74</v>
      </c>
      <c r="I342" s="16">
        <v>47.05</v>
      </c>
      <c r="J342" s="11" t="s">
        <v>75</v>
      </c>
      <c r="K342" s="11">
        <v>341</v>
      </c>
      <c r="L342" s="11" t="s">
        <v>76</v>
      </c>
      <c r="M342" s="11" t="s">
        <v>1515</v>
      </c>
      <c r="N342">
        <f>_xlfn.XLOOKUP(spaces_3iWczBNnn5rbfoUlE0Jd_uploads_git_blob_9864c7f811c613c3faab876659c6423__25[[#This Row],[Número de Orden]],Cocinadinamica!B343:B1111,Cocinadinamica!C343:C1111)</f>
        <v>72</v>
      </c>
      <c r="O342" s="7">
        <f>spaces_3iWczBNnn5rbfoUlE0Jd_uploads_git_blob_9864c7f811c613c3faab876659c6423__25[[#This Row],[Hora de Llegada]]</f>
        <v>45020.086805555555</v>
      </c>
      <c r="P342" s="9">
        <f>spaces_3iWczBNnn5rbfoUlE0Jd_uploads_git_blob_9864c7f811c613c3faab876659c6423__25[[#This Row],[Hora de Llegada]]</f>
        <v>45020.086805555555</v>
      </c>
      <c r="Q342" s="9">
        <f>spaces_3iWczBNnn5rbfoUlE0Jd_uploads_git_blob_9864c7f811c613c3faab876659c6423__25[[#This Row],[Hora de Salida]]</f>
        <v>45020.179861111108</v>
      </c>
      <c r="R342" s="9" cm="1">
        <f t="array" ref="R34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9.3055555553291924E-2</v>
      </c>
      <c r="S342" s="9">
        <f>_xlfn.XLOOKUP(spaces_3iWczBNnn5rbfoUlE0Jd_uploads_git_blob_9864c7f811c613c3faab876659c6423__25[[#This Row],[Número de Orden]],Cocinadinamica!E343:E1111,Cocinadinamica!F343:F1111)/1440</f>
        <v>6.1111111111111109E-2</v>
      </c>
      <c r="T342" s="9" cm="1">
        <f t="array" ref="T34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3.1944444442180815E-2</v>
      </c>
      <c r="U342" s="9" t="str" cm="1">
        <f t="array" ref="U34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3" spans="1:21" x14ac:dyDescent="0.35">
      <c r="A343" s="28">
        <v>19</v>
      </c>
      <c r="B343" s="13" t="s">
        <v>1052</v>
      </c>
      <c r="C343" s="13">
        <v>5</v>
      </c>
      <c r="D343" s="14">
        <v>45020.104166666664</v>
      </c>
      <c r="E343" s="14">
        <v>45020.257638888892</v>
      </c>
      <c r="F343" s="13" t="s">
        <v>170</v>
      </c>
      <c r="G343" s="13" t="s">
        <v>163</v>
      </c>
      <c r="H343" s="13" t="s">
        <v>74</v>
      </c>
      <c r="I343" s="17">
        <v>20.059999999999999</v>
      </c>
      <c r="J343" s="13" t="s">
        <v>75</v>
      </c>
      <c r="K343" s="13">
        <v>342</v>
      </c>
      <c r="L343" s="13" t="s">
        <v>95</v>
      </c>
      <c r="M343" s="13" t="s">
        <v>1429</v>
      </c>
      <c r="N343">
        <f>_xlfn.XLOOKUP(spaces_3iWczBNnn5rbfoUlE0Jd_uploads_git_blob_9864c7f811c613c3faab876659c6423__25[[#This Row],[Número de Orden]],Cocinadinamica!B344:B1112,Cocinadinamica!C344:C1112)</f>
        <v>42</v>
      </c>
      <c r="O343" s="7">
        <f>spaces_3iWczBNnn5rbfoUlE0Jd_uploads_git_blob_9864c7f811c613c3faab876659c6423__25[[#This Row],[Hora de Llegada]]</f>
        <v>45020.104166666664</v>
      </c>
      <c r="P343" s="9">
        <f>spaces_3iWczBNnn5rbfoUlE0Jd_uploads_git_blob_9864c7f811c613c3faab876659c6423__25[[#This Row],[Hora de Llegada]]</f>
        <v>45020.104166666664</v>
      </c>
      <c r="Q343" s="9">
        <f>spaces_3iWczBNnn5rbfoUlE0Jd_uploads_git_blob_9864c7f811c613c3faab876659c6423__25[[#This Row],[Hora de Salida]]</f>
        <v>45020.257638888892</v>
      </c>
      <c r="R343" s="9" cm="1">
        <f t="array" ref="R34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0.15347222222771961</v>
      </c>
      <c r="S343" s="9">
        <f>_xlfn.XLOOKUP(spaces_3iWczBNnn5rbfoUlE0Jd_uploads_git_blob_9864c7f811c613c3faab876659c6423__25[[#This Row],[Número de Orden]],Cocinadinamica!E344:E1112,Cocinadinamica!F344:F1112)/1440</f>
        <v>3.7499999999999999E-2</v>
      </c>
      <c r="T343" s="9" cm="1">
        <f t="array" ref="T34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0.11597222222771961</v>
      </c>
      <c r="U343" s="9" t="str" cm="1">
        <f t="array" ref="U34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4" spans="1:21" x14ac:dyDescent="0.35">
      <c r="A344" s="27">
        <v>12</v>
      </c>
      <c r="B344" s="11" t="s">
        <v>1053</v>
      </c>
      <c r="C344" s="11">
        <v>1</v>
      </c>
      <c r="D344" s="12">
        <v>45020.163888888892</v>
      </c>
      <c r="E344" s="12">
        <v>45020.239583333336</v>
      </c>
      <c r="F344" s="11" t="s">
        <v>85</v>
      </c>
      <c r="G344" s="11" t="s">
        <v>86</v>
      </c>
      <c r="H344" s="11" t="s">
        <v>74</v>
      </c>
      <c r="I344" s="16">
        <v>23.01</v>
      </c>
      <c r="J344" s="11" t="s">
        <v>88</v>
      </c>
      <c r="K344" s="11">
        <v>343</v>
      </c>
      <c r="L344" s="11" t="s">
        <v>76</v>
      </c>
      <c r="M344" s="11" t="s">
        <v>1516</v>
      </c>
      <c r="N344">
        <f>_xlfn.XLOOKUP(spaces_3iWczBNnn5rbfoUlE0Jd_uploads_git_blob_9864c7f811c613c3faab876659c6423__25[[#This Row],[Número de Orden]],Cocinadinamica!B345:B1113,Cocinadinamica!C345:C1113)</f>
        <v>55</v>
      </c>
      <c r="O344" s="7">
        <f>spaces_3iWczBNnn5rbfoUlE0Jd_uploads_git_blob_9864c7f811c613c3faab876659c6423__25[[#This Row],[Hora de Llegada]]</f>
        <v>45020.163888888892</v>
      </c>
      <c r="P344" s="9">
        <f>spaces_3iWczBNnn5rbfoUlE0Jd_uploads_git_blob_9864c7f811c613c3faab876659c6423__25[[#This Row],[Hora de Llegada]]</f>
        <v>45020.163888888892</v>
      </c>
      <c r="Q344" s="9">
        <f>spaces_3iWczBNnn5rbfoUlE0Jd_uploads_git_blob_9864c7f811c613c3faab876659c6423__25[[#This Row],[Hora de Salida]]</f>
        <v>45020.239583333336</v>
      </c>
      <c r="R344" s="9" cm="1">
        <f t="array" ref="R34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8.611111110803904E-2</v>
      </c>
      <c r="S344" s="9">
        <f>_xlfn.XLOOKUP(spaces_3iWczBNnn5rbfoUlE0Jd_uploads_git_blob_9864c7f811c613c3faab876659c6423__25[[#This Row],[Número de Orden]],Cocinadinamica!E345:E1113,Cocinadinamica!F345:F1113)/1440</f>
        <v>7.013888888888889E-2</v>
      </c>
      <c r="T344" s="9" cm="1">
        <f t="array" ref="T34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1.5972222219150151E-2</v>
      </c>
      <c r="U344" s="9" t="str" cm="1">
        <f t="array" ref="U34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5" spans="1:21" x14ac:dyDescent="0.35">
      <c r="A345" s="28">
        <v>15</v>
      </c>
      <c r="B345" s="13" t="s">
        <v>1054</v>
      </c>
      <c r="C345" s="13">
        <v>3</v>
      </c>
      <c r="D345" s="14">
        <v>45020.031944444447</v>
      </c>
      <c r="E345" s="14">
        <v>45020.086111111108</v>
      </c>
      <c r="F345" s="13" t="s">
        <v>100</v>
      </c>
      <c r="G345" s="13" t="s">
        <v>86</v>
      </c>
      <c r="H345" s="13" t="s">
        <v>74</v>
      </c>
      <c r="I345" s="17">
        <v>33.01</v>
      </c>
      <c r="J345" s="13" t="s">
        <v>88</v>
      </c>
      <c r="K345" s="13">
        <v>344</v>
      </c>
      <c r="L345" s="13" t="s">
        <v>101</v>
      </c>
      <c r="M345" s="13" t="s">
        <v>1517</v>
      </c>
      <c r="N345">
        <f>_xlfn.XLOOKUP(spaces_3iWczBNnn5rbfoUlE0Jd_uploads_git_blob_9864c7f811c613c3faab876659c6423__25[[#This Row],[Número de Orden]],Cocinadinamica!B346:B1114,Cocinadinamica!C346:C1114)</f>
        <v>73</v>
      </c>
      <c r="O345" s="7">
        <f>spaces_3iWczBNnn5rbfoUlE0Jd_uploads_git_blob_9864c7f811c613c3faab876659c6423__25[[#This Row],[Hora de Llegada]]</f>
        <v>45020.031944444447</v>
      </c>
      <c r="P345" s="9">
        <f>spaces_3iWczBNnn5rbfoUlE0Jd_uploads_git_blob_9864c7f811c613c3faab876659c6423__25[[#This Row],[Hora de Llegada]]</f>
        <v>45020.031944444447</v>
      </c>
      <c r="Q345" s="9">
        <f>spaces_3iWczBNnn5rbfoUlE0Jd_uploads_git_blob_9864c7f811c613c3faab876659c6423__25[[#This Row],[Hora de Salida]]</f>
        <v>45020.086111111108</v>
      </c>
      <c r="R345" s="9" cm="1">
        <f t="array" ref="R34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6.4583333325572312E-2</v>
      </c>
      <c r="S345" s="9">
        <f>_xlfn.XLOOKUP(spaces_3iWczBNnn5rbfoUlE0Jd_uploads_git_blob_9864c7f811c613c3faab876659c6423__25[[#This Row],[Número de Orden]],Cocinadinamica!E346:E1114,Cocinadinamica!F346:F1114)/1440</f>
        <v>5.9722222222222225E-2</v>
      </c>
      <c r="T345" s="9" cm="1">
        <f t="array" ref="T34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4.8611111033500867E-3</v>
      </c>
      <c r="U345" s="9" t="str" cm="1">
        <f t="array" ref="U34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6" spans="1:21" x14ac:dyDescent="0.35">
      <c r="A346" s="27" t="s">
        <v>224</v>
      </c>
      <c r="B346" s="11" t="s">
        <v>452</v>
      </c>
      <c r="C346" s="11">
        <v>3</v>
      </c>
      <c r="D346" s="12">
        <v>45020.054166666669</v>
      </c>
      <c r="E346" s="12">
        <v>45020.179861111108</v>
      </c>
      <c r="F346" s="11" t="s">
        <v>72</v>
      </c>
      <c r="G346" s="11" t="s">
        <v>86</v>
      </c>
      <c r="H346" s="11" t="s">
        <v>74</v>
      </c>
      <c r="I346" s="16">
        <v>13.98</v>
      </c>
      <c r="J346" s="11" t="s">
        <v>88</v>
      </c>
      <c r="K346" s="11">
        <v>345</v>
      </c>
      <c r="L346" s="11" t="s">
        <v>101</v>
      </c>
      <c r="M346" s="11" t="s">
        <v>29</v>
      </c>
      <c r="N346">
        <f>_xlfn.XLOOKUP(spaces_3iWczBNnn5rbfoUlE0Jd_uploads_git_blob_9864c7f811c613c3faab876659c6423__25[[#This Row],[Número de Orden]],Cocinadinamica!B347:B1115,Cocinadinamica!C347:C1115)</f>
        <v>16</v>
      </c>
      <c r="O346" s="7">
        <f>spaces_3iWczBNnn5rbfoUlE0Jd_uploads_git_blob_9864c7f811c613c3faab876659c6423__25[[#This Row],[Hora de Llegada]]</f>
        <v>45020.054166666669</v>
      </c>
      <c r="P346" s="9">
        <f>spaces_3iWczBNnn5rbfoUlE0Jd_uploads_git_blob_9864c7f811c613c3faab876659c6423__25[[#This Row],[Hora de Llegada]]</f>
        <v>45020.054166666669</v>
      </c>
      <c r="Q346" s="9">
        <f>spaces_3iWczBNnn5rbfoUlE0Jd_uploads_git_blob_9864c7f811c613c3faab876659c6423__25[[#This Row],[Hora de Salida]]</f>
        <v>45020.179861111108</v>
      </c>
      <c r="R346" s="9" cm="1">
        <f t="array" ref="R34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0.13611111110367347</v>
      </c>
      <c r="S346" s="9">
        <f>_xlfn.XLOOKUP(spaces_3iWczBNnn5rbfoUlE0Jd_uploads_git_blob_9864c7f811c613c3faab876659c6423__25[[#This Row],[Número de Orden]],Cocinadinamica!E347:E1115,Cocinadinamica!F347:F1115)/1440</f>
        <v>1.2500000000000001E-2</v>
      </c>
      <c r="T346" s="9" cm="1">
        <f t="array" ref="T34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0.12361111110367347</v>
      </c>
      <c r="U346" s="9" t="str" cm="1">
        <f t="array" ref="U34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7" spans="1:21" x14ac:dyDescent="0.35">
      <c r="A347" s="28" t="s">
        <v>161</v>
      </c>
      <c r="B347" s="13" t="s">
        <v>453</v>
      </c>
      <c r="C347" s="13">
        <v>5</v>
      </c>
      <c r="D347" s="14">
        <v>45020.027777777781</v>
      </c>
      <c r="E347" s="14">
        <v>45020.163888888892</v>
      </c>
      <c r="F347" s="13" t="s">
        <v>85</v>
      </c>
      <c r="G347" s="13" t="s">
        <v>86</v>
      </c>
      <c r="H347" s="13" t="s">
        <v>109</v>
      </c>
      <c r="I347" s="17">
        <v>35.93</v>
      </c>
      <c r="J347" s="13" t="s">
        <v>94</v>
      </c>
      <c r="K347" s="13">
        <v>346</v>
      </c>
      <c r="L347" s="13" t="s">
        <v>164</v>
      </c>
      <c r="M347" s="13" t="s">
        <v>21</v>
      </c>
      <c r="N347">
        <f>_xlfn.XLOOKUP(spaces_3iWczBNnn5rbfoUlE0Jd_uploads_git_blob_9864c7f811c613c3faab876659c6423__25[[#This Row],[Número de Orden]],Cocinadinamica!B348:B1116,Cocinadinamica!C348:C1116)</f>
        <v>28</v>
      </c>
      <c r="O347" s="7">
        <f>spaces_3iWczBNnn5rbfoUlE0Jd_uploads_git_blob_9864c7f811c613c3faab876659c6423__25[[#This Row],[Hora de Llegada]]</f>
        <v>45020.027777777781</v>
      </c>
      <c r="P347" s="9">
        <f>spaces_3iWczBNnn5rbfoUlE0Jd_uploads_git_blob_9864c7f811c613c3faab876659c6423__25[[#This Row],[Hora de Llegada]]</f>
        <v>45020.027777777781</v>
      </c>
      <c r="Q347" s="9">
        <f>spaces_3iWczBNnn5rbfoUlE0Jd_uploads_git_blob_9864c7f811c613c3faab876659c6423__25[[#This Row],[Hora de Salida]]</f>
        <v>45020.163888888892</v>
      </c>
      <c r="R347" s="9" cm="1">
        <f t="array" ref="R34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0.13611111111094942</v>
      </c>
      <c r="S347" s="9">
        <f>_xlfn.XLOOKUP(spaces_3iWczBNnn5rbfoUlE0Jd_uploads_git_blob_9864c7f811c613c3faab876659c6423__25[[#This Row],[Número de Orden]],Cocinadinamica!E348:E1116,Cocinadinamica!F348:F1116)/1440</f>
        <v>1.5277777777777777E-2</v>
      </c>
      <c r="T347" s="9" cm="1">
        <f t="array" ref="T34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0.12083333333317164</v>
      </c>
      <c r="U347" s="9" t="str" cm="1">
        <f t="array" ref="U34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8" spans="1:21" x14ac:dyDescent="0.35">
      <c r="A348" s="27" t="s">
        <v>70</v>
      </c>
      <c r="B348" s="11" t="s">
        <v>454</v>
      </c>
      <c r="C348" s="11">
        <v>4</v>
      </c>
      <c r="D348" s="12">
        <v>45020.075694444444</v>
      </c>
      <c r="E348" s="12">
        <v>45020.19027777778</v>
      </c>
      <c r="F348" s="11" t="s">
        <v>72</v>
      </c>
      <c r="G348" s="11" t="s">
        <v>86</v>
      </c>
      <c r="H348" s="11" t="s">
        <v>74</v>
      </c>
      <c r="I348" s="16">
        <v>48.52</v>
      </c>
      <c r="J348" s="11" t="s">
        <v>94</v>
      </c>
      <c r="K348" s="11">
        <v>347</v>
      </c>
      <c r="L348" s="11" t="s">
        <v>101</v>
      </c>
      <c r="M348" s="11" t="s">
        <v>31</v>
      </c>
      <c r="N348">
        <f>_xlfn.XLOOKUP(spaces_3iWczBNnn5rbfoUlE0Jd_uploads_git_blob_9864c7f811c613c3faab876659c6423__25[[#This Row],[Número de Orden]],Cocinadinamica!B349:B1117,Cocinadinamica!C349:C1117)</f>
        <v>28</v>
      </c>
      <c r="O348" s="7">
        <f>spaces_3iWczBNnn5rbfoUlE0Jd_uploads_git_blob_9864c7f811c613c3faab876659c6423__25[[#This Row],[Hora de Llegada]]</f>
        <v>45020.075694444444</v>
      </c>
      <c r="P348" s="9">
        <f>spaces_3iWczBNnn5rbfoUlE0Jd_uploads_git_blob_9864c7f811c613c3faab876659c6423__25[[#This Row],[Hora de Llegada]]</f>
        <v>45020.075694444444</v>
      </c>
      <c r="Q348" s="9">
        <f>spaces_3iWczBNnn5rbfoUlE0Jd_uploads_git_blob_9864c7f811c613c3faab876659c6423__25[[#This Row],[Hora de Salida]]</f>
        <v>45020.19027777778</v>
      </c>
      <c r="R348" s="9" cm="1">
        <f t="array" ref="R34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0.11458333333575865</v>
      </c>
      <c r="S348" s="9">
        <f>_xlfn.XLOOKUP(spaces_3iWczBNnn5rbfoUlE0Jd_uploads_git_blob_9864c7f811c613c3faab876659c6423__25[[#This Row],[Número de Orden]],Cocinadinamica!E349:E1117,Cocinadinamica!F349:F1117)/1440</f>
        <v>3.0555555555555555E-2</v>
      </c>
      <c r="T348" s="9" cm="1">
        <f t="array" ref="T34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8.4027777780203095E-2</v>
      </c>
      <c r="U348" s="9" t="str" cm="1">
        <f t="array" ref="U34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49" spans="1:21" x14ac:dyDescent="0.35">
      <c r="A349" s="28">
        <v>16</v>
      </c>
      <c r="B349" s="13" t="s">
        <v>1055</v>
      </c>
      <c r="C349" s="13">
        <v>2</v>
      </c>
      <c r="D349" s="14">
        <v>45020.053472222222</v>
      </c>
      <c r="E349" s="14">
        <v>45020.207638888889</v>
      </c>
      <c r="F349" s="13" t="s">
        <v>100</v>
      </c>
      <c r="G349" s="13" t="s">
        <v>86</v>
      </c>
      <c r="H349" s="13" t="s">
        <v>74</v>
      </c>
      <c r="I349" s="17">
        <v>30.78</v>
      </c>
      <c r="J349" s="13" t="s">
        <v>88</v>
      </c>
      <c r="K349" s="13">
        <v>348</v>
      </c>
      <c r="L349" s="13" t="s">
        <v>221</v>
      </c>
      <c r="M349" s="13" t="s">
        <v>1286</v>
      </c>
      <c r="N349">
        <f>_xlfn.XLOOKUP(spaces_3iWczBNnn5rbfoUlE0Jd_uploads_git_blob_9864c7f811c613c3faab876659c6423__25[[#This Row],[Número de Orden]],Cocinadinamica!B350:B1118,Cocinadinamica!C350:C1118)</f>
        <v>35</v>
      </c>
      <c r="O349" s="7">
        <f>spaces_3iWczBNnn5rbfoUlE0Jd_uploads_git_blob_9864c7f811c613c3faab876659c6423__25[[#This Row],[Hora de Llegada]]</f>
        <v>45020.053472222222</v>
      </c>
      <c r="P349" s="9">
        <f>spaces_3iWczBNnn5rbfoUlE0Jd_uploads_git_blob_9864c7f811c613c3faab876659c6423__25[[#This Row],[Hora de Llegada]]</f>
        <v>45020.053472222222</v>
      </c>
      <c r="Q349" s="9">
        <f>spaces_3iWczBNnn5rbfoUlE0Jd_uploads_git_blob_9864c7f811c613c3faab876659c6423__25[[#This Row],[Hora de Salida]]</f>
        <v>45020.207638888889</v>
      </c>
      <c r="R349" s="9" cm="1">
        <f t="array" ref="R34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0.16458333333139308</v>
      </c>
      <c r="S349" s="9">
        <f>_xlfn.XLOOKUP(spaces_3iWczBNnn5rbfoUlE0Jd_uploads_git_blob_9864c7f811c613c3faab876659c6423__25[[#This Row],[Número de Orden]],Cocinadinamica!E350:E1118,Cocinadinamica!F350:F1118)/1440</f>
        <v>6.1111111111111109E-2</v>
      </c>
      <c r="T349" s="9" cm="1">
        <f t="array" ref="T34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0.10347222222028196</v>
      </c>
      <c r="U349" s="9" t="str" cm="1">
        <f t="array" ref="U34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0" spans="1:21" x14ac:dyDescent="0.35">
      <c r="A350" s="27">
        <v>13</v>
      </c>
      <c r="B350" s="11" t="s">
        <v>1056</v>
      </c>
      <c r="C350" s="11">
        <v>1</v>
      </c>
      <c r="D350" s="12">
        <v>45020.158333333333</v>
      </c>
      <c r="E350" s="12">
        <v>45020.313194444447</v>
      </c>
      <c r="F350" s="11" t="s">
        <v>85</v>
      </c>
      <c r="G350" s="11" t="s">
        <v>163</v>
      </c>
      <c r="H350" s="11" t="s">
        <v>74</v>
      </c>
      <c r="I350" s="16">
        <v>40.630000000000003</v>
      </c>
      <c r="J350" s="11" t="s">
        <v>88</v>
      </c>
      <c r="K350" s="11">
        <v>349</v>
      </c>
      <c r="L350" s="11" t="s">
        <v>89</v>
      </c>
      <c r="M350" s="11" t="s">
        <v>1518</v>
      </c>
      <c r="N350">
        <f>_xlfn.XLOOKUP(spaces_3iWczBNnn5rbfoUlE0Jd_uploads_git_blob_9864c7f811c613c3faab876659c6423__25[[#This Row],[Número de Orden]],Cocinadinamica!B351:B1119,Cocinadinamica!C351:C1119)</f>
        <v>62</v>
      </c>
      <c r="O350" s="7">
        <f>spaces_3iWczBNnn5rbfoUlE0Jd_uploads_git_blob_9864c7f811c613c3faab876659c6423__25[[#This Row],[Hora de Llegada]]</f>
        <v>45020.158333333333</v>
      </c>
      <c r="P350" s="9">
        <f>spaces_3iWczBNnn5rbfoUlE0Jd_uploads_git_blob_9864c7f811c613c3faab876659c6423__25[[#This Row],[Hora de Llegada]]</f>
        <v>45020.158333333333</v>
      </c>
      <c r="Q350" s="9">
        <f>spaces_3iWczBNnn5rbfoUlE0Jd_uploads_git_blob_9864c7f811c613c3faab876659c6423__25[[#This Row],[Hora de Salida]]</f>
        <v>45020.313194444447</v>
      </c>
      <c r="R350" s="9" cm="1">
        <f t="array" ref="R35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0.16527777777810115</v>
      </c>
      <c r="S350" s="9">
        <f>_xlfn.XLOOKUP(spaces_3iWczBNnn5rbfoUlE0Jd_uploads_git_blob_9864c7f811c613c3faab876659c6423__25[[#This Row],[Número de Orden]],Cocinadinamica!E351:E1119,Cocinadinamica!F351:F1119)/1440</f>
        <v>5.9027777777777776E-2</v>
      </c>
      <c r="T350" s="9" cm="1">
        <f t="array" ref="T35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0.10625000000032338</v>
      </c>
      <c r="U350" s="9" t="str" cm="1">
        <f t="array" ref="U35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1" spans="1:21" x14ac:dyDescent="0.35">
      <c r="A351" s="28">
        <v>2</v>
      </c>
      <c r="B351" s="13" t="s">
        <v>1057</v>
      </c>
      <c r="C351" s="13">
        <v>6</v>
      </c>
      <c r="D351" s="14">
        <v>45020.024305555555</v>
      </c>
      <c r="E351" s="14">
        <v>45020.124305555553</v>
      </c>
      <c r="F351" s="13" t="s">
        <v>85</v>
      </c>
      <c r="G351" s="13" t="s">
        <v>163</v>
      </c>
      <c r="H351" s="13" t="s">
        <v>109</v>
      </c>
      <c r="I351" s="17">
        <v>36.21</v>
      </c>
      <c r="J351" s="13" t="s">
        <v>94</v>
      </c>
      <c r="K351" s="13">
        <v>350</v>
      </c>
      <c r="L351" s="13" t="s">
        <v>110</v>
      </c>
      <c r="M351" s="13" t="s">
        <v>1263</v>
      </c>
      <c r="N351">
        <f>_xlfn.XLOOKUP(spaces_3iWczBNnn5rbfoUlE0Jd_uploads_git_blob_9864c7f811c613c3faab876659c6423__25[[#This Row],[Número de Orden]],Cocinadinamica!B352:B1120,Cocinadinamica!C352:C1120)</f>
        <v>57</v>
      </c>
      <c r="O351" s="7">
        <f>spaces_3iWczBNnn5rbfoUlE0Jd_uploads_git_blob_9864c7f811c613c3faab876659c6423__25[[#This Row],[Hora de Llegada]]</f>
        <v>45020.024305555555</v>
      </c>
      <c r="P351" s="9">
        <f>spaces_3iWczBNnn5rbfoUlE0Jd_uploads_git_blob_9864c7f811c613c3faab876659c6423__25[[#This Row],[Hora de Llegada]]</f>
        <v>45020.024305555555</v>
      </c>
      <c r="Q351" s="9">
        <f>spaces_3iWczBNnn5rbfoUlE0Jd_uploads_git_blob_9864c7f811c613c3faab876659c6423__25[[#This Row],[Hora de Salida]]</f>
        <v>45020.124305555553</v>
      </c>
      <c r="R351" s="9" cm="1">
        <f t="array" ref="R35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9.9999999998544808E-2</v>
      </c>
      <c r="S351" s="9">
        <f>_xlfn.XLOOKUP(spaces_3iWczBNnn5rbfoUlE0Jd_uploads_git_blob_9864c7f811c613c3faab876659c6423__25[[#This Row],[Número de Orden]],Cocinadinamica!E352:E1120,Cocinadinamica!F352:F1120)/1440</f>
        <v>7.5694444444444439E-2</v>
      </c>
      <c r="T351" s="9" cm="1">
        <f t="array" ref="T35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2.4305555554100369E-2</v>
      </c>
      <c r="U351" s="9" t="str" cm="1">
        <f t="array" ref="U35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2" spans="1:21" x14ac:dyDescent="0.35">
      <c r="A352" s="27">
        <v>1</v>
      </c>
      <c r="B352" s="11" t="s">
        <v>1058</v>
      </c>
      <c r="C352" s="11">
        <v>6</v>
      </c>
      <c r="D352" s="12">
        <v>45020.161111111112</v>
      </c>
      <c r="E352" s="12">
        <v>45020.256249999999</v>
      </c>
      <c r="F352" s="11" t="s">
        <v>223</v>
      </c>
      <c r="G352" s="11" t="s">
        <v>163</v>
      </c>
      <c r="H352" s="11" t="s">
        <v>74</v>
      </c>
      <c r="I352" s="16">
        <v>48.93</v>
      </c>
      <c r="J352" s="11" t="s">
        <v>75</v>
      </c>
      <c r="K352" s="11">
        <v>351</v>
      </c>
      <c r="L352" s="11" t="s">
        <v>89</v>
      </c>
      <c r="M352" s="11" t="s">
        <v>1491</v>
      </c>
      <c r="N352">
        <f>_xlfn.XLOOKUP(spaces_3iWczBNnn5rbfoUlE0Jd_uploads_git_blob_9864c7f811c613c3faab876659c6423__25[[#This Row],[Número de Orden]],Cocinadinamica!B353:B1121,Cocinadinamica!C353:C1121)</f>
        <v>81</v>
      </c>
      <c r="O352" s="7">
        <f>spaces_3iWczBNnn5rbfoUlE0Jd_uploads_git_blob_9864c7f811c613c3faab876659c6423__25[[#This Row],[Hora de Llegada]]</f>
        <v>45020.161111111112</v>
      </c>
      <c r="P352" s="9">
        <f>spaces_3iWczBNnn5rbfoUlE0Jd_uploads_git_blob_9864c7f811c613c3faab876659c6423__25[[#This Row],[Hora de Llegada]]</f>
        <v>45020.161111111112</v>
      </c>
      <c r="Q352" s="9">
        <f>spaces_3iWczBNnn5rbfoUlE0Jd_uploads_git_blob_9864c7f811c613c3faab876659c6423__25[[#This Row],[Hora de Salida]]</f>
        <v>45020.256249999999</v>
      </c>
      <c r="R352" s="9" cm="1">
        <f t="array" ref="R35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9.5138888886140194E-2</v>
      </c>
      <c r="S352" s="9">
        <f>_xlfn.XLOOKUP(spaces_3iWczBNnn5rbfoUlE0Jd_uploads_git_blob_9864c7f811c613c3faab876659c6423__25[[#This Row],[Número de Orden]],Cocinadinamica!E353:E1121,Cocinadinamica!F353:F1121)/1440</f>
        <v>1.7361111111111112E-2</v>
      </c>
      <c r="T352" s="9" cm="1">
        <f t="array" ref="T35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7.7777777775029089E-2</v>
      </c>
      <c r="U352" s="9" t="str" cm="1">
        <f t="array" ref="U35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3" spans="1:21" x14ac:dyDescent="0.35">
      <c r="A353" s="28" t="s">
        <v>161</v>
      </c>
      <c r="B353" s="13" t="s">
        <v>459</v>
      </c>
      <c r="C353" s="13">
        <v>3</v>
      </c>
      <c r="D353" s="14">
        <v>45020.011805555558</v>
      </c>
      <c r="E353" s="14">
        <v>45020.120138888888</v>
      </c>
      <c r="F353" s="13" t="s">
        <v>170</v>
      </c>
      <c r="G353" s="13" t="s">
        <v>163</v>
      </c>
      <c r="H353" s="13" t="s">
        <v>87</v>
      </c>
      <c r="I353" s="17">
        <v>17.55</v>
      </c>
      <c r="J353" s="13" t="s">
        <v>94</v>
      </c>
      <c r="K353" s="13">
        <v>352</v>
      </c>
      <c r="L353" s="13" t="s">
        <v>221</v>
      </c>
      <c r="M353" s="13" t="s">
        <v>25</v>
      </c>
      <c r="N353">
        <f>_xlfn.XLOOKUP(spaces_3iWczBNnn5rbfoUlE0Jd_uploads_git_blob_9864c7f811c613c3faab876659c6423__25[[#This Row],[Número de Orden]],Cocinadinamica!B354:B1122,Cocinadinamica!C354:C1122)</f>
        <v>39</v>
      </c>
      <c r="O353" s="7">
        <f>spaces_3iWczBNnn5rbfoUlE0Jd_uploads_git_blob_9864c7f811c613c3faab876659c6423__25[[#This Row],[Hora de Llegada]]</f>
        <v>45020.011805555558</v>
      </c>
      <c r="P353" s="9">
        <f>spaces_3iWczBNnn5rbfoUlE0Jd_uploads_git_blob_9864c7f811c613c3faab876659c6423__25[[#This Row],[Hora de Llegada]]</f>
        <v>45020.011805555558</v>
      </c>
      <c r="Q353" s="9">
        <f>spaces_3iWczBNnn5rbfoUlE0Jd_uploads_git_blob_9864c7f811c613c3faab876659c6423__25[[#This Row],[Hora de Salida]]</f>
        <v>45020.120138888888</v>
      </c>
      <c r="R353" s="9" cm="1">
        <f t="array" ref="R35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0.10833333332993789</v>
      </c>
      <c r="S353" s="9">
        <f>_xlfn.XLOOKUP(spaces_3iWczBNnn5rbfoUlE0Jd_uploads_git_blob_9864c7f811c613c3faab876659c6423__25[[#This Row],[Número de Orden]],Cocinadinamica!E354:E1122,Cocinadinamica!F354:F1122)/1440</f>
        <v>4.8611111111111112E-3</v>
      </c>
      <c r="T353" s="9" cm="1">
        <f t="array" ref="T35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0.10347222221882678</v>
      </c>
      <c r="U353" s="9" t="str" cm="1">
        <f t="array" ref="U35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4" spans="1:21" x14ac:dyDescent="0.35">
      <c r="A354" s="27">
        <v>7</v>
      </c>
      <c r="B354" s="11" t="s">
        <v>1059</v>
      </c>
      <c r="C354" s="11">
        <v>5</v>
      </c>
      <c r="D354" s="12">
        <v>45020.156944444447</v>
      </c>
      <c r="E354" s="12">
        <v>45020.316666666666</v>
      </c>
      <c r="F354" s="11" t="s">
        <v>85</v>
      </c>
      <c r="G354" s="11" t="s">
        <v>73</v>
      </c>
      <c r="H354" s="11" t="s">
        <v>74</v>
      </c>
      <c r="I354" s="16">
        <v>27.37</v>
      </c>
      <c r="J354" s="11" t="s">
        <v>94</v>
      </c>
      <c r="K354" s="11">
        <v>353</v>
      </c>
      <c r="L354" s="11" t="s">
        <v>89</v>
      </c>
      <c r="M354" s="11" t="s">
        <v>1519</v>
      </c>
      <c r="N354">
        <f>_xlfn.XLOOKUP(spaces_3iWczBNnn5rbfoUlE0Jd_uploads_git_blob_9864c7f811c613c3faab876659c6423__25[[#This Row],[Número de Orden]],Cocinadinamica!B355:B1123,Cocinadinamica!C355:C1123)</f>
        <v>86</v>
      </c>
      <c r="O354" s="7">
        <f>spaces_3iWczBNnn5rbfoUlE0Jd_uploads_git_blob_9864c7f811c613c3faab876659c6423__25[[#This Row],[Hora de Llegada]]</f>
        <v>45020.156944444447</v>
      </c>
      <c r="P354" s="9">
        <f>spaces_3iWczBNnn5rbfoUlE0Jd_uploads_git_blob_9864c7f811c613c3faab876659c6423__25[[#This Row],[Hora de Llegada]]</f>
        <v>45020.156944444447</v>
      </c>
      <c r="Q354" s="9">
        <f>spaces_3iWczBNnn5rbfoUlE0Jd_uploads_git_blob_9864c7f811c613c3faab876659c6423__25[[#This Row],[Hora de Salida]]</f>
        <v>45020.316666666666</v>
      </c>
      <c r="R354" s="9" cm="1">
        <f t="array" ref="R35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0.15972222221898846</v>
      </c>
      <c r="S354" s="9">
        <f>_xlfn.XLOOKUP(spaces_3iWczBNnn5rbfoUlE0Jd_uploads_git_blob_9864c7f811c613c3faab876659c6423__25[[#This Row],[Número de Orden]],Cocinadinamica!E355:E1123,Cocinadinamica!F355:F1123)/1440</f>
        <v>8.8888888888888892E-2</v>
      </c>
      <c r="T354" s="9" cm="1">
        <f t="array" ref="T35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7.0833333330099571E-2</v>
      </c>
      <c r="U354" s="9" t="str" cm="1">
        <f t="array" ref="U35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5" spans="1:21" x14ac:dyDescent="0.35">
      <c r="A355" s="28">
        <v>12</v>
      </c>
      <c r="B355" s="13" t="s">
        <v>1060</v>
      </c>
      <c r="C355" s="13">
        <v>6</v>
      </c>
      <c r="D355" s="14">
        <v>45020.018055555556</v>
      </c>
      <c r="E355" s="14">
        <v>45020.14166666667</v>
      </c>
      <c r="F355" s="13" t="s">
        <v>85</v>
      </c>
      <c r="G355" s="13" t="s">
        <v>163</v>
      </c>
      <c r="H355" s="13" t="s">
        <v>74</v>
      </c>
      <c r="I355" s="17">
        <v>29.58</v>
      </c>
      <c r="J355" s="13" t="s">
        <v>88</v>
      </c>
      <c r="K355" s="13">
        <v>354</v>
      </c>
      <c r="L355" s="13" t="s">
        <v>221</v>
      </c>
      <c r="M355" s="13" t="s">
        <v>1520</v>
      </c>
      <c r="N355">
        <f>_xlfn.XLOOKUP(spaces_3iWczBNnn5rbfoUlE0Jd_uploads_git_blob_9864c7f811c613c3faab876659c6423__25[[#This Row],[Número de Orden]],Cocinadinamica!B356:B1124,Cocinadinamica!C356:C1124)</f>
        <v>76</v>
      </c>
      <c r="O355" s="7">
        <f>spaces_3iWczBNnn5rbfoUlE0Jd_uploads_git_blob_9864c7f811c613c3faab876659c6423__25[[#This Row],[Hora de Llegada]]</f>
        <v>45020.018055555556</v>
      </c>
      <c r="P355" s="9">
        <f>spaces_3iWczBNnn5rbfoUlE0Jd_uploads_git_blob_9864c7f811c613c3faab876659c6423__25[[#This Row],[Hora de Llegada]]</f>
        <v>45020.018055555556</v>
      </c>
      <c r="Q355" s="9">
        <f>spaces_3iWczBNnn5rbfoUlE0Jd_uploads_git_blob_9864c7f811c613c3faab876659c6423__25[[#This Row],[Hora de Salida]]</f>
        <v>45020.14166666667</v>
      </c>
      <c r="R355" s="9" cm="1">
        <f t="array" ref="R35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0.13402777777810115</v>
      </c>
      <c r="S355" s="9">
        <f>_xlfn.XLOOKUP(spaces_3iWczBNnn5rbfoUlE0Jd_uploads_git_blob_9864c7f811c613c3faab876659c6423__25[[#This Row],[Número de Orden]],Cocinadinamica!E356:E1124,Cocinadinamica!F356:F1124)/1440</f>
        <v>9.5138888888888884E-2</v>
      </c>
      <c r="T355" s="9" cm="1">
        <f t="array" ref="T35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3.888888888921227E-2</v>
      </c>
      <c r="U355" s="9" t="str" cm="1">
        <f t="array" ref="U35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6" spans="1:21" x14ac:dyDescent="0.35">
      <c r="A356" s="27" t="s">
        <v>210</v>
      </c>
      <c r="B356" s="11" t="s">
        <v>462</v>
      </c>
      <c r="C356" s="11">
        <v>4</v>
      </c>
      <c r="D356" s="12">
        <v>45020.070138888892</v>
      </c>
      <c r="E356" s="12">
        <v>45020.213194444441</v>
      </c>
      <c r="F356" s="11" t="s">
        <v>85</v>
      </c>
      <c r="G356" s="11" t="s">
        <v>163</v>
      </c>
      <c r="H356" s="11" t="s">
        <v>74</v>
      </c>
      <c r="I356" s="16">
        <v>30.53</v>
      </c>
      <c r="J356" s="11" t="s">
        <v>94</v>
      </c>
      <c r="K356" s="11">
        <v>355</v>
      </c>
      <c r="L356" s="11" t="s">
        <v>181</v>
      </c>
      <c r="M356" s="11" t="s">
        <v>47</v>
      </c>
      <c r="N356">
        <f>_xlfn.XLOOKUP(spaces_3iWczBNnn5rbfoUlE0Jd_uploads_git_blob_9864c7f811c613c3faab876659c6423__25[[#This Row],[Número de Orden]],Cocinadinamica!B357:B1125,Cocinadinamica!C357:C1125)</f>
        <v>11</v>
      </c>
      <c r="O356" s="7">
        <f>spaces_3iWczBNnn5rbfoUlE0Jd_uploads_git_blob_9864c7f811c613c3faab876659c6423__25[[#This Row],[Hora de Llegada]]</f>
        <v>45020.070138888892</v>
      </c>
      <c r="P356" s="9">
        <f>spaces_3iWczBNnn5rbfoUlE0Jd_uploads_git_blob_9864c7f811c613c3faab876659c6423__25[[#This Row],[Hora de Llegada]]</f>
        <v>45020.070138888892</v>
      </c>
      <c r="Q356" s="9">
        <f>spaces_3iWczBNnn5rbfoUlE0Jd_uploads_git_blob_9864c7f811c613c3faab876659c6423__25[[#This Row],[Hora de Salida]]</f>
        <v>45020.213194444441</v>
      </c>
      <c r="R356" s="9" cm="1">
        <f t="array" ref="R35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0.14305555554892635</v>
      </c>
      <c r="S356" s="9">
        <f>_xlfn.XLOOKUP(spaces_3iWczBNnn5rbfoUlE0Jd_uploads_git_blob_9864c7f811c613c3faab876659c6423__25[[#This Row],[Número de Orden]],Cocinadinamica!E357:E1125,Cocinadinamica!F357:F1125)/1440</f>
        <v>4.8611111111111112E-3</v>
      </c>
      <c r="T356" s="9" cm="1">
        <f t="array" ref="T35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0.13819444443781523</v>
      </c>
      <c r="U356" s="9" t="str" cm="1">
        <f t="array" ref="U35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7" spans="1:21" x14ac:dyDescent="0.35">
      <c r="A357" s="28" t="s">
        <v>161</v>
      </c>
      <c r="B357" s="13" t="s">
        <v>463</v>
      </c>
      <c r="C357" s="13">
        <v>1</v>
      </c>
      <c r="D357" s="14">
        <v>45020.008333333331</v>
      </c>
      <c r="E357" s="14">
        <v>45020.095833333333</v>
      </c>
      <c r="F357" s="13" t="s">
        <v>170</v>
      </c>
      <c r="G357" s="13" t="s">
        <v>163</v>
      </c>
      <c r="H357" s="13" t="s">
        <v>74</v>
      </c>
      <c r="I357" s="17">
        <v>28.92</v>
      </c>
      <c r="J357" s="13" t="s">
        <v>88</v>
      </c>
      <c r="K357" s="13">
        <v>356</v>
      </c>
      <c r="L357" s="13" t="s">
        <v>89</v>
      </c>
      <c r="M357" s="13" t="s">
        <v>45</v>
      </c>
      <c r="N357">
        <f>_xlfn.XLOOKUP(spaces_3iWczBNnn5rbfoUlE0Jd_uploads_git_blob_9864c7f811c613c3faab876659c6423__25[[#This Row],[Número de Orden]],Cocinadinamica!B358:B1126,Cocinadinamica!C358:C1126)</f>
        <v>16</v>
      </c>
      <c r="O357" s="7">
        <f>spaces_3iWczBNnn5rbfoUlE0Jd_uploads_git_blob_9864c7f811c613c3faab876659c6423__25[[#This Row],[Hora de Llegada]]</f>
        <v>45020.008333333331</v>
      </c>
      <c r="P357" s="9">
        <f>spaces_3iWczBNnn5rbfoUlE0Jd_uploads_git_blob_9864c7f811c613c3faab876659c6423__25[[#This Row],[Hora de Llegada]]</f>
        <v>45020.008333333331</v>
      </c>
      <c r="Q357" s="9">
        <f>spaces_3iWczBNnn5rbfoUlE0Jd_uploads_git_blob_9864c7f811c613c3faab876659c6423__25[[#This Row],[Hora de Salida]]</f>
        <v>45020.095833333333</v>
      </c>
      <c r="R357" s="9" cm="1">
        <f t="array" ref="R35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9.7916666665696539E-2</v>
      </c>
      <c r="S357" s="9">
        <f>_xlfn.XLOOKUP(spaces_3iWczBNnn5rbfoUlE0Jd_uploads_git_blob_9864c7f811c613c3faab876659c6423__25[[#This Row],[Número de Orden]],Cocinadinamica!E358:E1126,Cocinadinamica!F358:F1126)/1440</f>
        <v>4.8611111111111112E-3</v>
      </c>
      <c r="T357" s="9" cm="1">
        <f t="array" ref="T35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9.3055555554585431E-2</v>
      </c>
      <c r="U357" s="9" t="str" cm="1">
        <f t="array" ref="U35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8" spans="1:21" x14ac:dyDescent="0.35">
      <c r="A358" s="27">
        <v>17</v>
      </c>
      <c r="B358" s="11" t="s">
        <v>1061</v>
      </c>
      <c r="C358" s="11">
        <v>2</v>
      </c>
      <c r="D358" s="12">
        <v>45020.054861111108</v>
      </c>
      <c r="E358" s="12">
        <v>45020.18472222222</v>
      </c>
      <c r="F358" s="11" t="s">
        <v>170</v>
      </c>
      <c r="G358" s="11" t="s">
        <v>163</v>
      </c>
      <c r="H358" s="11" t="s">
        <v>109</v>
      </c>
      <c r="I358" s="16">
        <v>26.87</v>
      </c>
      <c r="J358" s="11" t="s">
        <v>88</v>
      </c>
      <c r="K358" s="11">
        <v>357</v>
      </c>
      <c r="L358" s="11" t="s">
        <v>101</v>
      </c>
      <c r="M358" s="11" t="s">
        <v>1521</v>
      </c>
      <c r="N358">
        <f>_xlfn.XLOOKUP(spaces_3iWczBNnn5rbfoUlE0Jd_uploads_git_blob_9864c7f811c613c3faab876659c6423__25[[#This Row],[Número de Orden]],Cocinadinamica!B359:B1127,Cocinadinamica!C359:C1127)</f>
        <v>68</v>
      </c>
      <c r="O358" s="7">
        <f>spaces_3iWczBNnn5rbfoUlE0Jd_uploads_git_blob_9864c7f811c613c3faab876659c6423__25[[#This Row],[Hora de Llegada]]</f>
        <v>45020.054861111108</v>
      </c>
      <c r="P358" s="9">
        <f>spaces_3iWczBNnn5rbfoUlE0Jd_uploads_git_blob_9864c7f811c613c3faab876659c6423__25[[#This Row],[Hora de Llegada]]</f>
        <v>45020.054861111108</v>
      </c>
      <c r="Q358" s="9">
        <f>spaces_3iWczBNnn5rbfoUlE0Jd_uploads_git_blob_9864c7f811c613c3faab876659c6423__25[[#This Row],[Hora de Salida]]</f>
        <v>45020.18472222222</v>
      </c>
      <c r="R358" s="9" cm="1">
        <f t="array" ref="R35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0.14027777777664596</v>
      </c>
      <c r="S358" s="9">
        <f>_xlfn.XLOOKUP(spaces_3iWczBNnn5rbfoUlE0Jd_uploads_git_blob_9864c7f811c613c3faab876659c6423__25[[#This Row],[Número de Orden]],Cocinadinamica!E359:E1127,Cocinadinamica!F359:F1127)/1440</f>
        <v>6.6666666666666666E-2</v>
      </c>
      <c r="T358" s="9" cm="1">
        <f t="array" ref="T35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7.3611111109979296E-2</v>
      </c>
      <c r="U358" s="9" t="str" cm="1">
        <f t="array" ref="U35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59" spans="1:21" x14ac:dyDescent="0.35">
      <c r="A359" s="28">
        <v>13</v>
      </c>
      <c r="B359" s="13" t="s">
        <v>1017</v>
      </c>
      <c r="C359" s="13">
        <v>5</v>
      </c>
      <c r="D359" s="14">
        <v>45020.109027777777</v>
      </c>
      <c r="E359" s="14">
        <v>45020.247916666667</v>
      </c>
      <c r="F359" s="13" t="s">
        <v>85</v>
      </c>
      <c r="G359" s="13" t="s">
        <v>73</v>
      </c>
      <c r="H359" s="13" t="s">
        <v>74</v>
      </c>
      <c r="I359" s="17">
        <v>42.1</v>
      </c>
      <c r="J359" s="13" t="s">
        <v>94</v>
      </c>
      <c r="K359" s="13">
        <v>358</v>
      </c>
      <c r="L359" s="13" t="s">
        <v>174</v>
      </c>
      <c r="M359" s="13" t="s">
        <v>1522</v>
      </c>
      <c r="N359">
        <f>_xlfn.XLOOKUP(spaces_3iWczBNnn5rbfoUlE0Jd_uploads_git_blob_9864c7f811c613c3faab876659c6423__25[[#This Row],[Número de Orden]],Cocinadinamica!B360:B1128,Cocinadinamica!C360:C1128)</f>
        <v>70</v>
      </c>
      <c r="O359" s="7">
        <f>spaces_3iWczBNnn5rbfoUlE0Jd_uploads_git_blob_9864c7f811c613c3faab876659c6423__25[[#This Row],[Hora de Llegada]]</f>
        <v>45020.109027777777</v>
      </c>
      <c r="P359" s="9">
        <f>spaces_3iWczBNnn5rbfoUlE0Jd_uploads_git_blob_9864c7f811c613c3faab876659c6423__25[[#This Row],[Hora de Llegada]]</f>
        <v>45020.109027777777</v>
      </c>
      <c r="Q359" s="9">
        <f>spaces_3iWczBNnn5rbfoUlE0Jd_uploads_git_blob_9864c7f811c613c3faab876659c6423__25[[#This Row],[Hora de Salida]]</f>
        <v>45020.247916666667</v>
      </c>
      <c r="R359" s="9" cm="1">
        <f t="array" ref="R35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0.13888888889050577</v>
      </c>
      <c r="S359" s="9">
        <f>_xlfn.XLOOKUP(spaces_3iWczBNnn5rbfoUlE0Jd_uploads_git_blob_9864c7f811c613c3faab876659c6423__25[[#This Row],[Número de Orden]],Cocinadinamica!E360:E1128,Cocinadinamica!F360:F1128)/1440</f>
        <v>0.10555555555555556</v>
      </c>
      <c r="T359" s="9" cm="1">
        <f t="array" ref="T35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3.3333333334950213E-2</v>
      </c>
      <c r="U359" s="9" t="str" cm="1">
        <f t="array" ref="U35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0" spans="1:21" x14ac:dyDescent="0.35">
      <c r="A360" s="27">
        <v>11</v>
      </c>
      <c r="B360" s="11" t="s">
        <v>931</v>
      </c>
      <c r="C360" s="11">
        <v>2</v>
      </c>
      <c r="D360" s="12">
        <v>45020.02847222222</v>
      </c>
      <c r="E360" s="12">
        <v>45020.173611111109</v>
      </c>
      <c r="F360" s="11" t="s">
        <v>100</v>
      </c>
      <c r="G360" s="11" t="s">
        <v>86</v>
      </c>
      <c r="H360" s="11" t="s">
        <v>74</v>
      </c>
      <c r="I360" s="16">
        <v>12.2</v>
      </c>
      <c r="J360" s="11" t="s">
        <v>94</v>
      </c>
      <c r="K360" s="11">
        <v>359</v>
      </c>
      <c r="L360" s="11" t="s">
        <v>76</v>
      </c>
      <c r="M360" s="11" t="s">
        <v>1523</v>
      </c>
      <c r="N360">
        <f>_xlfn.XLOOKUP(spaces_3iWczBNnn5rbfoUlE0Jd_uploads_git_blob_9864c7f811c613c3faab876659c6423__25[[#This Row],[Número de Orden]],Cocinadinamica!B361:B1129,Cocinadinamica!C361:C1129)</f>
        <v>80</v>
      </c>
      <c r="O360" s="7">
        <f>spaces_3iWczBNnn5rbfoUlE0Jd_uploads_git_blob_9864c7f811c613c3faab876659c6423__25[[#This Row],[Hora de Llegada]]</f>
        <v>45020.02847222222</v>
      </c>
      <c r="P360" s="9">
        <f>spaces_3iWczBNnn5rbfoUlE0Jd_uploads_git_blob_9864c7f811c613c3faab876659c6423__25[[#This Row],[Hora de Llegada]]</f>
        <v>45020.02847222222</v>
      </c>
      <c r="Q360" s="9">
        <f>spaces_3iWczBNnn5rbfoUlE0Jd_uploads_git_blob_9864c7f811c613c3faab876659c6423__25[[#This Row],[Hora de Salida]]</f>
        <v>45020.173611111109</v>
      </c>
      <c r="R360" s="9" cm="1">
        <f t="array" ref="R36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0.14513888888905058</v>
      </c>
      <c r="S360" s="9">
        <f>_xlfn.XLOOKUP(spaces_3iWczBNnn5rbfoUlE0Jd_uploads_git_blob_9864c7f811c613c3faab876659c6423__25[[#This Row],[Número de Orden]],Cocinadinamica!E361:E1129,Cocinadinamica!F361:F1129)/1440</f>
        <v>0.10069444444444445</v>
      </c>
      <c r="T360" s="9" cm="1">
        <f t="array" ref="T36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4.4444444444606129E-2</v>
      </c>
      <c r="U360" s="9" t="str" cm="1">
        <f t="array" ref="U36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1" spans="1:21" x14ac:dyDescent="0.35">
      <c r="A361" s="28">
        <v>16</v>
      </c>
      <c r="B361" s="13" t="s">
        <v>1062</v>
      </c>
      <c r="C361" s="13">
        <v>3</v>
      </c>
      <c r="D361" s="14">
        <v>45020.048611111109</v>
      </c>
      <c r="E361" s="14">
        <v>45020.206944444442</v>
      </c>
      <c r="F361" s="13" t="s">
        <v>170</v>
      </c>
      <c r="G361" s="13" t="s">
        <v>86</v>
      </c>
      <c r="H361" s="13" t="s">
        <v>74</v>
      </c>
      <c r="I361" s="17">
        <v>39.26</v>
      </c>
      <c r="J361" s="13" t="s">
        <v>88</v>
      </c>
      <c r="K361" s="13">
        <v>360</v>
      </c>
      <c r="L361" s="13" t="s">
        <v>76</v>
      </c>
      <c r="M361" s="13" t="s">
        <v>1524</v>
      </c>
      <c r="N361">
        <f>_xlfn.XLOOKUP(spaces_3iWczBNnn5rbfoUlE0Jd_uploads_git_blob_9864c7f811c613c3faab876659c6423__25[[#This Row],[Número de Orden]],Cocinadinamica!B362:B1130,Cocinadinamica!C362:C1130)</f>
        <v>94</v>
      </c>
      <c r="O361" s="7">
        <f>spaces_3iWczBNnn5rbfoUlE0Jd_uploads_git_blob_9864c7f811c613c3faab876659c6423__25[[#This Row],[Hora de Llegada]]</f>
        <v>45020.048611111109</v>
      </c>
      <c r="P361" s="9">
        <f>spaces_3iWczBNnn5rbfoUlE0Jd_uploads_git_blob_9864c7f811c613c3faab876659c6423__25[[#This Row],[Hora de Llegada]]</f>
        <v>45020.048611111109</v>
      </c>
      <c r="Q361" s="9">
        <f>spaces_3iWczBNnn5rbfoUlE0Jd_uploads_git_blob_9864c7f811c613c3faab876659c6423__25[[#This Row],[Hora de Salida]]</f>
        <v>45020.206944444442</v>
      </c>
      <c r="R361" s="9" cm="1">
        <f t="array" ref="R36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0.16874999999708962</v>
      </c>
      <c r="S361" s="9">
        <f>_xlfn.XLOOKUP(spaces_3iWczBNnn5rbfoUlE0Jd_uploads_git_blob_9864c7f811c613c3faab876659c6423__25[[#This Row],[Número de Orden]],Cocinadinamica!E362:E1130,Cocinadinamica!F362:F1130)/1440</f>
        <v>0.11041666666666666</v>
      </c>
      <c r="T361" s="9" cm="1">
        <f t="array" ref="T36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5.8333333330422954E-2</v>
      </c>
      <c r="U361" s="9" t="str" cm="1">
        <f t="array" ref="U36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2" spans="1:21" x14ac:dyDescent="0.35">
      <c r="A362" s="27">
        <v>16</v>
      </c>
      <c r="B362" s="11" t="s">
        <v>483</v>
      </c>
      <c r="C362" s="11">
        <v>1</v>
      </c>
      <c r="D362" s="12">
        <v>45020.078472222223</v>
      </c>
      <c r="E362" s="12">
        <v>45020.227777777778</v>
      </c>
      <c r="F362" s="11" t="s">
        <v>100</v>
      </c>
      <c r="G362" s="11" t="s">
        <v>73</v>
      </c>
      <c r="H362" s="11" t="s">
        <v>87</v>
      </c>
      <c r="I362" s="16">
        <v>41.73</v>
      </c>
      <c r="J362" s="11" t="s">
        <v>75</v>
      </c>
      <c r="K362" s="11">
        <v>361</v>
      </c>
      <c r="L362" s="11" t="s">
        <v>110</v>
      </c>
      <c r="M362" s="11" t="s">
        <v>1337</v>
      </c>
      <c r="N362">
        <f>_xlfn.XLOOKUP(spaces_3iWczBNnn5rbfoUlE0Jd_uploads_git_blob_9864c7f811c613c3faab876659c6423__25[[#This Row],[Número de Orden]],Cocinadinamica!B363:B1131,Cocinadinamica!C363:C1131)</f>
        <v>42</v>
      </c>
      <c r="O362" s="7">
        <f>spaces_3iWczBNnn5rbfoUlE0Jd_uploads_git_blob_9864c7f811c613c3faab876659c6423__25[[#This Row],[Hora de Llegada]]</f>
        <v>45020.078472222223</v>
      </c>
      <c r="P362" s="9">
        <f>spaces_3iWczBNnn5rbfoUlE0Jd_uploads_git_blob_9864c7f811c613c3faab876659c6423__25[[#This Row],[Hora de Llegada]]</f>
        <v>45020.078472222223</v>
      </c>
      <c r="Q362" s="9">
        <f>spaces_3iWczBNnn5rbfoUlE0Jd_uploads_git_blob_9864c7f811c613c3faab876659c6423__25[[#This Row],[Hora de Salida]]</f>
        <v>45020.227777777778</v>
      </c>
      <c r="R362" s="9" cm="1">
        <f t="array" ref="R36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0.14930555555474712</v>
      </c>
      <c r="S362" s="9">
        <f>_xlfn.XLOOKUP(spaces_3iWczBNnn5rbfoUlE0Jd_uploads_git_blob_9864c7f811c613c3faab876659c6423__25[[#This Row],[Número de Orden]],Cocinadinamica!E363:E1131,Cocinadinamica!F363:F1131)/1440</f>
        <v>7.7777777777777779E-2</v>
      </c>
      <c r="T362" s="9" cm="1">
        <f t="array" ref="T36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7.1527777776969337E-2</v>
      </c>
      <c r="U362" s="9" t="str" cm="1">
        <f t="array" ref="U36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3" spans="1:21" x14ac:dyDescent="0.35">
      <c r="A363" s="28">
        <v>15</v>
      </c>
      <c r="B363" s="13" t="s">
        <v>963</v>
      </c>
      <c r="C363" s="13">
        <v>2</v>
      </c>
      <c r="D363" s="14">
        <v>45020.085416666669</v>
      </c>
      <c r="E363" s="14">
        <v>45020.249305555553</v>
      </c>
      <c r="F363" s="13" t="s">
        <v>223</v>
      </c>
      <c r="G363" s="13" t="s">
        <v>86</v>
      </c>
      <c r="H363" s="13" t="s">
        <v>74</v>
      </c>
      <c r="I363" s="17">
        <v>47.21</v>
      </c>
      <c r="J363" s="13" t="s">
        <v>75</v>
      </c>
      <c r="K363" s="13">
        <v>362</v>
      </c>
      <c r="L363" s="13" t="s">
        <v>174</v>
      </c>
      <c r="M363" s="13" t="s">
        <v>1525</v>
      </c>
      <c r="N363">
        <f>_xlfn.XLOOKUP(spaces_3iWczBNnn5rbfoUlE0Jd_uploads_git_blob_9864c7f811c613c3faab876659c6423__25[[#This Row],[Número de Orden]],Cocinadinamica!B364:B1132,Cocinadinamica!C364:C1132)</f>
        <v>26</v>
      </c>
      <c r="O363" s="7">
        <f>spaces_3iWczBNnn5rbfoUlE0Jd_uploads_git_blob_9864c7f811c613c3faab876659c6423__25[[#This Row],[Hora de Llegada]]</f>
        <v>45020.085416666669</v>
      </c>
      <c r="P363" s="9">
        <f>spaces_3iWczBNnn5rbfoUlE0Jd_uploads_git_blob_9864c7f811c613c3faab876659c6423__25[[#This Row],[Hora de Llegada]]</f>
        <v>45020.085416666669</v>
      </c>
      <c r="Q363" s="9">
        <f>spaces_3iWczBNnn5rbfoUlE0Jd_uploads_git_blob_9864c7f811c613c3faab876659c6423__25[[#This Row],[Hora de Salida]]</f>
        <v>45020.249305555553</v>
      </c>
      <c r="R363" s="9" cm="1">
        <f t="array" ref="R36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0.163888888884685</v>
      </c>
      <c r="S363" s="9">
        <f>_xlfn.XLOOKUP(spaces_3iWczBNnn5rbfoUlE0Jd_uploads_git_blob_9864c7f811c613c3faab876659c6423__25[[#This Row],[Número de Orden]],Cocinadinamica!E364:E1132,Cocinadinamica!F364:F1132)/1440</f>
        <v>8.5416666666666669E-2</v>
      </c>
      <c r="T363" s="9" cm="1">
        <f t="array" ref="T36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7.8472222218018334E-2</v>
      </c>
      <c r="U363" s="9" t="str" cm="1">
        <f t="array" ref="U36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4" spans="1:21" x14ac:dyDescent="0.35">
      <c r="A364" s="27">
        <v>5</v>
      </c>
      <c r="B364" s="11" t="s">
        <v>1063</v>
      </c>
      <c r="C364" s="11">
        <v>2</v>
      </c>
      <c r="D364" s="12">
        <v>45020.073611111111</v>
      </c>
      <c r="E364" s="12">
        <v>45020.145138888889</v>
      </c>
      <c r="F364" s="11" t="s">
        <v>170</v>
      </c>
      <c r="G364" s="11" t="s">
        <v>86</v>
      </c>
      <c r="H364" s="11" t="s">
        <v>74</v>
      </c>
      <c r="I364" s="16">
        <v>49.02</v>
      </c>
      <c r="J364" s="11" t="s">
        <v>88</v>
      </c>
      <c r="K364" s="11">
        <v>363</v>
      </c>
      <c r="L364" s="11" t="s">
        <v>89</v>
      </c>
      <c r="M364" s="11" t="s">
        <v>1526</v>
      </c>
      <c r="N364">
        <f>_xlfn.XLOOKUP(spaces_3iWczBNnn5rbfoUlE0Jd_uploads_git_blob_9864c7f811c613c3faab876659c6423__25[[#This Row],[Número de Orden]],Cocinadinamica!B365:B1133,Cocinadinamica!C365:C1133)</f>
        <v>96</v>
      </c>
      <c r="O364" s="7">
        <f>spaces_3iWczBNnn5rbfoUlE0Jd_uploads_git_blob_9864c7f811c613c3faab876659c6423__25[[#This Row],[Hora de Llegada]]</f>
        <v>45020.073611111111</v>
      </c>
      <c r="P364" s="9">
        <f>spaces_3iWczBNnn5rbfoUlE0Jd_uploads_git_blob_9864c7f811c613c3faab876659c6423__25[[#This Row],[Hora de Llegada]]</f>
        <v>45020.073611111111</v>
      </c>
      <c r="Q364" s="9">
        <f>spaces_3iWczBNnn5rbfoUlE0Jd_uploads_git_blob_9864c7f811c613c3faab876659c6423__25[[#This Row],[Hora de Salida]]</f>
        <v>45020.145138888889</v>
      </c>
      <c r="R364" s="9" cm="1">
        <f t="array" ref="R36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8.1944444442342501E-2</v>
      </c>
      <c r="S364" s="9">
        <f>_xlfn.XLOOKUP(spaces_3iWczBNnn5rbfoUlE0Jd_uploads_git_blob_9864c7f811c613c3faab876659c6423__25[[#This Row],[Número de Orden]],Cocinadinamica!E365:E1133,Cocinadinamica!F365:F1133)/1440</f>
        <v>0.10347222222222222</v>
      </c>
      <c r="T364" s="9" cm="1">
        <f t="array" ref="T36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364" s="9" t="str" cm="1">
        <f t="array" ref="U36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365" spans="1:21" x14ac:dyDescent="0.35">
      <c r="A365" s="28">
        <v>15</v>
      </c>
      <c r="B365" s="13" t="s">
        <v>1064</v>
      </c>
      <c r="C365" s="13">
        <v>2</v>
      </c>
      <c r="D365" s="14">
        <v>45020.159722222219</v>
      </c>
      <c r="E365" s="14">
        <v>45020.298611111109</v>
      </c>
      <c r="F365" s="13" t="s">
        <v>85</v>
      </c>
      <c r="G365" s="13" t="s">
        <v>86</v>
      </c>
      <c r="H365" s="13" t="s">
        <v>109</v>
      </c>
      <c r="I365" s="17">
        <v>48.28</v>
      </c>
      <c r="J365" s="13" t="s">
        <v>94</v>
      </c>
      <c r="K365" s="13">
        <v>364</v>
      </c>
      <c r="L365" s="13" t="s">
        <v>89</v>
      </c>
      <c r="M365" s="13" t="s">
        <v>1527</v>
      </c>
      <c r="N365">
        <f>_xlfn.XLOOKUP(spaces_3iWczBNnn5rbfoUlE0Jd_uploads_git_blob_9864c7f811c613c3faab876659c6423__25[[#This Row],[Número de Orden]],Cocinadinamica!B366:B1134,Cocinadinamica!C366:C1134)</f>
        <v>65</v>
      </c>
      <c r="O365" s="7">
        <f>spaces_3iWczBNnn5rbfoUlE0Jd_uploads_git_blob_9864c7f811c613c3faab876659c6423__25[[#This Row],[Hora de Llegada]]</f>
        <v>45020.159722222219</v>
      </c>
      <c r="P365" s="9">
        <f>spaces_3iWczBNnn5rbfoUlE0Jd_uploads_git_blob_9864c7f811c613c3faab876659c6423__25[[#This Row],[Hora de Llegada]]</f>
        <v>45020.159722222219</v>
      </c>
      <c r="Q365" s="9">
        <f>spaces_3iWczBNnn5rbfoUlE0Jd_uploads_git_blob_9864c7f811c613c3faab876659c6423__25[[#This Row],[Hora de Salida]]</f>
        <v>45020.298611111109</v>
      </c>
      <c r="R365" s="9" cm="1">
        <f t="array" ref="R36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0.13888888889050577</v>
      </c>
      <c r="S365" s="9">
        <f>_xlfn.XLOOKUP(spaces_3iWczBNnn5rbfoUlE0Jd_uploads_git_blob_9864c7f811c613c3faab876659c6423__25[[#This Row],[Número de Orden]],Cocinadinamica!E366:E1134,Cocinadinamica!F366:F1134)/1440</f>
        <v>7.7777777777777779E-2</v>
      </c>
      <c r="T365" s="9" cm="1">
        <f t="array" ref="T36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6.1111111112727989E-2</v>
      </c>
      <c r="U365" s="9" t="str" cm="1">
        <f t="array" ref="U36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6" spans="1:21" x14ac:dyDescent="0.35">
      <c r="A366" s="27" t="s">
        <v>210</v>
      </c>
      <c r="B366" s="11" t="s">
        <v>472</v>
      </c>
      <c r="C366" s="11">
        <v>1</v>
      </c>
      <c r="D366" s="12">
        <v>45020.043749999997</v>
      </c>
      <c r="E366" s="12">
        <v>45020.189583333333</v>
      </c>
      <c r="F366" s="11" t="s">
        <v>170</v>
      </c>
      <c r="G366" s="11" t="s">
        <v>86</v>
      </c>
      <c r="H366" s="11" t="s">
        <v>87</v>
      </c>
      <c r="I366" s="16">
        <v>34.97</v>
      </c>
      <c r="J366" s="11" t="s">
        <v>88</v>
      </c>
      <c r="K366" s="11">
        <v>365</v>
      </c>
      <c r="L366" s="11" t="s">
        <v>101</v>
      </c>
      <c r="M366" s="11" t="s">
        <v>21</v>
      </c>
      <c r="N366">
        <f>_xlfn.XLOOKUP(spaces_3iWczBNnn5rbfoUlE0Jd_uploads_git_blob_9864c7f811c613c3faab876659c6423__25[[#This Row],[Número de Orden]],Cocinadinamica!B367:B1135,Cocinadinamica!C367:C1135)</f>
        <v>42</v>
      </c>
      <c r="O366" s="7">
        <f>spaces_3iWczBNnn5rbfoUlE0Jd_uploads_git_blob_9864c7f811c613c3faab876659c6423__25[[#This Row],[Hora de Llegada]]</f>
        <v>45020.043749999997</v>
      </c>
      <c r="P366" s="9">
        <f>spaces_3iWczBNnn5rbfoUlE0Jd_uploads_git_blob_9864c7f811c613c3faab876659c6423__25[[#This Row],[Hora de Llegada]]</f>
        <v>45020.043749999997</v>
      </c>
      <c r="Q366" s="9">
        <f>spaces_3iWczBNnn5rbfoUlE0Jd_uploads_git_blob_9864c7f811c613c3faab876659c6423__25[[#This Row],[Hora de Salida]]</f>
        <v>45020.189583333333</v>
      </c>
      <c r="R366" s="9" cm="1">
        <f t="array" ref="R36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366" s="9">
        <f>_xlfn.XLOOKUP(spaces_3iWczBNnn5rbfoUlE0Jd_uploads_git_blob_9864c7f811c613c3faab876659c6423__25[[#This Row],[Número de Orden]],Cocinadinamica!E367:E1135,Cocinadinamica!F367:F1135)/1440</f>
        <v>1.7361111111111112E-2</v>
      </c>
      <c r="T366" s="9" cm="1">
        <f t="array" ref="T36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0.1388888888888889</v>
      </c>
      <c r="U366" s="9" t="str" cm="1">
        <f t="array" ref="U36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7" spans="1:21" x14ac:dyDescent="0.35">
      <c r="A367" s="28">
        <v>17</v>
      </c>
      <c r="B367" s="13" t="s">
        <v>1065</v>
      </c>
      <c r="C367" s="13">
        <v>5</v>
      </c>
      <c r="D367" s="14">
        <v>45020.064583333333</v>
      </c>
      <c r="E367" s="14">
        <v>45020.198611111111</v>
      </c>
      <c r="F367" s="13" t="s">
        <v>170</v>
      </c>
      <c r="G367" s="13" t="s">
        <v>86</v>
      </c>
      <c r="H367" s="13" t="s">
        <v>87</v>
      </c>
      <c r="I367" s="17">
        <v>10.57</v>
      </c>
      <c r="J367" s="13" t="s">
        <v>94</v>
      </c>
      <c r="K367" s="13">
        <v>366</v>
      </c>
      <c r="L367" s="13" t="s">
        <v>101</v>
      </c>
      <c r="M367" s="13" t="s">
        <v>1528</v>
      </c>
      <c r="N367">
        <f>_xlfn.XLOOKUP(spaces_3iWczBNnn5rbfoUlE0Jd_uploads_git_blob_9864c7f811c613c3faab876659c6423__25[[#This Row],[Número de Orden]],Cocinadinamica!B368:B1136,Cocinadinamica!C368:C1136)</f>
        <v>94</v>
      </c>
      <c r="O367" s="7">
        <f>spaces_3iWczBNnn5rbfoUlE0Jd_uploads_git_blob_9864c7f811c613c3faab876659c6423__25[[#This Row],[Hora de Llegada]]</f>
        <v>45020.064583333333</v>
      </c>
      <c r="P367" s="9">
        <f>spaces_3iWczBNnn5rbfoUlE0Jd_uploads_git_blob_9864c7f811c613c3faab876659c6423__25[[#This Row],[Hora de Llegada]]</f>
        <v>45020.064583333333</v>
      </c>
      <c r="Q367" s="9">
        <f>spaces_3iWczBNnn5rbfoUlE0Jd_uploads_git_blob_9864c7f811c613c3faab876659c6423__25[[#This Row],[Hora de Salida]]</f>
        <v>45020.198611111111</v>
      </c>
      <c r="R367" s="9" cm="1">
        <f t="array" ref="R36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0.13402777777810115</v>
      </c>
      <c r="S367" s="9">
        <f>_xlfn.XLOOKUP(spaces_3iWczBNnn5rbfoUlE0Jd_uploads_git_blob_9864c7f811c613c3faab876659c6423__25[[#This Row],[Número de Orden]],Cocinadinamica!E368:E1136,Cocinadinamica!F368:F1136)/1440</f>
        <v>6.25E-2</v>
      </c>
      <c r="T367" s="9" cm="1">
        <f t="array" ref="T36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7.1527777778101154E-2</v>
      </c>
      <c r="U367" s="9" t="str" cm="1">
        <f t="array" ref="U36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8" spans="1:21" x14ac:dyDescent="0.35">
      <c r="A368" s="27">
        <v>12</v>
      </c>
      <c r="B368" s="11" t="s">
        <v>1066</v>
      </c>
      <c r="C368" s="11">
        <v>2</v>
      </c>
      <c r="D368" s="12">
        <v>45020.036805555559</v>
      </c>
      <c r="E368" s="12">
        <v>45020.15625</v>
      </c>
      <c r="F368" s="11" t="s">
        <v>170</v>
      </c>
      <c r="G368" s="11" t="s">
        <v>73</v>
      </c>
      <c r="H368" s="11" t="s">
        <v>74</v>
      </c>
      <c r="I368" s="16">
        <v>12.62</v>
      </c>
      <c r="J368" s="11" t="s">
        <v>75</v>
      </c>
      <c r="K368" s="11">
        <v>367</v>
      </c>
      <c r="L368" s="11" t="s">
        <v>101</v>
      </c>
      <c r="M368" s="11" t="s">
        <v>1529</v>
      </c>
      <c r="N368">
        <f>_xlfn.XLOOKUP(spaces_3iWczBNnn5rbfoUlE0Jd_uploads_git_blob_9864c7f811c613c3faab876659c6423__25[[#This Row],[Número de Orden]],Cocinadinamica!B369:B1137,Cocinadinamica!C369:C1137)</f>
        <v>42</v>
      </c>
      <c r="O368" s="7">
        <f>spaces_3iWczBNnn5rbfoUlE0Jd_uploads_git_blob_9864c7f811c613c3faab876659c6423__25[[#This Row],[Hora de Llegada]]</f>
        <v>45020.036805555559</v>
      </c>
      <c r="P368" s="9">
        <f>spaces_3iWczBNnn5rbfoUlE0Jd_uploads_git_blob_9864c7f811c613c3faab876659c6423__25[[#This Row],[Hora de Llegada]]</f>
        <v>45020.036805555559</v>
      </c>
      <c r="Q368" s="9">
        <f>spaces_3iWczBNnn5rbfoUlE0Jd_uploads_git_blob_9864c7f811c613c3faab876659c6423__25[[#This Row],[Hora de Salida]]</f>
        <v>45020.15625</v>
      </c>
      <c r="R368" s="9" cm="1">
        <f t="array" ref="R36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0.11944444444088731</v>
      </c>
      <c r="S368" s="9">
        <f>_xlfn.XLOOKUP(spaces_3iWczBNnn5rbfoUlE0Jd_uploads_git_blob_9864c7f811c613c3faab876659c6423__25[[#This Row],[Número de Orden]],Cocinadinamica!E369:E1137,Cocinadinamica!F369:F1137)/1440</f>
        <v>5.0694444444444445E-2</v>
      </c>
      <c r="T368" s="9" cm="1">
        <f t="array" ref="T36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6.8749999996442865E-2</v>
      </c>
      <c r="U368" s="9" t="str" cm="1">
        <f t="array" ref="U36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69" spans="1:21" x14ac:dyDescent="0.35">
      <c r="A369" s="28">
        <v>13</v>
      </c>
      <c r="B369" s="13" t="s">
        <v>1067</v>
      </c>
      <c r="C369" s="13">
        <v>1</v>
      </c>
      <c r="D369" s="14">
        <v>45020.14166666667</v>
      </c>
      <c r="E369" s="14">
        <v>45020.231249999997</v>
      </c>
      <c r="F369" s="13" t="s">
        <v>223</v>
      </c>
      <c r="G369" s="13" t="s">
        <v>163</v>
      </c>
      <c r="H369" s="13" t="s">
        <v>109</v>
      </c>
      <c r="I369" s="17">
        <v>37.65</v>
      </c>
      <c r="J369" s="13" t="s">
        <v>88</v>
      </c>
      <c r="K369" s="13">
        <v>368</v>
      </c>
      <c r="L369" s="13" t="s">
        <v>110</v>
      </c>
      <c r="M369" s="13" t="s">
        <v>1530</v>
      </c>
      <c r="N369">
        <f>_xlfn.XLOOKUP(spaces_3iWczBNnn5rbfoUlE0Jd_uploads_git_blob_9864c7f811c613c3faab876659c6423__25[[#This Row],[Número de Orden]],Cocinadinamica!B370:B1138,Cocinadinamica!C370:C1138)</f>
        <v>49</v>
      </c>
      <c r="O369" s="7">
        <f>spaces_3iWczBNnn5rbfoUlE0Jd_uploads_git_blob_9864c7f811c613c3faab876659c6423__25[[#This Row],[Hora de Llegada]]</f>
        <v>45020.14166666667</v>
      </c>
      <c r="P369" s="9">
        <f>spaces_3iWczBNnn5rbfoUlE0Jd_uploads_git_blob_9864c7f811c613c3faab876659c6423__25[[#This Row],[Hora de Llegada]]</f>
        <v>45020.14166666667</v>
      </c>
      <c r="Q369" s="9">
        <f>spaces_3iWczBNnn5rbfoUlE0Jd_uploads_git_blob_9864c7f811c613c3faab876659c6423__25[[#This Row],[Hora de Salida]]</f>
        <v>45020.231249999997</v>
      </c>
      <c r="R369" s="9" cm="1">
        <f t="array" ref="R36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9.9999999991268851E-2</v>
      </c>
      <c r="S369" s="9">
        <f>_xlfn.XLOOKUP(spaces_3iWczBNnn5rbfoUlE0Jd_uploads_git_blob_9864c7f811c613c3faab876659c6423__25[[#This Row],[Número de Orden]],Cocinadinamica!E370:E1138,Cocinadinamica!F370:F1138)/1440</f>
        <v>5.9027777777777776E-2</v>
      </c>
      <c r="T369" s="9" cm="1">
        <f t="array" ref="T36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4.0972222213491075E-2</v>
      </c>
      <c r="U369" s="9" t="str" cm="1">
        <f t="array" ref="U36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0" spans="1:21" x14ac:dyDescent="0.35">
      <c r="A370" s="27">
        <v>20</v>
      </c>
      <c r="B370" s="11" t="s">
        <v>1068</v>
      </c>
      <c r="C370" s="11">
        <v>2</v>
      </c>
      <c r="D370" s="12">
        <v>45020.09097222222</v>
      </c>
      <c r="E370" s="12">
        <v>45020.245833333334</v>
      </c>
      <c r="F370" s="11" t="s">
        <v>85</v>
      </c>
      <c r="G370" s="11" t="s">
        <v>86</v>
      </c>
      <c r="H370" s="11" t="s">
        <v>74</v>
      </c>
      <c r="I370" s="16">
        <v>34.83</v>
      </c>
      <c r="J370" s="11" t="s">
        <v>75</v>
      </c>
      <c r="K370" s="11">
        <v>369</v>
      </c>
      <c r="L370" s="11" t="s">
        <v>174</v>
      </c>
      <c r="M370" s="11" t="s">
        <v>1531</v>
      </c>
      <c r="N370">
        <f>_xlfn.XLOOKUP(spaces_3iWczBNnn5rbfoUlE0Jd_uploads_git_blob_9864c7f811c613c3faab876659c6423__25[[#This Row],[Número de Orden]],Cocinadinamica!B371:B1139,Cocinadinamica!C371:C1139)</f>
        <v>99</v>
      </c>
      <c r="O370" s="7">
        <f>spaces_3iWczBNnn5rbfoUlE0Jd_uploads_git_blob_9864c7f811c613c3faab876659c6423__25[[#This Row],[Hora de Llegada]]</f>
        <v>45020.09097222222</v>
      </c>
      <c r="P370" s="9">
        <f>spaces_3iWczBNnn5rbfoUlE0Jd_uploads_git_blob_9864c7f811c613c3faab876659c6423__25[[#This Row],[Hora de Llegada]]</f>
        <v>45020.09097222222</v>
      </c>
      <c r="Q370" s="9">
        <f>spaces_3iWczBNnn5rbfoUlE0Jd_uploads_git_blob_9864c7f811c613c3faab876659c6423__25[[#This Row],[Hora de Salida]]</f>
        <v>45020.245833333334</v>
      </c>
      <c r="R370" s="9" cm="1">
        <f t="array" ref="R37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0.15486111111385981</v>
      </c>
      <c r="S370" s="9">
        <f>_xlfn.XLOOKUP(spaces_3iWczBNnn5rbfoUlE0Jd_uploads_git_blob_9864c7f811c613c3faab876659c6423__25[[#This Row],[Número de Orden]],Cocinadinamica!E371:E1139,Cocinadinamica!F371:F1139)/1440</f>
        <v>2.9166666666666667E-2</v>
      </c>
      <c r="T370" s="9" cm="1">
        <f t="array" ref="T37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0.12569444444719313</v>
      </c>
      <c r="U370" s="9" t="str" cm="1">
        <f t="array" ref="U37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1" spans="1:21" x14ac:dyDescent="0.35">
      <c r="A371" s="28" t="s">
        <v>240</v>
      </c>
      <c r="B371" s="13" t="s">
        <v>477</v>
      </c>
      <c r="C371" s="13">
        <v>6</v>
      </c>
      <c r="D371" s="14">
        <v>45020.097222222219</v>
      </c>
      <c r="E371" s="14">
        <v>45020.140972222223</v>
      </c>
      <c r="F371" s="13" t="s">
        <v>170</v>
      </c>
      <c r="G371" s="13" t="s">
        <v>86</v>
      </c>
      <c r="H371" s="13" t="s">
        <v>74</v>
      </c>
      <c r="I371" s="17">
        <v>47.79</v>
      </c>
      <c r="J371" s="13" t="s">
        <v>75</v>
      </c>
      <c r="K371" s="13">
        <v>370</v>
      </c>
      <c r="L371" s="13" t="s">
        <v>174</v>
      </c>
      <c r="M371" s="13" t="s">
        <v>21</v>
      </c>
      <c r="N371">
        <f>_xlfn.XLOOKUP(spaces_3iWczBNnn5rbfoUlE0Jd_uploads_git_blob_9864c7f811c613c3faab876659c6423__25[[#This Row],[Número de Orden]],Cocinadinamica!B372:B1140,Cocinadinamica!C372:C1140)</f>
        <v>28</v>
      </c>
      <c r="O371" s="7">
        <f>spaces_3iWczBNnn5rbfoUlE0Jd_uploads_git_blob_9864c7f811c613c3faab876659c6423__25[[#This Row],[Hora de Llegada]]</f>
        <v>45020.097222222219</v>
      </c>
      <c r="P371" s="9">
        <f>spaces_3iWczBNnn5rbfoUlE0Jd_uploads_git_blob_9864c7f811c613c3faab876659c6423__25[[#This Row],[Hora de Llegada]]</f>
        <v>45020.097222222219</v>
      </c>
      <c r="Q371" s="9">
        <f>spaces_3iWczBNnn5rbfoUlE0Jd_uploads_git_blob_9864c7f811c613c3faab876659c6423__25[[#This Row],[Hora de Salida]]</f>
        <v>45020.140972222223</v>
      </c>
      <c r="R371" s="9" cm="1">
        <f t="array" ref="R37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4.3750000004365575E-2</v>
      </c>
      <c r="S371" s="9">
        <f>_xlfn.XLOOKUP(spaces_3iWczBNnn5rbfoUlE0Jd_uploads_git_blob_9864c7f811c613c3faab876659c6423__25[[#This Row],[Número de Orden]],Cocinadinamica!E372:E1140,Cocinadinamica!F372:F1140)/1440</f>
        <v>2.2916666666666665E-2</v>
      </c>
      <c r="T371" s="9" cm="1">
        <f t="array" ref="T37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2.083333333769891E-2</v>
      </c>
      <c r="U371" s="9" t="str" cm="1">
        <f t="array" ref="U37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2" spans="1:21" x14ac:dyDescent="0.35">
      <c r="A372" s="27">
        <v>4</v>
      </c>
      <c r="B372" s="11" t="s">
        <v>1069</v>
      </c>
      <c r="C372" s="11">
        <v>3</v>
      </c>
      <c r="D372" s="12">
        <v>45020.052777777775</v>
      </c>
      <c r="E372" s="12">
        <v>45020.188194444447</v>
      </c>
      <c r="F372" s="11" t="s">
        <v>72</v>
      </c>
      <c r="G372" s="11" t="s">
        <v>73</v>
      </c>
      <c r="H372" s="11" t="s">
        <v>74</v>
      </c>
      <c r="I372" s="16">
        <v>32.51</v>
      </c>
      <c r="J372" s="11" t="s">
        <v>88</v>
      </c>
      <c r="K372" s="11">
        <v>371</v>
      </c>
      <c r="L372" s="11" t="s">
        <v>187</v>
      </c>
      <c r="M372" s="11" t="s">
        <v>1532</v>
      </c>
      <c r="N372">
        <f>_xlfn.XLOOKUP(spaces_3iWczBNnn5rbfoUlE0Jd_uploads_git_blob_9864c7f811c613c3faab876659c6423__25[[#This Row],[Número de Orden]],Cocinadinamica!B373:B1141,Cocinadinamica!C373:C1141)</f>
        <v>80</v>
      </c>
      <c r="O372" s="7">
        <f>spaces_3iWczBNnn5rbfoUlE0Jd_uploads_git_blob_9864c7f811c613c3faab876659c6423__25[[#This Row],[Hora de Llegada]]</f>
        <v>45020.052777777775</v>
      </c>
      <c r="P372" s="9">
        <f>spaces_3iWczBNnn5rbfoUlE0Jd_uploads_git_blob_9864c7f811c613c3faab876659c6423__25[[#This Row],[Hora de Llegada]]</f>
        <v>45020.052777777775</v>
      </c>
      <c r="Q372" s="9">
        <f>spaces_3iWczBNnn5rbfoUlE0Jd_uploads_git_blob_9864c7f811c613c3faab876659c6423__25[[#This Row],[Hora de Salida]]</f>
        <v>45020.188194444447</v>
      </c>
      <c r="R372" s="9" cm="1">
        <f t="array" ref="R37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0.14583333333575865</v>
      </c>
      <c r="S372" s="9">
        <f>_xlfn.XLOOKUP(spaces_3iWczBNnn5rbfoUlE0Jd_uploads_git_blob_9864c7f811c613c3faab876659c6423__25[[#This Row],[Número de Orden]],Cocinadinamica!E373:E1141,Cocinadinamica!F373:F1141)/1440</f>
        <v>3.4027777777777775E-2</v>
      </c>
      <c r="T372" s="9" cm="1">
        <f t="array" ref="T37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0.11180555555798088</v>
      </c>
      <c r="U372" s="9" t="str" cm="1">
        <f t="array" ref="U37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3" spans="1:21" x14ac:dyDescent="0.35">
      <c r="A373" s="28" t="s">
        <v>267</v>
      </c>
      <c r="B373" s="13" t="s">
        <v>479</v>
      </c>
      <c r="C373" s="13">
        <v>5</v>
      </c>
      <c r="D373" s="14">
        <v>45020.115277777775</v>
      </c>
      <c r="E373" s="14">
        <v>45020.259722222225</v>
      </c>
      <c r="F373" s="13" t="s">
        <v>100</v>
      </c>
      <c r="G373" s="13" t="s">
        <v>86</v>
      </c>
      <c r="H373" s="13" t="s">
        <v>74</v>
      </c>
      <c r="I373" s="17">
        <v>17.170000000000002</v>
      </c>
      <c r="J373" s="13" t="s">
        <v>94</v>
      </c>
      <c r="K373" s="13">
        <v>372</v>
      </c>
      <c r="L373" s="13" t="s">
        <v>89</v>
      </c>
      <c r="M373" s="13" t="s">
        <v>45</v>
      </c>
      <c r="N373">
        <f>_xlfn.XLOOKUP(spaces_3iWczBNnn5rbfoUlE0Jd_uploads_git_blob_9864c7f811c613c3faab876659c6423__25[[#This Row],[Número de Orden]],Cocinadinamica!B374:B1142,Cocinadinamica!C374:C1142)</f>
        <v>16</v>
      </c>
      <c r="O373" s="7">
        <f>spaces_3iWczBNnn5rbfoUlE0Jd_uploads_git_blob_9864c7f811c613c3faab876659c6423__25[[#This Row],[Hora de Llegada]]</f>
        <v>45020.115277777775</v>
      </c>
      <c r="P373" s="9">
        <f>spaces_3iWczBNnn5rbfoUlE0Jd_uploads_git_blob_9864c7f811c613c3faab876659c6423__25[[#This Row],[Hora de Llegada]]</f>
        <v>45020.115277777775</v>
      </c>
      <c r="Q373" s="9">
        <f>spaces_3iWczBNnn5rbfoUlE0Jd_uploads_git_blob_9864c7f811c613c3faab876659c6423__25[[#This Row],[Hora de Salida]]</f>
        <v>45020.259722222225</v>
      </c>
      <c r="R373" s="9" cm="1">
        <f t="array" ref="R37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0.14444444444961846</v>
      </c>
      <c r="S373" s="9">
        <f>_xlfn.XLOOKUP(spaces_3iWczBNnn5rbfoUlE0Jd_uploads_git_blob_9864c7f811c613c3faab876659c6423__25[[#This Row],[Número de Orden]],Cocinadinamica!E374:E1142,Cocinadinamica!F374:F1142)/1440</f>
        <v>1.5277777777777777E-2</v>
      </c>
      <c r="T373" s="9" cm="1">
        <f t="array" ref="T37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0.12916666667184068</v>
      </c>
      <c r="U373" s="9" t="str" cm="1">
        <f t="array" ref="U37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4" spans="1:21" x14ac:dyDescent="0.35">
      <c r="A374" s="27">
        <v>19</v>
      </c>
      <c r="B374" s="11" t="s">
        <v>1070</v>
      </c>
      <c r="C374" s="11">
        <v>2</v>
      </c>
      <c r="D374" s="12">
        <v>45020.025694444441</v>
      </c>
      <c r="E374" s="12">
        <v>45020.132638888892</v>
      </c>
      <c r="F374" s="11" t="s">
        <v>85</v>
      </c>
      <c r="G374" s="11" t="s">
        <v>163</v>
      </c>
      <c r="H374" s="11" t="s">
        <v>109</v>
      </c>
      <c r="I374" s="16">
        <v>26.62</v>
      </c>
      <c r="J374" s="11" t="s">
        <v>88</v>
      </c>
      <c r="K374" s="11">
        <v>373</v>
      </c>
      <c r="L374" s="11" t="s">
        <v>164</v>
      </c>
      <c r="M374" s="11" t="s">
        <v>1533</v>
      </c>
      <c r="N374">
        <f>_xlfn.XLOOKUP(spaces_3iWczBNnn5rbfoUlE0Jd_uploads_git_blob_9864c7f811c613c3faab876659c6423__25[[#This Row],[Número de Orden]],Cocinadinamica!B375:B1143,Cocinadinamica!C375:C1143)</f>
        <v>64</v>
      </c>
      <c r="O374" s="7">
        <f>spaces_3iWczBNnn5rbfoUlE0Jd_uploads_git_blob_9864c7f811c613c3faab876659c6423__25[[#This Row],[Hora de Llegada]]</f>
        <v>45020.025694444441</v>
      </c>
      <c r="P374" s="9">
        <f>spaces_3iWczBNnn5rbfoUlE0Jd_uploads_git_blob_9864c7f811c613c3faab876659c6423__25[[#This Row],[Hora de Llegada]]</f>
        <v>45020.025694444441</v>
      </c>
      <c r="Q374" s="9">
        <f>spaces_3iWczBNnn5rbfoUlE0Jd_uploads_git_blob_9864c7f811c613c3faab876659c6423__25[[#This Row],[Hora de Salida]]</f>
        <v>45020.132638888892</v>
      </c>
      <c r="R374" s="9" cm="1">
        <f t="array" ref="R37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0.117361111115315</v>
      </c>
      <c r="S374" s="9">
        <f>_xlfn.XLOOKUP(spaces_3iWczBNnn5rbfoUlE0Jd_uploads_git_blob_9864c7f811c613c3faab876659c6423__25[[#This Row],[Número de Orden]],Cocinadinamica!E375:E1143,Cocinadinamica!F375:F1143)/1440</f>
        <v>8.0555555555555561E-2</v>
      </c>
      <c r="T374" s="9" cm="1">
        <f t="array" ref="T37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3.6805555559759437E-2</v>
      </c>
      <c r="U374" s="9" t="str" cm="1">
        <f t="array" ref="U37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5" spans="1:21" x14ac:dyDescent="0.35">
      <c r="A375" s="28" t="s">
        <v>98</v>
      </c>
      <c r="B375" s="13" t="s">
        <v>481</v>
      </c>
      <c r="C375" s="13">
        <v>3</v>
      </c>
      <c r="D375" s="14">
        <v>45020.138194444444</v>
      </c>
      <c r="E375" s="14">
        <v>45020.183333333334</v>
      </c>
      <c r="F375" s="13" t="s">
        <v>100</v>
      </c>
      <c r="G375" s="13" t="s">
        <v>86</v>
      </c>
      <c r="H375" s="13" t="s">
        <v>74</v>
      </c>
      <c r="I375" s="17">
        <v>33.35</v>
      </c>
      <c r="J375" s="13" t="s">
        <v>75</v>
      </c>
      <c r="K375" s="13">
        <v>374</v>
      </c>
      <c r="L375" s="13" t="s">
        <v>221</v>
      </c>
      <c r="M375" s="13" t="s">
        <v>31</v>
      </c>
      <c r="N375">
        <f>_xlfn.XLOOKUP(spaces_3iWczBNnn5rbfoUlE0Jd_uploads_git_blob_9864c7f811c613c3faab876659c6423__25[[#This Row],[Número de Orden]],Cocinadinamica!B376:B1144,Cocinadinamica!C376:C1144)</f>
        <v>14</v>
      </c>
      <c r="O375" s="7">
        <f>spaces_3iWczBNnn5rbfoUlE0Jd_uploads_git_blob_9864c7f811c613c3faab876659c6423__25[[#This Row],[Hora de Llegada]]</f>
        <v>45020.138194444444</v>
      </c>
      <c r="P375" s="9">
        <f>spaces_3iWczBNnn5rbfoUlE0Jd_uploads_git_blob_9864c7f811c613c3faab876659c6423__25[[#This Row],[Hora de Llegada]]</f>
        <v>45020.138194444444</v>
      </c>
      <c r="Q375" s="9">
        <f>spaces_3iWczBNnn5rbfoUlE0Jd_uploads_git_blob_9864c7f811c613c3faab876659c6423__25[[#This Row],[Hora de Salida]]</f>
        <v>45020.183333333334</v>
      </c>
      <c r="R375" s="9" cm="1">
        <f t="array" ref="R37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4.5138888890505768E-2</v>
      </c>
      <c r="S375" s="9">
        <f>_xlfn.XLOOKUP(spaces_3iWczBNnn5rbfoUlE0Jd_uploads_git_blob_9864c7f811c613c3faab876659c6423__25[[#This Row],[Número de Orden]],Cocinadinamica!E376:E1144,Cocinadinamica!F376:F1144)/1440</f>
        <v>6.2500000000000003E-3</v>
      </c>
      <c r="T375" s="9" cm="1">
        <f t="array" ref="T37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3.888888889050577E-2</v>
      </c>
      <c r="U375" s="9" t="str" cm="1">
        <f t="array" ref="U37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6" spans="1:21" x14ac:dyDescent="0.35">
      <c r="A376" s="27" t="s">
        <v>98</v>
      </c>
      <c r="B376" s="11" t="s">
        <v>482</v>
      </c>
      <c r="C376" s="11">
        <v>1</v>
      </c>
      <c r="D376" s="12">
        <v>45020.011805555558</v>
      </c>
      <c r="E376" s="12">
        <v>45020.131249999999</v>
      </c>
      <c r="F376" s="11" t="s">
        <v>170</v>
      </c>
      <c r="G376" s="11" t="s">
        <v>86</v>
      </c>
      <c r="H376" s="11" t="s">
        <v>74</v>
      </c>
      <c r="I376" s="16">
        <v>2.23</v>
      </c>
      <c r="J376" s="11" t="s">
        <v>94</v>
      </c>
      <c r="K376" s="11">
        <v>375</v>
      </c>
      <c r="L376" s="11" t="s">
        <v>181</v>
      </c>
      <c r="M376" s="11" t="s">
        <v>15</v>
      </c>
      <c r="N376">
        <f>_xlfn.XLOOKUP(spaces_3iWczBNnn5rbfoUlE0Jd_uploads_git_blob_9864c7f811c613c3faab876659c6423__25[[#This Row],[Número de Orden]],Cocinadinamica!B377:B1145,Cocinadinamica!C377:C1145)</f>
        <v>36</v>
      </c>
      <c r="O376" s="7">
        <f>spaces_3iWczBNnn5rbfoUlE0Jd_uploads_git_blob_9864c7f811c613c3faab876659c6423__25[[#This Row],[Hora de Llegada]]</f>
        <v>45020.011805555558</v>
      </c>
      <c r="P376" s="9">
        <f>spaces_3iWczBNnn5rbfoUlE0Jd_uploads_git_blob_9864c7f811c613c3faab876659c6423__25[[#This Row],[Hora de Llegada]]</f>
        <v>45020.011805555558</v>
      </c>
      <c r="Q376" s="9">
        <f>spaces_3iWczBNnn5rbfoUlE0Jd_uploads_git_blob_9864c7f811c613c3faab876659c6423__25[[#This Row],[Hora de Salida]]</f>
        <v>45020.131249999999</v>
      </c>
      <c r="R376" s="9" cm="1">
        <f t="array" ref="R37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0.11944444444088731</v>
      </c>
      <c r="S376" s="9">
        <f>_xlfn.XLOOKUP(spaces_3iWczBNnn5rbfoUlE0Jd_uploads_git_blob_9864c7f811c613c3faab876659c6423__25[[#This Row],[Número de Orden]],Cocinadinamica!E377:E1145,Cocinadinamica!F377:F1145)/1440</f>
        <v>1.8749999999999999E-2</v>
      </c>
      <c r="T376" s="9" cm="1">
        <f t="array" ref="T37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0.10069444444088731</v>
      </c>
      <c r="U376" s="9" t="str" cm="1">
        <f t="array" ref="U37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7" spans="1:21" x14ac:dyDescent="0.35">
      <c r="A377" s="28" t="s">
        <v>224</v>
      </c>
      <c r="B377" s="13" t="s">
        <v>483</v>
      </c>
      <c r="C377" s="13">
        <v>4</v>
      </c>
      <c r="D377" s="14">
        <v>45020.120138888888</v>
      </c>
      <c r="E377" s="14">
        <v>45020.216666666667</v>
      </c>
      <c r="F377" s="13" t="s">
        <v>223</v>
      </c>
      <c r="G377" s="13" t="s">
        <v>86</v>
      </c>
      <c r="H377" s="13" t="s">
        <v>87</v>
      </c>
      <c r="I377" s="17">
        <v>27.51</v>
      </c>
      <c r="J377" s="13" t="s">
        <v>88</v>
      </c>
      <c r="K377" s="13">
        <v>376</v>
      </c>
      <c r="L377" s="13" t="s">
        <v>187</v>
      </c>
      <c r="M377" s="13" t="s">
        <v>41</v>
      </c>
      <c r="N377">
        <f>_xlfn.XLOOKUP(spaces_3iWczBNnn5rbfoUlE0Jd_uploads_git_blob_9864c7f811c613c3faab876659c6423__25[[#This Row],[Número de Orden]],Cocinadinamica!B378:B1146,Cocinadinamica!C378:C1146)</f>
        <v>18</v>
      </c>
      <c r="O377" s="7">
        <f>spaces_3iWczBNnn5rbfoUlE0Jd_uploads_git_blob_9864c7f811c613c3faab876659c6423__25[[#This Row],[Hora de Llegada]]</f>
        <v>45020.120138888888</v>
      </c>
      <c r="P377" s="9">
        <f>spaces_3iWczBNnn5rbfoUlE0Jd_uploads_git_blob_9864c7f811c613c3faab876659c6423__25[[#This Row],[Hora de Llegada]]</f>
        <v>45020.120138888888</v>
      </c>
      <c r="Q377" s="9">
        <f>spaces_3iWczBNnn5rbfoUlE0Jd_uploads_git_blob_9864c7f811c613c3faab876659c6423__25[[#This Row],[Hora de Salida]]</f>
        <v>45020.216666666667</v>
      </c>
      <c r="R377" s="9" cm="1">
        <f t="array" ref="R37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0.10694444444379769</v>
      </c>
      <c r="S377" s="9">
        <f>_xlfn.XLOOKUP(spaces_3iWczBNnn5rbfoUlE0Jd_uploads_git_blob_9864c7f811c613c3faab876659c6423__25[[#This Row],[Número de Orden]],Cocinadinamica!E378:E1146,Cocinadinamica!F378:F1146)/1440</f>
        <v>3.472222222222222E-3</v>
      </c>
      <c r="T377" s="9" cm="1">
        <f t="array" ref="T37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0.10347222222157547</v>
      </c>
      <c r="U377" s="9" t="str" cm="1">
        <f t="array" ref="U37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8" spans="1:21" x14ac:dyDescent="0.35">
      <c r="A378" s="27">
        <v>5</v>
      </c>
      <c r="B378" s="11" t="s">
        <v>729</v>
      </c>
      <c r="C378" s="11">
        <v>1</v>
      </c>
      <c r="D378" s="12">
        <v>45020.054166666669</v>
      </c>
      <c r="E378" s="12">
        <v>45020.198611111111</v>
      </c>
      <c r="F378" s="11" t="s">
        <v>72</v>
      </c>
      <c r="G378" s="11" t="s">
        <v>86</v>
      </c>
      <c r="H378" s="11" t="s">
        <v>74</v>
      </c>
      <c r="I378" s="16">
        <v>14.96</v>
      </c>
      <c r="J378" s="11" t="s">
        <v>75</v>
      </c>
      <c r="K378" s="11">
        <v>377</v>
      </c>
      <c r="L378" s="11" t="s">
        <v>221</v>
      </c>
      <c r="M378" s="11" t="s">
        <v>1534</v>
      </c>
      <c r="N378">
        <f>_xlfn.XLOOKUP(spaces_3iWczBNnn5rbfoUlE0Jd_uploads_git_blob_9864c7f811c613c3faab876659c6423__25[[#This Row],[Número de Orden]],Cocinadinamica!B379:B1147,Cocinadinamica!C379:C1147)</f>
        <v>41</v>
      </c>
      <c r="O378" s="7">
        <f>spaces_3iWczBNnn5rbfoUlE0Jd_uploads_git_blob_9864c7f811c613c3faab876659c6423__25[[#This Row],[Hora de Llegada]]</f>
        <v>45020.054166666669</v>
      </c>
      <c r="P378" s="9">
        <f>spaces_3iWczBNnn5rbfoUlE0Jd_uploads_git_blob_9864c7f811c613c3faab876659c6423__25[[#This Row],[Hora de Llegada]]</f>
        <v>45020.054166666669</v>
      </c>
      <c r="Q378" s="9">
        <f>spaces_3iWczBNnn5rbfoUlE0Jd_uploads_git_blob_9864c7f811c613c3faab876659c6423__25[[#This Row],[Hora de Salida]]</f>
        <v>45020.198611111111</v>
      </c>
      <c r="R378" s="9" cm="1">
        <f t="array" ref="R37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0.1444444444423425</v>
      </c>
      <c r="S378" s="9">
        <f>_xlfn.XLOOKUP(spaces_3iWczBNnn5rbfoUlE0Jd_uploads_git_blob_9864c7f811c613c3faab876659c6423__25[[#This Row],[Número de Orden]],Cocinadinamica!E379:E1147,Cocinadinamica!F379:F1147)/1440</f>
        <v>3.1944444444444442E-2</v>
      </c>
      <c r="T378" s="9" cm="1">
        <f t="array" ref="T37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0.11249999999789806</v>
      </c>
      <c r="U378" s="9" t="str" cm="1">
        <f t="array" ref="U37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79" spans="1:21" x14ac:dyDescent="0.35">
      <c r="A379" s="28">
        <v>3</v>
      </c>
      <c r="B379" s="13" t="s">
        <v>1071</v>
      </c>
      <c r="C379" s="13">
        <v>1</v>
      </c>
      <c r="D379" s="14">
        <v>45020.163194444445</v>
      </c>
      <c r="E379" s="14">
        <v>45020.220833333333</v>
      </c>
      <c r="F379" s="13" t="s">
        <v>223</v>
      </c>
      <c r="G379" s="13" t="s">
        <v>86</v>
      </c>
      <c r="H379" s="13" t="s">
        <v>87</v>
      </c>
      <c r="I379" s="17">
        <v>40.31</v>
      </c>
      <c r="J379" s="13" t="s">
        <v>75</v>
      </c>
      <c r="K379" s="13">
        <v>378</v>
      </c>
      <c r="L379" s="13" t="s">
        <v>76</v>
      </c>
      <c r="M379" s="13" t="s">
        <v>1535</v>
      </c>
      <c r="N379">
        <f>_xlfn.XLOOKUP(spaces_3iWczBNnn5rbfoUlE0Jd_uploads_git_blob_9864c7f811c613c3faab876659c6423__25[[#This Row],[Número de Orden]],Cocinadinamica!B380:B1148,Cocinadinamica!C380:C1148)</f>
        <v>20</v>
      </c>
      <c r="O379" s="7">
        <f>spaces_3iWczBNnn5rbfoUlE0Jd_uploads_git_blob_9864c7f811c613c3faab876659c6423__25[[#This Row],[Hora de Llegada]]</f>
        <v>45020.163194444445</v>
      </c>
      <c r="P379" s="9">
        <f>spaces_3iWczBNnn5rbfoUlE0Jd_uploads_git_blob_9864c7f811c613c3faab876659c6423__25[[#This Row],[Hora de Llegada]]</f>
        <v>45020.163194444445</v>
      </c>
      <c r="Q379" s="9">
        <f>spaces_3iWczBNnn5rbfoUlE0Jd_uploads_git_blob_9864c7f811c613c3faab876659c6423__25[[#This Row],[Hora de Salida]]</f>
        <v>45020.220833333333</v>
      </c>
      <c r="R379" s="9" cm="1">
        <f t="array" ref="R37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5.7638888887595385E-2</v>
      </c>
      <c r="S379" s="9">
        <f>_xlfn.XLOOKUP(spaces_3iWczBNnn5rbfoUlE0Jd_uploads_git_blob_9864c7f811c613c3faab876659c6423__25[[#This Row],[Número de Orden]],Cocinadinamica!E380:E1148,Cocinadinamica!F380:F1148)/1440</f>
        <v>1.4583333333333334E-2</v>
      </c>
      <c r="T379" s="9" cm="1">
        <f t="array" ref="T37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4.3055555554262048E-2</v>
      </c>
      <c r="U379" s="9" t="str" cm="1">
        <f t="array" ref="U37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0" spans="1:21" x14ac:dyDescent="0.35">
      <c r="A380" s="27" t="s">
        <v>210</v>
      </c>
      <c r="B380" s="11" t="s">
        <v>486</v>
      </c>
      <c r="C380" s="11">
        <v>2</v>
      </c>
      <c r="D380" s="12">
        <v>45020.063194444447</v>
      </c>
      <c r="E380" s="12">
        <v>45020.164583333331</v>
      </c>
      <c r="F380" s="11" t="s">
        <v>170</v>
      </c>
      <c r="G380" s="11" t="s">
        <v>163</v>
      </c>
      <c r="H380" s="11" t="s">
        <v>74</v>
      </c>
      <c r="I380" s="16">
        <v>10.61</v>
      </c>
      <c r="J380" s="11" t="s">
        <v>88</v>
      </c>
      <c r="K380" s="11">
        <v>379</v>
      </c>
      <c r="L380" s="11" t="s">
        <v>101</v>
      </c>
      <c r="M380" s="11" t="s">
        <v>31</v>
      </c>
      <c r="N380">
        <f>_xlfn.XLOOKUP(spaces_3iWczBNnn5rbfoUlE0Jd_uploads_git_blob_9864c7f811c613c3faab876659c6423__25[[#This Row],[Número de Orden]],Cocinadinamica!B381:B1149,Cocinadinamica!C381:C1149)</f>
        <v>28</v>
      </c>
      <c r="O380" s="7">
        <f>spaces_3iWczBNnn5rbfoUlE0Jd_uploads_git_blob_9864c7f811c613c3faab876659c6423__25[[#This Row],[Hora de Llegada]]</f>
        <v>45020.063194444447</v>
      </c>
      <c r="P380" s="9">
        <f>spaces_3iWczBNnn5rbfoUlE0Jd_uploads_git_blob_9864c7f811c613c3faab876659c6423__25[[#This Row],[Hora de Llegada]]</f>
        <v>45020.063194444447</v>
      </c>
      <c r="Q380" s="9">
        <f>spaces_3iWczBNnn5rbfoUlE0Jd_uploads_git_blob_9864c7f811c613c3faab876659c6423__25[[#This Row],[Hora de Salida]]</f>
        <v>45020.164583333331</v>
      </c>
      <c r="R380" s="9" cm="1">
        <f t="array" ref="R38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0.11180555554892635</v>
      </c>
      <c r="S380" s="9">
        <f>_xlfn.XLOOKUP(spaces_3iWczBNnn5rbfoUlE0Jd_uploads_git_blob_9864c7f811c613c3faab876659c6423__25[[#This Row],[Número de Orden]],Cocinadinamica!E381:E1149,Cocinadinamica!F381:F1149)/1440</f>
        <v>4.1666666666666666E-3</v>
      </c>
      <c r="T380" s="9" cm="1">
        <f t="array" ref="T38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0.10763888888225968</v>
      </c>
      <c r="U380" s="9" t="str" cm="1">
        <f t="array" ref="U38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1" spans="1:21" x14ac:dyDescent="0.35">
      <c r="A381" s="28">
        <v>5</v>
      </c>
      <c r="B381" s="13" t="s">
        <v>952</v>
      </c>
      <c r="C381" s="13">
        <v>1</v>
      </c>
      <c r="D381" s="14">
        <v>45020.040277777778</v>
      </c>
      <c r="E381" s="14">
        <v>45020.189583333333</v>
      </c>
      <c r="F381" s="13" t="s">
        <v>170</v>
      </c>
      <c r="G381" s="13" t="s">
        <v>73</v>
      </c>
      <c r="H381" s="13" t="s">
        <v>109</v>
      </c>
      <c r="I381" s="17">
        <v>22.53</v>
      </c>
      <c r="J381" s="13" t="s">
        <v>75</v>
      </c>
      <c r="K381" s="13">
        <v>380</v>
      </c>
      <c r="L381" s="13" t="s">
        <v>164</v>
      </c>
      <c r="M381" s="13" t="s">
        <v>1536</v>
      </c>
      <c r="N381">
        <f>_xlfn.XLOOKUP(spaces_3iWczBNnn5rbfoUlE0Jd_uploads_git_blob_9864c7f811c613c3faab876659c6423__25[[#This Row],[Número de Orden]],Cocinadinamica!B382:B1150,Cocinadinamica!C382:C1150)</f>
        <v>55</v>
      </c>
      <c r="O381" s="7">
        <f>spaces_3iWczBNnn5rbfoUlE0Jd_uploads_git_blob_9864c7f811c613c3faab876659c6423__25[[#This Row],[Hora de Llegada]]</f>
        <v>45020.040277777778</v>
      </c>
      <c r="P381" s="9">
        <f>spaces_3iWczBNnn5rbfoUlE0Jd_uploads_git_blob_9864c7f811c613c3faab876659c6423__25[[#This Row],[Hora de Llegada]]</f>
        <v>45020.040277777778</v>
      </c>
      <c r="Q381" s="9">
        <f>spaces_3iWczBNnn5rbfoUlE0Jd_uploads_git_blob_9864c7f811c613c3faab876659c6423__25[[#This Row],[Hora de Salida]]</f>
        <v>45020.189583333333</v>
      </c>
      <c r="R381" s="9" cm="1">
        <f t="array" ref="R38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0.14930555555474712</v>
      </c>
      <c r="S381" s="9">
        <f>_xlfn.XLOOKUP(spaces_3iWczBNnn5rbfoUlE0Jd_uploads_git_blob_9864c7f811c613c3faab876659c6423__25[[#This Row],[Número de Orden]],Cocinadinamica!E382:E1150,Cocinadinamica!F382:F1150)/1440</f>
        <v>6.458333333333334E-2</v>
      </c>
      <c r="T381" s="9" cm="1">
        <f t="array" ref="T38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8.4722222221413776E-2</v>
      </c>
      <c r="U381" s="9" t="str" cm="1">
        <f t="array" ref="U38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2" spans="1:21" x14ac:dyDescent="0.35">
      <c r="A382" s="27">
        <v>4</v>
      </c>
      <c r="B382" s="11" t="s">
        <v>1072</v>
      </c>
      <c r="C382" s="11">
        <v>1</v>
      </c>
      <c r="D382" s="12">
        <v>45020.039583333331</v>
      </c>
      <c r="E382" s="12">
        <v>45020.188888888886</v>
      </c>
      <c r="F382" s="11" t="s">
        <v>223</v>
      </c>
      <c r="G382" s="11" t="s">
        <v>163</v>
      </c>
      <c r="H382" s="11" t="s">
        <v>109</v>
      </c>
      <c r="I382" s="16">
        <v>27.69</v>
      </c>
      <c r="J382" s="11" t="s">
        <v>75</v>
      </c>
      <c r="K382" s="11">
        <v>381</v>
      </c>
      <c r="L382" s="11" t="s">
        <v>174</v>
      </c>
      <c r="M382" s="11" t="s">
        <v>1537</v>
      </c>
      <c r="N382">
        <f>_xlfn.XLOOKUP(spaces_3iWczBNnn5rbfoUlE0Jd_uploads_git_blob_9864c7f811c613c3faab876659c6423__25[[#This Row],[Número de Orden]],Cocinadinamica!B383:B1151,Cocinadinamica!C383:C1151)</f>
        <v>59</v>
      </c>
      <c r="O382" s="7">
        <f>spaces_3iWczBNnn5rbfoUlE0Jd_uploads_git_blob_9864c7f811c613c3faab876659c6423__25[[#This Row],[Hora de Llegada]]</f>
        <v>45020.039583333331</v>
      </c>
      <c r="P382" s="9">
        <f>spaces_3iWczBNnn5rbfoUlE0Jd_uploads_git_blob_9864c7f811c613c3faab876659c6423__25[[#This Row],[Hora de Llegada]]</f>
        <v>45020.039583333331</v>
      </c>
      <c r="Q382" s="9">
        <f>spaces_3iWczBNnn5rbfoUlE0Jd_uploads_git_blob_9864c7f811c613c3faab876659c6423__25[[#This Row],[Hora de Salida]]</f>
        <v>45020.188888888886</v>
      </c>
      <c r="R382" s="9" cm="1">
        <f t="array" ref="R38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0.14930555555474712</v>
      </c>
      <c r="S382" s="9">
        <f>_xlfn.XLOOKUP(spaces_3iWczBNnn5rbfoUlE0Jd_uploads_git_blob_9864c7f811c613c3faab876659c6423__25[[#This Row],[Número de Orden]],Cocinadinamica!E383:E1151,Cocinadinamica!F383:F1151)/1440</f>
        <v>3.2638888888888891E-2</v>
      </c>
      <c r="T382" s="9" cm="1">
        <f t="array" ref="T38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0.11666666666585823</v>
      </c>
      <c r="U382" s="9" t="str" cm="1">
        <f t="array" ref="U38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3" spans="1:21" x14ac:dyDescent="0.35">
      <c r="A383" s="28" t="s">
        <v>92</v>
      </c>
      <c r="B383" s="13" t="s">
        <v>162</v>
      </c>
      <c r="C383" s="13">
        <v>6</v>
      </c>
      <c r="D383" s="14">
        <v>45020.131249999999</v>
      </c>
      <c r="E383" s="14">
        <v>45020.268750000003</v>
      </c>
      <c r="F383" s="13" t="s">
        <v>100</v>
      </c>
      <c r="G383" s="13" t="s">
        <v>73</v>
      </c>
      <c r="H383" s="13" t="s">
        <v>109</v>
      </c>
      <c r="I383" s="17">
        <v>1.98</v>
      </c>
      <c r="J383" s="13" t="s">
        <v>94</v>
      </c>
      <c r="K383" s="13">
        <v>382</v>
      </c>
      <c r="L383" s="13" t="s">
        <v>187</v>
      </c>
      <c r="M383" s="13" t="s">
        <v>23</v>
      </c>
      <c r="N383">
        <f>_xlfn.XLOOKUP(spaces_3iWczBNnn5rbfoUlE0Jd_uploads_git_blob_9864c7f811c613c3faab876659c6423__25[[#This Row],[Número de Orden]],Cocinadinamica!B384:B1152,Cocinadinamica!C384:C1152)</f>
        <v>36</v>
      </c>
      <c r="O383" s="7">
        <f>spaces_3iWczBNnn5rbfoUlE0Jd_uploads_git_blob_9864c7f811c613c3faab876659c6423__25[[#This Row],[Hora de Llegada]]</f>
        <v>45020.131249999999</v>
      </c>
      <c r="P383" s="9">
        <f>spaces_3iWczBNnn5rbfoUlE0Jd_uploads_git_blob_9864c7f811c613c3faab876659c6423__25[[#This Row],[Hora de Llegada]]</f>
        <v>45020.131249999999</v>
      </c>
      <c r="Q383" s="9">
        <f>spaces_3iWczBNnn5rbfoUlE0Jd_uploads_git_blob_9864c7f811c613c3faab876659c6423__25[[#This Row],[Hora de Salida]]</f>
        <v>45020.268750000003</v>
      </c>
      <c r="R383" s="9" cm="1">
        <f t="array" ref="R38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0.13750000000436557</v>
      </c>
      <c r="S383" s="9">
        <f>_xlfn.XLOOKUP(spaces_3iWczBNnn5rbfoUlE0Jd_uploads_git_blob_9864c7f811c613c3faab876659c6423__25[[#This Row],[Número de Orden]],Cocinadinamica!E384:E1152,Cocinadinamica!F384:F1152)/1440</f>
        <v>3.7499999999999999E-2</v>
      </c>
      <c r="T383" s="9" cm="1">
        <f t="array" ref="T38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0.10000000000436557</v>
      </c>
      <c r="U383" s="9" t="str" cm="1">
        <f t="array" ref="U38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4" spans="1:21" x14ac:dyDescent="0.35">
      <c r="A384" s="27" t="s">
        <v>185</v>
      </c>
      <c r="B384" s="11" t="s">
        <v>489</v>
      </c>
      <c r="C384" s="11">
        <v>6</v>
      </c>
      <c r="D384" s="12">
        <v>45020.145138888889</v>
      </c>
      <c r="E384" s="12">
        <v>45020.272916666669</v>
      </c>
      <c r="F384" s="11" t="s">
        <v>72</v>
      </c>
      <c r="G384" s="11" t="s">
        <v>86</v>
      </c>
      <c r="H384" s="11" t="s">
        <v>74</v>
      </c>
      <c r="I384" s="16">
        <v>31.33</v>
      </c>
      <c r="J384" s="11" t="s">
        <v>75</v>
      </c>
      <c r="K384" s="11">
        <v>383</v>
      </c>
      <c r="L384" s="11" t="s">
        <v>101</v>
      </c>
      <c r="M384" s="11" t="s">
        <v>21</v>
      </c>
      <c r="N384">
        <f>_xlfn.XLOOKUP(spaces_3iWczBNnn5rbfoUlE0Jd_uploads_git_blob_9864c7f811c613c3faab876659c6423__25[[#This Row],[Número de Orden]],Cocinadinamica!B385:B1153,Cocinadinamica!C385:C1153)</f>
        <v>42</v>
      </c>
      <c r="O384" s="7">
        <f>spaces_3iWczBNnn5rbfoUlE0Jd_uploads_git_blob_9864c7f811c613c3faab876659c6423__25[[#This Row],[Hora de Llegada]]</f>
        <v>45020.145138888889</v>
      </c>
      <c r="P384" s="9">
        <f>spaces_3iWczBNnn5rbfoUlE0Jd_uploads_git_blob_9864c7f811c613c3faab876659c6423__25[[#This Row],[Hora de Llegada]]</f>
        <v>45020.145138888889</v>
      </c>
      <c r="Q384" s="9">
        <f>spaces_3iWczBNnn5rbfoUlE0Jd_uploads_git_blob_9864c7f811c613c3faab876659c6423__25[[#This Row],[Hora de Salida]]</f>
        <v>45020.272916666669</v>
      </c>
      <c r="R384" s="9" cm="1">
        <f t="array" ref="R38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0.12777777777955635</v>
      </c>
      <c r="S384" s="9">
        <f>_xlfn.XLOOKUP(spaces_3iWczBNnn5rbfoUlE0Jd_uploads_git_blob_9864c7f811c613c3faab876659c6423__25[[#This Row],[Número de Orden]],Cocinadinamica!E385:E1153,Cocinadinamica!F385:F1153)/1440</f>
        <v>6.2500000000000003E-3</v>
      </c>
      <c r="T384" s="9" cm="1">
        <f t="array" ref="T38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0.12152777777955634</v>
      </c>
      <c r="U384" s="9" t="str" cm="1">
        <f t="array" ref="U38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5" spans="1:21" x14ac:dyDescent="0.35">
      <c r="A385" s="28">
        <v>1</v>
      </c>
      <c r="B385" s="13" t="s">
        <v>1073</v>
      </c>
      <c r="C385" s="13">
        <v>5</v>
      </c>
      <c r="D385" s="14">
        <v>45020.007638888892</v>
      </c>
      <c r="E385" s="14">
        <v>45020.106249999997</v>
      </c>
      <c r="F385" s="13" t="s">
        <v>223</v>
      </c>
      <c r="G385" s="13" t="s">
        <v>163</v>
      </c>
      <c r="H385" s="13" t="s">
        <v>109</v>
      </c>
      <c r="I385" s="17">
        <v>39.32</v>
      </c>
      <c r="J385" s="13" t="s">
        <v>94</v>
      </c>
      <c r="K385" s="13">
        <v>384</v>
      </c>
      <c r="L385" s="13" t="s">
        <v>275</v>
      </c>
      <c r="M385" s="13" t="s">
        <v>1538</v>
      </c>
      <c r="N385">
        <f>_xlfn.XLOOKUP(spaces_3iWczBNnn5rbfoUlE0Jd_uploads_git_blob_9864c7f811c613c3faab876659c6423__25[[#This Row],[Número de Orden]],Cocinadinamica!B386:B1154,Cocinadinamica!C386:C1154)</f>
        <v>51</v>
      </c>
      <c r="O385" s="7">
        <f>spaces_3iWczBNnn5rbfoUlE0Jd_uploads_git_blob_9864c7f811c613c3faab876659c6423__25[[#This Row],[Hora de Llegada]]</f>
        <v>45020.007638888892</v>
      </c>
      <c r="P385" s="9">
        <f>spaces_3iWczBNnn5rbfoUlE0Jd_uploads_git_blob_9864c7f811c613c3faab876659c6423__25[[#This Row],[Hora de Llegada]]</f>
        <v>45020.007638888892</v>
      </c>
      <c r="Q385" s="9">
        <f>spaces_3iWczBNnn5rbfoUlE0Jd_uploads_git_blob_9864c7f811c613c3faab876659c6423__25[[#This Row],[Hora de Salida]]</f>
        <v>45020.106249999997</v>
      </c>
      <c r="R385" s="9" cm="1">
        <f t="array" ref="R38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9.8611111105128657E-2</v>
      </c>
      <c r="S385" s="9">
        <f>_xlfn.XLOOKUP(spaces_3iWczBNnn5rbfoUlE0Jd_uploads_git_blob_9864c7f811c613c3faab876659c6423__25[[#This Row],[Número de Orden]],Cocinadinamica!E386:E1154,Cocinadinamica!F386:F1154)/1440</f>
        <v>7.6388888888888895E-2</v>
      </c>
      <c r="T385" s="9" cm="1">
        <f t="array" ref="T38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2.2222222216239762E-2</v>
      </c>
      <c r="U385" s="9" t="str" cm="1">
        <f t="array" ref="U38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6" spans="1:21" x14ac:dyDescent="0.35">
      <c r="A386" s="27" t="s">
        <v>185</v>
      </c>
      <c r="B386" s="11" t="s">
        <v>491</v>
      </c>
      <c r="C386" s="11">
        <v>6</v>
      </c>
      <c r="D386" s="12">
        <v>45021.150694444441</v>
      </c>
      <c r="E386" s="12">
        <v>45021.279861111114</v>
      </c>
      <c r="F386" s="11" t="s">
        <v>170</v>
      </c>
      <c r="G386" s="11" t="s">
        <v>163</v>
      </c>
      <c r="H386" s="11" t="s">
        <v>74</v>
      </c>
      <c r="I386" s="16">
        <v>11.14</v>
      </c>
      <c r="J386" s="11" t="s">
        <v>88</v>
      </c>
      <c r="K386" s="11">
        <v>385</v>
      </c>
      <c r="L386" s="11" t="s">
        <v>181</v>
      </c>
      <c r="M386" s="11" t="s">
        <v>12</v>
      </c>
      <c r="N386">
        <f>_xlfn.XLOOKUP(spaces_3iWczBNnn5rbfoUlE0Jd_uploads_git_blob_9864c7f811c613c3faab876659c6423__25[[#This Row],[Número de Orden]],Cocinadinamica!B387:B1155,Cocinadinamica!C387:C1155)</f>
        <v>24</v>
      </c>
      <c r="O386" s="7">
        <f>spaces_3iWczBNnn5rbfoUlE0Jd_uploads_git_blob_9864c7f811c613c3faab876659c6423__25[[#This Row],[Hora de Llegada]]</f>
        <v>45021.150694444441</v>
      </c>
      <c r="P386" s="9">
        <f>spaces_3iWczBNnn5rbfoUlE0Jd_uploads_git_blob_9864c7f811c613c3faab876659c6423__25[[#This Row],[Hora de Llegada]]</f>
        <v>45021.150694444441</v>
      </c>
      <c r="Q386" s="9">
        <f>spaces_3iWczBNnn5rbfoUlE0Jd_uploads_git_blob_9864c7f811c613c3faab876659c6423__25[[#This Row],[Hora de Salida]]</f>
        <v>45021.279861111114</v>
      </c>
      <c r="R386" s="9" cm="1">
        <f t="array" ref="R38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0.13958333333721384</v>
      </c>
      <c r="S386" s="9">
        <f>_xlfn.XLOOKUP(spaces_3iWczBNnn5rbfoUlE0Jd_uploads_git_blob_9864c7f811c613c3faab876659c6423__25[[#This Row],[Número de Orden]],Cocinadinamica!E387:E1155,Cocinadinamica!F387:F1155)/1440</f>
        <v>1.5277777777777777E-2</v>
      </c>
      <c r="T386" s="9" cm="1">
        <f t="array" ref="T38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0.12430555555943607</v>
      </c>
      <c r="U386" s="9" t="str" cm="1">
        <f t="array" ref="U38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7" spans="1:21" x14ac:dyDescent="0.35">
      <c r="A387" s="28" t="s">
        <v>121</v>
      </c>
      <c r="B387" s="13" t="s">
        <v>492</v>
      </c>
      <c r="C387" s="13">
        <v>2</v>
      </c>
      <c r="D387" s="14">
        <v>45021.022916666669</v>
      </c>
      <c r="E387" s="14">
        <v>45021.123611111114</v>
      </c>
      <c r="F387" s="13" t="s">
        <v>72</v>
      </c>
      <c r="G387" s="13" t="s">
        <v>86</v>
      </c>
      <c r="H387" s="13" t="s">
        <v>109</v>
      </c>
      <c r="I387" s="17">
        <v>28.96</v>
      </c>
      <c r="J387" s="13" t="s">
        <v>88</v>
      </c>
      <c r="K387" s="13">
        <v>386</v>
      </c>
      <c r="L387" s="13" t="s">
        <v>275</v>
      </c>
      <c r="M387" s="13" t="s">
        <v>25</v>
      </c>
      <c r="N387">
        <f>_xlfn.XLOOKUP(spaces_3iWczBNnn5rbfoUlE0Jd_uploads_git_blob_9864c7f811c613c3faab876659c6423__25[[#This Row],[Número de Orden]],Cocinadinamica!B388:B1156,Cocinadinamica!C388:C1156)</f>
        <v>39</v>
      </c>
      <c r="O387" s="7">
        <f>spaces_3iWczBNnn5rbfoUlE0Jd_uploads_git_blob_9864c7f811c613c3faab876659c6423__25[[#This Row],[Hora de Llegada]]</f>
        <v>45021.022916666669</v>
      </c>
      <c r="P387" s="9">
        <f>spaces_3iWczBNnn5rbfoUlE0Jd_uploads_git_blob_9864c7f811c613c3faab876659c6423__25[[#This Row],[Hora de Llegada]]</f>
        <v>45021.022916666669</v>
      </c>
      <c r="Q387" s="9">
        <f>spaces_3iWczBNnn5rbfoUlE0Jd_uploads_git_blob_9864c7f811c613c3faab876659c6423__25[[#This Row],[Hora de Salida]]</f>
        <v>45021.123611111114</v>
      </c>
      <c r="R387" s="9" cm="1">
        <f t="array" ref="R38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0.11111111110949423</v>
      </c>
      <c r="S387" s="9">
        <f>_xlfn.XLOOKUP(spaces_3iWczBNnn5rbfoUlE0Jd_uploads_git_blob_9864c7f811c613c3faab876659c6423__25[[#This Row],[Número de Orden]],Cocinadinamica!E388:E1156,Cocinadinamica!F388:F1156)/1440</f>
        <v>2.7777777777777776E-2</v>
      </c>
      <c r="T387" s="9" cm="1">
        <f t="array" ref="T38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8.3333333331716455E-2</v>
      </c>
      <c r="U387" s="9" t="str" cm="1">
        <f t="array" ref="U38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8" spans="1:21" x14ac:dyDescent="0.35">
      <c r="A388" s="27" t="s">
        <v>185</v>
      </c>
      <c r="B388" s="11" t="s">
        <v>493</v>
      </c>
      <c r="C388" s="11">
        <v>5</v>
      </c>
      <c r="D388" s="12">
        <v>45021.131249999999</v>
      </c>
      <c r="E388" s="12">
        <v>45021.256944444445</v>
      </c>
      <c r="F388" s="11" t="s">
        <v>85</v>
      </c>
      <c r="G388" s="11" t="s">
        <v>86</v>
      </c>
      <c r="H388" s="11" t="s">
        <v>87</v>
      </c>
      <c r="I388" s="16">
        <v>20.84</v>
      </c>
      <c r="J388" s="11" t="s">
        <v>88</v>
      </c>
      <c r="K388" s="11">
        <v>387</v>
      </c>
      <c r="L388" s="11" t="s">
        <v>275</v>
      </c>
      <c r="M388" s="11" t="s">
        <v>15</v>
      </c>
      <c r="N388">
        <f>_xlfn.XLOOKUP(spaces_3iWczBNnn5rbfoUlE0Jd_uploads_git_blob_9864c7f811c613c3faab876659c6423__25[[#This Row],[Número de Orden]],Cocinadinamica!B389:B1157,Cocinadinamica!C389:C1157)</f>
        <v>36</v>
      </c>
      <c r="O388" s="7">
        <f>spaces_3iWczBNnn5rbfoUlE0Jd_uploads_git_blob_9864c7f811c613c3faab876659c6423__25[[#This Row],[Hora de Llegada]]</f>
        <v>45021.131249999999</v>
      </c>
      <c r="P388" s="9">
        <f>spaces_3iWczBNnn5rbfoUlE0Jd_uploads_git_blob_9864c7f811c613c3faab876659c6423__25[[#This Row],[Hora de Llegada]]</f>
        <v>45021.131249999999</v>
      </c>
      <c r="Q388" s="9">
        <f>spaces_3iWczBNnn5rbfoUlE0Jd_uploads_git_blob_9864c7f811c613c3faab876659c6423__25[[#This Row],[Hora de Salida]]</f>
        <v>45021.256944444445</v>
      </c>
      <c r="R388" s="9" cm="1">
        <f t="array" ref="R38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0.13611111111094942</v>
      </c>
      <c r="S388" s="9">
        <f>_xlfn.XLOOKUP(spaces_3iWczBNnn5rbfoUlE0Jd_uploads_git_blob_9864c7f811c613c3faab876659c6423__25[[#This Row],[Número de Orden]],Cocinadinamica!E389:E1157,Cocinadinamica!F389:F1157)/1440</f>
        <v>1.2500000000000001E-2</v>
      </c>
      <c r="T388" s="9" cm="1">
        <f t="array" ref="T38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0.12361111111094943</v>
      </c>
      <c r="U388" s="9" t="str" cm="1">
        <f t="array" ref="U38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89" spans="1:21" x14ac:dyDescent="0.35">
      <c r="A389" s="28">
        <v>18</v>
      </c>
      <c r="B389" s="13" t="s">
        <v>272</v>
      </c>
      <c r="C389" s="13">
        <v>2</v>
      </c>
      <c r="D389" s="14">
        <v>45021.022916666669</v>
      </c>
      <c r="E389" s="14">
        <v>45021.149305555555</v>
      </c>
      <c r="F389" s="13" t="s">
        <v>100</v>
      </c>
      <c r="G389" s="13" t="s">
        <v>86</v>
      </c>
      <c r="H389" s="13" t="s">
        <v>74</v>
      </c>
      <c r="I389" s="17">
        <v>27.03</v>
      </c>
      <c r="J389" s="13" t="s">
        <v>75</v>
      </c>
      <c r="K389" s="13">
        <v>388</v>
      </c>
      <c r="L389" s="13" t="s">
        <v>181</v>
      </c>
      <c r="M389" s="13" t="s">
        <v>1539</v>
      </c>
      <c r="N389">
        <f>_xlfn.XLOOKUP(spaces_3iWczBNnn5rbfoUlE0Jd_uploads_git_blob_9864c7f811c613c3faab876659c6423__25[[#This Row],[Número de Orden]],Cocinadinamica!B390:B1158,Cocinadinamica!C390:C1158)</f>
        <v>115</v>
      </c>
      <c r="O389" s="7">
        <f>spaces_3iWczBNnn5rbfoUlE0Jd_uploads_git_blob_9864c7f811c613c3faab876659c6423__25[[#This Row],[Hora de Llegada]]</f>
        <v>45021.022916666669</v>
      </c>
      <c r="P389" s="9">
        <f>spaces_3iWczBNnn5rbfoUlE0Jd_uploads_git_blob_9864c7f811c613c3faab876659c6423__25[[#This Row],[Hora de Llegada]]</f>
        <v>45021.022916666669</v>
      </c>
      <c r="Q389" s="9">
        <f>spaces_3iWczBNnn5rbfoUlE0Jd_uploads_git_blob_9864c7f811c613c3faab876659c6423__25[[#This Row],[Hora de Salida]]</f>
        <v>45021.149305555555</v>
      </c>
      <c r="R389" s="9" cm="1">
        <f t="array" ref="R38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0.12638888888614019</v>
      </c>
      <c r="S389" s="9">
        <f>_xlfn.XLOOKUP(spaces_3iWczBNnn5rbfoUlE0Jd_uploads_git_blob_9864c7f811c613c3faab876659c6423__25[[#This Row],[Número de Orden]],Cocinadinamica!E390:E1158,Cocinadinamica!F390:F1158)/1440</f>
        <v>0.11874999999999999</v>
      </c>
      <c r="T389" s="9" cm="1">
        <f t="array" ref="T38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7.6388888861401993E-3</v>
      </c>
      <c r="U389" s="9" t="str" cm="1">
        <f t="array" ref="U38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0" spans="1:21" x14ac:dyDescent="0.35">
      <c r="A390" s="27" t="s">
        <v>177</v>
      </c>
      <c r="B390" s="11" t="s">
        <v>495</v>
      </c>
      <c r="C390" s="11">
        <v>5</v>
      </c>
      <c r="D390" s="12">
        <v>45021.001388888886</v>
      </c>
      <c r="E390" s="12">
        <v>45021.09375</v>
      </c>
      <c r="F390" s="11" t="s">
        <v>170</v>
      </c>
      <c r="G390" s="11" t="s">
        <v>86</v>
      </c>
      <c r="H390" s="11" t="s">
        <v>74</v>
      </c>
      <c r="I390" s="16">
        <v>39.14</v>
      </c>
      <c r="J390" s="11" t="s">
        <v>94</v>
      </c>
      <c r="K390" s="11">
        <v>389</v>
      </c>
      <c r="L390" s="11" t="s">
        <v>275</v>
      </c>
      <c r="M390" s="11" t="s">
        <v>25</v>
      </c>
      <c r="N390">
        <f>_xlfn.XLOOKUP(spaces_3iWczBNnn5rbfoUlE0Jd_uploads_git_blob_9864c7f811c613c3faab876659c6423__25[[#This Row],[Número de Orden]],Cocinadinamica!B391:B1159,Cocinadinamica!C391:C1159)</f>
        <v>13</v>
      </c>
      <c r="O390" s="7">
        <f>spaces_3iWczBNnn5rbfoUlE0Jd_uploads_git_blob_9864c7f811c613c3faab876659c6423__25[[#This Row],[Hora de Llegada]]</f>
        <v>45021.001388888886</v>
      </c>
      <c r="P390" s="9">
        <f>spaces_3iWczBNnn5rbfoUlE0Jd_uploads_git_blob_9864c7f811c613c3faab876659c6423__25[[#This Row],[Hora de Llegada]]</f>
        <v>45021.001388888886</v>
      </c>
      <c r="Q390" s="9">
        <f>spaces_3iWczBNnn5rbfoUlE0Jd_uploads_git_blob_9864c7f811c613c3faab876659c6423__25[[#This Row],[Hora de Salida]]</f>
        <v>45021.09375</v>
      </c>
      <c r="R390" s="9" cm="1">
        <f t="array" ref="R39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9.2361111113859806E-2</v>
      </c>
      <c r="S390" s="9">
        <f>_xlfn.XLOOKUP(spaces_3iWczBNnn5rbfoUlE0Jd_uploads_git_blob_9864c7f811c613c3faab876659c6423__25[[#This Row],[Número de Orden]],Cocinadinamica!E391:E1159,Cocinadinamica!F391:F1159)/1440</f>
        <v>1.6666666666666666E-2</v>
      </c>
      <c r="T390" s="9" cm="1">
        <f t="array" ref="T39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7.5694444447193143E-2</v>
      </c>
      <c r="U390" s="9" t="str" cm="1">
        <f t="array" ref="U39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1" spans="1:21" x14ac:dyDescent="0.35">
      <c r="A391" s="28">
        <v>9</v>
      </c>
      <c r="B391" s="13" t="s">
        <v>122</v>
      </c>
      <c r="C391" s="13">
        <v>2</v>
      </c>
      <c r="D391" s="14">
        <v>45021.124305555553</v>
      </c>
      <c r="E391" s="14">
        <v>45021.22152777778</v>
      </c>
      <c r="F391" s="13" t="s">
        <v>170</v>
      </c>
      <c r="G391" s="13" t="s">
        <v>86</v>
      </c>
      <c r="H391" s="13" t="s">
        <v>74</v>
      </c>
      <c r="I391" s="17">
        <v>42.68</v>
      </c>
      <c r="J391" s="13" t="s">
        <v>94</v>
      </c>
      <c r="K391" s="13">
        <v>390</v>
      </c>
      <c r="L391" s="13" t="s">
        <v>101</v>
      </c>
      <c r="M391" s="13" t="s">
        <v>1540</v>
      </c>
      <c r="N391">
        <f>_xlfn.XLOOKUP(spaces_3iWczBNnn5rbfoUlE0Jd_uploads_git_blob_9864c7f811c613c3faab876659c6423__25[[#This Row],[Número de Orden]],Cocinadinamica!B392:B1160,Cocinadinamica!C392:C1160)</f>
        <v>59</v>
      </c>
      <c r="O391" s="7">
        <f>spaces_3iWczBNnn5rbfoUlE0Jd_uploads_git_blob_9864c7f811c613c3faab876659c6423__25[[#This Row],[Hora de Llegada]]</f>
        <v>45021.124305555553</v>
      </c>
      <c r="P391" s="9">
        <f>spaces_3iWczBNnn5rbfoUlE0Jd_uploads_git_blob_9864c7f811c613c3faab876659c6423__25[[#This Row],[Hora de Llegada]]</f>
        <v>45021.124305555553</v>
      </c>
      <c r="Q391" s="9">
        <f>spaces_3iWczBNnn5rbfoUlE0Jd_uploads_git_blob_9864c7f811c613c3faab876659c6423__25[[#This Row],[Hora de Salida]]</f>
        <v>45021.22152777778</v>
      </c>
      <c r="R391" s="9" cm="1">
        <f t="array" ref="R39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9.7222222226264421E-2</v>
      </c>
      <c r="S391" s="9">
        <f>_xlfn.XLOOKUP(spaces_3iWczBNnn5rbfoUlE0Jd_uploads_git_blob_9864c7f811c613c3faab876659c6423__25[[#This Row],[Número de Orden]],Cocinadinamica!E392:E1160,Cocinadinamica!F392:F1160)/1440</f>
        <v>6.458333333333334E-2</v>
      </c>
      <c r="T391" s="9" cm="1">
        <f t="array" ref="T39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3.2638888892931081E-2</v>
      </c>
      <c r="U391" s="9" t="str" cm="1">
        <f t="array" ref="U39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2" spans="1:21" x14ac:dyDescent="0.35">
      <c r="A392" s="27" t="s">
        <v>125</v>
      </c>
      <c r="B392" s="11" t="s">
        <v>497</v>
      </c>
      <c r="C392" s="11">
        <v>1</v>
      </c>
      <c r="D392" s="12">
        <v>45021.086805555555</v>
      </c>
      <c r="E392" s="12">
        <v>45021.17291666667</v>
      </c>
      <c r="F392" s="11" t="s">
        <v>170</v>
      </c>
      <c r="G392" s="11" t="s">
        <v>86</v>
      </c>
      <c r="H392" s="11" t="s">
        <v>74</v>
      </c>
      <c r="I392" s="16">
        <v>4.8600000000000003</v>
      </c>
      <c r="J392" s="11" t="s">
        <v>94</v>
      </c>
      <c r="K392" s="11">
        <v>391</v>
      </c>
      <c r="L392" s="11" t="s">
        <v>187</v>
      </c>
      <c r="M392" s="11" t="s">
        <v>35</v>
      </c>
      <c r="N392">
        <f>_xlfn.XLOOKUP(spaces_3iWczBNnn5rbfoUlE0Jd_uploads_git_blob_9864c7f811c613c3faab876659c6423__25[[#This Row],[Número de Orden]],Cocinadinamica!B393:B1161,Cocinadinamica!C393:C1161)</f>
        <v>9</v>
      </c>
      <c r="O392" s="7">
        <f>spaces_3iWczBNnn5rbfoUlE0Jd_uploads_git_blob_9864c7f811c613c3faab876659c6423__25[[#This Row],[Hora de Llegada]]</f>
        <v>45021.086805555555</v>
      </c>
      <c r="P392" s="9">
        <f>spaces_3iWczBNnn5rbfoUlE0Jd_uploads_git_blob_9864c7f811c613c3faab876659c6423__25[[#This Row],[Hora de Llegada]]</f>
        <v>45021.086805555555</v>
      </c>
      <c r="Q392" s="9">
        <f>spaces_3iWczBNnn5rbfoUlE0Jd_uploads_git_blob_9864c7f811c613c3faab876659c6423__25[[#This Row],[Hora de Salida]]</f>
        <v>45021.17291666667</v>
      </c>
      <c r="R392" s="9" cm="1">
        <f t="array" ref="R39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8.6111111115314998E-2</v>
      </c>
      <c r="S392" s="9">
        <f>_xlfn.XLOOKUP(spaces_3iWczBNnn5rbfoUlE0Jd_uploads_git_blob_9864c7f811c613c3faab876659c6423__25[[#This Row],[Número de Orden]],Cocinadinamica!E393:E1161,Cocinadinamica!F393:F1161)/1440</f>
        <v>2.4305555555555556E-2</v>
      </c>
      <c r="T392" s="9" cm="1">
        <f t="array" ref="T39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6.1805555559759445E-2</v>
      </c>
      <c r="U392" s="9" t="str" cm="1">
        <f t="array" ref="U39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3" spans="1:21" x14ac:dyDescent="0.35">
      <c r="A393" s="28">
        <v>14</v>
      </c>
      <c r="B393" s="13" t="s">
        <v>1074</v>
      </c>
      <c r="C393" s="13">
        <v>3</v>
      </c>
      <c r="D393" s="14">
        <v>45021.022916666669</v>
      </c>
      <c r="E393" s="14">
        <v>45021.172222222223</v>
      </c>
      <c r="F393" s="13" t="s">
        <v>100</v>
      </c>
      <c r="G393" s="13" t="s">
        <v>86</v>
      </c>
      <c r="H393" s="13" t="s">
        <v>74</v>
      </c>
      <c r="I393" s="17">
        <v>32.729999999999997</v>
      </c>
      <c r="J393" s="13" t="s">
        <v>88</v>
      </c>
      <c r="K393" s="13">
        <v>392</v>
      </c>
      <c r="L393" s="13" t="s">
        <v>95</v>
      </c>
      <c r="M393" s="13" t="s">
        <v>1396</v>
      </c>
      <c r="N393">
        <f>_xlfn.XLOOKUP(spaces_3iWczBNnn5rbfoUlE0Jd_uploads_git_blob_9864c7f811c613c3faab876659c6423__25[[#This Row],[Número de Orden]],Cocinadinamica!B394:B1162,Cocinadinamica!C394:C1162)</f>
        <v>49</v>
      </c>
      <c r="O393" s="7">
        <f>spaces_3iWczBNnn5rbfoUlE0Jd_uploads_git_blob_9864c7f811c613c3faab876659c6423__25[[#This Row],[Hora de Llegada]]</f>
        <v>45021.022916666669</v>
      </c>
      <c r="P393" s="9">
        <f>spaces_3iWczBNnn5rbfoUlE0Jd_uploads_git_blob_9864c7f811c613c3faab876659c6423__25[[#This Row],[Hora de Llegada]]</f>
        <v>45021.022916666669</v>
      </c>
      <c r="Q393" s="9">
        <f>spaces_3iWczBNnn5rbfoUlE0Jd_uploads_git_blob_9864c7f811c613c3faab876659c6423__25[[#This Row],[Hora de Salida]]</f>
        <v>45021.172222222223</v>
      </c>
      <c r="R393" s="9" cm="1">
        <f t="array" ref="R39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0.15972222221898846</v>
      </c>
      <c r="S393" s="9">
        <f>_xlfn.XLOOKUP(spaces_3iWczBNnn5rbfoUlE0Jd_uploads_git_blob_9864c7f811c613c3faab876659c6423__25[[#This Row],[Número de Orden]],Cocinadinamica!E394:E1162,Cocinadinamica!F394:F1162)/1440</f>
        <v>3.7499999999999999E-2</v>
      </c>
      <c r="T393" s="9" cm="1">
        <f t="array" ref="T39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0.12222222221898846</v>
      </c>
      <c r="U393" s="9" t="str" cm="1">
        <f t="array" ref="U39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4" spans="1:21" x14ac:dyDescent="0.35">
      <c r="A394" s="27">
        <v>13</v>
      </c>
      <c r="B394" s="11" t="s">
        <v>1075</v>
      </c>
      <c r="C394" s="11">
        <v>3</v>
      </c>
      <c r="D394" s="12">
        <v>45021.106249999997</v>
      </c>
      <c r="E394" s="12">
        <v>45021.220138888886</v>
      </c>
      <c r="F394" s="11" t="s">
        <v>72</v>
      </c>
      <c r="G394" s="11" t="s">
        <v>86</v>
      </c>
      <c r="H394" s="11" t="s">
        <v>74</v>
      </c>
      <c r="I394" s="16">
        <v>12.54</v>
      </c>
      <c r="J394" s="11" t="s">
        <v>88</v>
      </c>
      <c r="K394" s="11">
        <v>393</v>
      </c>
      <c r="L394" s="11" t="s">
        <v>110</v>
      </c>
      <c r="M394" s="11" t="s">
        <v>1541</v>
      </c>
      <c r="N394">
        <f>_xlfn.XLOOKUP(spaces_3iWczBNnn5rbfoUlE0Jd_uploads_git_blob_9864c7f811c613c3faab876659c6423__25[[#This Row],[Número de Orden]],Cocinadinamica!B395:B1163,Cocinadinamica!C395:C1163)</f>
        <v>84</v>
      </c>
      <c r="O394" s="7">
        <f>spaces_3iWczBNnn5rbfoUlE0Jd_uploads_git_blob_9864c7f811c613c3faab876659c6423__25[[#This Row],[Hora de Llegada]]</f>
        <v>45021.106249999997</v>
      </c>
      <c r="P394" s="9">
        <f>spaces_3iWczBNnn5rbfoUlE0Jd_uploads_git_blob_9864c7f811c613c3faab876659c6423__25[[#This Row],[Hora de Llegada]]</f>
        <v>45021.106249999997</v>
      </c>
      <c r="Q394" s="9">
        <f>spaces_3iWczBNnn5rbfoUlE0Jd_uploads_git_blob_9864c7f811c613c3faab876659c6423__25[[#This Row],[Hora de Salida]]</f>
        <v>45021.220138888886</v>
      </c>
      <c r="R394" s="9" cm="1">
        <f t="array" ref="R39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0.12430555555329192</v>
      </c>
      <c r="S394" s="9">
        <f>_xlfn.XLOOKUP(spaces_3iWczBNnn5rbfoUlE0Jd_uploads_git_blob_9864c7f811c613c3faab876659c6423__25[[#This Row],[Número de Orden]],Cocinadinamica!E395:E1163,Cocinadinamica!F395:F1163)/1440</f>
        <v>7.5694444444444439E-2</v>
      </c>
      <c r="T394" s="9" cm="1">
        <f t="array" ref="T39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4.8611111108847485E-2</v>
      </c>
      <c r="U394" s="9" t="str" cm="1">
        <f t="array" ref="U39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5" spans="1:21" x14ac:dyDescent="0.35">
      <c r="A395" s="28">
        <v>17</v>
      </c>
      <c r="B395" s="13" t="s">
        <v>624</v>
      </c>
      <c r="C395" s="13">
        <v>1</v>
      </c>
      <c r="D395" s="14">
        <v>45021.143055555556</v>
      </c>
      <c r="E395" s="14">
        <v>45021.293055555558</v>
      </c>
      <c r="F395" s="13" t="s">
        <v>170</v>
      </c>
      <c r="G395" s="13" t="s">
        <v>86</v>
      </c>
      <c r="H395" s="13" t="s">
        <v>74</v>
      </c>
      <c r="I395" s="17">
        <v>18.05</v>
      </c>
      <c r="J395" s="13" t="s">
        <v>88</v>
      </c>
      <c r="K395" s="13">
        <v>394</v>
      </c>
      <c r="L395" s="13" t="s">
        <v>89</v>
      </c>
      <c r="M395" s="13" t="s">
        <v>1490</v>
      </c>
      <c r="N395">
        <f>_xlfn.XLOOKUP(spaces_3iWczBNnn5rbfoUlE0Jd_uploads_git_blob_9864c7f811c613c3faab876659c6423__25[[#This Row],[Número de Orden]],Cocinadinamica!B396:B1164,Cocinadinamica!C396:C1164)</f>
        <v>32</v>
      </c>
      <c r="O395" s="7">
        <f>spaces_3iWczBNnn5rbfoUlE0Jd_uploads_git_blob_9864c7f811c613c3faab876659c6423__25[[#This Row],[Hora de Llegada]]</f>
        <v>45021.143055555556</v>
      </c>
      <c r="P395" s="9">
        <f>spaces_3iWczBNnn5rbfoUlE0Jd_uploads_git_blob_9864c7f811c613c3faab876659c6423__25[[#This Row],[Hora de Llegada]]</f>
        <v>45021.143055555556</v>
      </c>
      <c r="Q395" s="9">
        <f>spaces_3iWczBNnn5rbfoUlE0Jd_uploads_git_blob_9864c7f811c613c3faab876659c6423__25[[#This Row],[Hora de Salida]]</f>
        <v>45021.293055555558</v>
      </c>
      <c r="R395" s="9" cm="1">
        <f t="array" ref="R39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0.16041666666569654</v>
      </c>
      <c r="S395" s="9">
        <f>_xlfn.XLOOKUP(spaces_3iWczBNnn5rbfoUlE0Jd_uploads_git_blob_9864c7f811c613c3faab876659c6423__25[[#This Row],[Número de Orden]],Cocinadinamica!E396:E1164,Cocinadinamica!F396:F1164)/1440</f>
        <v>3.2638888888888891E-2</v>
      </c>
      <c r="T395" s="9" cm="1">
        <f t="array" ref="T39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0.12777777777680766</v>
      </c>
      <c r="U395" s="9" t="str" cm="1">
        <f t="array" ref="U39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6" spans="1:21" x14ac:dyDescent="0.35">
      <c r="A396" s="27" t="s">
        <v>83</v>
      </c>
      <c r="B396" s="11" t="s">
        <v>501</v>
      </c>
      <c r="C396" s="11">
        <v>1</v>
      </c>
      <c r="D396" s="12">
        <v>45021.067361111112</v>
      </c>
      <c r="E396" s="12">
        <v>45021.231944444444</v>
      </c>
      <c r="F396" s="11" t="s">
        <v>100</v>
      </c>
      <c r="G396" s="11" t="s">
        <v>86</v>
      </c>
      <c r="H396" s="11" t="s">
        <v>109</v>
      </c>
      <c r="I396" s="16">
        <v>4.09</v>
      </c>
      <c r="J396" s="11" t="s">
        <v>75</v>
      </c>
      <c r="K396" s="11">
        <v>395</v>
      </c>
      <c r="L396" s="11" t="s">
        <v>187</v>
      </c>
      <c r="M396" s="11" t="s">
        <v>29</v>
      </c>
      <c r="N396">
        <f>_xlfn.XLOOKUP(spaces_3iWczBNnn5rbfoUlE0Jd_uploads_git_blob_9864c7f811c613c3faab876659c6423__25[[#This Row],[Número de Orden]],Cocinadinamica!B397:B1165,Cocinadinamica!C397:C1165)</f>
        <v>16</v>
      </c>
      <c r="O396" s="7">
        <f>spaces_3iWczBNnn5rbfoUlE0Jd_uploads_git_blob_9864c7f811c613c3faab876659c6423__25[[#This Row],[Hora de Llegada]]</f>
        <v>45021.067361111112</v>
      </c>
      <c r="P396" s="9">
        <f>spaces_3iWczBNnn5rbfoUlE0Jd_uploads_git_blob_9864c7f811c613c3faab876659c6423__25[[#This Row],[Hora de Llegada]]</f>
        <v>45021.067361111112</v>
      </c>
      <c r="Q396" s="9">
        <f>spaces_3iWczBNnn5rbfoUlE0Jd_uploads_git_blob_9864c7f811c613c3faab876659c6423__25[[#This Row],[Hora de Salida]]</f>
        <v>45021.231944444444</v>
      </c>
      <c r="R396" s="9" cm="1">
        <f t="array" ref="R39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0.16458333333139308</v>
      </c>
      <c r="S396" s="9">
        <f>_xlfn.XLOOKUP(spaces_3iWczBNnn5rbfoUlE0Jd_uploads_git_blob_9864c7f811c613c3faab876659c6423__25[[#This Row],[Número de Orden]],Cocinadinamica!E397:E1165,Cocinadinamica!F397:F1165)/1440</f>
        <v>5.5555555555555558E-3</v>
      </c>
      <c r="T396" s="9" cm="1">
        <f t="array" ref="T39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0.15902777777583751</v>
      </c>
      <c r="U396" s="9" t="str" cm="1">
        <f t="array" ref="U39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7" spans="1:21" x14ac:dyDescent="0.35">
      <c r="A397" s="28">
        <v>11</v>
      </c>
      <c r="B397" s="13" t="s">
        <v>1076</v>
      </c>
      <c r="C397" s="13">
        <v>1</v>
      </c>
      <c r="D397" s="14">
        <v>45021.022222222222</v>
      </c>
      <c r="E397" s="14">
        <v>45021.15</v>
      </c>
      <c r="F397" s="13" t="s">
        <v>100</v>
      </c>
      <c r="G397" s="13" t="s">
        <v>73</v>
      </c>
      <c r="H397" s="13" t="s">
        <v>87</v>
      </c>
      <c r="I397" s="17">
        <v>34.5</v>
      </c>
      <c r="J397" s="13" t="s">
        <v>75</v>
      </c>
      <c r="K397" s="13">
        <v>396</v>
      </c>
      <c r="L397" s="13" t="s">
        <v>76</v>
      </c>
      <c r="M397" s="13" t="s">
        <v>1542</v>
      </c>
      <c r="N397">
        <f>_xlfn.XLOOKUP(spaces_3iWczBNnn5rbfoUlE0Jd_uploads_git_blob_9864c7f811c613c3faab876659c6423__25[[#This Row],[Número de Orden]],Cocinadinamica!B398:B1166,Cocinadinamica!C398:C1166)</f>
        <v>32</v>
      </c>
      <c r="O397" s="7">
        <f>spaces_3iWczBNnn5rbfoUlE0Jd_uploads_git_blob_9864c7f811c613c3faab876659c6423__25[[#This Row],[Hora de Llegada]]</f>
        <v>45021.022222222222</v>
      </c>
      <c r="P397" s="9">
        <f>spaces_3iWczBNnn5rbfoUlE0Jd_uploads_git_blob_9864c7f811c613c3faab876659c6423__25[[#This Row],[Hora de Llegada]]</f>
        <v>45021.022222222222</v>
      </c>
      <c r="Q397" s="9">
        <f>spaces_3iWczBNnn5rbfoUlE0Jd_uploads_git_blob_9864c7f811c613c3faab876659c6423__25[[#This Row],[Hora de Salida]]</f>
        <v>45021.15</v>
      </c>
      <c r="R397" s="9" cm="1">
        <f t="array" ref="R39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0.12777777777955635</v>
      </c>
      <c r="S397" s="9">
        <f>_xlfn.XLOOKUP(spaces_3iWczBNnn5rbfoUlE0Jd_uploads_git_blob_9864c7f811c613c3faab876659c6423__25[[#This Row],[Número de Orden]],Cocinadinamica!E398:E1166,Cocinadinamica!F398:F1166)/1440</f>
        <v>3.9583333333333331E-2</v>
      </c>
      <c r="T397" s="9" cm="1">
        <f t="array" ref="T39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8.8194444446223014E-2</v>
      </c>
      <c r="U397" s="9" t="str" cm="1">
        <f t="array" ref="U39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8" spans="1:21" x14ac:dyDescent="0.35">
      <c r="A398" s="27">
        <v>4</v>
      </c>
      <c r="B398" s="11" t="s">
        <v>453</v>
      </c>
      <c r="C398" s="11">
        <v>2</v>
      </c>
      <c r="D398" s="12">
        <v>45021.013888888891</v>
      </c>
      <c r="E398" s="12">
        <v>45021.06527777778</v>
      </c>
      <c r="F398" s="11" t="s">
        <v>72</v>
      </c>
      <c r="G398" s="11" t="s">
        <v>163</v>
      </c>
      <c r="H398" s="11" t="s">
        <v>109</v>
      </c>
      <c r="I398" s="16">
        <v>37.79</v>
      </c>
      <c r="J398" s="11" t="s">
        <v>75</v>
      </c>
      <c r="K398" s="11">
        <v>397</v>
      </c>
      <c r="L398" s="11" t="s">
        <v>101</v>
      </c>
      <c r="M398" s="11" t="s">
        <v>1543</v>
      </c>
      <c r="N398">
        <f>_xlfn.XLOOKUP(spaces_3iWczBNnn5rbfoUlE0Jd_uploads_git_blob_9864c7f811c613c3faab876659c6423__25[[#This Row],[Número de Orden]],Cocinadinamica!B399:B1167,Cocinadinamica!C399:C1167)</f>
        <v>58</v>
      </c>
      <c r="O398" s="7">
        <f>spaces_3iWczBNnn5rbfoUlE0Jd_uploads_git_blob_9864c7f811c613c3faab876659c6423__25[[#This Row],[Hora de Llegada]]</f>
        <v>45021.013888888891</v>
      </c>
      <c r="P398" s="9">
        <f>spaces_3iWczBNnn5rbfoUlE0Jd_uploads_git_blob_9864c7f811c613c3faab876659c6423__25[[#This Row],[Hora de Llegada]]</f>
        <v>45021.013888888891</v>
      </c>
      <c r="Q398" s="9">
        <f>spaces_3iWczBNnn5rbfoUlE0Jd_uploads_git_blob_9864c7f811c613c3faab876659c6423__25[[#This Row],[Hora de Salida]]</f>
        <v>45021.06527777778</v>
      </c>
      <c r="R398" s="9" cm="1">
        <f t="array" ref="R39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5.1388888889050577E-2</v>
      </c>
      <c r="S398" s="9">
        <f>_xlfn.XLOOKUP(spaces_3iWczBNnn5rbfoUlE0Jd_uploads_git_blob_9864c7f811c613c3faab876659c6423__25[[#This Row],[Número de Orden]],Cocinadinamica!E399:E1167,Cocinadinamica!F399:F1167)/1440</f>
        <v>4.791666666666667E-2</v>
      </c>
      <c r="T398" s="9" cm="1">
        <f t="array" ref="T39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3.4722222223839069E-3</v>
      </c>
      <c r="U398" s="9" t="str" cm="1">
        <f t="array" ref="U39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399" spans="1:21" x14ac:dyDescent="0.35">
      <c r="A399" s="28">
        <v>9</v>
      </c>
      <c r="B399" s="13" t="s">
        <v>1077</v>
      </c>
      <c r="C399" s="13">
        <v>5</v>
      </c>
      <c r="D399" s="14">
        <v>45021.131944444445</v>
      </c>
      <c r="E399" s="14">
        <v>45021.295138888891</v>
      </c>
      <c r="F399" s="13" t="s">
        <v>223</v>
      </c>
      <c r="G399" s="13" t="s">
        <v>163</v>
      </c>
      <c r="H399" s="13" t="s">
        <v>74</v>
      </c>
      <c r="I399" s="17">
        <v>48.96</v>
      </c>
      <c r="J399" s="13" t="s">
        <v>75</v>
      </c>
      <c r="K399" s="13">
        <v>398</v>
      </c>
      <c r="L399" s="13" t="s">
        <v>76</v>
      </c>
      <c r="M399" s="13" t="s">
        <v>1544</v>
      </c>
      <c r="N399">
        <f>_xlfn.XLOOKUP(spaces_3iWczBNnn5rbfoUlE0Jd_uploads_git_blob_9864c7f811c613c3faab876659c6423__25[[#This Row],[Número de Orden]],Cocinadinamica!B400:B1168,Cocinadinamica!C400:C1168)</f>
        <v>50</v>
      </c>
      <c r="O399" s="7">
        <f>spaces_3iWczBNnn5rbfoUlE0Jd_uploads_git_blob_9864c7f811c613c3faab876659c6423__25[[#This Row],[Hora de Llegada]]</f>
        <v>45021.131944444445</v>
      </c>
      <c r="P399" s="9">
        <f>spaces_3iWczBNnn5rbfoUlE0Jd_uploads_git_blob_9864c7f811c613c3faab876659c6423__25[[#This Row],[Hora de Llegada]]</f>
        <v>45021.131944444445</v>
      </c>
      <c r="Q399" s="9">
        <f>spaces_3iWczBNnn5rbfoUlE0Jd_uploads_git_blob_9864c7f811c613c3faab876659c6423__25[[#This Row],[Hora de Salida]]</f>
        <v>45021.295138888891</v>
      </c>
      <c r="R399" s="9" cm="1">
        <f t="array" ref="R39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0.16319444444525288</v>
      </c>
      <c r="S399" s="9">
        <f>_xlfn.XLOOKUP(spaces_3iWczBNnn5rbfoUlE0Jd_uploads_git_blob_9864c7f811c613c3faab876659c6423__25[[#This Row],[Número de Orden]],Cocinadinamica!E400:E1168,Cocinadinamica!F400:F1168)/1440</f>
        <v>4.9305555555555554E-2</v>
      </c>
      <c r="T399" s="9" cm="1">
        <f t="array" ref="T39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0.11388888888969734</v>
      </c>
      <c r="U399" s="9" t="str" cm="1">
        <f t="array" ref="U39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0" spans="1:21" x14ac:dyDescent="0.35">
      <c r="A400" s="27">
        <v>7</v>
      </c>
      <c r="B400" s="11" t="s">
        <v>1078</v>
      </c>
      <c r="C400" s="11">
        <v>6</v>
      </c>
      <c r="D400" s="12">
        <v>45021.116666666669</v>
      </c>
      <c r="E400" s="12">
        <v>45021.236111111109</v>
      </c>
      <c r="F400" s="11" t="s">
        <v>85</v>
      </c>
      <c r="G400" s="11" t="s">
        <v>86</v>
      </c>
      <c r="H400" s="11" t="s">
        <v>74</v>
      </c>
      <c r="I400" s="16">
        <v>27.32</v>
      </c>
      <c r="J400" s="11" t="s">
        <v>75</v>
      </c>
      <c r="K400" s="11">
        <v>399</v>
      </c>
      <c r="L400" s="11" t="s">
        <v>181</v>
      </c>
      <c r="M400" s="11" t="s">
        <v>1545</v>
      </c>
      <c r="N400">
        <f>_xlfn.XLOOKUP(spaces_3iWczBNnn5rbfoUlE0Jd_uploads_git_blob_9864c7f811c613c3faab876659c6423__25[[#This Row],[Número de Orden]],Cocinadinamica!B401:B1169,Cocinadinamica!C401:C1169)</f>
        <v>81</v>
      </c>
      <c r="O400" s="7">
        <f>spaces_3iWczBNnn5rbfoUlE0Jd_uploads_git_blob_9864c7f811c613c3faab876659c6423__25[[#This Row],[Hora de Llegada]]</f>
        <v>45021.116666666669</v>
      </c>
      <c r="P400" s="9">
        <f>spaces_3iWczBNnn5rbfoUlE0Jd_uploads_git_blob_9864c7f811c613c3faab876659c6423__25[[#This Row],[Hora de Llegada]]</f>
        <v>45021.116666666669</v>
      </c>
      <c r="Q400" s="9">
        <f>spaces_3iWczBNnn5rbfoUlE0Jd_uploads_git_blob_9864c7f811c613c3faab876659c6423__25[[#This Row],[Hora de Salida]]</f>
        <v>45021.236111111109</v>
      </c>
      <c r="R400" s="9" cm="1">
        <f t="array" ref="R40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0.11944444444088731</v>
      </c>
      <c r="S400" s="9">
        <f>_xlfn.XLOOKUP(spaces_3iWczBNnn5rbfoUlE0Jd_uploads_git_blob_9864c7f811c613c3faab876659c6423__25[[#This Row],[Número de Orden]],Cocinadinamica!E401:E1169,Cocinadinamica!F401:F1169)/1440</f>
        <v>6.3194444444444442E-2</v>
      </c>
      <c r="T400" s="9" cm="1">
        <f t="array" ref="T40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5.6249999996442868E-2</v>
      </c>
      <c r="U400" s="9" t="str" cm="1">
        <f t="array" ref="U40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1" spans="1:21" x14ac:dyDescent="0.35">
      <c r="A401" s="28">
        <v>9</v>
      </c>
      <c r="B401" s="13" t="s">
        <v>1079</v>
      </c>
      <c r="C401" s="13">
        <v>4</v>
      </c>
      <c r="D401" s="14">
        <v>45021.09097222222</v>
      </c>
      <c r="E401" s="14">
        <v>45021.176388888889</v>
      </c>
      <c r="F401" s="13" t="s">
        <v>72</v>
      </c>
      <c r="G401" s="13" t="s">
        <v>86</v>
      </c>
      <c r="H401" s="13" t="s">
        <v>74</v>
      </c>
      <c r="I401" s="17">
        <v>42.96</v>
      </c>
      <c r="J401" s="13" t="s">
        <v>94</v>
      </c>
      <c r="K401" s="13">
        <v>400</v>
      </c>
      <c r="L401" s="13" t="s">
        <v>89</v>
      </c>
      <c r="M401" s="13" t="s">
        <v>1546</v>
      </c>
      <c r="N401">
        <f>_xlfn.XLOOKUP(spaces_3iWczBNnn5rbfoUlE0Jd_uploads_git_blob_9864c7f811c613c3faab876659c6423__25[[#This Row],[Número de Orden]],Cocinadinamica!B402:B1170,Cocinadinamica!C402:C1170)</f>
        <v>78</v>
      </c>
      <c r="O401" s="7">
        <f>spaces_3iWczBNnn5rbfoUlE0Jd_uploads_git_blob_9864c7f811c613c3faab876659c6423__25[[#This Row],[Hora de Llegada]]</f>
        <v>45021.09097222222</v>
      </c>
      <c r="P401" s="9">
        <f>spaces_3iWczBNnn5rbfoUlE0Jd_uploads_git_blob_9864c7f811c613c3faab876659c6423__25[[#This Row],[Hora de Llegada]]</f>
        <v>45021.09097222222</v>
      </c>
      <c r="Q401" s="9">
        <f>spaces_3iWczBNnn5rbfoUlE0Jd_uploads_git_blob_9864c7f811c613c3faab876659c6423__25[[#This Row],[Hora de Salida]]</f>
        <v>45021.176388888889</v>
      </c>
      <c r="R401" s="9" cm="1">
        <f t="array" ref="R40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8.5416666668606922E-2</v>
      </c>
      <c r="S401" s="9">
        <f>_xlfn.XLOOKUP(spaces_3iWczBNnn5rbfoUlE0Jd_uploads_git_blob_9864c7f811c613c3faab876659c6423__25[[#This Row],[Número de Orden]],Cocinadinamica!E402:E1170,Cocinadinamica!F402:F1170)/1440</f>
        <v>5.486111111111111E-2</v>
      </c>
      <c r="T401" s="9" cm="1">
        <f t="array" ref="T40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3.0555555557495812E-2</v>
      </c>
      <c r="U401" s="9" t="str" cm="1">
        <f t="array" ref="U40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2" spans="1:21" x14ac:dyDescent="0.35">
      <c r="A402" s="27" t="s">
        <v>224</v>
      </c>
      <c r="B402" s="11" t="s">
        <v>507</v>
      </c>
      <c r="C402" s="11">
        <v>2</v>
      </c>
      <c r="D402" s="12">
        <v>45021.160416666666</v>
      </c>
      <c r="E402" s="12">
        <v>45021.289583333331</v>
      </c>
      <c r="F402" s="11" t="s">
        <v>100</v>
      </c>
      <c r="G402" s="11" t="s">
        <v>86</v>
      </c>
      <c r="H402" s="11" t="s">
        <v>74</v>
      </c>
      <c r="I402" s="16">
        <v>15.87</v>
      </c>
      <c r="J402" s="11" t="s">
        <v>88</v>
      </c>
      <c r="K402" s="11">
        <v>401</v>
      </c>
      <c r="L402" s="11" t="s">
        <v>221</v>
      </c>
      <c r="M402" s="11" t="s">
        <v>43</v>
      </c>
      <c r="N402">
        <f>_xlfn.XLOOKUP(spaces_3iWczBNnn5rbfoUlE0Jd_uploads_git_blob_9864c7f811c613c3faab876659c6423__25[[#This Row],[Número de Orden]],Cocinadinamica!B403:B1171,Cocinadinamica!C403:C1171)</f>
        <v>16</v>
      </c>
      <c r="O402" s="7">
        <f>spaces_3iWczBNnn5rbfoUlE0Jd_uploads_git_blob_9864c7f811c613c3faab876659c6423__25[[#This Row],[Hora de Llegada]]</f>
        <v>45021.160416666666</v>
      </c>
      <c r="P402" s="9">
        <f>spaces_3iWczBNnn5rbfoUlE0Jd_uploads_git_blob_9864c7f811c613c3faab876659c6423__25[[#This Row],[Hora de Llegada]]</f>
        <v>45021.160416666666</v>
      </c>
      <c r="Q402" s="9">
        <f>spaces_3iWczBNnn5rbfoUlE0Jd_uploads_git_blob_9864c7f811c613c3faab876659c6423__25[[#This Row],[Hora de Salida]]</f>
        <v>45021.289583333331</v>
      </c>
      <c r="R402" s="9" cm="1">
        <f t="array" ref="R40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0.13958333332993789</v>
      </c>
      <c r="S402" s="9">
        <f>_xlfn.XLOOKUP(spaces_3iWczBNnn5rbfoUlE0Jd_uploads_git_blob_9864c7f811c613c3faab876659c6423__25[[#This Row],[Número de Orden]],Cocinadinamica!E403:E1171,Cocinadinamica!F403:F1171)/1440</f>
        <v>1.3888888888888888E-2</v>
      </c>
      <c r="T402" s="9" cm="1">
        <f t="array" ref="T40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0.12569444444104899</v>
      </c>
      <c r="U402" s="9" t="str" cm="1">
        <f t="array" ref="U40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3" spans="1:21" x14ac:dyDescent="0.35">
      <c r="A403" s="28">
        <v>18</v>
      </c>
      <c r="B403" s="13" t="s">
        <v>1080</v>
      </c>
      <c r="C403" s="13">
        <v>1</v>
      </c>
      <c r="D403" s="14">
        <v>45021.111805555556</v>
      </c>
      <c r="E403" s="14">
        <v>45021.213888888888</v>
      </c>
      <c r="F403" s="13" t="s">
        <v>170</v>
      </c>
      <c r="G403" s="13" t="s">
        <v>86</v>
      </c>
      <c r="H403" s="13" t="s">
        <v>74</v>
      </c>
      <c r="I403" s="17">
        <v>31.02</v>
      </c>
      <c r="J403" s="13" t="s">
        <v>94</v>
      </c>
      <c r="K403" s="13">
        <v>402</v>
      </c>
      <c r="L403" s="13" t="s">
        <v>110</v>
      </c>
      <c r="M403" s="13" t="s">
        <v>1547</v>
      </c>
      <c r="N403">
        <f>_xlfn.XLOOKUP(spaces_3iWczBNnn5rbfoUlE0Jd_uploads_git_blob_9864c7f811c613c3faab876659c6423__25[[#This Row],[Número de Orden]],Cocinadinamica!B404:B1172,Cocinadinamica!C404:C1172)</f>
        <v>62</v>
      </c>
      <c r="O403" s="7">
        <f>spaces_3iWczBNnn5rbfoUlE0Jd_uploads_git_blob_9864c7f811c613c3faab876659c6423__25[[#This Row],[Hora de Llegada]]</f>
        <v>45021.111805555556</v>
      </c>
      <c r="P403" s="9">
        <f>spaces_3iWczBNnn5rbfoUlE0Jd_uploads_git_blob_9864c7f811c613c3faab876659c6423__25[[#This Row],[Hora de Llegada]]</f>
        <v>45021.111805555556</v>
      </c>
      <c r="Q403" s="9">
        <f>spaces_3iWczBNnn5rbfoUlE0Jd_uploads_git_blob_9864c7f811c613c3faab876659c6423__25[[#This Row],[Hora de Salida]]</f>
        <v>45021.213888888888</v>
      </c>
      <c r="R403" s="9" cm="1">
        <f t="array" ref="R40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403" s="9">
        <f>_xlfn.XLOOKUP(spaces_3iWczBNnn5rbfoUlE0Jd_uploads_git_blob_9864c7f811c613c3faab876659c6423__25[[#This Row],[Número de Orden]],Cocinadinamica!E404:E1172,Cocinadinamica!F404:F1172)/1440</f>
        <v>4.583333333333333E-2</v>
      </c>
      <c r="T403" s="9" cm="1">
        <f t="array" ref="T40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5.6249999998059748E-2</v>
      </c>
      <c r="U403" s="9" t="str" cm="1">
        <f t="array" ref="U40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4" spans="1:21" x14ac:dyDescent="0.35">
      <c r="A404" s="27">
        <v>14</v>
      </c>
      <c r="B404" s="11" t="s">
        <v>1081</v>
      </c>
      <c r="C404" s="11">
        <v>5</v>
      </c>
      <c r="D404" s="12">
        <v>45021.09375</v>
      </c>
      <c r="E404" s="12">
        <v>45021.21875</v>
      </c>
      <c r="F404" s="11" t="s">
        <v>223</v>
      </c>
      <c r="G404" s="11" t="s">
        <v>86</v>
      </c>
      <c r="H404" s="11" t="s">
        <v>74</v>
      </c>
      <c r="I404" s="16">
        <v>14.76</v>
      </c>
      <c r="J404" s="11" t="s">
        <v>75</v>
      </c>
      <c r="K404" s="11">
        <v>403</v>
      </c>
      <c r="L404" s="11" t="s">
        <v>101</v>
      </c>
      <c r="M404" s="11" t="s">
        <v>1548</v>
      </c>
      <c r="N404">
        <f>_xlfn.XLOOKUP(spaces_3iWczBNnn5rbfoUlE0Jd_uploads_git_blob_9864c7f811c613c3faab876659c6423__25[[#This Row],[Número de Orden]],Cocinadinamica!B405:B1173,Cocinadinamica!C405:C1173)</f>
        <v>79</v>
      </c>
      <c r="O404" s="7">
        <f>spaces_3iWczBNnn5rbfoUlE0Jd_uploads_git_blob_9864c7f811c613c3faab876659c6423__25[[#This Row],[Hora de Llegada]]</f>
        <v>45021.09375</v>
      </c>
      <c r="P404" s="9">
        <f>spaces_3iWczBNnn5rbfoUlE0Jd_uploads_git_blob_9864c7f811c613c3faab876659c6423__25[[#This Row],[Hora de Llegada]]</f>
        <v>45021.09375</v>
      </c>
      <c r="Q404" s="9">
        <f>spaces_3iWczBNnn5rbfoUlE0Jd_uploads_git_blob_9864c7f811c613c3faab876659c6423__25[[#This Row],[Hora de Salida]]</f>
        <v>45021.21875</v>
      </c>
      <c r="R404" s="9" cm="1">
        <f t="array" ref="R40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0.125</v>
      </c>
      <c r="S404" s="9">
        <f>_xlfn.XLOOKUP(spaces_3iWczBNnn5rbfoUlE0Jd_uploads_git_blob_9864c7f811c613c3faab876659c6423__25[[#This Row],[Número de Orden]],Cocinadinamica!E405:E1173,Cocinadinamica!F405:F1173)/1440</f>
        <v>5.9027777777777776E-2</v>
      </c>
      <c r="T404" s="9" cm="1">
        <f t="array" ref="T40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6.5972222222222224E-2</v>
      </c>
      <c r="U404" s="9" t="str" cm="1">
        <f t="array" ref="U40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5" spans="1:21" x14ac:dyDescent="0.35">
      <c r="A405" s="28">
        <v>17</v>
      </c>
      <c r="B405" s="13" t="s">
        <v>1052</v>
      </c>
      <c r="C405" s="13">
        <v>2</v>
      </c>
      <c r="D405" s="14">
        <v>45021.026388888888</v>
      </c>
      <c r="E405" s="14">
        <v>45021.186805555553</v>
      </c>
      <c r="F405" s="13" t="s">
        <v>85</v>
      </c>
      <c r="G405" s="13" t="s">
        <v>86</v>
      </c>
      <c r="H405" s="13" t="s">
        <v>74</v>
      </c>
      <c r="I405" s="17">
        <v>32.56</v>
      </c>
      <c r="J405" s="13" t="s">
        <v>75</v>
      </c>
      <c r="K405" s="13">
        <v>404</v>
      </c>
      <c r="L405" s="13" t="s">
        <v>181</v>
      </c>
      <c r="M405" s="13" t="s">
        <v>1549</v>
      </c>
      <c r="N405">
        <f>_xlfn.XLOOKUP(spaces_3iWczBNnn5rbfoUlE0Jd_uploads_git_blob_9864c7f811c613c3faab876659c6423__25[[#This Row],[Número de Orden]],Cocinadinamica!B406:B1174,Cocinadinamica!C406:C1174)</f>
        <v>69</v>
      </c>
      <c r="O405" s="7">
        <f>spaces_3iWczBNnn5rbfoUlE0Jd_uploads_git_blob_9864c7f811c613c3faab876659c6423__25[[#This Row],[Hora de Llegada]]</f>
        <v>45021.026388888888</v>
      </c>
      <c r="P405" s="9">
        <f>spaces_3iWczBNnn5rbfoUlE0Jd_uploads_git_blob_9864c7f811c613c3faab876659c6423__25[[#This Row],[Hora de Llegada]]</f>
        <v>45021.026388888888</v>
      </c>
      <c r="Q405" s="9">
        <f>spaces_3iWczBNnn5rbfoUlE0Jd_uploads_git_blob_9864c7f811c613c3faab876659c6423__25[[#This Row],[Hora de Salida]]</f>
        <v>45021.186805555553</v>
      </c>
      <c r="R405" s="9" cm="1">
        <f t="array" ref="R40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0.16041666666569654</v>
      </c>
      <c r="S405" s="9">
        <f>_xlfn.XLOOKUP(spaces_3iWczBNnn5rbfoUlE0Jd_uploads_git_blob_9864c7f811c613c3faab876659c6423__25[[#This Row],[Número de Orden]],Cocinadinamica!E406:E1174,Cocinadinamica!F406:F1174)/1440</f>
        <v>7.0833333333333331E-2</v>
      </c>
      <c r="T405" s="9" cm="1">
        <f t="array" ref="T40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8.9583333332363208E-2</v>
      </c>
      <c r="U405" s="9" t="str" cm="1">
        <f t="array" ref="U40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6" spans="1:21" x14ac:dyDescent="0.35">
      <c r="A406" s="27">
        <v>5</v>
      </c>
      <c r="B406" s="11" t="s">
        <v>826</v>
      </c>
      <c r="C406" s="11">
        <v>6</v>
      </c>
      <c r="D406" s="12">
        <v>45021.11041666667</v>
      </c>
      <c r="E406" s="12">
        <v>45021.207638888889</v>
      </c>
      <c r="F406" s="11" t="s">
        <v>100</v>
      </c>
      <c r="G406" s="11" t="s">
        <v>73</v>
      </c>
      <c r="H406" s="11" t="s">
        <v>74</v>
      </c>
      <c r="I406" s="16">
        <v>14.56</v>
      </c>
      <c r="J406" s="11" t="s">
        <v>94</v>
      </c>
      <c r="K406" s="11">
        <v>405</v>
      </c>
      <c r="L406" s="11" t="s">
        <v>164</v>
      </c>
      <c r="M406" s="11" t="s">
        <v>1550</v>
      </c>
      <c r="N406">
        <f>_xlfn.XLOOKUP(spaces_3iWczBNnn5rbfoUlE0Jd_uploads_git_blob_9864c7f811c613c3faab876659c6423__25[[#This Row],[Número de Orden]],Cocinadinamica!B407:B1175,Cocinadinamica!C407:C1175)</f>
        <v>42</v>
      </c>
      <c r="O406" s="7">
        <f>spaces_3iWczBNnn5rbfoUlE0Jd_uploads_git_blob_9864c7f811c613c3faab876659c6423__25[[#This Row],[Hora de Llegada]]</f>
        <v>45021.11041666667</v>
      </c>
      <c r="P406" s="9">
        <f>spaces_3iWczBNnn5rbfoUlE0Jd_uploads_git_blob_9864c7f811c613c3faab876659c6423__25[[#This Row],[Hora de Llegada]]</f>
        <v>45021.11041666667</v>
      </c>
      <c r="Q406" s="9">
        <f>spaces_3iWczBNnn5rbfoUlE0Jd_uploads_git_blob_9864c7f811c613c3faab876659c6423__25[[#This Row],[Hora de Salida]]</f>
        <v>45021.207638888889</v>
      </c>
      <c r="R406" s="9" cm="1">
        <f t="array" ref="R40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9.7222222218988463E-2</v>
      </c>
      <c r="S406" s="9">
        <f>_xlfn.XLOOKUP(spaces_3iWczBNnn5rbfoUlE0Jd_uploads_git_blob_9864c7f811c613c3faab876659c6423__25[[#This Row],[Número de Orden]],Cocinadinamica!E407:E1175,Cocinadinamica!F407:F1175)/1440</f>
        <v>6.805555555555555E-2</v>
      </c>
      <c r="T406" s="9" cm="1">
        <f t="array" ref="T40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2.9166666663432914E-2</v>
      </c>
      <c r="U406" s="9" t="str" cm="1">
        <f t="array" ref="U40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7" spans="1:21" x14ac:dyDescent="0.35">
      <c r="A407" s="28">
        <v>14</v>
      </c>
      <c r="B407" s="13" t="s">
        <v>1000</v>
      </c>
      <c r="C407" s="13">
        <v>5</v>
      </c>
      <c r="D407" s="14">
        <v>45021.020138888889</v>
      </c>
      <c r="E407" s="14">
        <v>45021.109027777777</v>
      </c>
      <c r="F407" s="13" t="s">
        <v>100</v>
      </c>
      <c r="G407" s="13" t="s">
        <v>73</v>
      </c>
      <c r="H407" s="13" t="s">
        <v>87</v>
      </c>
      <c r="I407" s="17">
        <v>34.03</v>
      </c>
      <c r="J407" s="13" t="s">
        <v>88</v>
      </c>
      <c r="K407" s="13">
        <v>406</v>
      </c>
      <c r="L407" s="13" t="s">
        <v>181</v>
      </c>
      <c r="M407" s="13" t="s">
        <v>1551</v>
      </c>
      <c r="N407">
        <f>_xlfn.XLOOKUP(spaces_3iWczBNnn5rbfoUlE0Jd_uploads_git_blob_9864c7f811c613c3faab876659c6423__25[[#This Row],[Número de Orden]],Cocinadinamica!B408:B1176,Cocinadinamica!C408:C1176)</f>
        <v>62</v>
      </c>
      <c r="O407" s="7">
        <f>spaces_3iWczBNnn5rbfoUlE0Jd_uploads_git_blob_9864c7f811c613c3faab876659c6423__25[[#This Row],[Hora de Llegada]]</f>
        <v>45021.020138888889</v>
      </c>
      <c r="P407" s="9">
        <f>spaces_3iWczBNnn5rbfoUlE0Jd_uploads_git_blob_9864c7f811c613c3faab876659c6423__25[[#This Row],[Hora de Llegada]]</f>
        <v>45021.020138888889</v>
      </c>
      <c r="Q407" s="9">
        <f>spaces_3iWczBNnn5rbfoUlE0Jd_uploads_git_blob_9864c7f811c613c3faab876659c6423__25[[#This Row],[Hora de Salida]]</f>
        <v>45021.109027777777</v>
      </c>
      <c r="R407" s="9" cm="1">
        <f t="array" ref="R40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9.9305555551836733E-2</v>
      </c>
      <c r="S407" s="9">
        <f>_xlfn.XLOOKUP(spaces_3iWczBNnn5rbfoUlE0Jd_uploads_git_blob_9864c7f811c613c3faab876659c6423__25[[#This Row],[Número de Orden]],Cocinadinamica!E408:E1176,Cocinadinamica!F408:F1176)/1440</f>
        <v>8.1250000000000003E-2</v>
      </c>
      <c r="T407" s="9" cm="1">
        <f t="array" ref="T40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1.805555555183673E-2</v>
      </c>
      <c r="U407" s="9" t="str" cm="1">
        <f t="array" ref="U40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8" spans="1:21" x14ac:dyDescent="0.35">
      <c r="A408" s="27">
        <v>4</v>
      </c>
      <c r="B408" s="11" t="s">
        <v>1082</v>
      </c>
      <c r="C408" s="11">
        <v>1</v>
      </c>
      <c r="D408" s="12">
        <v>45021.092361111114</v>
      </c>
      <c r="E408" s="12">
        <v>45021.20208333333</v>
      </c>
      <c r="F408" s="11" t="s">
        <v>72</v>
      </c>
      <c r="G408" s="11" t="s">
        <v>163</v>
      </c>
      <c r="H408" s="11" t="s">
        <v>109</v>
      </c>
      <c r="I408" s="16">
        <v>22.98</v>
      </c>
      <c r="J408" s="11" t="s">
        <v>94</v>
      </c>
      <c r="K408" s="11">
        <v>407</v>
      </c>
      <c r="L408" s="11" t="s">
        <v>187</v>
      </c>
      <c r="M408" s="11" t="s">
        <v>1314</v>
      </c>
      <c r="N408">
        <f>_xlfn.XLOOKUP(spaces_3iWczBNnn5rbfoUlE0Jd_uploads_git_blob_9864c7f811c613c3faab876659c6423__25[[#This Row],[Número de Orden]],Cocinadinamica!B409:B1177,Cocinadinamica!C409:C1177)</f>
        <v>38</v>
      </c>
      <c r="O408" s="7">
        <f>spaces_3iWczBNnn5rbfoUlE0Jd_uploads_git_blob_9864c7f811c613c3faab876659c6423__25[[#This Row],[Hora de Llegada]]</f>
        <v>45021.092361111114</v>
      </c>
      <c r="P408" s="9">
        <f>spaces_3iWczBNnn5rbfoUlE0Jd_uploads_git_blob_9864c7f811c613c3faab876659c6423__25[[#This Row],[Hora de Llegada]]</f>
        <v>45021.092361111114</v>
      </c>
      <c r="Q408" s="9">
        <f>spaces_3iWczBNnn5rbfoUlE0Jd_uploads_git_blob_9864c7f811c613c3faab876659c6423__25[[#This Row],[Hora de Salida]]</f>
        <v>45021.20208333333</v>
      </c>
      <c r="R408" s="9" cm="1">
        <f t="array" ref="R40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0.10972222221607808</v>
      </c>
      <c r="S408" s="9">
        <f>_xlfn.XLOOKUP(spaces_3iWczBNnn5rbfoUlE0Jd_uploads_git_blob_9864c7f811c613c3faab876659c6423__25[[#This Row],[Número de Orden]],Cocinadinamica!E409:E1177,Cocinadinamica!F409:F1177)/1440</f>
        <v>3.4722222222222224E-2</v>
      </c>
      <c r="T408" s="9" cm="1">
        <f t="array" ref="T40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7.4999999993855856E-2</v>
      </c>
      <c r="U408" s="9" t="str" cm="1">
        <f t="array" ref="U40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09" spans="1:21" x14ac:dyDescent="0.35">
      <c r="A409" s="28">
        <v>17</v>
      </c>
      <c r="B409" s="13" t="s">
        <v>1025</v>
      </c>
      <c r="C409" s="13">
        <v>3</v>
      </c>
      <c r="D409" s="14">
        <v>45021.038888888892</v>
      </c>
      <c r="E409" s="14">
        <v>45021.170138888891</v>
      </c>
      <c r="F409" s="13" t="s">
        <v>100</v>
      </c>
      <c r="G409" s="13" t="s">
        <v>86</v>
      </c>
      <c r="H409" s="13" t="s">
        <v>74</v>
      </c>
      <c r="I409" s="17">
        <v>10.14</v>
      </c>
      <c r="J409" s="13" t="s">
        <v>88</v>
      </c>
      <c r="K409" s="13">
        <v>408</v>
      </c>
      <c r="L409" s="13" t="s">
        <v>101</v>
      </c>
      <c r="M409" s="13" t="s">
        <v>1552</v>
      </c>
      <c r="N409">
        <f>_xlfn.XLOOKUP(spaces_3iWczBNnn5rbfoUlE0Jd_uploads_git_blob_9864c7f811c613c3faab876659c6423__25[[#This Row],[Número de Orden]],Cocinadinamica!B410:B1178,Cocinadinamica!C410:C1178)</f>
        <v>54</v>
      </c>
      <c r="O409" s="7">
        <f>spaces_3iWczBNnn5rbfoUlE0Jd_uploads_git_blob_9864c7f811c613c3faab876659c6423__25[[#This Row],[Hora de Llegada]]</f>
        <v>45021.038888888892</v>
      </c>
      <c r="P409" s="9">
        <f>spaces_3iWczBNnn5rbfoUlE0Jd_uploads_git_blob_9864c7f811c613c3faab876659c6423__25[[#This Row],[Hora de Llegada]]</f>
        <v>45021.038888888892</v>
      </c>
      <c r="Q409" s="9">
        <f>spaces_3iWczBNnn5rbfoUlE0Jd_uploads_git_blob_9864c7f811c613c3faab876659c6423__25[[#This Row],[Hora de Salida]]</f>
        <v>45021.170138888891</v>
      </c>
      <c r="R409" s="9" cm="1">
        <f t="array" ref="R40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0.14166666666278616</v>
      </c>
      <c r="S409" s="9">
        <f>_xlfn.XLOOKUP(spaces_3iWczBNnn5rbfoUlE0Jd_uploads_git_blob_9864c7f811c613c3faab876659c6423__25[[#This Row],[Número de Orden]],Cocinadinamica!E410:E1178,Cocinadinamica!F410:F1178)/1440</f>
        <v>7.3611111111111113E-2</v>
      </c>
      <c r="T409" s="9" cm="1">
        <f t="array" ref="T40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6.8055555551675043E-2</v>
      </c>
      <c r="U409" s="9" t="str" cm="1">
        <f t="array" ref="U40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10" spans="1:21" x14ac:dyDescent="0.35">
      <c r="A410" s="27">
        <v>15</v>
      </c>
      <c r="B410" s="11" t="s">
        <v>1083</v>
      </c>
      <c r="C410" s="11">
        <v>5</v>
      </c>
      <c r="D410" s="12">
        <v>45021.079861111109</v>
      </c>
      <c r="E410" s="12">
        <v>45021.125694444447</v>
      </c>
      <c r="F410" s="11" t="s">
        <v>223</v>
      </c>
      <c r="G410" s="11" t="s">
        <v>86</v>
      </c>
      <c r="H410" s="11" t="s">
        <v>74</v>
      </c>
      <c r="I410" s="16">
        <v>48.7</v>
      </c>
      <c r="J410" s="11" t="s">
        <v>94</v>
      </c>
      <c r="K410" s="11">
        <v>409</v>
      </c>
      <c r="L410" s="11" t="s">
        <v>101</v>
      </c>
      <c r="M410" s="11" t="s">
        <v>1553</v>
      </c>
      <c r="N410">
        <f>_xlfn.XLOOKUP(spaces_3iWczBNnn5rbfoUlE0Jd_uploads_git_blob_9864c7f811c613c3faab876659c6423__25[[#This Row],[Número de Orden]],Cocinadinamica!B411:B1179,Cocinadinamica!C411:C1179)</f>
        <v>81</v>
      </c>
      <c r="O410" s="7">
        <f>spaces_3iWczBNnn5rbfoUlE0Jd_uploads_git_blob_9864c7f811c613c3faab876659c6423__25[[#This Row],[Hora de Llegada]]</f>
        <v>45021.079861111109</v>
      </c>
      <c r="P410" s="9">
        <f>spaces_3iWczBNnn5rbfoUlE0Jd_uploads_git_blob_9864c7f811c613c3faab876659c6423__25[[#This Row],[Hora de Llegada]]</f>
        <v>45021.079861111109</v>
      </c>
      <c r="Q410" s="9">
        <f>spaces_3iWczBNnn5rbfoUlE0Jd_uploads_git_blob_9864c7f811c613c3faab876659c6423__25[[#This Row],[Hora de Salida]]</f>
        <v>45021.125694444447</v>
      </c>
      <c r="R410" s="9" cm="1">
        <f t="array" ref="R41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4.5833333337213844E-2</v>
      </c>
      <c r="S410" s="9">
        <f>_xlfn.XLOOKUP(spaces_3iWczBNnn5rbfoUlE0Jd_uploads_git_blob_9864c7f811c613c3faab876659c6423__25[[#This Row],[Número de Orden]],Cocinadinamica!E411:E1179,Cocinadinamica!F411:F1179)/1440</f>
        <v>0.11319444444444444</v>
      </c>
      <c r="T410" s="9" cm="1">
        <f t="array" ref="T41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10" s="9" t="str" cm="1">
        <f t="array" ref="U41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11" spans="1:21" x14ac:dyDescent="0.35">
      <c r="A411" s="28">
        <v>1</v>
      </c>
      <c r="B411" s="13" t="s">
        <v>1084</v>
      </c>
      <c r="C411" s="13">
        <v>3</v>
      </c>
      <c r="D411" s="14">
        <v>45021.115972222222</v>
      </c>
      <c r="E411" s="14">
        <v>45021.224305555559</v>
      </c>
      <c r="F411" s="13" t="s">
        <v>72</v>
      </c>
      <c r="G411" s="13" t="s">
        <v>73</v>
      </c>
      <c r="H411" s="13" t="s">
        <v>74</v>
      </c>
      <c r="I411" s="17">
        <v>43.65</v>
      </c>
      <c r="J411" s="13" t="s">
        <v>94</v>
      </c>
      <c r="K411" s="13">
        <v>410</v>
      </c>
      <c r="L411" s="13" t="s">
        <v>76</v>
      </c>
      <c r="M411" s="13" t="s">
        <v>1554</v>
      </c>
      <c r="N411">
        <f>_xlfn.XLOOKUP(spaces_3iWczBNnn5rbfoUlE0Jd_uploads_git_blob_9864c7f811c613c3faab876659c6423__25[[#This Row],[Número de Orden]],Cocinadinamica!B412:B1180,Cocinadinamica!C412:C1180)</f>
        <v>22</v>
      </c>
      <c r="O411" s="7">
        <f>spaces_3iWczBNnn5rbfoUlE0Jd_uploads_git_blob_9864c7f811c613c3faab876659c6423__25[[#This Row],[Hora de Llegada]]</f>
        <v>45021.115972222222</v>
      </c>
      <c r="P411" s="9">
        <f>spaces_3iWczBNnn5rbfoUlE0Jd_uploads_git_blob_9864c7f811c613c3faab876659c6423__25[[#This Row],[Hora de Llegada]]</f>
        <v>45021.115972222222</v>
      </c>
      <c r="Q411" s="9">
        <f>spaces_3iWczBNnn5rbfoUlE0Jd_uploads_git_blob_9864c7f811c613c3faab876659c6423__25[[#This Row],[Hora de Salida]]</f>
        <v>45021.224305555559</v>
      </c>
      <c r="R411" s="9" cm="1">
        <f t="array" ref="R41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0.10833333333721384</v>
      </c>
      <c r="S411" s="9">
        <f>_xlfn.XLOOKUP(spaces_3iWczBNnn5rbfoUlE0Jd_uploads_git_blob_9864c7f811c613c3faab876659c6423__25[[#This Row],[Número de Orden]],Cocinadinamica!E412:E1180,Cocinadinamica!F412:F1180)/1440</f>
        <v>6.3194444444444442E-2</v>
      </c>
      <c r="T411" s="9" cm="1">
        <f t="array" ref="T41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4.5138888892769402E-2</v>
      </c>
      <c r="U411" s="9" t="str" cm="1">
        <f t="array" ref="U41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12" spans="1:21" x14ac:dyDescent="0.35">
      <c r="A412" s="27">
        <v>3</v>
      </c>
      <c r="B412" s="11" t="s">
        <v>980</v>
      </c>
      <c r="C412" s="11">
        <v>3</v>
      </c>
      <c r="D412" s="12">
        <v>45021.09097222222</v>
      </c>
      <c r="E412" s="12">
        <v>45021.211111111108</v>
      </c>
      <c r="F412" s="11" t="s">
        <v>223</v>
      </c>
      <c r="G412" s="11" t="s">
        <v>86</v>
      </c>
      <c r="H412" s="11" t="s">
        <v>109</v>
      </c>
      <c r="I412" s="16">
        <v>21.88</v>
      </c>
      <c r="J412" s="11" t="s">
        <v>88</v>
      </c>
      <c r="K412" s="11">
        <v>411</v>
      </c>
      <c r="L412" s="11" t="s">
        <v>110</v>
      </c>
      <c r="M412" s="11" t="s">
        <v>1555</v>
      </c>
      <c r="N412">
        <f>_xlfn.XLOOKUP(spaces_3iWczBNnn5rbfoUlE0Jd_uploads_git_blob_9864c7f811c613c3faab876659c6423__25[[#This Row],[Número de Orden]],Cocinadinamica!B413:B1181,Cocinadinamica!C413:C1181)</f>
        <v>86</v>
      </c>
      <c r="O412" s="7">
        <f>spaces_3iWczBNnn5rbfoUlE0Jd_uploads_git_blob_9864c7f811c613c3faab876659c6423__25[[#This Row],[Hora de Llegada]]</f>
        <v>45021.09097222222</v>
      </c>
      <c r="P412" s="9">
        <f>spaces_3iWczBNnn5rbfoUlE0Jd_uploads_git_blob_9864c7f811c613c3faab876659c6423__25[[#This Row],[Hora de Llegada]]</f>
        <v>45021.09097222222</v>
      </c>
      <c r="Q412" s="9">
        <f>spaces_3iWczBNnn5rbfoUlE0Jd_uploads_git_blob_9864c7f811c613c3faab876659c6423__25[[#This Row],[Hora de Salida]]</f>
        <v>45021.211111111108</v>
      </c>
      <c r="R412" s="9" cm="1">
        <f t="array" ref="R41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0.13055555555183673</v>
      </c>
      <c r="S412" s="9">
        <f>_xlfn.XLOOKUP(spaces_3iWczBNnn5rbfoUlE0Jd_uploads_git_blob_9864c7f811c613c3faab876659c6423__25[[#This Row],[Número de Orden]],Cocinadinamica!E413:E1181,Cocinadinamica!F413:F1181)/1440</f>
        <v>5.4166666666666669E-2</v>
      </c>
      <c r="T412" s="9" cm="1">
        <f t="array" ref="T41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7.6388888885170064E-2</v>
      </c>
      <c r="U412" s="9" t="str" cm="1">
        <f t="array" ref="U41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13" spans="1:21" x14ac:dyDescent="0.35">
      <c r="A413" s="28" t="s">
        <v>354</v>
      </c>
      <c r="B413" s="13" t="s">
        <v>518</v>
      </c>
      <c r="C413" s="13">
        <v>4</v>
      </c>
      <c r="D413" s="14">
        <v>45021.015277777777</v>
      </c>
      <c r="E413" s="14">
        <v>45021.085416666669</v>
      </c>
      <c r="F413" s="13" t="s">
        <v>85</v>
      </c>
      <c r="G413" s="13" t="s">
        <v>73</v>
      </c>
      <c r="H413" s="13" t="s">
        <v>74</v>
      </c>
      <c r="I413" s="17">
        <v>12.94</v>
      </c>
      <c r="J413" s="13" t="s">
        <v>88</v>
      </c>
      <c r="K413" s="13">
        <v>412</v>
      </c>
      <c r="L413" s="13" t="s">
        <v>76</v>
      </c>
      <c r="M413" s="13" t="s">
        <v>15</v>
      </c>
      <c r="N413">
        <f>_xlfn.XLOOKUP(spaces_3iWczBNnn5rbfoUlE0Jd_uploads_git_blob_9864c7f811c613c3faab876659c6423__25[[#This Row],[Número de Orden]],Cocinadinamica!B414:B1182,Cocinadinamica!C414:C1182)</f>
        <v>36</v>
      </c>
      <c r="O413" s="7">
        <f>spaces_3iWczBNnn5rbfoUlE0Jd_uploads_git_blob_9864c7f811c613c3faab876659c6423__25[[#This Row],[Hora de Llegada]]</f>
        <v>45021.015277777777</v>
      </c>
      <c r="P413" s="9">
        <f>spaces_3iWczBNnn5rbfoUlE0Jd_uploads_git_blob_9864c7f811c613c3faab876659c6423__25[[#This Row],[Hora de Llegada]]</f>
        <v>45021.015277777777</v>
      </c>
      <c r="Q413" s="9">
        <f>spaces_3iWczBNnn5rbfoUlE0Jd_uploads_git_blob_9864c7f811c613c3faab876659c6423__25[[#This Row],[Hora de Salida]]</f>
        <v>45021.085416666669</v>
      </c>
      <c r="R413" s="9" cm="1">
        <f t="array" ref="R41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8.0555555556202307E-2</v>
      </c>
      <c r="S413" s="9">
        <f>_xlfn.XLOOKUP(spaces_3iWczBNnn5rbfoUlE0Jd_uploads_git_blob_9864c7f811c613c3faab876659c6423__25[[#This Row],[Número de Orden]],Cocinadinamica!E414:E1182,Cocinadinamica!F414:F1182)/1440</f>
        <v>3.9583333333333331E-2</v>
      </c>
      <c r="T413" s="9" cm="1">
        <f t="array" ref="T41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4.0972222222868976E-2</v>
      </c>
      <c r="U413" s="9" t="str" cm="1">
        <f t="array" ref="U41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14" spans="1:21" x14ac:dyDescent="0.35">
      <c r="A414" s="27" t="s">
        <v>240</v>
      </c>
      <c r="B414" s="11" t="s">
        <v>519</v>
      </c>
      <c r="C414" s="11">
        <v>3</v>
      </c>
      <c r="D414" s="12">
        <v>45021.10833333333</v>
      </c>
      <c r="E414" s="12">
        <v>45021.206944444442</v>
      </c>
      <c r="F414" s="11" t="s">
        <v>72</v>
      </c>
      <c r="G414" s="11" t="s">
        <v>73</v>
      </c>
      <c r="H414" s="11" t="s">
        <v>74</v>
      </c>
      <c r="I414" s="16">
        <v>23.01</v>
      </c>
      <c r="J414" s="11" t="s">
        <v>88</v>
      </c>
      <c r="K414" s="11">
        <v>413</v>
      </c>
      <c r="L414" s="11" t="s">
        <v>164</v>
      </c>
      <c r="M414" s="11" t="s">
        <v>31</v>
      </c>
      <c r="N414">
        <f>_xlfn.XLOOKUP(spaces_3iWczBNnn5rbfoUlE0Jd_uploads_git_blob_9864c7f811c613c3faab876659c6423__25[[#This Row],[Número de Orden]],Cocinadinamica!B415:B1183,Cocinadinamica!C415:C1183)</f>
        <v>14</v>
      </c>
      <c r="O414" s="7">
        <f>spaces_3iWczBNnn5rbfoUlE0Jd_uploads_git_blob_9864c7f811c613c3faab876659c6423__25[[#This Row],[Hora de Llegada]]</f>
        <v>45021.10833333333</v>
      </c>
      <c r="P414" s="9">
        <f>spaces_3iWczBNnn5rbfoUlE0Jd_uploads_git_blob_9864c7f811c613c3faab876659c6423__25[[#This Row],[Hora de Llegada]]</f>
        <v>45021.10833333333</v>
      </c>
      <c r="Q414" s="9">
        <f>spaces_3iWczBNnn5rbfoUlE0Jd_uploads_git_blob_9864c7f811c613c3faab876659c6423__25[[#This Row],[Hora de Salida]]</f>
        <v>45021.206944444442</v>
      </c>
      <c r="R414" s="9" cm="1">
        <f t="array" ref="R41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0.10902777777664596</v>
      </c>
      <c r="S414" s="9">
        <f>_xlfn.XLOOKUP(spaces_3iWczBNnn5rbfoUlE0Jd_uploads_git_blob_9864c7f811c613c3faab876659c6423__25[[#This Row],[Número de Orden]],Cocinadinamica!E415:E1183,Cocinadinamica!F415:F1183)/1440</f>
        <v>8.3333333333333332E-3</v>
      </c>
      <c r="T414" s="9" cm="1">
        <f t="array" ref="T41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0.10069444444331263</v>
      </c>
      <c r="U414" s="9" t="str" cm="1">
        <f t="array" ref="U41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15" spans="1:21" x14ac:dyDescent="0.35">
      <c r="A415" s="28" t="s">
        <v>267</v>
      </c>
      <c r="B415" s="13" t="s">
        <v>520</v>
      </c>
      <c r="C415" s="13">
        <v>6</v>
      </c>
      <c r="D415" s="14">
        <v>45021.154861111114</v>
      </c>
      <c r="E415" s="14">
        <v>45021.3</v>
      </c>
      <c r="F415" s="13" t="s">
        <v>85</v>
      </c>
      <c r="G415" s="13" t="s">
        <v>163</v>
      </c>
      <c r="H415" s="13" t="s">
        <v>74</v>
      </c>
      <c r="I415" s="17">
        <v>13.17</v>
      </c>
      <c r="J415" s="13" t="s">
        <v>94</v>
      </c>
      <c r="K415" s="13">
        <v>414</v>
      </c>
      <c r="L415" s="13" t="s">
        <v>181</v>
      </c>
      <c r="M415" s="13" t="s">
        <v>25</v>
      </c>
      <c r="N415">
        <f>_xlfn.XLOOKUP(spaces_3iWczBNnn5rbfoUlE0Jd_uploads_git_blob_9864c7f811c613c3faab876659c6423__25[[#This Row],[Número de Orden]],Cocinadinamica!B416:B1184,Cocinadinamica!C416:C1184)</f>
        <v>13</v>
      </c>
      <c r="O415" s="7">
        <f>spaces_3iWczBNnn5rbfoUlE0Jd_uploads_git_blob_9864c7f811c613c3faab876659c6423__25[[#This Row],[Hora de Llegada]]</f>
        <v>45021.154861111114</v>
      </c>
      <c r="P415" s="9">
        <f>spaces_3iWczBNnn5rbfoUlE0Jd_uploads_git_blob_9864c7f811c613c3faab876659c6423__25[[#This Row],[Hora de Llegada]]</f>
        <v>45021.154861111114</v>
      </c>
      <c r="Q415" s="9">
        <f>spaces_3iWczBNnn5rbfoUlE0Jd_uploads_git_blob_9864c7f811c613c3faab876659c6423__25[[#This Row],[Hora de Salida]]</f>
        <v>45021.3</v>
      </c>
      <c r="R415" s="9" cm="1">
        <f t="array" ref="R41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0.14513888888905058</v>
      </c>
      <c r="S415" s="9">
        <f>_xlfn.XLOOKUP(spaces_3iWczBNnn5rbfoUlE0Jd_uploads_git_blob_9864c7f811c613c3faab876659c6423__25[[#This Row],[Número de Orden]],Cocinadinamica!E416:E1184,Cocinadinamica!F416:F1184)/1440</f>
        <v>2.6388888888888889E-2</v>
      </c>
      <c r="T415" s="9" cm="1">
        <f t="array" ref="T41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0.11875000000016168</v>
      </c>
      <c r="U415" s="9" t="str" cm="1">
        <f t="array" ref="U41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16" spans="1:21" x14ac:dyDescent="0.35">
      <c r="A416" s="27">
        <v>14</v>
      </c>
      <c r="B416" s="11" t="s">
        <v>1085</v>
      </c>
      <c r="C416" s="11">
        <v>4</v>
      </c>
      <c r="D416" s="12">
        <v>45021.027083333334</v>
      </c>
      <c r="E416" s="12">
        <v>45021.190972222219</v>
      </c>
      <c r="F416" s="11" t="s">
        <v>72</v>
      </c>
      <c r="G416" s="11" t="s">
        <v>73</v>
      </c>
      <c r="H416" s="11" t="s">
        <v>74</v>
      </c>
      <c r="I416" s="16">
        <v>20.51</v>
      </c>
      <c r="J416" s="11" t="s">
        <v>88</v>
      </c>
      <c r="K416" s="11">
        <v>415</v>
      </c>
      <c r="L416" s="11" t="s">
        <v>89</v>
      </c>
      <c r="M416" s="11" t="s">
        <v>1556</v>
      </c>
      <c r="N416">
        <f>_xlfn.XLOOKUP(spaces_3iWczBNnn5rbfoUlE0Jd_uploads_git_blob_9864c7f811c613c3faab876659c6423__25[[#This Row],[Número de Orden]],Cocinadinamica!B417:B1185,Cocinadinamica!C417:C1185)</f>
        <v>64</v>
      </c>
      <c r="O416" s="7">
        <f>spaces_3iWczBNnn5rbfoUlE0Jd_uploads_git_blob_9864c7f811c613c3faab876659c6423__25[[#This Row],[Hora de Llegada]]</f>
        <v>45021.027083333334</v>
      </c>
      <c r="P416" s="9">
        <f>spaces_3iWczBNnn5rbfoUlE0Jd_uploads_git_blob_9864c7f811c613c3faab876659c6423__25[[#This Row],[Hora de Llegada]]</f>
        <v>45021.027083333334</v>
      </c>
      <c r="Q416" s="9">
        <f>spaces_3iWczBNnn5rbfoUlE0Jd_uploads_git_blob_9864c7f811c613c3faab876659c6423__25[[#This Row],[Hora de Salida]]</f>
        <v>45021.190972222219</v>
      </c>
      <c r="R416" s="9" cm="1">
        <f t="array" ref="R41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0.17430555554892635</v>
      </c>
      <c r="S416" s="9">
        <f>_xlfn.XLOOKUP(spaces_3iWczBNnn5rbfoUlE0Jd_uploads_git_blob_9864c7f811c613c3faab876659c6423__25[[#This Row],[Número de Orden]],Cocinadinamica!E417:E1185,Cocinadinamica!F417:F1185)/1440</f>
        <v>6.0416666666666667E-2</v>
      </c>
      <c r="T416" s="9" cm="1">
        <f t="array" ref="T41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0.11388888888225968</v>
      </c>
      <c r="U416" s="9" t="str" cm="1">
        <f t="array" ref="U41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17" spans="1:21" x14ac:dyDescent="0.35">
      <c r="A417" s="28" t="s">
        <v>92</v>
      </c>
      <c r="B417" s="13" t="s">
        <v>522</v>
      </c>
      <c r="C417" s="13">
        <v>2</v>
      </c>
      <c r="D417" s="14">
        <v>45021.127083333333</v>
      </c>
      <c r="E417" s="14">
        <v>45021.275694444441</v>
      </c>
      <c r="F417" s="13" t="s">
        <v>223</v>
      </c>
      <c r="G417" s="13" t="s">
        <v>73</v>
      </c>
      <c r="H417" s="13" t="s">
        <v>74</v>
      </c>
      <c r="I417" s="17">
        <v>1.29</v>
      </c>
      <c r="J417" s="13" t="s">
        <v>94</v>
      </c>
      <c r="K417" s="13">
        <v>416</v>
      </c>
      <c r="L417" s="13" t="s">
        <v>174</v>
      </c>
      <c r="M417" s="13" t="s">
        <v>49</v>
      </c>
      <c r="N417">
        <f>_xlfn.XLOOKUP(spaces_3iWczBNnn5rbfoUlE0Jd_uploads_git_blob_9864c7f811c613c3faab876659c6423__25[[#This Row],[Número de Orden]],Cocinadinamica!B418:B1186,Cocinadinamica!C418:C1186)</f>
        <v>10</v>
      </c>
      <c r="O417" s="7">
        <f>spaces_3iWczBNnn5rbfoUlE0Jd_uploads_git_blob_9864c7f811c613c3faab876659c6423__25[[#This Row],[Hora de Llegada]]</f>
        <v>45021.127083333333</v>
      </c>
      <c r="P417" s="9">
        <f>spaces_3iWczBNnn5rbfoUlE0Jd_uploads_git_blob_9864c7f811c613c3faab876659c6423__25[[#This Row],[Hora de Llegada]]</f>
        <v>45021.127083333333</v>
      </c>
      <c r="Q417" s="9">
        <f>spaces_3iWczBNnn5rbfoUlE0Jd_uploads_git_blob_9864c7f811c613c3faab876659c6423__25[[#This Row],[Hora de Salida]]</f>
        <v>45021.275694444441</v>
      </c>
      <c r="R417" s="9" cm="1">
        <f t="array" ref="R41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0.14861111110803904</v>
      </c>
      <c r="S417" s="9">
        <f>_xlfn.XLOOKUP(spaces_3iWczBNnn5rbfoUlE0Jd_uploads_git_blob_9864c7f811c613c3faab876659c6423__25[[#This Row],[Número de Orden]],Cocinadinamica!E418:E1186,Cocinadinamica!F418:F1186)/1440</f>
        <v>6.2500000000000003E-3</v>
      </c>
      <c r="T417" s="9" cm="1">
        <f t="array" ref="T41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0.14236111110803903</v>
      </c>
      <c r="U417" s="9" t="str" cm="1">
        <f t="array" ref="U41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18" spans="1:21" x14ac:dyDescent="0.35">
      <c r="A418" s="27">
        <v>7</v>
      </c>
      <c r="B418" s="11" t="s">
        <v>1086</v>
      </c>
      <c r="C418" s="11">
        <v>2</v>
      </c>
      <c r="D418" s="12">
        <v>45021.142361111109</v>
      </c>
      <c r="E418" s="12">
        <v>45021.189583333333</v>
      </c>
      <c r="F418" s="11" t="s">
        <v>100</v>
      </c>
      <c r="G418" s="11" t="s">
        <v>73</v>
      </c>
      <c r="H418" s="11" t="s">
        <v>74</v>
      </c>
      <c r="I418" s="16">
        <v>35.08</v>
      </c>
      <c r="J418" s="11" t="s">
        <v>75</v>
      </c>
      <c r="K418" s="11">
        <v>417</v>
      </c>
      <c r="L418" s="11" t="s">
        <v>275</v>
      </c>
      <c r="M418" s="11" t="s">
        <v>1557</v>
      </c>
      <c r="N418">
        <f>_xlfn.XLOOKUP(spaces_3iWczBNnn5rbfoUlE0Jd_uploads_git_blob_9864c7f811c613c3faab876659c6423__25[[#This Row],[Número de Orden]],Cocinadinamica!B419:B1187,Cocinadinamica!C419:C1187)</f>
        <v>57</v>
      </c>
      <c r="O418" s="7">
        <f>spaces_3iWczBNnn5rbfoUlE0Jd_uploads_git_blob_9864c7f811c613c3faab876659c6423__25[[#This Row],[Hora de Llegada]]</f>
        <v>45021.142361111109</v>
      </c>
      <c r="P418" s="9">
        <f>spaces_3iWczBNnn5rbfoUlE0Jd_uploads_git_blob_9864c7f811c613c3faab876659c6423__25[[#This Row],[Hora de Llegada]]</f>
        <v>45021.142361111109</v>
      </c>
      <c r="Q418" s="9">
        <f>spaces_3iWczBNnn5rbfoUlE0Jd_uploads_git_blob_9864c7f811c613c3faab876659c6423__25[[#This Row],[Hora de Salida]]</f>
        <v>45021.189583333333</v>
      </c>
      <c r="R418" s="9" cm="1">
        <f t="array" ref="R41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4.7222222223354038E-2</v>
      </c>
      <c r="S418" s="9">
        <f>_xlfn.XLOOKUP(spaces_3iWczBNnn5rbfoUlE0Jd_uploads_git_blob_9864c7f811c613c3faab876659c6423__25[[#This Row],[Número de Orden]],Cocinadinamica!E419:E1187,Cocinadinamica!F419:F1187)/1440</f>
        <v>6.25E-2</v>
      </c>
      <c r="T418" s="9" cm="1">
        <f t="array" ref="T41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18" s="9" t="str" cm="1">
        <f t="array" ref="U41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19" spans="1:21" x14ac:dyDescent="0.35">
      <c r="A419" s="28">
        <v>17</v>
      </c>
      <c r="B419" s="13" t="s">
        <v>1087</v>
      </c>
      <c r="C419" s="13">
        <v>4</v>
      </c>
      <c r="D419" s="14">
        <v>45021.036111111112</v>
      </c>
      <c r="E419" s="14">
        <v>45021.146527777775</v>
      </c>
      <c r="F419" s="13" t="s">
        <v>170</v>
      </c>
      <c r="G419" s="13" t="s">
        <v>73</v>
      </c>
      <c r="H419" s="13" t="s">
        <v>74</v>
      </c>
      <c r="I419" s="17">
        <v>35.51</v>
      </c>
      <c r="J419" s="13" t="s">
        <v>94</v>
      </c>
      <c r="K419" s="13">
        <v>418</v>
      </c>
      <c r="L419" s="13" t="s">
        <v>181</v>
      </c>
      <c r="M419" s="13" t="s">
        <v>1558</v>
      </c>
      <c r="N419">
        <f>_xlfn.XLOOKUP(spaces_3iWczBNnn5rbfoUlE0Jd_uploads_git_blob_9864c7f811c613c3faab876659c6423__25[[#This Row],[Número de Orden]],Cocinadinamica!B420:B1188,Cocinadinamica!C420:C1188)</f>
        <v>46</v>
      </c>
      <c r="O419" s="7">
        <f>spaces_3iWczBNnn5rbfoUlE0Jd_uploads_git_blob_9864c7f811c613c3faab876659c6423__25[[#This Row],[Hora de Llegada]]</f>
        <v>45021.036111111112</v>
      </c>
      <c r="P419" s="9">
        <f>spaces_3iWczBNnn5rbfoUlE0Jd_uploads_git_blob_9864c7f811c613c3faab876659c6423__25[[#This Row],[Hora de Llegada]]</f>
        <v>45021.036111111112</v>
      </c>
      <c r="Q419" s="9">
        <f>spaces_3iWczBNnn5rbfoUlE0Jd_uploads_git_blob_9864c7f811c613c3faab876659c6423__25[[#This Row],[Hora de Salida]]</f>
        <v>45021.146527777775</v>
      </c>
      <c r="R419" s="9" cm="1">
        <f t="array" ref="R41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0.11041666666278616</v>
      </c>
      <c r="S419" s="9">
        <f>_xlfn.XLOOKUP(spaces_3iWczBNnn5rbfoUlE0Jd_uploads_git_blob_9864c7f811c613c3faab876659c6423__25[[#This Row],[Número de Orden]],Cocinadinamica!E420:E1188,Cocinadinamica!F420:F1188)/1440</f>
        <v>6.9444444444444448E-2</v>
      </c>
      <c r="T419" s="9" cm="1">
        <f t="array" ref="T41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4.0972222218341708E-2</v>
      </c>
      <c r="U419" s="9" t="str" cm="1">
        <f t="array" ref="U41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20" spans="1:21" x14ac:dyDescent="0.35">
      <c r="A420" s="27">
        <v>11</v>
      </c>
      <c r="B420" s="11" t="s">
        <v>1088</v>
      </c>
      <c r="C420" s="11">
        <v>4</v>
      </c>
      <c r="D420" s="12">
        <v>45021.134722222225</v>
      </c>
      <c r="E420" s="12">
        <v>45021.238194444442</v>
      </c>
      <c r="F420" s="11" t="s">
        <v>85</v>
      </c>
      <c r="G420" s="11" t="s">
        <v>86</v>
      </c>
      <c r="H420" s="11" t="s">
        <v>74</v>
      </c>
      <c r="I420" s="16">
        <v>14.09</v>
      </c>
      <c r="J420" s="11" t="s">
        <v>88</v>
      </c>
      <c r="K420" s="11">
        <v>419</v>
      </c>
      <c r="L420" s="11" t="s">
        <v>164</v>
      </c>
      <c r="M420" s="11" t="s">
        <v>1559</v>
      </c>
      <c r="N420">
        <f>_xlfn.XLOOKUP(spaces_3iWczBNnn5rbfoUlE0Jd_uploads_git_blob_9864c7f811c613c3faab876659c6423__25[[#This Row],[Número de Orden]],Cocinadinamica!B421:B1189,Cocinadinamica!C421:C1189)</f>
        <v>27</v>
      </c>
      <c r="O420" s="7">
        <f>spaces_3iWczBNnn5rbfoUlE0Jd_uploads_git_blob_9864c7f811c613c3faab876659c6423__25[[#This Row],[Hora de Llegada]]</f>
        <v>45021.134722222225</v>
      </c>
      <c r="P420" s="9">
        <f>spaces_3iWczBNnn5rbfoUlE0Jd_uploads_git_blob_9864c7f811c613c3faab876659c6423__25[[#This Row],[Hora de Llegada]]</f>
        <v>45021.134722222225</v>
      </c>
      <c r="Q420" s="9">
        <f>spaces_3iWczBNnn5rbfoUlE0Jd_uploads_git_blob_9864c7f811c613c3faab876659c6423__25[[#This Row],[Hora de Salida]]</f>
        <v>45021.238194444442</v>
      </c>
      <c r="R420" s="9" cm="1">
        <f t="array" ref="R42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0.11388888888177462</v>
      </c>
      <c r="S420" s="9">
        <f>_xlfn.XLOOKUP(spaces_3iWczBNnn5rbfoUlE0Jd_uploads_git_blob_9864c7f811c613c3faab876659c6423__25[[#This Row],[Número de Orden]],Cocinadinamica!E421:E1189,Cocinadinamica!F421:F1189)/1440</f>
        <v>4.4444444444444446E-2</v>
      </c>
      <c r="T420" s="9" cm="1">
        <f t="array" ref="T42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6.9444444437330166E-2</v>
      </c>
      <c r="U420" s="9" t="str" cm="1">
        <f t="array" ref="U42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21" spans="1:21" x14ac:dyDescent="0.35">
      <c r="A421" s="28">
        <v>18</v>
      </c>
      <c r="B421" s="13" t="s">
        <v>869</v>
      </c>
      <c r="C421" s="13">
        <v>6</v>
      </c>
      <c r="D421" s="14">
        <v>45021.095833333333</v>
      </c>
      <c r="E421" s="14">
        <v>45021.228472222225</v>
      </c>
      <c r="F421" s="13" t="s">
        <v>100</v>
      </c>
      <c r="G421" s="13" t="s">
        <v>86</v>
      </c>
      <c r="H421" s="13" t="s">
        <v>74</v>
      </c>
      <c r="I421" s="17">
        <v>31.49</v>
      </c>
      <c r="J421" s="13" t="s">
        <v>88</v>
      </c>
      <c r="K421" s="13">
        <v>420</v>
      </c>
      <c r="L421" s="13" t="s">
        <v>95</v>
      </c>
      <c r="M421" s="13" t="s">
        <v>1560</v>
      </c>
      <c r="N421">
        <f>_xlfn.XLOOKUP(spaces_3iWczBNnn5rbfoUlE0Jd_uploads_git_blob_9864c7f811c613c3faab876659c6423__25[[#This Row],[Número de Orden]],Cocinadinamica!B422:B1190,Cocinadinamica!C422:C1190)</f>
        <v>98</v>
      </c>
      <c r="O421" s="7">
        <f>spaces_3iWczBNnn5rbfoUlE0Jd_uploads_git_blob_9864c7f811c613c3faab876659c6423__25[[#This Row],[Hora de Llegada]]</f>
        <v>45021.095833333333</v>
      </c>
      <c r="P421" s="9">
        <f>spaces_3iWczBNnn5rbfoUlE0Jd_uploads_git_blob_9864c7f811c613c3faab876659c6423__25[[#This Row],[Hora de Llegada]]</f>
        <v>45021.095833333333</v>
      </c>
      <c r="Q421" s="9">
        <f>spaces_3iWczBNnn5rbfoUlE0Jd_uploads_git_blob_9864c7f811c613c3faab876659c6423__25[[#This Row],[Hora de Salida]]</f>
        <v>45021.228472222225</v>
      </c>
      <c r="R421" s="9" cm="1">
        <f t="array" ref="R42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0.14305555555620231</v>
      </c>
      <c r="S421" s="9">
        <f>_xlfn.XLOOKUP(spaces_3iWczBNnn5rbfoUlE0Jd_uploads_git_blob_9864c7f811c613c3faab876659c6423__25[[#This Row],[Número de Orden]],Cocinadinamica!E422:E1190,Cocinadinamica!F422:F1190)/1440</f>
        <v>7.2916666666666671E-2</v>
      </c>
      <c r="T421" s="9" cm="1">
        <f t="array" ref="T42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7.0138888889535636E-2</v>
      </c>
      <c r="U421" s="9" t="str" cm="1">
        <f t="array" ref="U42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22" spans="1:21" x14ac:dyDescent="0.35">
      <c r="A422" s="27">
        <v>10</v>
      </c>
      <c r="B422" s="11" t="s">
        <v>1089</v>
      </c>
      <c r="C422" s="11">
        <v>1</v>
      </c>
      <c r="D422" s="12">
        <v>45021.067361111112</v>
      </c>
      <c r="E422" s="12">
        <v>45021.171527777777</v>
      </c>
      <c r="F422" s="11" t="s">
        <v>223</v>
      </c>
      <c r="G422" s="11" t="s">
        <v>86</v>
      </c>
      <c r="H422" s="11" t="s">
        <v>74</v>
      </c>
      <c r="I422" s="16">
        <v>17.57</v>
      </c>
      <c r="J422" s="11" t="s">
        <v>88</v>
      </c>
      <c r="K422" s="11">
        <v>421</v>
      </c>
      <c r="L422" s="11" t="s">
        <v>101</v>
      </c>
      <c r="M422" s="11" t="s">
        <v>1561</v>
      </c>
      <c r="N422">
        <f>_xlfn.XLOOKUP(spaces_3iWczBNnn5rbfoUlE0Jd_uploads_git_blob_9864c7f811c613c3faab876659c6423__25[[#This Row],[Número de Orden]],Cocinadinamica!B423:B1191,Cocinadinamica!C423:C1191)</f>
        <v>36</v>
      </c>
      <c r="O422" s="7">
        <f>spaces_3iWczBNnn5rbfoUlE0Jd_uploads_git_blob_9864c7f811c613c3faab876659c6423__25[[#This Row],[Hora de Llegada]]</f>
        <v>45021.067361111112</v>
      </c>
      <c r="P422" s="9">
        <f>spaces_3iWczBNnn5rbfoUlE0Jd_uploads_git_blob_9864c7f811c613c3faab876659c6423__25[[#This Row],[Hora de Llegada]]</f>
        <v>45021.067361111112</v>
      </c>
      <c r="Q422" s="9">
        <f>spaces_3iWczBNnn5rbfoUlE0Jd_uploads_git_blob_9864c7f811c613c3faab876659c6423__25[[#This Row],[Hora de Salida]]</f>
        <v>45021.171527777777</v>
      </c>
      <c r="R422" s="9" cm="1">
        <f t="array" ref="R42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0.11458333332848269</v>
      </c>
      <c r="S422" s="9">
        <f>_xlfn.XLOOKUP(spaces_3iWczBNnn5rbfoUlE0Jd_uploads_git_blob_9864c7f811c613c3faab876659c6423__25[[#This Row],[Número de Orden]],Cocinadinamica!E423:E1191,Cocinadinamica!F423:F1191)/1440</f>
        <v>4.9305555555555554E-2</v>
      </c>
      <c r="T422" s="9" cm="1">
        <f t="array" ref="T42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6.5277777772927148E-2</v>
      </c>
      <c r="U422" s="9" t="str" cm="1">
        <f t="array" ref="U42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23" spans="1:21" x14ac:dyDescent="0.35">
      <c r="A423" s="28">
        <v>12</v>
      </c>
      <c r="B423" s="13" t="s">
        <v>1090</v>
      </c>
      <c r="C423" s="13">
        <v>6</v>
      </c>
      <c r="D423" s="14">
        <v>45021.025000000001</v>
      </c>
      <c r="E423" s="14">
        <v>45021.131249999999</v>
      </c>
      <c r="F423" s="13" t="s">
        <v>100</v>
      </c>
      <c r="G423" s="13" t="s">
        <v>86</v>
      </c>
      <c r="H423" s="13" t="s">
        <v>74</v>
      </c>
      <c r="I423" s="17">
        <v>39.72</v>
      </c>
      <c r="J423" s="13" t="s">
        <v>94</v>
      </c>
      <c r="K423" s="13">
        <v>422</v>
      </c>
      <c r="L423" s="13" t="s">
        <v>181</v>
      </c>
      <c r="M423" s="13" t="s">
        <v>1562</v>
      </c>
      <c r="N423">
        <f>_xlfn.XLOOKUP(spaces_3iWczBNnn5rbfoUlE0Jd_uploads_git_blob_9864c7f811c613c3faab876659c6423__25[[#This Row],[Número de Orden]],Cocinadinamica!B424:B1192,Cocinadinamica!C424:C1192)</f>
        <v>36</v>
      </c>
      <c r="O423" s="7">
        <f>spaces_3iWczBNnn5rbfoUlE0Jd_uploads_git_blob_9864c7f811c613c3faab876659c6423__25[[#This Row],[Hora de Llegada]]</f>
        <v>45021.025000000001</v>
      </c>
      <c r="P423" s="9">
        <f>spaces_3iWczBNnn5rbfoUlE0Jd_uploads_git_blob_9864c7f811c613c3faab876659c6423__25[[#This Row],[Hora de Llegada]]</f>
        <v>45021.025000000001</v>
      </c>
      <c r="Q423" s="9">
        <f>spaces_3iWczBNnn5rbfoUlE0Jd_uploads_git_blob_9864c7f811c613c3faab876659c6423__25[[#This Row],[Hora de Salida]]</f>
        <v>45021.131249999999</v>
      </c>
      <c r="R423" s="9" cm="1">
        <f t="array" ref="R42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0.10624999999708962</v>
      </c>
      <c r="S423" s="9">
        <f>_xlfn.XLOOKUP(spaces_3iWczBNnn5rbfoUlE0Jd_uploads_git_blob_9864c7f811c613c3faab876659c6423__25[[#This Row],[Número de Orden]],Cocinadinamica!E424:E1192,Cocinadinamica!F424:F1192)/1440</f>
        <v>2.361111111111111E-2</v>
      </c>
      <c r="T423" s="9" cm="1">
        <f t="array" ref="T42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8.2638888885978506E-2</v>
      </c>
      <c r="U423" s="9" t="str" cm="1">
        <f t="array" ref="U42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24" spans="1:21" x14ac:dyDescent="0.35">
      <c r="A424" s="27">
        <v>4</v>
      </c>
      <c r="B424" s="11" t="s">
        <v>327</v>
      </c>
      <c r="C424" s="11">
        <v>2</v>
      </c>
      <c r="D424" s="12">
        <v>45021.106944444444</v>
      </c>
      <c r="E424" s="12">
        <v>45021.206250000003</v>
      </c>
      <c r="F424" s="11" t="s">
        <v>223</v>
      </c>
      <c r="G424" s="11" t="s">
        <v>86</v>
      </c>
      <c r="H424" s="11" t="s">
        <v>87</v>
      </c>
      <c r="I424" s="16">
        <v>34.130000000000003</v>
      </c>
      <c r="J424" s="11" t="s">
        <v>75</v>
      </c>
      <c r="K424" s="11">
        <v>423</v>
      </c>
      <c r="L424" s="11" t="s">
        <v>187</v>
      </c>
      <c r="M424" s="11" t="s">
        <v>1563</v>
      </c>
      <c r="N424">
        <f>_xlfn.XLOOKUP(spaces_3iWczBNnn5rbfoUlE0Jd_uploads_git_blob_9864c7f811c613c3faab876659c6423__25[[#This Row],[Número de Orden]],Cocinadinamica!B425:B1193,Cocinadinamica!C425:C1193)</f>
        <v>63</v>
      </c>
      <c r="O424" s="7">
        <f>spaces_3iWczBNnn5rbfoUlE0Jd_uploads_git_blob_9864c7f811c613c3faab876659c6423__25[[#This Row],[Hora de Llegada]]</f>
        <v>45021.106944444444</v>
      </c>
      <c r="P424" s="9">
        <f>spaces_3iWczBNnn5rbfoUlE0Jd_uploads_git_blob_9864c7f811c613c3faab876659c6423__25[[#This Row],[Hora de Llegada]]</f>
        <v>45021.106944444444</v>
      </c>
      <c r="Q424" s="9">
        <f>spaces_3iWczBNnn5rbfoUlE0Jd_uploads_git_blob_9864c7f811c613c3faab876659c6423__25[[#This Row],[Hora de Salida]]</f>
        <v>45021.206250000003</v>
      </c>
      <c r="R424" s="9" cm="1">
        <f t="array" ref="R42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9.930555555911269E-2</v>
      </c>
      <c r="S424" s="9">
        <f>_xlfn.XLOOKUP(spaces_3iWczBNnn5rbfoUlE0Jd_uploads_git_blob_9864c7f811c613c3faab876659c6423__25[[#This Row],[Número de Orden]],Cocinadinamica!E425:E1193,Cocinadinamica!F425:F1193)/1440</f>
        <v>2.1527777777777778E-2</v>
      </c>
      <c r="T424" s="9" cm="1">
        <f t="array" ref="T42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7.7777777781334906E-2</v>
      </c>
      <c r="U424" s="9" t="str" cm="1">
        <f t="array" ref="U42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25" spans="1:21" x14ac:dyDescent="0.35">
      <c r="A425" s="28">
        <v>13</v>
      </c>
      <c r="B425" s="13" t="s">
        <v>1091</v>
      </c>
      <c r="C425" s="13">
        <v>3</v>
      </c>
      <c r="D425" s="14">
        <v>45021.047222222223</v>
      </c>
      <c r="E425" s="14">
        <v>45021.136805555558</v>
      </c>
      <c r="F425" s="13" t="s">
        <v>100</v>
      </c>
      <c r="G425" s="13" t="s">
        <v>73</v>
      </c>
      <c r="H425" s="13" t="s">
        <v>87</v>
      </c>
      <c r="I425" s="17">
        <v>11.02</v>
      </c>
      <c r="J425" s="13" t="s">
        <v>94</v>
      </c>
      <c r="K425" s="13">
        <v>424</v>
      </c>
      <c r="L425" s="13" t="s">
        <v>110</v>
      </c>
      <c r="M425" s="13" t="s">
        <v>1564</v>
      </c>
      <c r="N425">
        <f>_xlfn.XLOOKUP(spaces_3iWczBNnn5rbfoUlE0Jd_uploads_git_blob_9864c7f811c613c3faab876659c6423__25[[#This Row],[Número de Orden]],Cocinadinamica!B426:B1194,Cocinadinamica!C426:C1194)</f>
        <v>60</v>
      </c>
      <c r="O425" s="7">
        <f>spaces_3iWczBNnn5rbfoUlE0Jd_uploads_git_blob_9864c7f811c613c3faab876659c6423__25[[#This Row],[Hora de Llegada]]</f>
        <v>45021.047222222223</v>
      </c>
      <c r="P425" s="9">
        <f>spaces_3iWczBNnn5rbfoUlE0Jd_uploads_git_blob_9864c7f811c613c3faab876659c6423__25[[#This Row],[Hora de Llegada]]</f>
        <v>45021.047222222223</v>
      </c>
      <c r="Q425" s="9">
        <f>spaces_3iWczBNnn5rbfoUlE0Jd_uploads_git_blob_9864c7f811c613c3faab876659c6423__25[[#This Row],[Hora de Salida]]</f>
        <v>45021.136805555558</v>
      </c>
      <c r="R425" s="9" cm="1">
        <f t="array" ref="R42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8.9583333334303461E-2</v>
      </c>
      <c r="S425" s="9">
        <f>_xlfn.XLOOKUP(spaces_3iWczBNnn5rbfoUlE0Jd_uploads_git_blob_9864c7f811c613c3faab876659c6423__25[[#This Row],[Número de Orden]],Cocinadinamica!E426:E1194,Cocinadinamica!F426:F1194)/1440</f>
        <v>6.1111111111111109E-2</v>
      </c>
      <c r="T425" s="9" cm="1">
        <f t="array" ref="T42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2.8472222223192352E-2</v>
      </c>
      <c r="U425" s="9" t="str" cm="1">
        <f t="array" ref="U42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26" spans="1:21" x14ac:dyDescent="0.35">
      <c r="A426" s="27" t="s">
        <v>98</v>
      </c>
      <c r="B426" s="11" t="s">
        <v>531</v>
      </c>
      <c r="C426" s="11">
        <v>3</v>
      </c>
      <c r="D426" s="12">
        <v>45021.058333333334</v>
      </c>
      <c r="E426" s="12">
        <v>45021.15625</v>
      </c>
      <c r="F426" s="11" t="s">
        <v>100</v>
      </c>
      <c r="G426" s="11" t="s">
        <v>86</v>
      </c>
      <c r="H426" s="11" t="s">
        <v>74</v>
      </c>
      <c r="I426" s="16">
        <v>49.43</v>
      </c>
      <c r="J426" s="11" t="s">
        <v>94</v>
      </c>
      <c r="K426" s="11">
        <v>425</v>
      </c>
      <c r="L426" s="11" t="s">
        <v>76</v>
      </c>
      <c r="M426" s="11" t="s">
        <v>29</v>
      </c>
      <c r="N426">
        <f>_xlfn.XLOOKUP(spaces_3iWczBNnn5rbfoUlE0Jd_uploads_git_blob_9864c7f811c613c3faab876659c6423__25[[#This Row],[Número de Orden]],Cocinadinamica!B427:B1195,Cocinadinamica!C427:C1195)</f>
        <v>8</v>
      </c>
      <c r="O426" s="7">
        <f>spaces_3iWczBNnn5rbfoUlE0Jd_uploads_git_blob_9864c7f811c613c3faab876659c6423__25[[#This Row],[Hora de Llegada]]</f>
        <v>45021.058333333334</v>
      </c>
      <c r="P426" s="9">
        <f>spaces_3iWczBNnn5rbfoUlE0Jd_uploads_git_blob_9864c7f811c613c3faab876659c6423__25[[#This Row],[Hora de Llegada]]</f>
        <v>45021.058333333334</v>
      </c>
      <c r="Q426" s="9">
        <f>spaces_3iWczBNnn5rbfoUlE0Jd_uploads_git_blob_9864c7f811c613c3faab876659c6423__25[[#This Row],[Hora de Salida]]</f>
        <v>45021.15625</v>
      </c>
      <c r="R426" s="9" cm="1">
        <f t="array" ref="R42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9.7916666665696539E-2</v>
      </c>
      <c r="S426" s="9">
        <f>_xlfn.XLOOKUP(spaces_3iWczBNnn5rbfoUlE0Jd_uploads_git_blob_9864c7f811c613c3faab876659c6423__25[[#This Row],[Número de Orden]],Cocinadinamica!E427:E1195,Cocinadinamica!F427:F1195)/1440</f>
        <v>1.9444444444444445E-2</v>
      </c>
      <c r="T426" s="9" cm="1">
        <f t="array" ref="T42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7.8472222221252094E-2</v>
      </c>
      <c r="U426" s="9" t="str" cm="1">
        <f t="array" ref="U42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27" spans="1:21" x14ac:dyDescent="0.35">
      <c r="A427" s="28">
        <v>5</v>
      </c>
      <c r="B427" s="13" t="s">
        <v>1092</v>
      </c>
      <c r="C427" s="13">
        <v>2</v>
      </c>
      <c r="D427" s="14">
        <v>45021.132638888892</v>
      </c>
      <c r="E427" s="14">
        <v>45021.209722222222</v>
      </c>
      <c r="F427" s="13" t="s">
        <v>72</v>
      </c>
      <c r="G427" s="13" t="s">
        <v>86</v>
      </c>
      <c r="H427" s="13" t="s">
        <v>74</v>
      </c>
      <c r="I427" s="17">
        <v>47.8</v>
      </c>
      <c r="J427" s="13" t="s">
        <v>94</v>
      </c>
      <c r="K427" s="13">
        <v>426</v>
      </c>
      <c r="L427" s="13" t="s">
        <v>89</v>
      </c>
      <c r="M427" s="13" t="s">
        <v>1565</v>
      </c>
      <c r="N427">
        <f>_xlfn.XLOOKUP(spaces_3iWczBNnn5rbfoUlE0Jd_uploads_git_blob_9864c7f811c613c3faab876659c6423__25[[#This Row],[Número de Orden]],Cocinadinamica!B428:B1196,Cocinadinamica!C428:C1196)</f>
        <v>99</v>
      </c>
      <c r="O427" s="7">
        <f>spaces_3iWczBNnn5rbfoUlE0Jd_uploads_git_blob_9864c7f811c613c3faab876659c6423__25[[#This Row],[Hora de Llegada]]</f>
        <v>45021.132638888892</v>
      </c>
      <c r="P427" s="9">
        <f>spaces_3iWczBNnn5rbfoUlE0Jd_uploads_git_blob_9864c7f811c613c3faab876659c6423__25[[#This Row],[Hora de Llegada]]</f>
        <v>45021.132638888892</v>
      </c>
      <c r="Q427" s="9">
        <f>spaces_3iWczBNnn5rbfoUlE0Jd_uploads_git_blob_9864c7f811c613c3faab876659c6423__25[[#This Row],[Hora de Salida]]</f>
        <v>45021.209722222222</v>
      </c>
      <c r="R427" s="9" cm="1">
        <f t="array" ref="R42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7.7083333329937886E-2</v>
      </c>
      <c r="S427" s="9">
        <f>_xlfn.XLOOKUP(spaces_3iWczBNnn5rbfoUlE0Jd_uploads_git_blob_9864c7f811c613c3faab876659c6423__25[[#This Row],[Número de Orden]],Cocinadinamica!E428:E1196,Cocinadinamica!F428:F1196)/1440</f>
        <v>8.0555555555555561E-2</v>
      </c>
      <c r="T427" s="9" cm="1">
        <f t="array" ref="T42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27" s="9" t="str" cm="1">
        <f t="array" ref="U42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28" spans="1:21" x14ac:dyDescent="0.35">
      <c r="A428" s="27">
        <v>2</v>
      </c>
      <c r="B428" s="11" t="s">
        <v>951</v>
      </c>
      <c r="C428" s="11">
        <v>4</v>
      </c>
      <c r="D428" s="12">
        <v>45021.106944444444</v>
      </c>
      <c r="E428" s="12">
        <v>45021.154861111114</v>
      </c>
      <c r="F428" s="11" t="s">
        <v>100</v>
      </c>
      <c r="G428" s="11" t="s">
        <v>86</v>
      </c>
      <c r="H428" s="11" t="s">
        <v>87</v>
      </c>
      <c r="I428" s="16">
        <v>43.74</v>
      </c>
      <c r="J428" s="11" t="s">
        <v>75</v>
      </c>
      <c r="K428" s="11">
        <v>427</v>
      </c>
      <c r="L428" s="11" t="s">
        <v>95</v>
      </c>
      <c r="M428" s="11" t="s">
        <v>1566</v>
      </c>
      <c r="N428">
        <f>_xlfn.XLOOKUP(spaces_3iWczBNnn5rbfoUlE0Jd_uploads_git_blob_9864c7f811c613c3faab876659c6423__25[[#This Row],[Número de Orden]],Cocinadinamica!B429:B1197,Cocinadinamica!C429:C1197)</f>
        <v>83</v>
      </c>
      <c r="O428" s="7">
        <f>spaces_3iWczBNnn5rbfoUlE0Jd_uploads_git_blob_9864c7f811c613c3faab876659c6423__25[[#This Row],[Hora de Llegada]]</f>
        <v>45021.106944444444</v>
      </c>
      <c r="P428" s="9">
        <f>spaces_3iWczBNnn5rbfoUlE0Jd_uploads_git_blob_9864c7f811c613c3faab876659c6423__25[[#This Row],[Hora de Llegada]]</f>
        <v>45021.106944444444</v>
      </c>
      <c r="Q428" s="9">
        <f>spaces_3iWczBNnn5rbfoUlE0Jd_uploads_git_blob_9864c7f811c613c3faab876659c6423__25[[#This Row],[Hora de Salida]]</f>
        <v>45021.154861111114</v>
      </c>
      <c r="R428" s="9" cm="1">
        <f t="array" ref="R42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4.7916666670062114E-2</v>
      </c>
      <c r="S428" s="9">
        <f>_xlfn.XLOOKUP(spaces_3iWczBNnn5rbfoUlE0Jd_uploads_git_blob_9864c7f811c613c3faab876659c6423__25[[#This Row],[Número de Orden]],Cocinadinamica!E429:E1197,Cocinadinamica!F429:F1197)/1440</f>
        <v>0.11527777777777778</v>
      </c>
      <c r="T428" s="9" cm="1">
        <f t="array" ref="T42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28" s="9" t="str" cm="1">
        <f t="array" ref="U42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29" spans="1:21" x14ac:dyDescent="0.35">
      <c r="A429" s="28">
        <v>7</v>
      </c>
      <c r="B429" s="13" t="s">
        <v>1093</v>
      </c>
      <c r="C429" s="13">
        <v>5</v>
      </c>
      <c r="D429" s="14">
        <v>45021.137499999997</v>
      </c>
      <c r="E429" s="14">
        <v>45021.252083333333</v>
      </c>
      <c r="F429" s="13" t="s">
        <v>72</v>
      </c>
      <c r="G429" s="13" t="s">
        <v>163</v>
      </c>
      <c r="H429" s="13" t="s">
        <v>74</v>
      </c>
      <c r="I429" s="17">
        <v>15.6</v>
      </c>
      <c r="J429" s="13" t="s">
        <v>94</v>
      </c>
      <c r="K429" s="13">
        <v>428</v>
      </c>
      <c r="L429" s="13" t="s">
        <v>187</v>
      </c>
      <c r="M429" s="13" t="s">
        <v>1567</v>
      </c>
      <c r="N429">
        <f>_xlfn.XLOOKUP(spaces_3iWczBNnn5rbfoUlE0Jd_uploads_git_blob_9864c7f811c613c3faab876659c6423__25[[#This Row],[Número de Orden]],Cocinadinamica!B430:B1198,Cocinadinamica!C430:C1198)</f>
        <v>68</v>
      </c>
      <c r="O429" s="7">
        <f>spaces_3iWczBNnn5rbfoUlE0Jd_uploads_git_blob_9864c7f811c613c3faab876659c6423__25[[#This Row],[Hora de Llegada]]</f>
        <v>45021.137499999997</v>
      </c>
      <c r="P429" s="9">
        <f>spaces_3iWczBNnn5rbfoUlE0Jd_uploads_git_blob_9864c7f811c613c3faab876659c6423__25[[#This Row],[Hora de Llegada]]</f>
        <v>45021.137499999997</v>
      </c>
      <c r="Q429" s="9">
        <f>spaces_3iWczBNnn5rbfoUlE0Jd_uploads_git_blob_9864c7f811c613c3faab876659c6423__25[[#This Row],[Hora de Salida]]</f>
        <v>45021.252083333333</v>
      </c>
      <c r="R429" s="9" cm="1">
        <f t="array" ref="R42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0.11458333333575865</v>
      </c>
      <c r="S429" s="9">
        <f>_xlfn.XLOOKUP(spaces_3iWczBNnn5rbfoUlE0Jd_uploads_git_blob_9864c7f811c613c3faab876659c6423__25[[#This Row],[Número de Orden]],Cocinadinamica!E430:E1198,Cocinadinamica!F430:F1198)/1440</f>
        <v>0.12430555555555556</v>
      </c>
      <c r="T429" s="9" cm="1">
        <f t="array" ref="T42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29" s="9" t="str" cm="1">
        <f t="array" ref="U42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30" spans="1:21" x14ac:dyDescent="0.35">
      <c r="A430" s="27" t="s">
        <v>215</v>
      </c>
      <c r="B430" s="11" t="s">
        <v>535</v>
      </c>
      <c r="C430" s="11">
        <v>1</v>
      </c>
      <c r="D430" s="12">
        <v>45021.006944444445</v>
      </c>
      <c r="E430" s="12">
        <v>45021.156944444447</v>
      </c>
      <c r="F430" s="11" t="s">
        <v>72</v>
      </c>
      <c r="G430" s="11" t="s">
        <v>86</v>
      </c>
      <c r="H430" s="11" t="s">
        <v>74</v>
      </c>
      <c r="I430" s="16">
        <v>10.95</v>
      </c>
      <c r="J430" s="11" t="s">
        <v>94</v>
      </c>
      <c r="K430" s="11">
        <v>429</v>
      </c>
      <c r="L430" s="11" t="s">
        <v>89</v>
      </c>
      <c r="M430" s="11" t="s">
        <v>47</v>
      </c>
      <c r="N430">
        <f>_xlfn.XLOOKUP(spaces_3iWczBNnn5rbfoUlE0Jd_uploads_git_blob_9864c7f811c613c3faab876659c6423__25[[#This Row],[Número de Orden]],Cocinadinamica!B431:B1199,Cocinadinamica!C431:C1199)</f>
        <v>33</v>
      </c>
      <c r="O430" s="7">
        <f>spaces_3iWczBNnn5rbfoUlE0Jd_uploads_git_blob_9864c7f811c613c3faab876659c6423__25[[#This Row],[Hora de Llegada]]</f>
        <v>45021.006944444445</v>
      </c>
      <c r="P430" s="9">
        <f>spaces_3iWczBNnn5rbfoUlE0Jd_uploads_git_blob_9864c7f811c613c3faab876659c6423__25[[#This Row],[Hora de Llegada]]</f>
        <v>45021.006944444445</v>
      </c>
      <c r="Q430" s="9">
        <f>spaces_3iWczBNnn5rbfoUlE0Jd_uploads_git_blob_9864c7f811c613c3faab876659c6423__25[[#This Row],[Hora de Salida]]</f>
        <v>45021.156944444447</v>
      </c>
      <c r="R430" s="9" cm="1">
        <f t="array" ref="R43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0.15000000000145519</v>
      </c>
      <c r="S430" s="9">
        <f>_xlfn.XLOOKUP(spaces_3iWczBNnn5rbfoUlE0Jd_uploads_git_blob_9864c7f811c613c3faab876659c6423__25[[#This Row],[Número de Orden]],Cocinadinamica!E431:E1199,Cocinadinamica!F431:F1199)/1440</f>
        <v>1.8749999999999999E-2</v>
      </c>
      <c r="T430" s="9" cm="1">
        <f t="array" ref="T43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0.1312500000014552</v>
      </c>
      <c r="U430" s="9" t="str" cm="1">
        <f t="array" ref="U43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1" spans="1:21" x14ac:dyDescent="0.35">
      <c r="A431" s="28" t="s">
        <v>70</v>
      </c>
      <c r="B431" s="13" t="s">
        <v>536</v>
      </c>
      <c r="C431" s="13">
        <v>3</v>
      </c>
      <c r="D431" s="14">
        <v>45021.097916666666</v>
      </c>
      <c r="E431" s="14">
        <v>45021.165972222225</v>
      </c>
      <c r="F431" s="13" t="s">
        <v>72</v>
      </c>
      <c r="G431" s="13" t="s">
        <v>86</v>
      </c>
      <c r="H431" s="13" t="s">
        <v>109</v>
      </c>
      <c r="I431" s="17">
        <v>42.09</v>
      </c>
      <c r="J431" s="13" t="s">
        <v>94</v>
      </c>
      <c r="K431" s="13">
        <v>430</v>
      </c>
      <c r="L431" s="13" t="s">
        <v>275</v>
      </c>
      <c r="M431" s="13" t="s">
        <v>49</v>
      </c>
      <c r="N431">
        <f>_xlfn.XLOOKUP(spaces_3iWczBNnn5rbfoUlE0Jd_uploads_git_blob_9864c7f811c613c3faab876659c6423__25[[#This Row],[Número de Orden]],Cocinadinamica!B432:B1200,Cocinadinamica!C432:C1200)</f>
        <v>10</v>
      </c>
      <c r="O431" s="7">
        <f>spaces_3iWczBNnn5rbfoUlE0Jd_uploads_git_blob_9864c7f811c613c3faab876659c6423__25[[#This Row],[Hora de Llegada]]</f>
        <v>45021.097916666666</v>
      </c>
      <c r="P431" s="9">
        <f>spaces_3iWczBNnn5rbfoUlE0Jd_uploads_git_blob_9864c7f811c613c3faab876659c6423__25[[#This Row],[Hora de Llegada]]</f>
        <v>45021.097916666666</v>
      </c>
      <c r="Q431" s="9">
        <f>spaces_3iWczBNnn5rbfoUlE0Jd_uploads_git_blob_9864c7f811c613c3faab876659c6423__25[[#This Row],[Hora de Salida]]</f>
        <v>45021.165972222225</v>
      </c>
      <c r="R431" s="9" cm="1">
        <f t="array" ref="R43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6.805555555911269E-2</v>
      </c>
      <c r="S431" s="9">
        <f>_xlfn.XLOOKUP(spaces_3iWczBNnn5rbfoUlE0Jd_uploads_git_blob_9864c7f811c613c3faab876659c6423__25[[#This Row],[Número de Orden]],Cocinadinamica!E432:E1200,Cocinadinamica!F432:F1200)/1440</f>
        <v>3.4027777777777775E-2</v>
      </c>
      <c r="T431" s="9" cm="1">
        <f t="array" ref="T43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3.4027777781334916E-2</v>
      </c>
      <c r="U431" s="9" t="str" cm="1">
        <f t="array" ref="U43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2" spans="1:21" x14ac:dyDescent="0.35">
      <c r="A432" s="27" t="s">
        <v>125</v>
      </c>
      <c r="B432" s="11" t="s">
        <v>385</v>
      </c>
      <c r="C432" s="11">
        <v>5</v>
      </c>
      <c r="D432" s="12">
        <v>45021.147916666669</v>
      </c>
      <c r="E432" s="12">
        <v>45021.309027777781</v>
      </c>
      <c r="F432" s="11" t="s">
        <v>85</v>
      </c>
      <c r="G432" s="11" t="s">
        <v>86</v>
      </c>
      <c r="H432" s="11" t="s">
        <v>74</v>
      </c>
      <c r="I432" s="16">
        <v>39.82</v>
      </c>
      <c r="J432" s="11" t="s">
        <v>75</v>
      </c>
      <c r="K432" s="11">
        <v>431</v>
      </c>
      <c r="L432" s="11" t="s">
        <v>164</v>
      </c>
      <c r="M432" s="11" t="s">
        <v>12</v>
      </c>
      <c r="N432">
        <f>_xlfn.XLOOKUP(spaces_3iWczBNnn5rbfoUlE0Jd_uploads_git_blob_9864c7f811c613c3faab876659c6423__25[[#This Row],[Número de Orden]],Cocinadinamica!B433:B1201,Cocinadinamica!C433:C1201)</f>
        <v>24</v>
      </c>
      <c r="O432" s="7">
        <f>spaces_3iWczBNnn5rbfoUlE0Jd_uploads_git_blob_9864c7f811c613c3faab876659c6423__25[[#This Row],[Hora de Llegada]]</f>
        <v>45021.147916666669</v>
      </c>
      <c r="P432" s="9">
        <f>spaces_3iWczBNnn5rbfoUlE0Jd_uploads_git_blob_9864c7f811c613c3faab876659c6423__25[[#This Row],[Hora de Llegada]]</f>
        <v>45021.147916666669</v>
      </c>
      <c r="Q432" s="9">
        <f>spaces_3iWczBNnn5rbfoUlE0Jd_uploads_git_blob_9864c7f811c613c3faab876659c6423__25[[#This Row],[Hora de Salida]]</f>
        <v>45021.309027777781</v>
      </c>
      <c r="R432" s="9" cm="1">
        <f t="array" ref="R43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0.16111111111240461</v>
      </c>
      <c r="S432" s="9">
        <f>_xlfn.XLOOKUP(spaces_3iWczBNnn5rbfoUlE0Jd_uploads_git_blob_9864c7f811c613c3faab876659c6423__25[[#This Row],[Número de Orden]],Cocinadinamica!E433:E1201,Cocinadinamica!F433:F1201)/1440</f>
        <v>1.3888888888888888E-2</v>
      </c>
      <c r="T432" s="9" cm="1">
        <f t="array" ref="T43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0.14722222222351572</v>
      </c>
      <c r="U432" s="9" t="str" cm="1">
        <f t="array" ref="U43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3" spans="1:21" x14ac:dyDescent="0.35">
      <c r="A433" s="28">
        <v>10</v>
      </c>
      <c r="B433" s="13" t="s">
        <v>1094</v>
      </c>
      <c r="C433" s="13">
        <v>2</v>
      </c>
      <c r="D433" s="14">
        <v>45021.146527777775</v>
      </c>
      <c r="E433" s="14">
        <v>45021.245833333334</v>
      </c>
      <c r="F433" s="13" t="s">
        <v>72</v>
      </c>
      <c r="G433" s="13" t="s">
        <v>73</v>
      </c>
      <c r="H433" s="13" t="s">
        <v>74</v>
      </c>
      <c r="I433" s="17">
        <v>18.71</v>
      </c>
      <c r="J433" s="13" t="s">
        <v>75</v>
      </c>
      <c r="K433" s="13">
        <v>432</v>
      </c>
      <c r="L433" s="13" t="s">
        <v>110</v>
      </c>
      <c r="M433" s="13" t="s">
        <v>1568</v>
      </c>
      <c r="N433">
        <f>_xlfn.XLOOKUP(spaces_3iWczBNnn5rbfoUlE0Jd_uploads_git_blob_9864c7f811c613c3faab876659c6423__25[[#This Row],[Número de Orden]],Cocinadinamica!B434:B1202,Cocinadinamica!C434:C1202)</f>
        <v>44</v>
      </c>
      <c r="O433" s="7">
        <f>spaces_3iWczBNnn5rbfoUlE0Jd_uploads_git_blob_9864c7f811c613c3faab876659c6423__25[[#This Row],[Hora de Llegada]]</f>
        <v>45021.146527777775</v>
      </c>
      <c r="P433" s="9">
        <f>spaces_3iWczBNnn5rbfoUlE0Jd_uploads_git_blob_9864c7f811c613c3faab876659c6423__25[[#This Row],[Hora de Llegada]]</f>
        <v>45021.146527777775</v>
      </c>
      <c r="Q433" s="9">
        <f>spaces_3iWczBNnn5rbfoUlE0Jd_uploads_git_blob_9864c7f811c613c3faab876659c6423__25[[#This Row],[Hora de Salida]]</f>
        <v>45021.245833333334</v>
      </c>
      <c r="R433" s="9" cm="1">
        <f t="array" ref="R43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9.930555555911269E-2</v>
      </c>
      <c r="S433" s="9">
        <f>_xlfn.XLOOKUP(spaces_3iWczBNnn5rbfoUlE0Jd_uploads_git_blob_9864c7f811c613c3faab876659c6423__25[[#This Row],[Número de Orden]],Cocinadinamica!E434:E1202,Cocinadinamica!F434:F1202)/1440</f>
        <v>5.1388888888888887E-2</v>
      </c>
      <c r="T433" s="9" cm="1">
        <f t="array" ref="T43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4.7916666670223804E-2</v>
      </c>
      <c r="U433" s="9" t="str" cm="1">
        <f t="array" ref="U43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4" spans="1:21" x14ac:dyDescent="0.35">
      <c r="A434" s="27">
        <v>10</v>
      </c>
      <c r="B434" s="11" t="s">
        <v>867</v>
      </c>
      <c r="C434" s="11">
        <v>4</v>
      </c>
      <c r="D434" s="12">
        <v>45021.051388888889</v>
      </c>
      <c r="E434" s="12">
        <v>45021.131249999999</v>
      </c>
      <c r="F434" s="11" t="s">
        <v>72</v>
      </c>
      <c r="G434" s="11" t="s">
        <v>86</v>
      </c>
      <c r="H434" s="11" t="s">
        <v>74</v>
      </c>
      <c r="I434" s="16">
        <v>45.77</v>
      </c>
      <c r="J434" s="11" t="s">
        <v>94</v>
      </c>
      <c r="K434" s="11">
        <v>433</v>
      </c>
      <c r="L434" s="11" t="s">
        <v>95</v>
      </c>
      <c r="M434" s="11" t="s">
        <v>1569</v>
      </c>
      <c r="N434">
        <f>_xlfn.XLOOKUP(spaces_3iWczBNnn5rbfoUlE0Jd_uploads_git_blob_9864c7f811c613c3faab876659c6423__25[[#This Row],[Número de Orden]],Cocinadinamica!B435:B1203,Cocinadinamica!C435:C1203)</f>
        <v>42</v>
      </c>
      <c r="O434" s="7">
        <f>spaces_3iWczBNnn5rbfoUlE0Jd_uploads_git_blob_9864c7f811c613c3faab876659c6423__25[[#This Row],[Hora de Llegada]]</f>
        <v>45021.051388888889</v>
      </c>
      <c r="P434" s="9">
        <f>spaces_3iWczBNnn5rbfoUlE0Jd_uploads_git_blob_9864c7f811c613c3faab876659c6423__25[[#This Row],[Hora de Llegada]]</f>
        <v>45021.051388888889</v>
      </c>
      <c r="Q434" s="9">
        <f>spaces_3iWczBNnn5rbfoUlE0Jd_uploads_git_blob_9864c7f811c613c3faab876659c6423__25[[#This Row],[Hora de Salida]]</f>
        <v>45021.131249999999</v>
      </c>
      <c r="R434" s="9" cm="1">
        <f t="array" ref="R43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7.9861111109494232E-2</v>
      </c>
      <c r="S434" s="9">
        <f>_xlfn.XLOOKUP(spaces_3iWczBNnn5rbfoUlE0Jd_uploads_git_blob_9864c7f811c613c3faab876659c6423__25[[#This Row],[Número de Orden]],Cocinadinamica!E435:E1203,Cocinadinamica!F435:F1203)/1440</f>
        <v>5.1388888888888887E-2</v>
      </c>
      <c r="T434" s="9" cm="1">
        <f t="array" ref="T43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2.8472222220605345E-2</v>
      </c>
      <c r="U434" s="9" t="str" cm="1">
        <f t="array" ref="U43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5" spans="1:21" x14ac:dyDescent="0.35">
      <c r="A435" s="28">
        <v>15</v>
      </c>
      <c r="B435" s="13" t="s">
        <v>1095</v>
      </c>
      <c r="C435" s="13">
        <v>4</v>
      </c>
      <c r="D435" s="14">
        <v>45021.010416666664</v>
      </c>
      <c r="E435" s="14">
        <v>45021.163194444445</v>
      </c>
      <c r="F435" s="13" t="s">
        <v>72</v>
      </c>
      <c r="G435" s="13" t="s">
        <v>86</v>
      </c>
      <c r="H435" s="13" t="s">
        <v>74</v>
      </c>
      <c r="I435" s="17">
        <v>37.15</v>
      </c>
      <c r="J435" s="13" t="s">
        <v>94</v>
      </c>
      <c r="K435" s="13">
        <v>434</v>
      </c>
      <c r="L435" s="13" t="s">
        <v>95</v>
      </c>
      <c r="M435" s="13" t="s">
        <v>1570</v>
      </c>
      <c r="N435">
        <f>_xlfn.XLOOKUP(spaces_3iWczBNnn5rbfoUlE0Jd_uploads_git_blob_9864c7f811c613c3faab876659c6423__25[[#This Row],[Número de Orden]],Cocinadinamica!B436:B1204,Cocinadinamica!C436:C1204)</f>
        <v>40</v>
      </c>
      <c r="O435" s="7">
        <f>spaces_3iWczBNnn5rbfoUlE0Jd_uploads_git_blob_9864c7f811c613c3faab876659c6423__25[[#This Row],[Hora de Llegada]]</f>
        <v>45021.010416666664</v>
      </c>
      <c r="P435" s="9">
        <f>spaces_3iWczBNnn5rbfoUlE0Jd_uploads_git_blob_9864c7f811c613c3faab876659c6423__25[[#This Row],[Hora de Llegada]]</f>
        <v>45021.010416666664</v>
      </c>
      <c r="Q435" s="9">
        <f>spaces_3iWczBNnn5rbfoUlE0Jd_uploads_git_blob_9864c7f811c613c3faab876659c6423__25[[#This Row],[Hora de Salida]]</f>
        <v>45021.163194444445</v>
      </c>
      <c r="R435" s="9" cm="1">
        <f t="array" ref="R43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0.15277777778101154</v>
      </c>
      <c r="S435" s="9">
        <f>_xlfn.XLOOKUP(spaces_3iWczBNnn5rbfoUlE0Jd_uploads_git_blob_9864c7f811c613c3faab876659c6423__25[[#This Row],[Número de Orden]],Cocinadinamica!E436:E1204,Cocinadinamica!F436:F1204)/1440</f>
        <v>4.027777777777778E-2</v>
      </c>
      <c r="T435" s="9" cm="1">
        <f t="array" ref="T43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0.11250000000323376</v>
      </c>
      <c r="U435" s="9" t="str" cm="1">
        <f t="array" ref="U43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6" spans="1:21" x14ac:dyDescent="0.35">
      <c r="A436" s="27">
        <v>17</v>
      </c>
      <c r="B436" s="11" t="s">
        <v>1096</v>
      </c>
      <c r="C436" s="11">
        <v>6</v>
      </c>
      <c r="D436" s="12">
        <v>45021.161805555559</v>
      </c>
      <c r="E436" s="12">
        <v>45021.250694444447</v>
      </c>
      <c r="F436" s="11" t="s">
        <v>85</v>
      </c>
      <c r="G436" s="11" t="s">
        <v>86</v>
      </c>
      <c r="H436" s="11" t="s">
        <v>74</v>
      </c>
      <c r="I436" s="16">
        <v>30.48</v>
      </c>
      <c r="J436" s="11" t="s">
        <v>88</v>
      </c>
      <c r="K436" s="11">
        <v>435</v>
      </c>
      <c r="L436" s="11" t="s">
        <v>181</v>
      </c>
      <c r="M436" s="11" t="s">
        <v>1571</v>
      </c>
      <c r="N436">
        <f>_xlfn.XLOOKUP(spaces_3iWczBNnn5rbfoUlE0Jd_uploads_git_blob_9864c7f811c613c3faab876659c6423__25[[#This Row],[Número de Orden]],Cocinadinamica!B437:B1205,Cocinadinamica!C437:C1205)</f>
        <v>62</v>
      </c>
      <c r="O436" s="7">
        <f>spaces_3iWczBNnn5rbfoUlE0Jd_uploads_git_blob_9864c7f811c613c3faab876659c6423__25[[#This Row],[Hora de Llegada]]</f>
        <v>45021.161805555559</v>
      </c>
      <c r="P436" s="9">
        <f>spaces_3iWczBNnn5rbfoUlE0Jd_uploads_git_blob_9864c7f811c613c3faab876659c6423__25[[#This Row],[Hora de Llegada]]</f>
        <v>45021.161805555559</v>
      </c>
      <c r="Q436" s="9">
        <f>spaces_3iWczBNnn5rbfoUlE0Jd_uploads_git_blob_9864c7f811c613c3faab876659c6423__25[[#This Row],[Hora de Salida]]</f>
        <v>45021.250694444447</v>
      </c>
      <c r="R436" s="9" cm="1">
        <f t="array" ref="R43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9.9305555551836733E-2</v>
      </c>
      <c r="S436" s="9">
        <f>_xlfn.XLOOKUP(spaces_3iWczBNnn5rbfoUlE0Jd_uploads_git_blob_9864c7f811c613c3faab876659c6423__25[[#This Row],[Número de Orden]],Cocinadinamica!E437:E1205,Cocinadinamica!F437:F1205)/1440</f>
        <v>7.7083333333333337E-2</v>
      </c>
      <c r="T436" s="9" cm="1">
        <f t="array" ref="T43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2.2222222218503396E-2</v>
      </c>
      <c r="U436" s="9" t="str" cm="1">
        <f t="array" ref="U43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7" spans="1:21" x14ac:dyDescent="0.35">
      <c r="A437" s="28" t="s">
        <v>232</v>
      </c>
      <c r="B437" s="13" t="s">
        <v>541</v>
      </c>
      <c r="C437" s="13">
        <v>3</v>
      </c>
      <c r="D437" s="14">
        <v>45021.008333333331</v>
      </c>
      <c r="E437" s="14">
        <v>45021.169444444444</v>
      </c>
      <c r="F437" s="13" t="s">
        <v>85</v>
      </c>
      <c r="G437" s="13" t="s">
        <v>86</v>
      </c>
      <c r="H437" s="13" t="s">
        <v>74</v>
      </c>
      <c r="I437" s="17">
        <v>10.14</v>
      </c>
      <c r="J437" s="13" t="s">
        <v>88</v>
      </c>
      <c r="K437" s="13">
        <v>436</v>
      </c>
      <c r="L437" s="13" t="s">
        <v>89</v>
      </c>
      <c r="M437" s="13" t="s">
        <v>27</v>
      </c>
      <c r="N437">
        <f>_xlfn.XLOOKUP(spaces_3iWczBNnn5rbfoUlE0Jd_uploads_git_blob_9864c7f811c613c3faab876659c6423__25[[#This Row],[Número de Orden]],Cocinadinamica!B438:B1206,Cocinadinamica!C438:C1206)</f>
        <v>24</v>
      </c>
      <c r="O437" s="7">
        <f>spaces_3iWczBNnn5rbfoUlE0Jd_uploads_git_blob_9864c7f811c613c3faab876659c6423__25[[#This Row],[Hora de Llegada]]</f>
        <v>45021.008333333331</v>
      </c>
      <c r="P437" s="9">
        <f>spaces_3iWczBNnn5rbfoUlE0Jd_uploads_git_blob_9864c7f811c613c3faab876659c6423__25[[#This Row],[Hora de Llegada]]</f>
        <v>45021.008333333331</v>
      </c>
      <c r="Q437" s="9">
        <f>spaces_3iWczBNnn5rbfoUlE0Jd_uploads_git_blob_9864c7f811c613c3faab876659c6423__25[[#This Row],[Hora de Salida]]</f>
        <v>45021.169444444444</v>
      </c>
      <c r="R437" s="9" cm="1">
        <f t="array" ref="R43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0.17152777777664596</v>
      </c>
      <c r="S437" s="9">
        <f>_xlfn.XLOOKUP(spaces_3iWczBNnn5rbfoUlE0Jd_uploads_git_blob_9864c7f811c613c3faab876659c6423__25[[#This Row],[Número de Orden]],Cocinadinamica!E438:E1206,Cocinadinamica!F438:F1206)/1440</f>
        <v>3.125E-2</v>
      </c>
      <c r="T437" s="9" cm="1">
        <f t="array" ref="T43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0.14027777777664596</v>
      </c>
      <c r="U437" s="9" t="str" cm="1">
        <f t="array" ref="U43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8" spans="1:21" x14ac:dyDescent="0.35">
      <c r="A438" s="27" t="s">
        <v>224</v>
      </c>
      <c r="B438" s="11" t="s">
        <v>542</v>
      </c>
      <c r="C438" s="11">
        <v>6</v>
      </c>
      <c r="D438" s="12">
        <v>45021.126388888886</v>
      </c>
      <c r="E438" s="12">
        <v>45021.225694444445</v>
      </c>
      <c r="F438" s="11" t="s">
        <v>170</v>
      </c>
      <c r="G438" s="11" t="s">
        <v>86</v>
      </c>
      <c r="H438" s="11" t="s">
        <v>74</v>
      </c>
      <c r="I438" s="16">
        <v>12.56</v>
      </c>
      <c r="J438" s="11" t="s">
        <v>94</v>
      </c>
      <c r="K438" s="11">
        <v>437</v>
      </c>
      <c r="L438" s="11" t="s">
        <v>221</v>
      </c>
      <c r="M438" s="11" t="s">
        <v>31</v>
      </c>
      <c r="N438">
        <f>_xlfn.XLOOKUP(spaces_3iWczBNnn5rbfoUlE0Jd_uploads_git_blob_9864c7f811c613c3faab876659c6423__25[[#This Row],[Número de Orden]],Cocinadinamica!B439:B1207,Cocinadinamica!C439:C1207)</f>
        <v>28</v>
      </c>
      <c r="O438" s="7">
        <f>spaces_3iWczBNnn5rbfoUlE0Jd_uploads_git_blob_9864c7f811c613c3faab876659c6423__25[[#This Row],[Hora de Llegada]]</f>
        <v>45021.126388888886</v>
      </c>
      <c r="P438" s="9">
        <f>spaces_3iWczBNnn5rbfoUlE0Jd_uploads_git_blob_9864c7f811c613c3faab876659c6423__25[[#This Row],[Hora de Llegada]]</f>
        <v>45021.126388888886</v>
      </c>
      <c r="Q438" s="9">
        <f>spaces_3iWczBNnn5rbfoUlE0Jd_uploads_git_blob_9864c7f811c613c3faab876659c6423__25[[#This Row],[Hora de Salida]]</f>
        <v>45021.225694444445</v>
      </c>
      <c r="R438" s="9" cm="1">
        <f t="array" ref="R43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9.930555555911269E-2</v>
      </c>
      <c r="S438" s="9">
        <f>_xlfn.XLOOKUP(spaces_3iWczBNnn5rbfoUlE0Jd_uploads_git_blob_9864c7f811c613c3faab876659c6423__25[[#This Row],[Número de Orden]],Cocinadinamica!E439:E1207,Cocinadinamica!F439:F1207)/1440</f>
        <v>3.5416666666666666E-2</v>
      </c>
      <c r="T438" s="9" cm="1">
        <f t="array" ref="T43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6.3888888892446025E-2</v>
      </c>
      <c r="U438" s="9" t="str" cm="1">
        <f t="array" ref="U43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39" spans="1:21" x14ac:dyDescent="0.35">
      <c r="A439" s="28" t="s">
        <v>83</v>
      </c>
      <c r="B439" s="13" t="s">
        <v>543</v>
      </c>
      <c r="C439" s="13">
        <v>1</v>
      </c>
      <c r="D439" s="14">
        <v>45021.165277777778</v>
      </c>
      <c r="E439" s="14">
        <v>45021.314583333333</v>
      </c>
      <c r="F439" s="13" t="s">
        <v>223</v>
      </c>
      <c r="G439" s="13" t="s">
        <v>86</v>
      </c>
      <c r="H439" s="13" t="s">
        <v>74</v>
      </c>
      <c r="I439" s="17">
        <v>1.93</v>
      </c>
      <c r="J439" s="13" t="s">
        <v>75</v>
      </c>
      <c r="K439" s="13">
        <v>438</v>
      </c>
      <c r="L439" s="13" t="s">
        <v>164</v>
      </c>
      <c r="M439" s="13" t="s">
        <v>25</v>
      </c>
      <c r="N439">
        <f>_xlfn.XLOOKUP(spaces_3iWczBNnn5rbfoUlE0Jd_uploads_git_blob_9864c7f811c613c3faab876659c6423__25[[#This Row],[Número de Orden]],Cocinadinamica!B440:B1208,Cocinadinamica!C440:C1208)</f>
        <v>13</v>
      </c>
      <c r="O439" s="7">
        <f>spaces_3iWczBNnn5rbfoUlE0Jd_uploads_git_blob_9864c7f811c613c3faab876659c6423__25[[#This Row],[Hora de Llegada]]</f>
        <v>45021.165277777778</v>
      </c>
      <c r="P439" s="9">
        <f>spaces_3iWczBNnn5rbfoUlE0Jd_uploads_git_blob_9864c7f811c613c3faab876659c6423__25[[#This Row],[Hora de Llegada]]</f>
        <v>45021.165277777778</v>
      </c>
      <c r="Q439" s="9">
        <f>spaces_3iWczBNnn5rbfoUlE0Jd_uploads_git_blob_9864c7f811c613c3faab876659c6423__25[[#This Row],[Hora de Salida]]</f>
        <v>45021.314583333333</v>
      </c>
      <c r="R439" s="9" cm="1">
        <f t="array" ref="R43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0.14930555555474712</v>
      </c>
      <c r="S439" s="9">
        <f>_xlfn.XLOOKUP(spaces_3iWczBNnn5rbfoUlE0Jd_uploads_git_blob_9864c7f811c613c3faab876659c6423__25[[#This Row],[Número de Orden]],Cocinadinamica!E440:E1208,Cocinadinamica!F440:F1208)/1440</f>
        <v>3.5416666666666666E-2</v>
      </c>
      <c r="T439" s="9" cm="1">
        <f t="array" ref="T43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0.11388888888808045</v>
      </c>
      <c r="U439" s="9" t="str" cm="1">
        <f t="array" ref="U43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40" spans="1:21" x14ac:dyDescent="0.35">
      <c r="A440" s="27">
        <v>15</v>
      </c>
      <c r="B440" s="11" t="s">
        <v>1097</v>
      </c>
      <c r="C440" s="11">
        <v>1</v>
      </c>
      <c r="D440" s="12">
        <v>45021</v>
      </c>
      <c r="E440" s="12">
        <v>45021.057638888888</v>
      </c>
      <c r="F440" s="11" t="s">
        <v>170</v>
      </c>
      <c r="G440" s="11" t="s">
        <v>73</v>
      </c>
      <c r="H440" s="11" t="s">
        <v>74</v>
      </c>
      <c r="I440" s="16">
        <v>25.56</v>
      </c>
      <c r="J440" s="11" t="s">
        <v>75</v>
      </c>
      <c r="K440" s="11">
        <v>439</v>
      </c>
      <c r="L440" s="11" t="s">
        <v>95</v>
      </c>
      <c r="M440" s="11" t="s">
        <v>1572</v>
      </c>
      <c r="N440">
        <f>_xlfn.XLOOKUP(spaces_3iWczBNnn5rbfoUlE0Jd_uploads_git_blob_9864c7f811c613c3faab876659c6423__25[[#This Row],[Número de Orden]],Cocinadinamica!B441:B1209,Cocinadinamica!C441:C1209)</f>
        <v>72</v>
      </c>
      <c r="O440" s="7">
        <f>spaces_3iWczBNnn5rbfoUlE0Jd_uploads_git_blob_9864c7f811c613c3faab876659c6423__25[[#This Row],[Hora de Llegada]]</f>
        <v>45021</v>
      </c>
      <c r="P440" s="9">
        <f>spaces_3iWczBNnn5rbfoUlE0Jd_uploads_git_blob_9864c7f811c613c3faab876659c6423__25[[#This Row],[Hora de Llegada]]</f>
        <v>45021</v>
      </c>
      <c r="Q440" s="9">
        <f>spaces_3iWczBNnn5rbfoUlE0Jd_uploads_git_blob_9864c7f811c613c3faab876659c6423__25[[#This Row],[Hora de Salida]]</f>
        <v>45021.057638888888</v>
      </c>
      <c r="R440" s="9" cm="1">
        <f t="array" ref="R44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5.7638888887595385E-2</v>
      </c>
      <c r="S440" s="9">
        <f>_xlfn.XLOOKUP(spaces_3iWczBNnn5rbfoUlE0Jd_uploads_git_blob_9864c7f811c613c3faab876659c6423__25[[#This Row],[Número de Orden]],Cocinadinamica!E441:E1209,Cocinadinamica!F441:F1209)/1440</f>
        <v>4.4444444444444446E-2</v>
      </c>
      <c r="T440" s="9" cm="1">
        <f t="array" ref="T44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1.3194444443150939E-2</v>
      </c>
      <c r="U440" s="9" t="str" cm="1">
        <f t="array" ref="U44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41" spans="1:21" x14ac:dyDescent="0.35">
      <c r="A441" s="28">
        <v>13</v>
      </c>
      <c r="B441" s="13" t="s">
        <v>1098</v>
      </c>
      <c r="C441" s="13">
        <v>1</v>
      </c>
      <c r="D441" s="14">
        <v>45021.082638888889</v>
      </c>
      <c r="E441" s="14">
        <v>45021.241666666669</v>
      </c>
      <c r="F441" s="13" t="s">
        <v>100</v>
      </c>
      <c r="G441" s="13" t="s">
        <v>86</v>
      </c>
      <c r="H441" s="13" t="s">
        <v>74</v>
      </c>
      <c r="I441" s="17">
        <v>38.85</v>
      </c>
      <c r="J441" s="13" t="s">
        <v>88</v>
      </c>
      <c r="K441" s="13">
        <v>440</v>
      </c>
      <c r="L441" s="13" t="s">
        <v>164</v>
      </c>
      <c r="M441" s="13" t="s">
        <v>1573</v>
      </c>
      <c r="N441">
        <f>_xlfn.XLOOKUP(spaces_3iWczBNnn5rbfoUlE0Jd_uploads_git_blob_9864c7f811c613c3faab876659c6423__25[[#This Row],[Número de Orden]],Cocinadinamica!B442:B1210,Cocinadinamica!C442:C1210)</f>
        <v>34</v>
      </c>
      <c r="O441" s="7">
        <f>spaces_3iWczBNnn5rbfoUlE0Jd_uploads_git_blob_9864c7f811c613c3faab876659c6423__25[[#This Row],[Hora de Llegada]]</f>
        <v>45021.082638888889</v>
      </c>
      <c r="P441" s="9">
        <f>spaces_3iWczBNnn5rbfoUlE0Jd_uploads_git_blob_9864c7f811c613c3faab876659c6423__25[[#This Row],[Hora de Llegada]]</f>
        <v>45021.082638888889</v>
      </c>
      <c r="Q441" s="9">
        <f>spaces_3iWczBNnn5rbfoUlE0Jd_uploads_git_blob_9864c7f811c613c3faab876659c6423__25[[#This Row],[Hora de Salida]]</f>
        <v>45021.241666666669</v>
      </c>
      <c r="R441" s="9" cm="1">
        <f t="array" ref="R44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0.16944444444379769</v>
      </c>
      <c r="S441" s="9">
        <f>_xlfn.XLOOKUP(spaces_3iWczBNnn5rbfoUlE0Jd_uploads_git_blob_9864c7f811c613c3faab876659c6423__25[[#This Row],[Número de Orden]],Cocinadinamica!E442:E1210,Cocinadinamica!F442:F1210)/1440</f>
        <v>3.125E-2</v>
      </c>
      <c r="T441" s="9" cm="1">
        <f t="array" ref="T44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0.13819444444379769</v>
      </c>
      <c r="U441" s="9" t="str" cm="1">
        <f t="array" ref="U44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42" spans="1:21" x14ac:dyDescent="0.35">
      <c r="A442" s="27">
        <v>13</v>
      </c>
      <c r="B442" s="11" t="s">
        <v>795</v>
      </c>
      <c r="C442" s="11">
        <v>6</v>
      </c>
      <c r="D442" s="12">
        <v>45021.044444444444</v>
      </c>
      <c r="E442" s="12">
        <v>45021.140972222223</v>
      </c>
      <c r="F442" s="11" t="s">
        <v>100</v>
      </c>
      <c r="G442" s="11" t="s">
        <v>86</v>
      </c>
      <c r="H442" s="11" t="s">
        <v>87</v>
      </c>
      <c r="I442" s="16">
        <v>23.31</v>
      </c>
      <c r="J442" s="11" t="s">
        <v>88</v>
      </c>
      <c r="K442" s="11">
        <v>441</v>
      </c>
      <c r="L442" s="11" t="s">
        <v>181</v>
      </c>
      <c r="M442" s="11" t="s">
        <v>1283</v>
      </c>
      <c r="N442">
        <f>_xlfn.XLOOKUP(spaces_3iWczBNnn5rbfoUlE0Jd_uploads_git_blob_9864c7f811c613c3faab876659c6423__25[[#This Row],[Número de Orden]],Cocinadinamica!B443:B1211,Cocinadinamica!C443:C1211)</f>
        <v>75</v>
      </c>
      <c r="O442" s="7">
        <f>spaces_3iWczBNnn5rbfoUlE0Jd_uploads_git_blob_9864c7f811c613c3faab876659c6423__25[[#This Row],[Hora de Llegada]]</f>
        <v>45021.044444444444</v>
      </c>
      <c r="P442" s="9">
        <f>spaces_3iWczBNnn5rbfoUlE0Jd_uploads_git_blob_9864c7f811c613c3faab876659c6423__25[[#This Row],[Hora de Llegada]]</f>
        <v>45021.044444444444</v>
      </c>
      <c r="Q442" s="9">
        <f>spaces_3iWczBNnn5rbfoUlE0Jd_uploads_git_blob_9864c7f811c613c3faab876659c6423__25[[#This Row],[Hora de Salida]]</f>
        <v>45021.140972222223</v>
      </c>
      <c r="R442" s="9" cm="1">
        <f t="array" ref="R44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0.10694444444379769</v>
      </c>
      <c r="S442" s="9">
        <f>_xlfn.XLOOKUP(spaces_3iWczBNnn5rbfoUlE0Jd_uploads_git_blob_9864c7f811c613c3faab876659c6423__25[[#This Row],[Número de Orden]],Cocinadinamica!E443:E1211,Cocinadinamica!F443:F1211)/1440</f>
        <v>6.25E-2</v>
      </c>
      <c r="T442" s="9" cm="1">
        <f t="array" ref="T44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4.4444444443797693E-2</v>
      </c>
      <c r="U442" s="9" t="str" cm="1">
        <f t="array" ref="U44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43" spans="1:21" x14ac:dyDescent="0.35">
      <c r="A443" s="28">
        <v>15</v>
      </c>
      <c r="B443" s="13" t="s">
        <v>1099</v>
      </c>
      <c r="C443" s="13">
        <v>3</v>
      </c>
      <c r="D443" s="14">
        <v>45021.086111111108</v>
      </c>
      <c r="E443" s="14">
        <v>45021.137499999997</v>
      </c>
      <c r="F443" s="13" t="s">
        <v>72</v>
      </c>
      <c r="G443" s="13" t="s">
        <v>73</v>
      </c>
      <c r="H443" s="13" t="s">
        <v>74</v>
      </c>
      <c r="I443" s="17">
        <v>21.07</v>
      </c>
      <c r="J443" s="13" t="s">
        <v>88</v>
      </c>
      <c r="K443" s="13">
        <v>442</v>
      </c>
      <c r="L443" s="13" t="s">
        <v>174</v>
      </c>
      <c r="M443" s="13" t="s">
        <v>1574</v>
      </c>
      <c r="N443">
        <f>_xlfn.XLOOKUP(spaces_3iWczBNnn5rbfoUlE0Jd_uploads_git_blob_9864c7f811c613c3faab876659c6423__25[[#This Row],[Número de Orden]],Cocinadinamica!B444:B1212,Cocinadinamica!C444:C1212)</f>
        <v>94</v>
      </c>
      <c r="O443" s="7">
        <f>spaces_3iWczBNnn5rbfoUlE0Jd_uploads_git_blob_9864c7f811c613c3faab876659c6423__25[[#This Row],[Hora de Llegada]]</f>
        <v>45021.086111111108</v>
      </c>
      <c r="P443" s="9">
        <f>spaces_3iWczBNnn5rbfoUlE0Jd_uploads_git_blob_9864c7f811c613c3faab876659c6423__25[[#This Row],[Hora de Llegada]]</f>
        <v>45021.086111111108</v>
      </c>
      <c r="Q443" s="9">
        <f>spaces_3iWczBNnn5rbfoUlE0Jd_uploads_git_blob_9864c7f811c613c3faab876659c6423__25[[#This Row],[Hora de Salida]]</f>
        <v>45021.137499999997</v>
      </c>
      <c r="R443" s="9" cm="1">
        <f t="array" ref="R44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6.1805555553291924E-2</v>
      </c>
      <c r="S443" s="9">
        <f>_xlfn.XLOOKUP(spaces_3iWczBNnn5rbfoUlE0Jd_uploads_git_blob_9864c7f811c613c3faab876659c6423__25[[#This Row],[Número de Orden]],Cocinadinamica!E444:E1212,Cocinadinamica!F444:F1212)/1440</f>
        <v>9.0972222222222218E-2</v>
      </c>
      <c r="T443" s="9" cm="1">
        <f t="array" ref="T44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43" s="9" t="str" cm="1">
        <f t="array" ref="U44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44" spans="1:21" x14ac:dyDescent="0.35">
      <c r="A444" s="27">
        <v>4</v>
      </c>
      <c r="B444" s="11" t="s">
        <v>531</v>
      </c>
      <c r="C444" s="11">
        <v>2</v>
      </c>
      <c r="D444" s="12">
        <v>45021.052083333336</v>
      </c>
      <c r="E444" s="12">
        <v>45021.134722222225</v>
      </c>
      <c r="F444" s="11" t="s">
        <v>100</v>
      </c>
      <c r="G444" s="11" t="s">
        <v>86</v>
      </c>
      <c r="H444" s="11" t="s">
        <v>109</v>
      </c>
      <c r="I444" s="16">
        <v>14.48</v>
      </c>
      <c r="J444" s="11" t="s">
        <v>75</v>
      </c>
      <c r="K444" s="11">
        <v>443</v>
      </c>
      <c r="L444" s="11" t="s">
        <v>275</v>
      </c>
      <c r="M444" s="11" t="s">
        <v>1575</v>
      </c>
      <c r="N444">
        <f>_xlfn.XLOOKUP(spaces_3iWczBNnn5rbfoUlE0Jd_uploads_git_blob_9864c7f811c613c3faab876659c6423__25[[#This Row],[Número de Orden]],Cocinadinamica!B445:B1213,Cocinadinamica!C445:C1213)</f>
        <v>91</v>
      </c>
      <c r="O444" s="7">
        <f>spaces_3iWczBNnn5rbfoUlE0Jd_uploads_git_blob_9864c7f811c613c3faab876659c6423__25[[#This Row],[Hora de Llegada]]</f>
        <v>45021.052083333336</v>
      </c>
      <c r="P444" s="9">
        <f>spaces_3iWczBNnn5rbfoUlE0Jd_uploads_git_blob_9864c7f811c613c3faab876659c6423__25[[#This Row],[Hora de Llegada]]</f>
        <v>45021.052083333336</v>
      </c>
      <c r="Q444" s="9">
        <f>spaces_3iWczBNnn5rbfoUlE0Jd_uploads_git_blob_9864c7f811c613c3faab876659c6423__25[[#This Row],[Hora de Salida]]</f>
        <v>45021.134722222225</v>
      </c>
      <c r="R444" s="9" cm="1">
        <f t="array" ref="R44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8.2638888889050577E-2</v>
      </c>
      <c r="S444" s="9">
        <f>_xlfn.XLOOKUP(spaces_3iWczBNnn5rbfoUlE0Jd_uploads_git_blob_9864c7f811c613c3faab876659c6423__25[[#This Row],[Número de Orden]],Cocinadinamica!E445:E1213,Cocinadinamica!F445:F1213)/1440</f>
        <v>0.1076388888888889</v>
      </c>
      <c r="T444" s="9" cm="1">
        <f t="array" ref="T44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44" s="9" t="str" cm="1">
        <f t="array" ref="U44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45" spans="1:21" x14ac:dyDescent="0.35">
      <c r="A445" s="28">
        <v>8</v>
      </c>
      <c r="B445" s="13" t="s">
        <v>891</v>
      </c>
      <c r="C445" s="13">
        <v>5</v>
      </c>
      <c r="D445" s="14">
        <v>45021.140972222223</v>
      </c>
      <c r="E445" s="14">
        <v>45021.255555555559</v>
      </c>
      <c r="F445" s="13" t="s">
        <v>223</v>
      </c>
      <c r="G445" s="13" t="s">
        <v>86</v>
      </c>
      <c r="H445" s="13" t="s">
        <v>74</v>
      </c>
      <c r="I445" s="17">
        <v>25.26</v>
      </c>
      <c r="J445" s="13" t="s">
        <v>75</v>
      </c>
      <c r="K445" s="13">
        <v>444</v>
      </c>
      <c r="L445" s="13" t="s">
        <v>164</v>
      </c>
      <c r="M445" s="13" t="s">
        <v>1576</v>
      </c>
      <c r="N445">
        <f>_xlfn.XLOOKUP(spaces_3iWczBNnn5rbfoUlE0Jd_uploads_git_blob_9864c7f811c613c3faab876659c6423__25[[#This Row],[Número de Orden]],Cocinadinamica!B446:B1214,Cocinadinamica!C446:C1214)</f>
        <v>39</v>
      </c>
      <c r="O445" s="7">
        <f>spaces_3iWczBNnn5rbfoUlE0Jd_uploads_git_blob_9864c7f811c613c3faab876659c6423__25[[#This Row],[Hora de Llegada]]</f>
        <v>45021.140972222223</v>
      </c>
      <c r="P445" s="9">
        <f>spaces_3iWczBNnn5rbfoUlE0Jd_uploads_git_blob_9864c7f811c613c3faab876659c6423__25[[#This Row],[Hora de Llegada]]</f>
        <v>45021.140972222223</v>
      </c>
      <c r="Q445" s="9">
        <f>spaces_3iWczBNnn5rbfoUlE0Jd_uploads_git_blob_9864c7f811c613c3faab876659c6423__25[[#This Row],[Hora de Salida]]</f>
        <v>45021.255555555559</v>
      </c>
      <c r="R445" s="9" cm="1">
        <f t="array" ref="R44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0.11458333333575865</v>
      </c>
      <c r="S445" s="9">
        <f>_xlfn.XLOOKUP(spaces_3iWczBNnn5rbfoUlE0Jd_uploads_git_blob_9864c7f811c613c3faab876659c6423__25[[#This Row],[Número de Orden]],Cocinadinamica!E446:E1214,Cocinadinamica!F446:F1214)/1440</f>
        <v>5.6250000000000001E-2</v>
      </c>
      <c r="T445" s="9" cm="1">
        <f t="array" ref="T44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5.8333333335758651E-2</v>
      </c>
      <c r="U445" s="9" t="str" cm="1">
        <f t="array" ref="U44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46" spans="1:21" x14ac:dyDescent="0.35">
      <c r="A446" s="27" t="s">
        <v>185</v>
      </c>
      <c r="B446" s="11" t="s">
        <v>550</v>
      </c>
      <c r="C446" s="11">
        <v>5</v>
      </c>
      <c r="D446" s="12">
        <v>45021.042361111111</v>
      </c>
      <c r="E446" s="12">
        <v>45021.131249999999</v>
      </c>
      <c r="F446" s="11" t="s">
        <v>223</v>
      </c>
      <c r="G446" s="11" t="s">
        <v>163</v>
      </c>
      <c r="H446" s="11" t="s">
        <v>74</v>
      </c>
      <c r="I446" s="16">
        <v>14.28</v>
      </c>
      <c r="J446" s="11" t="s">
        <v>75</v>
      </c>
      <c r="K446" s="11">
        <v>445</v>
      </c>
      <c r="L446" s="11" t="s">
        <v>221</v>
      </c>
      <c r="M446" s="11" t="s">
        <v>17</v>
      </c>
      <c r="N446">
        <f>_xlfn.XLOOKUP(spaces_3iWczBNnn5rbfoUlE0Jd_uploads_git_blob_9864c7f811c613c3faab876659c6423__25[[#This Row],[Número de Orden]],Cocinadinamica!B447:B1215,Cocinadinamica!C447:C1215)</f>
        <v>33</v>
      </c>
      <c r="O446" s="7">
        <f>spaces_3iWczBNnn5rbfoUlE0Jd_uploads_git_blob_9864c7f811c613c3faab876659c6423__25[[#This Row],[Hora de Llegada]]</f>
        <v>45021.042361111111</v>
      </c>
      <c r="P446" s="9">
        <f>spaces_3iWczBNnn5rbfoUlE0Jd_uploads_git_blob_9864c7f811c613c3faab876659c6423__25[[#This Row],[Hora de Llegada]]</f>
        <v>45021.042361111111</v>
      </c>
      <c r="Q446" s="9">
        <f>spaces_3iWczBNnn5rbfoUlE0Jd_uploads_git_blob_9864c7f811c613c3faab876659c6423__25[[#This Row],[Hora de Salida]]</f>
        <v>45021.131249999999</v>
      </c>
      <c r="R446" s="9" cm="1">
        <f t="array" ref="R44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8.8888888887595385E-2</v>
      </c>
      <c r="S446" s="9">
        <f>_xlfn.XLOOKUP(spaces_3iWczBNnn5rbfoUlE0Jd_uploads_git_blob_9864c7f811c613c3faab876659c6423__25[[#This Row],[Número de Orden]],Cocinadinamica!E447:E1215,Cocinadinamica!F447:F1215)/1440</f>
        <v>1.8055555555555554E-2</v>
      </c>
      <c r="T446" s="9" cm="1">
        <f t="array" ref="T44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7.0833333332039838E-2</v>
      </c>
      <c r="U446" s="9" t="str" cm="1">
        <f t="array" ref="U44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47" spans="1:21" x14ac:dyDescent="0.35">
      <c r="A447" s="28" t="s">
        <v>107</v>
      </c>
      <c r="B447" s="13" t="s">
        <v>126</v>
      </c>
      <c r="C447" s="13">
        <v>2</v>
      </c>
      <c r="D447" s="14">
        <v>45021.116666666669</v>
      </c>
      <c r="E447" s="14">
        <v>45021.259027777778</v>
      </c>
      <c r="F447" s="13" t="s">
        <v>223</v>
      </c>
      <c r="G447" s="13" t="s">
        <v>86</v>
      </c>
      <c r="H447" s="13" t="s">
        <v>74</v>
      </c>
      <c r="I447" s="17">
        <v>35.24</v>
      </c>
      <c r="J447" s="13" t="s">
        <v>75</v>
      </c>
      <c r="K447" s="13">
        <v>446</v>
      </c>
      <c r="L447" s="13" t="s">
        <v>187</v>
      </c>
      <c r="M447" s="13" t="s">
        <v>43</v>
      </c>
      <c r="N447">
        <f>_xlfn.XLOOKUP(spaces_3iWczBNnn5rbfoUlE0Jd_uploads_git_blob_9864c7f811c613c3faab876659c6423__25[[#This Row],[Número de Orden]],Cocinadinamica!B448:B1216,Cocinadinamica!C448:C1216)</f>
        <v>8</v>
      </c>
      <c r="O447" s="7">
        <f>spaces_3iWczBNnn5rbfoUlE0Jd_uploads_git_blob_9864c7f811c613c3faab876659c6423__25[[#This Row],[Hora de Llegada]]</f>
        <v>45021.116666666669</v>
      </c>
      <c r="P447" s="9">
        <f>spaces_3iWczBNnn5rbfoUlE0Jd_uploads_git_blob_9864c7f811c613c3faab876659c6423__25[[#This Row],[Hora de Llegada]]</f>
        <v>45021.116666666669</v>
      </c>
      <c r="Q447" s="9">
        <f>spaces_3iWczBNnn5rbfoUlE0Jd_uploads_git_blob_9864c7f811c613c3faab876659c6423__25[[#This Row],[Hora de Salida]]</f>
        <v>45021.259027777778</v>
      </c>
      <c r="R447" s="9" cm="1">
        <f t="array" ref="R44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0.14236111110949423</v>
      </c>
      <c r="S447" s="9">
        <f>_xlfn.XLOOKUP(spaces_3iWczBNnn5rbfoUlE0Jd_uploads_git_blob_9864c7f811c613c3faab876659c6423__25[[#This Row],[Número de Orden]],Cocinadinamica!E448:E1216,Cocinadinamica!F448:F1216)/1440</f>
        <v>5.5555555555555558E-3</v>
      </c>
      <c r="T447" s="9" cm="1">
        <f t="array" ref="T44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0.13680555555393867</v>
      </c>
      <c r="U447" s="9" t="str" cm="1">
        <f t="array" ref="U44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48" spans="1:21" x14ac:dyDescent="0.35">
      <c r="A448" s="27">
        <v>8</v>
      </c>
      <c r="B448" s="11" t="s">
        <v>1100</v>
      </c>
      <c r="C448" s="11">
        <v>2</v>
      </c>
      <c r="D448" s="12">
        <v>45021.161805555559</v>
      </c>
      <c r="E448" s="12">
        <v>45021.308333333334</v>
      </c>
      <c r="F448" s="11" t="s">
        <v>72</v>
      </c>
      <c r="G448" s="11" t="s">
        <v>73</v>
      </c>
      <c r="H448" s="11" t="s">
        <v>74</v>
      </c>
      <c r="I448" s="16">
        <v>28.68</v>
      </c>
      <c r="J448" s="11" t="s">
        <v>75</v>
      </c>
      <c r="K448" s="11">
        <v>447</v>
      </c>
      <c r="L448" s="11" t="s">
        <v>181</v>
      </c>
      <c r="M448" s="11" t="s">
        <v>1577</v>
      </c>
      <c r="N448">
        <f>_xlfn.XLOOKUP(spaces_3iWczBNnn5rbfoUlE0Jd_uploads_git_blob_9864c7f811c613c3faab876659c6423__25[[#This Row],[Número de Orden]],Cocinadinamica!B449:B1217,Cocinadinamica!C449:C1217)</f>
        <v>76</v>
      </c>
      <c r="O448" s="7">
        <f>spaces_3iWczBNnn5rbfoUlE0Jd_uploads_git_blob_9864c7f811c613c3faab876659c6423__25[[#This Row],[Hora de Llegada]]</f>
        <v>45021.161805555559</v>
      </c>
      <c r="P448" s="9">
        <f>spaces_3iWczBNnn5rbfoUlE0Jd_uploads_git_blob_9864c7f811c613c3faab876659c6423__25[[#This Row],[Hora de Llegada]]</f>
        <v>45021.161805555559</v>
      </c>
      <c r="Q448" s="9">
        <f>spaces_3iWczBNnn5rbfoUlE0Jd_uploads_git_blob_9864c7f811c613c3faab876659c6423__25[[#This Row],[Hora de Salida]]</f>
        <v>45021.308333333334</v>
      </c>
      <c r="R448" s="9" cm="1">
        <f t="array" ref="R44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0.14652777777519077</v>
      </c>
      <c r="S448" s="9">
        <f>_xlfn.XLOOKUP(spaces_3iWczBNnn5rbfoUlE0Jd_uploads_git_blob_9864c7f811c613c3faab876659c6423__25[[#This Row],[Número de Orden]],Cocinadinamica!E449:E1217,Cocinadinamica!F449:F1217)/1440</f>
        <v>5.9722222222222225E-2</v>
      </c>
      <c r="T448" s="9" cm="1">
        <f t="array" ref="T44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8.6805555552968539E-2</v>
      </c>
      <c r="U448" s="9" t="str" cm="1">
        <f t="array" ref="U44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49" spans="1:21" x14ac:dyDescent="0.35">
      <c r="A449" s="28">
        <v>4</v>
      </c>
      <c r="B449" s="13" t="s">
        <v>1044</v>
      </c>
      <c r="C449" s="13">
        <v>5</v>
      </c>
      <c r="D449" s="14">
        <v>45021.004861111112</v>
      </c>
      <c r="E449" s="14">
        <v>45021.149305555555</v>
      </c>
      <c r="F449" s="13" t="s">
        <v>72</v>
      </c>
      <c r="G449" s="13" t="s">
        <v>73</v>
      </c>
      <c r="H449" s="13" t="s">
        <v>74</v>
      </c>
      <c r="I449" s="17">
        <v>35.68</v>
      </c>
      <c r="J449" s="13" t="s">
        <v>88</v>
      </c>
      <c r="K449" s="13">
        <v>448</v>
      </c>
      <c r="L449" s="13" t="s">
        <v>275</v>
      </c>
      <c r="M449" s="13" t="s">
        <v>1578</v>
      </c>
      <c r="N449">
        <f>_xlfn.XLOOKUP(spaces_3iWczBNnn5rbfoUlE0Jd_uploads_git_blob_9864c7f811c613c3faab876659c6423__25[[#This Row],[Número de Orden]],Cocinadinamica!B450:B1218,Cocinadinamica!C450:C1218)</f>
        <v>55</v>
      </c>
      <c r="O449" s="7">
        <f>spaces_3iWczBNnn5rbfoUlE0Jd_uploads_git_blob_9864c7f811c613c3faab876659c6423__25[[#This Row],[Hora de Llegada]]</f>
        <v>45021.004861111112</v>
      </c>
      <c r="P449" s="9">
        <f>spaces_3iWczBNnn5rbfoUlE0Jd_uploads_git_blob_9864c7f811c613c3faab876659c6423__25[[#This Row],[Hora de Llegada]]</f>
        <v>45021.004861111112</v>
      </c>
      <c r="Q449" s="9">
        <f>spaces_3iWczBNnn5rbfoUlE0Jd_uploads_git_blob_9864c7f811c613c3faab876659c6423__25[[#This Row],[Hora de Salida]]</f>
        <v>45021.149305555555</v>
      </c>
      <c r="R449" s="9" cm="1">
        <f t="array" ref="R44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0.15486111110658385</v>
      </c>
      <c r="S449" s="9">
        <f>_xlfn.XLOOKUP(spaces_3iWczBNnn5rbfoUlE0Jd_uploads_git_blob_9864c7f811c613c3faab876659c6423__25[[#This Row],[Número de Orden]],Cocinadinamica!E450:E1218,Cocinadinamica!F450:F1218)/1440</f>
        <v>4.583333333333333E-2</v>
      </c>
      <c r="T449" s="9" cm="1">
        <f t="array" ref="T44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0.10902777777325051</v>
      </c>
      <c r="U449" s="9" t="str" cm="1">
        <f t="array" ref="U44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50" spans="1:21" x14ac:dyDescent="0.35">
      <c r="A450" s="27" t="s">
        <v>308</v>
      </c>
      <c r="B450" s="11" t="s">
        <v>553</v>
      </c>
      <c r="C450" s="11">
        <v>3</v>
      </c>
      <c r="D450" s="12">
        <v>45021.142361111109</v>
      </c>
      <c r="E450" s="12">
        <v>45021.209722222222</v>
      </c>
      <c r="F450" s="11" t="s">
        <v>170</v>
      </c>
      <c r="G450" s="11" t="s">
        <v>86</v>
      </c>
      <c r="H450" s="11" t="s">
        <v>87</v>
      </c>
      <c r="I450" s="16">
        <v>42.25</v>
      </c>
      <c r="J450" s="11" t="s">
        <v>88</v>
      </c>
      <c r="K450" s="11">
        <v>449</v>
      </c>
      <c r="L450" s="11" t="s">
        <v>89</v>
      </c>
      <c r="M450" s="11" t="s">
        <v>33</v>
      </c>
      <c r="N450">
        <f>_xlfn.XLOOKUP(spaces_3iWczBNnn5rbfoUlE0Jd_uploads_git_blob_9864c7f811c613c3faab876659c6423__25[[#This Row],[Número de Orden]],Cocinadinamica!B451:B1219,Cocinadinamica!C451:C1219)</f>
        <v>26</v>
      </c>
      <c r="O450" s="7">
        <f>spaces_3iWczBNnn5rbfoUlE0Jd_uploads_git_blob_9864c7f811c613c3faab876659c6423__25[[#This Row],[Hora de Llegada]]</f>
        <v>45021.142361111109</v>
      </c>
      <c r="P450" s="9">
        <f>spaces_3iWczBNnn5rbfoUlE0Jd_uploads_git_blob_9864c7f811c613c3faab876659c6423__25[[#This Row],[Hora de Llegada]]</f>
        <v>45021.142361111109</v>
      </c>
      <c r="Q450" s="9">
        <f>spaces_3iWczBNnn5rbfoUlE0Jd_uploads_git_blob_9864c7f811c613c3faab876659c6423__25[[#This Row],[Hora de Salida]]</f>
        <v>45021.209722222222</v>
      </c>
      <c r="R450" s="9" cm="1">
        <f t="array" ref="R45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7.7777777776645962E-2</v>
      </c>
      <c r="S450" s="9">
        <f>_xlfn.XLOOKUP(spaces_3iWczBNnn5rbfoUlE0Jd_uploads_git_blob_9864c7f811c613c3faab876659c6423__25[[#This Row],[Número de Orden]],Cocinadinamica!E451:E1219,Cocinadinamica!F451:F1219)/1440</f>
        <v>2.2916666666666665E-2</v>
      </c>
      <c r="T450" s="9" cm="1">
        <f t="array" ref="T45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5.4861111109979294E-2</v>
      </c>
      <c r="U450" s="9" t="str" cm="1">
        <f t="array" ref="U45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51" spans="1:21" x14ac:dyDescent="0.35">
      <c r="A451" s="28">
        <v>9</v>
      </c>
      <c r="B451" s="13" t="s">
        <v>1101</v>
      </c>
      <c r="C451" s="13">
        <v>6</v>
      </c>
      <c r="D451" s="14">
        <v>45021.160416666666</v>
      </c>
      <c r="E451" s="14">
        <v>45021.209027777775</v>
      </c>
      <c r="F451" s="13" t="s">
        <v>170</v>
      </c>
      <c r="G451" s="13" t="s">
        <v>86</v>
      </c>
      <c r="H451" s="13" t="s">
        <v>74</v>
      </c>
      <c r="I451" s="17">
        <v>48.9</v>
      </c>
      <c r="J451" s="13" t="s">
        <v>88</v>
      </c>
      <c r="K451" s="13">
        <v>450</v>
      </c>
      <c r="L451" s="13" t="s">
        <v>95</v>
      </c>
      <c r="M451" s="13" t="s">
        <v>1579</v>
      </c>
      <c r="N451">
        <f>_xlfn.XLOOKUP(spaces_3iWczBNnn5rbfoUlE0Jd_uploads_git_blob_9864c7f811c613c3faab876659c6423__25[[#This Row],[Número de Orden]],Cocinadinamica!B452:B1220,Cocinadinamica!C452:C1220)</f>
        <v>30</v>
      </c>
      <c r="O451" s="7">
        <f>spaces_3iWczBNnn5rbfoUlE0Jd_uploads_git_blob_9864c7f811c613c3faab876659c6423__25[[#This Row],[Hora de Llegada]]</f>
        <v>45021.160416666666</v>
      </c>
      <c r="P451" s="9">
        <f>spaces_3iWczBNnn5rbfoUlE0Jd_uploads_git_blob_9864c7f811c613c3faab876659c6423__25[[#This Row],[Hora de Llegada]]</f>
        <v>45021.160416666666</v>
      </c>
      <c r="Q451" s="9">
        <f>spaces_3iWczBNnn5rbfoUlE0Jd_uploads_git_blob_9864c7f811c613c3faab876659c6423__25[[#This Row],[Hora de Salida]]</f>
        <v>45021.209027777775</v>
      </c>
      <c r="R451" s="9" cm="1">
        <f t="array" ref="R45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5.9027777773735579E-2</v>
      </c>
      <c r="S451" s="9">
        <f>_xlfn.XLOOKUP(spaces_3iWczBNnn5rbfoUlE0Jd_uploads_git_blob_9864c7f811c613c3faab876659c6423__25[[#This Row],[Número de Orden]],Cocinadinamica!E452:E1220,Cocinadinamica!F452:F1220)/1440</f>
        <v>2.361111111111111E-2</v>
      </c>
      <c r="T451" s="9" cm="1">
        <f t="array" ref="T45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3.5416666662624469E-2</v>
      </c>
      <c r="U451" s="9" t="str" cm="1">
        <f t="array" ref="U45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52" spans="1:21" x14ac:dyDescent="0.35">
      <c r="A452" s="27">
        <v>3</v>
      </c>
      <c r="B452" s="11" t="s">
        <v>984</v>
      </c>
      <c r="C452" s="11">
        <v>1</v>
      </c>
      <c r="D452" s="12">
        <v>45021.053472222222</v>
      </c>
      <c r="E452" s="12">
        <v>45021.101388888892</v>
      </c>
      <c r="F452" s="11" t="s">
        <v>85</v>
      </c>
      <c r="G452" s="11" t="s">
        <v>163</v>
      </c>
      <c r="H452" s="11" t="s">
        <v>74</v>
      </c>
      <c r="I452" s="16">
        <v>46.37</v>
      </c>
      <c r="J452" s="11" t="s">
        <v>75</v>
      </c>
      <c r="K452" s="11">
        <v>451</v>
      </c>
      <c r="L452" s="11" t="s">
        <v>95</v>
      </c>
      <c r="M452" s="11" t="s">
        <v>1580</v>
      </c>
      <c r="N452">
        <f>_xlfn.XLOOKUP(spaces_3iWczBNnn5rbfoUlE0Jd_uploads_git_blob_9864c7f811c613c3faab876659c6423__25[[#This Row],[Número de Orden]],Cocinadinamica!B453:B1221,Cocinadinamica!C453:C1221)</f>
        <v>37</v>
      </c>
      <c r="O452" s="7">
        <f>spaces_3iWczBNnn5rbfoUlE0Jd_uploads_git_blob_9864c7f811c613c3faab876659c6423__25[[#This Row],[Hora de Llegada]]</f>
        <v>45021.053472222222</v>
      </c>
      <c r="P452" s="9">
        <f>spaces_3iWczBNnn5rbfoUlE0Jd_uploads_git_blob_9864c7f811c613c3faab876659c6423__25[[#This Row],[Hora de Llegada]]</f>
        <v>45021.053472222222</v>
      </c>
      <c r="Q452" s="9">
        <f>spaces_3iWczBNnn5rbfoUlE0Jd_uploads_git_blob_9864c7f811c613c3faab876659c6423__25[[#This Row],[Hora de Salida]]</f>
        <v>45021.101388888892</v>
      </c>
      <c r="R452" s="9" cm="1">
        <f t="array" ref="R45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4.7916666670062114E-2</v>
      </c>
      <c r="S452" s="9">
        <f>_xlfn.XLOOKUP(spaces_3iWczBNnn5rbfoUlE0Jd_uploads_git_blob_9864c7f811c613c3faab876659c6423__25[[#This Row],[Número de Orden]],Cocinadinamica!E453:E1221,Cocinadinamica!F453:F1221)/1440</f>
        <v>7.1527777777777773E-2</v>
      </c>
      <c r="T452" s="9" cm="1">
        <f t="array" ref="T45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52" s="9" t="str" cm="1">
        <f t="array" ref="U45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53" spans="1:21" x14ac:dyDescent="0.35">
      <c r="A453" s="28">
        <v>9</v>
      </c>
      <c r="B453" s="13" t="s">
        <v>1102</v>
      </c>
      <c r="C453" s="13">
        <v>1</v>
      </c>
      <c r="D453" s="14">
        <v>45021.120138888888</v>
      </c>
      <c r="E453" s="14">
        <v>45021.22152777778</v>
      </c>
      <c r="F453" s="13" t="s">
        <v>72</v>
      </c>
      <c r="G453" s="13" t="s">
        <v>86</v>
      </c>
      <c r="H453" s="13" t="s">
        <v>74</v>
      </c>
      <c r="I453" s="17">
        <v>43.48</v>
      </c>
      <c r="J453" s="13" t="s">
        <v>94</v>
      </c>
      <c r="K453" s="13">
        <v>452</v>
      </c>
      <c r="L453" s="13" t="s">
        <v>174</v>
      </c>
      <c r="M453" s="13" t="s">
        <v>1581</v>
      </c>
      <c r="N453">
        <f>_xlfn.XLOOKUP(spaces_3iWczBNnn5rbfoUlE0Jd_uploads_git_blob_9864c7f811c613c3faab876659c6423__25[[#This Row],[Número de Orden]],Cocinadinamica!B454:B1222,Cocinadinamica!C454:C1222)</f>
        <v>62</v>
      </c>
      <c r="O453" s="7">
        <f>spaces_3iWczBNnn5rbfoUlE0Jd_uploads_git_blob_9864c7f811c613c3faab876659c6423__25[[#This Row],[Hora de Llegada]]</f>
        <v>45021.120138888888</v>
      </c>
      <c r="P453" s="9">
        <f>spaces_3iWczBNnn5rbfoUlE0Jd_uploads_git_blob_9864c7f811c613c3faab876659c6423__25[[#This Row],[Hora de Llegada]]</f>
        <v>45021.120138888888</v>
      </c>
      <c r="Q453" s="9">
        <f>spaces_3iWczBNnn5rbfoUlE0Jd_uploads_git_blob_9864c7f811c613c3faab876659c6423__25[[#This Row],[Hora de Salida]]</f>
        <v>45021.22152777778</v>
      </c>
      <c r="R453" s="9" cm="1">
        <f t="array" ref="R45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0.10138888889196096</v>
      </c>
      <c r="S453" s="9">
        <f>_xlfn.XLOOKUP(spaces_3iWczBNnn5rbfoUlE0Jd_uploads_git_blob_9864c7f811c613c3faab876659c6423__25[[#This Row],[Número de Orden]],Cocinadinamica!E454:E1222,Cocinadinamica!F454:F1222)/1440</f>
        <v>8.5416666666666669E-2</v>
      </c>
      <c r="T453" s="9" cm="1">
        <f t="array" ref="T45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1.5972222225294291E-2</v>
      </c>
      <c r="U453" s="9" t="str" cm="1">
        <f t="array" ref="U45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54" spans="1:21" x14ac:dyDescent="0.35">
      <c r="A454" s="27">
        <v>6</v>
      </c>
      <c r="B454" s="11" t="s">
        <v>1103</v>
      </c>
      <c r="C454" s="11">
        <v>1</v>
      </c>
      <c r="D454" s="12">
        <v>45021.154166666667</v>
      </c>
      <c r="E454" s="12">
        <v>45021.213194444441</v>
      </c>
      <c r="F454" s="11" t="s">
        <v>100</v>
      </c>
      <c r="G454" s="11" t="s">
        <v>163</v>
      </c>
      <c r="H454" s="11" t="s">
        <v>74</v>
      </c>
      <c r="I454" s="16">
        <v>36.83</v>
      </c>
      <c r="J454" s="11" t="s">
        <v>75</v>
      </c>
      <c r="K454" s="11">
        <v>453</v>
      </c>
      <c r="L454" s="11" t="s">
        <v>101</v>
      </c>
      <c r="M454" s="11" t="s">
        <v>1534</v>
      </c>
      <c r="N454">
        <f>_xlfn.XLOOKUP(spaces_3iWczBNnn5rbfoUlE0Jd_uploads_git_blob_9864c7f811c613c3faab876659c6423__25[[#This Row],[Número de Orden]],Cocinadinamica!B455:B1223,Cocinadinamica!C455:C1223)</f>
        <v>53</v>
      </c>
      <c r="O454" s="7">
        <f>spaces_3iWczBNnn5rbfoUlE0Jd_uploads_git_blob_9864c7f811c613c3faab876659c6423__25[[#This Row],[Hora de Llegada]]</f>
        <v>45021.154166666667</v>
      </c>
      <c r="P454" s="9">
        <f>spaces_3iWczBNnn5rbfoUlE0Jd_uploads_git_blob_9864c7f811c613c3faab876659c6423__25[[#This Row],[Hora de Llegada]]</f>
        <v>45021.154166666667</v>
      </c>
      <c r="Q454" s="9">
        <f>spaces_3iWczBNnn5rbfoUlE0Jd_uploads_git_blob_9864c7f811c613c3faab876659c6423__25[[#This Row],[Hora de Salida]]</f>
        <v>45021.213194444441</v>
      </c>
      <c r="R454" s="9" cm="1">
        <f t="array" ref="R45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5.9027777773735579E-2</v>
      </c>
      <c r="S454" s="9">
        <f>_xlfn.XLOOKUP(spaces_3iWczBNnn5rbfoUlE0Jd_uploads_git_blob_9864c7f811c613c3faab876659c6423__25[[#This Row],[Número de Orden]],Cocinadinamica!E455:E1223,Cocinadinamica!F455:F1223)/1440</f>
        <v>6.9444444444444448E-2</v>
      </c>
      <c r="T454" s="9" cm="1">
        <f t="array" ref="T45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54" s="9" t="str" cm="1">
        <f t="array" ref="U45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55" spans="1:21" x14ac:dyDescent="0.35">
      <c r="A455" s="28">
        <v>1</v>
      </c>
      <c r="B455" s="13" t="s">
        <v>1091</v>
      </c>
      <c r="C455" s="13">
        <v>3</v>
      </c>
      <c r="D455" s="14">
        <v>45021.143055555556</v>
      </c>
      <c r="E455" s="14">
        <v>45021.203472222223</v>
      </c>
      <c r="F455" s="13" t="s">
        <v>223</v>
      </c>
      <c r="G455" s="13" t="s">
        <v>86</v>
      </c>
      <c r="H455" s="13" t="s">
        <v>74</v>
      </c>
      <c r="I455" s="17">
        <v>39.619999999999997</v>
      </c>
      <c r="J455" s="13" t="s">
        <v>75</v>
      </c>
      <c r="K455" s="13">
        <v>454</v>
      </c>
      <c r="L455" s="13" t="s">
        <v>110</v>
      </c>
      <c r="M455" s="13" t="s">
        <v>1582</v>
      </c>
      <c r="N455">
        <f>_xlfn.XLOOKUP(spaces_3iWczBNnn5rbfoUlE0Jd_uploads_git_blob_9864c7f811c613c3faab876659c6423__25[[#This Row],[Número de Orden]],Cocinadinamica!B456:B1224,Cocinadinamica!C456:C1224)</f>
        <v>94</v>
      </c>
      <c r="O455" s="7">
        <f>spaces_3iWczBNnn5rbfoUlE0Jd_uploads_git_blob_9864c7f811c613c3faab876659c6423__25[[#This Row],[Hora de Llegada]]</f>
        <v>45021.143055555556</v>
      </c>
      <c r="P455" s="9">
        <f>spaces_3iWczBNnn5rbfoUlE0Jd_uploads_git_blob_9864c7f811c613c3faab876659c6423__25[[#This Row],[Hora de Llegada]]</f>
        <v>45021.143055555556</v>
      </c>
      <c r="Q455" s="9">
        <f>spaces_3iWczBNnn5rbfoUlE0Jd_uploads_git_blob_9864c7f811c613c3faab876659c6423__25[[#This Row],[Hora de Salida]]</f>
        <v>45021.203472222223</v>
      </c>
      <c r="R455" s="9" cm="1">
        <f t="array" ref="R45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6.0416666667151731E-2</v>
      </c>
      <c r="S455" s="9">
        <f>_xlfn.XLOOKUP(spaces_3iWczBNnn5rbfoUlE0Jd_uploads_git_blob_9864c7f811c613c3faab876659c6423__25[[#This Row],[Número de Orden]],Cocinadinamica!E456:E1224,Cocinadinamica!F456:F1224)/1440</f>
        <v>0.10625</v>
      </c>
      <c r="T455" s="9" cm="1">
        <f t="array" ref="T45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55" s="9" t="str" cm="1">
        <f t="array" ref="U45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56" spans="1:21" x14ac:dyDescent="0.35">
      <c r="A456" s="27" t="s">
        <v>107</v>
      </c>
      <c r="B456" s="11" t="s">
        <v>559</v>
      </c>
      <c r="C456" s="11">
        <v>6</v>
      </c>
      <c r="D456" s="12">
        <v>45021.165277777778</v>
      </c>
      <c r="E456" s="12">
        <v>45021.245833333334</v>
      </c>
      <c r="F456" s="11" t="s">
        <v>85</v>
      </c>
      <c r="G456" s="11" t="s">
        <v>163</v>
      </c>
      <c r="H456" s="11" t="s">
        <v>109</v>
      </c>
      <c r="I456" s="16">
        <v>1.97</v>
      </c>
      <c r="J456" s="11" t="s">
        <v>94</v>
      </c>
      <c r="K456" s="11">
        <v>455</v>
      </c>
      <c r="L456" s="11" t="s">
        <v>110</v>
      </c>
      <c r="M456" s="11" t="s">
        <v>9</v>
      </c>
      <c r="N456">
        <f>_xlfn.XLOOKUP(spaces_3iWczBNnn5rbfoUlE0Jd_uploads_git_blob_9864c7f811c613c3faab876659c6423__25[[#This Row],[Número de Orden]],Cocinadinamica!B457:B1225,Cocinadinamica!C457:C1225)</f>
        <v>20</v>
      </c>
      <c r="O456" s="7">
        <f>spaces_3iWczBNnn5rbfoUlE0Jd_uploads_git_blob_9864c7f811c613c3faab876659c6423__25[[#This Row],[Hora de Llegada]]</f>
        <v>45021.165277777778</v>
      </c>
      <c r="P456" s="9">
        <f>spaces_3iWczBNnn5rbfoUlE0Jd_uploads_git_blob_9864c7f811c613c3faab876659c6423__25[[#This Row],[Hora de Llegada]]</f>
        <v>45021.165277777778</v>
      </c>
      <c r="Q456" s="9">
        <f>spaces_3iWczBNnn5rbfoUlE0Jd_uploads_git_blob_9864c7f811c613c3faab876659c6423__25[[#This Row],[Hora de Salida]]</f>
        <v>45021.245833333334</v>
      </c>
      <c r="R456" s="9" cm="1">
        <f t="array" ref="R45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8.0555555556202307E-2</v>
      </c>
      <c r="S456" s="9">
        <f>_xlfn.XLOOKUP(spaces_3iWczBNnn5rbfoUlE0Jd_uploads_git_blob_9864c7f811c613c3faab876659c6423__25[[#This Row],[Número de Orden]],Cocinadinamica!E457:E1225,Cocinadinamica!F457:F1225)/1440</f>
        <v>7.6388888888888886E-3</v>
      </c>
      <c r="T456" s="9" cm="1">
        <f t="array" ref="T45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7.2916666667313418E-2</v>
      </c>
      <c r="U456" s="9" t="str" cm="1">
        <f t="array" ref="U45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57" spans="1:21" x14ac:dyDescent="0.35">
      <c r="A457" s="28">
        <v>13</v>
      </c>
      <c r="B457" s="13" t="s">
        <v>1104</v>
      </c>
      <c r="C457" s="13">
        <v>6</v>
      </c>
      <c r="D457" s="14">
        <v>45021.091666666667</v>
      </c>
      <c r="E457" s="14">
        <v>45021.21875</v>
      </c>
      <c r="F457" s="13" t="s">
        <v>72</v>
      </c>
      <c r="G457" s="13" t="s">
        <v>86</v>
      </c>
      <c r="H457" s="13" t="s">
        <v>74</v>
      </c>
      <c r="I457" s="17">
        <v>21.94</v>
      </c>
      <c r="J457" s="13" t="s">
        <v>75</v>
      </c>
      <c r="K457" s="13">
        <v>456</v>
      </c>
      <c r="L457" s="13" t="s">
        <v>164</v>
      </c>
      <c r="M457" s="13" t="s">
        <v>1583</v>
      </c>
      <c r="N457">
        <f>_xlfn.XLOOKUP(spaces_3iWczBNnn5rbfoUlE0Jd_uploads_git_blob_9864c7f811c613c3faab876659c6423__25[[#This Row],[Número de Orden]],Cocinadinamica!B458:B1226,Cocinadinamica!C458:C1226)</f>
        <v>58</v>
      </c>
      <c r="O457" s="7">
        <f>spaces_3iWczBNnn5rbfoUlE0Jd_uploads_git_blob_9864c7f811c613c3faab876659c6423__25[[#This Row],[Hora de Llegada]]</f>
        <v>45021.091666666667</v>
      </c>
      <c r="P457" s="9">
        <f>spaces_3iWczBNnn5rbfoUlE0Jd_uploads_git_blob_9864c7f811c613c3faab876659c6423__25[[#This Row],[Hora de Llegada]]</f>
        <v>45021.091666666667</v>
      </c>
      <c r="Q457" s="9">
        <f>spaces_3iWczBNnn5rbfoUlE0Jd_uploads_git_blob_9864c7f811c613c3faab876659c6423__25[[#This Row],[Hora de Salida]]</f>
        <v>45021.21875</v>
      </c>
      <c r="R457" s="9" cm="1">
        <f t="array" ref="R45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0.12708333333284827</v>
      </c>
      <c r="S457" s="9">
        <f>_xlfn.XLOOKUP(spaces_3iWczBNnn5rbfoUlE0Jd_uploads_git_blob_9864c7f811c613c3faab876659c6423__25[[#This Row],[Número de Orden]],Cocinadinamica!E458:E1226,Cocinadinamica!F458:F1226)/1440</f>
        <v>4.9305555555555554E-2</v>
      </c>
      <c r="T457" s="9" cm="1">
        <f t="array" ref="T45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7.7777777777292723E-2</v>
      </c>
      <c r="U457" s="9" t="str" cm="1">
        <f t="array" ref="U45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58" spans="1:21" x14ac:dyDescent="0.35">
      <c r="A458" s="27">
        <v>18</v>
      </c>
      <c r="B458" s="11" t="s">
        <v>1105</v>
      </c>
      <c r="C458" s="11">
        <v>6</v>
      </c>
      <c r="D458" s="12">
        <v>45021.158333333333</v>
      </c>
      <c r="E458" s="12">
        <v>45021.313888888886</v>
      </c>
      <c r="F458" s="11" t="s">
        <v>100</v>
      </c>
      <c r="G458" s="11" t="s">
        <v>86</v>
      </c>
      <c r="H458" s="11" t="s">
        <v>87</v>
      </c>
      <c r="I458" s="16">
        <v>17.260000000000002</v>
      </c>
      <c r="J458" s="11" t="s">
        <v>94</v>
      </c>
      <c r="K458" s="11">
        <v>457</v>
      </c>
      <c r="L458" s="11" t="s">
        <v>95</v>
      </c>
      <c r="M458" s="11" t="s">
        <v>1536</v>
      </c>
      <c r="N458">
        <f>_xlfn.XLOOKUP(spaces_3iWczBNnn5rbfoUlE0Jd_uploads_git_blob_9864c7f811c613c3faab876659c6423__25[[#This Row],[Número de Orden]],Cocinadinamica!B459:B1227,Cocinadinamica!C459:C1227)</f>
        <v>55</v>
      </c>
      <c r="O458" s="7">
        <f>spaces_3iWczBNnn5rbfoUlE0Jd_uploads_git_blob_9864c7f811c613c3faab876659c6423__25[[#This Row],[Hora de Llegada]]</f>
        <v>45021.158333333333</v>
      </c>
      <c r="P458" s="9">
        <f>spaces_3iWczBNnn5rbfoUlE0Jd_uploads_git_blob_9864c7f811c613c3faab876659c6423__25[[#This Row],[Hora de Llegada]]</f>
        <v>45021.158333333333</v>
      </c>
      <c r="Q458" s="9">
        <f>spaces_3iWczBNnn5rbfoUlE0Jd_uploads_git_blob_9864c7f811c613c3faab876659c6423__25[[#This Row],[Hora de Salida]]</f>
        <v>45021.313888888886</v>
      </c>
      <c r="R458" s="9" cm="1">
        <f t="array" ref="R45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0.15555555555329192</v>
      </c>
      <c r="S458" s="9">
        <f>_xlfn.XLOOKUP(spaces_3iWczBNnn5rbfoUlE0Jd_uploads_git_blob_9864c7f811c613c3faab876659c6423__25[[#This Row],[Número de Orden]],Cocinadinamica!E459:E1227,Cocinadinamica!F459:F1227)/1440</f>
        <v>4.027777777777778E-2</v>
      </c>
      <c r="T458" s="9" cm="1">
        <f t="array" ref="T45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0.11527777777551415</v>
      </c>
      <c r="U458" s="9" t="str" cm="1">
        <f t="array" ref="U45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59" spans="1:21" x14ac:dyDescent="0.35">
      <c r="A459" s="28">
        <v>4</v>
      </c>
      <c r="B459" s="13" t="s">
        <v>1106</v>
      </c>
      <c r="C459" s="13">
        <v>3</v>
      </c>
      <c r="D459" s="14">
        <v>45021.111805555556</v>
      </c>
      <c r="E459" s="14">
        <v>45021.181250000001</v>
      </c>
      <c r="F459" s="13" t="s">
        <v>72</v>
      </c>
      <c r="G459" s="13" t="s">
        <v>86</v>
      </c>
      <c r="H459" s="13" t="s">
        <v>74</v>
      </c>
      <c r="I459" s="17">
        <v>15.21</v>
      </c>
      <c r="J459" s="13" t="s">
        <v>88</v>
      </c>
      <c r="K459" s="13">
        <v>458</v>
      </c>
      <c r="L459" s="13" t="s">
        <v>95</v>
      </c>
      <c r="M459" s="13" t="s">
        <v>1584</v>
      </c>
      <c r="N459">
        <f>_xlfn.XLOOKUP(spaces_3iWczBNnn5rbfoUlE0Jd_uploads_git_blob_9864c7f811c613c3faab876659c6423__25[[#This Row],[Número de Orden]],Cocinadinamica!B460:B1228,Cocinadinamica!C460:C1228)</f>
        <v>110</v>
      </c>
      <c r="O459" s="7">
        <f>spaces_3iWczBNnn5rbfoUlE0Jd_uploads_git_blob_9864c7f811c613c3faab876659c6423__25[[#This Row],[Hora de Llegada]]</f>
        <v>45021.111805555556</v>
      </c>
      <c r="P459" s="9">
        <f>spaces_3iWczBNnn5rbfoUlE0Jd_uploads_git_blob_9864c7f811c613c3faab876659c6423__25[[#This Row],[Hora de Llegada]]</f>
        <v>45021.111805555556</v>
      </c>
      <c r="Q459" s="9">
        <f>spaces_3iWczBNnn5rbfoUlE0Jd_uploads_git_blob_9864c7f811c613c3faab876659c6423__25[[#This Row],[Hora de Salida]]</f>
        <v>45021.181250000001</v>
      </c>
      <c r="R459" s="9" cm="1">
        <f t="array" ref="R45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7.9861111109494232E-2</v>
      </c>
      <c r="S459" s="9">
        <f>_xlfn.XLOOKUP(spaces_3iWczBNnn5rbfoUlE0Jd_uploads_git_blob_9864c7f811c613c3faab876659c6423__25[[#This Row],[Número de Orden]],Cocinadinamica!E460:E1228,Cocinadinamica!F460:F1228)/1440</f>
        <v>6.1805555555555558E-2</v>
      </c>
      <c r="T459" s="9" cm="1">
        <f t="array" ref="T45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1.8055555553938674E-2</v>
      </c>
      <c r="U459" s="9" t="str" cm="1">
        <f t="array" ref="U45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0" spans="1:21" x14ac:dyDescent="0.35">
      <c r="A460" s="27" t="s">
        <v>92</v>
      </c>
      <c r="B460" s="11" t="s">
        <v>563</v>
      </c>
      <c r="C460" s="11">
        <v>1</v>
      </c>
      <c r="D460" s="12">
        <v>45021.01666666667</v>
      </c>
      <c r="E460" s="12">
        <v>45021.091666666667</v>
      </c>
      <c r="F460" s="11" t="s">
        <v>223</v>
      </c>
      <c r="G460" s="11" t="s">
        <v>86</v>
      </c>
      <c r="H460" s="11" t="s">
        <v>74</v>
      </c>
      <c r="I460" s="16">
        <v>32.770000000000003</v>
      </c>
      <c r="J460" s="11" t="s">
        <v>88</v>
      </c>
      <c r="K460" s="11">
        <v>459</v>
      </c>
      <c r="L460" s="11" t="s">
        <v>164</v>
      </c>
      <c r="M460" s="11" t="s">
        <v>27</v>
      </c>
      <c r="N460">
        <f>_xlfn.XLOOKUP(spaces_3iWczBNnn5rbfoUlE0Jd_uploads_git_blob_9864c7f811c613c3faab876659c6423__25[[#This Row],[Número de Orden]],Cocinadinamica!B461:B1229,Cocinadinamica!C461:C1229)</f>
        <v>36</v>
      </c>
      <c r="O460" s="7">
        <f>spaces_3iWczBNnn5rbfoUlE0Jd_uploads_git_blob_9864c7f811c613c3faab876659c6423__25[[#This Row],[Hora de Llegada]]</f>
        <v>45021.01666666667</v>
      </c>
      <c r="P460" s="9">
        <f>spaces_3iWczBNnn5rbfoUlE0Jd_uploads_git_blob_9864c7f811c613c3faab876659c6423__25[[#This Row],[Hora de Llegada]]</f>
        <v>45021.01666666667</v>
      </c>
      <c r="Q460" s="9">
        <f>spaces_3iWczBNnn5rbfoUlE0Jd_uploads_git_blob_9864c7f811c613c3faab876659c6423__25[[#This Row],[Hora de Salida]]</f>
        <v>45021.091666666667</v>
      </c>
      <c r="R460" s="9" cm="1">
        <f t="array" ref="R46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8.5416666661330964E-2</v>
      </c>
      <c r="S460" s="9">
        <f>_xlfn.XLOOKUP(spaces_3iWczBNnn5rbfoUlE0Jd_uploads_git_blob_9864c7f811c613c3faab876659c6423__25[[#This Row],[Número de Orden]],Cocinadinamica!E461:E1229,Cocinadinamica!F461:F1229)/1440</f>
        <v>2.0833333333333332E-2</v>
      </c>
      <c r="T460" s="9" cm="1">
        <f t="array" ref="T46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6.4583333327997636E-2</v>
      </c>
      <c r="U460" s="9" t="str" cm="1">
        <f t="array" ref="U46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1" spans="1:21" x14ac:dyDescent="0.35">
      <c r="A461" s="28">
        <v>19</v>
      </c>
      <c r="B461" s="13" t="s">
        <v>952</v>
      </c>
      <c r="C461" s="13">
        <v>6</v>
      </c>
      <c r="D461" s="14">
        <v>45021.143750000003</v>
      </c>
      <c r="E461" s="14">
        <v>45021.288888888892</v>
      </c>
      <c r="F461" s="13" t="s">
        <v>72</v>
      </c>
      <c r="G461" s="13" t="s">
        <v>73</v>
      </c>
      <c r="H461" s="13" t="s">
        <v>74</v>
      </c>
      <c r="I461" s="17">
        <v>49.6</v>
      </c>
      <c r="J461" s="13" t="s">
        <v>75</v>
      </c>
      <c r="K461" s="13">
        <v>460</v>
      </c>
      <c r="L461" s="13" t="s">
        <v>187</v>
      </c>
      <c r="M461" s="13" t="s">
        <v>1585</v>
      </c>
      <c r="N461">
        <f>_xlfn.XLOOKUP(spaces_3iWczBNnn5rbfoUlE0Jd_uploads_git_blob_9864c7f811c613c3faab876659c6423__25[[#This Row],[Número de Orden]],Cocinadinamica!B462:B1230,Cocinadinamica!C462:C1230)</f>
        <v>73</v>
      </c>
      <c r="O461" s="7">
        <f>spaces_3iWczBNnn5rbfoUlE0Jd_uploads_git_blob_9864c7f811c613c3faab876659c6423__25[[#This Row],[Hora de Llegada]]</f>
        <v>45021.143750000003</v>
      </c>
      <c r="P461" s="9">
        <f>spaces_3iWczBNnn5rbfoUlE0Jd_uploads_git_blob_9864c7f811c613c3faab876659c6423__25[[#This Row],[Hora de Llegada]]</f>
        <v>45021.143750000003</v>
      </c>
      <c r="Q461" s="9">
        <f>spaces_3iWczBNnn5rbfoUlE0Jd_uploads_git_blob_9864c7f811c613c3faab876659c6423__25[[#This Row],[Hora de Salida]]</f>
        <v>45021.288888888892</v>
      </c>
      <c r="R461" s="9" cm="1">
        <f t="array" ref="R46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0.14513888888905058</v>
      </c>
      <c r="S461" s="9">
        <f>_xlfn.XLOOKUP(spaces_3iWczBNnn5rbfoUlE0Jd_uploads_git_blob_9864c7f811c613c3faab876659c6423__25[[#This Row],[Número de Orden]],Cocinadinamica!E462:E1230,Cocinadinamica!F462:F1230)/1440</f>
        <v>8.611111111111111E-2</v>
      </c>
      <c r="T461" s="9" cm="1">
        <f t="array" ref="T46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5.9027777777939466E-2</v>
      </c>
      <c r="U461" s="9" t="str" cm="1">
        <f t="array" ref="U46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2" spans="1:21" x14ac:dyDescent="0.35">
      <c r="A462" s="27">
        <v>4</v>
      </c>
      <c r="B462" s="11" t="s">
        <v>1107</v>
      </c>
      <c r="C462" s="11">
        <v>3</v>
      </c>
      <c r="D462" s="12">
        <v>45021.113194444442</v>
      </c>
      <c r="E462" s="12">
        <v>45021.246527777781</v>
      </c>
      <c r="F462" s="11" t="s">
        <v>85</v>
      </c>
      <c r="G462" s="11" t="s">
        <v>73</v>
      </c>
      <c r="H462" s="11" t="s">
        <v>87</v>
      </c>
      <c r="I462" s="16">
        <v>21.51</v>
      </c>
      <c r="J462" s="11" t="s">
        <v>75</v>
      </c>
      <c r="K462" s="11">
        <v>461</v>
      </c>
      <c r="L462" s="11" t="s">
        <v>76</v>
      </c>
      <c r="M462" s="11" t="s">
        <v>1586</v>
      </c>
      <c r="N462">
        <f>_xlfn.XLOOKUP(spaces_3iWczBNnn5rbfoUlE0Jd_uploads_git_blob_9864c7f811c613c3faab876659c6423__25[[#This Row],[Número de Orden]],Cocinadinamica!B463:B1231,Cocinadinamica!C463:C1231)</f>
        <v>40</v>
      </c>
      <c r="O462" s="7">
        <f>spaces_3iWczBNnn5rbfoUlE0Jd_uploads_git_blob_9864c7f811c613c3faab876659c6423__25[[#This Row],[Hora de Llegada]]</f>
        <v>45021.113194444442</v>
      </c>
      <c r="P462" s="9">
        <f>spaces_3iWczBNnn5rbfoUlE0Jd_uploads_git_blob_9864c7f811c613c3faab876659c6423__25[[#This Row],[Hora de Llegada]]</f>
        <v>45021.113194444442</v>
      </c>
      <c r="Q462" s="9">
        <f>spaces_3iWczBNnn5rbfoUlE0Jd_uploads_git_blob_9864c7f811c613c3faab876659c6423__25[[#This Row],[Hora de Salida]]</f>
        <v>45021.246527777781</v>
      </c>
      <c r="R462" s="9" cm="1">
        <f t="array" ref="R46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0.13333333333866904</v>
      </c>
      <c r="S462" s="9">
        <f>_xlfn.XLOOKUP(spaces_3iWczBNnn5rbfoUlE0Jd_uploads_git_blob_9864c7f811c613c3faab876659c6423__25[[#This Row],[Número de Orden]],Cocinadinamica!E463:E1231,Cocinadinamica!F463:F1231)/1440</f>
        <v>4.583333333333333E-2</v>
      </c>
      <c r="T462" s="9" cm="1">
        <f t="array" ref="T46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8.7500000005335699E-2</v>
      </c>
      <c r="U462" s="9" t="str" cm="1">
        <f t="array" ref="U46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3" spans="1:21" x14ac:dyDescent="0.35">
      <c r="A463" s="28" t="s">
        <v>247</v>
      </c>
      <c r="B463" s="13" t="s">
        <v>566</v>
      </c>
      <c r="C463" s="13">
        <v>2</v>
      </c>
      <c r="D463" s="14">
        <v>45021.091666666667</v>
      </c>
      <c r="E463" s="14">
        <v>45021.185416666667</v>
      </c>
      <c r="F463" s="13" t="s">
        <v>100</v>
      </c>
      <c r="G463" s="13" t="s">
        <v>86</v>
      </c>
      <c r="H463" s="13" t="s">
        <v>74</v>
      </c>
      <c r="I463" s="17">
        <v>21.17</v>
      </c>
      <c r="J463" s="13" t="s">
        <v>94</v>
      </c>
      <c r="K463" s="13">
        <v>462</v>
      </c>
      <c r="L463" s="13" t="s">
        <v>181</v>
      </c>
      <c r="M463" s="13" t="s">
        <v>25</v>
      </c>
      <c r="N463">
        <f>_xlfn.XLOOKUP(spaces_3iWczBNnn5rbfoUlE0Jd_uploads_git_blob_9864c7f811c613c3faab876659c6423__25[[#This Row],[Número de Orden]],Cocinadinamica!B464:B1232,Cocinadinamica!C464:C1232)</f>
        <v>39</v>
      </c>
      <c r="O463" s="7">
        <f>spaces_3iWczBNnn5rbfoUlE0Jd_uploads_git_blob_9864c7f811c613c3faab876659c6423__25[[#This Row],[Hora de Llegada]]</f>
        <v>45021.091666666667</v>
      </c>
      <c r="P463" s="9">
        <f>spaces_3iWczBNnn5rbfoUlE0Jd_uploads_git_blob_9864c7f811c613c3faab876659c6423__25[[#This Row],[Hora de Llegada]]</f>
        <v>45021.091666666667</v>
      </c>
      <c r="Q463" s="9">
        <f>spaces_3iWczBNnn5rbfoUlE0Jd_uploads_git_blob_9864c7f811c613c3faab876659c6423__25[[#This Row],[Hora de Salida]]</f>
        <v>45021.185416666667</v>
      </c>
      <c r="R463" s="9" cm="1">
        <f t="array" ref="R46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9.375E-2</v>
      </c>
      <c r="S463" s="9">
        <f>_xlfn.XLOOKUP(spaces_3iWczBNnn5rbfoUlE0Jd_uploads_git_blob_9864c7f811c613c3faab876659c6423__25[[#This Row],[Número de Orden]],Cocinadinamica!E464:E1232,Cocinadinamica!F464:F1232)/1440</f>
        <v>7.6388888888888886E-3</v>
      </c>
      <c r="T463" s="9" cm="1">
        <f t="array" ref="T46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8.611111111111111E-2</v>
      </c>
      <c r="U463" s="9" t="str" cm="1">
        <f t="array" ref="U46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4" spans="1:21" x14ac:dyDescent="0.35">
      <c r="A464" s="27" t="s">
        <v>70</v>
      </c>
      <c r="B464" s="11" t="s">
        <v>567</v>
      </c>
      <c r="C464" s="11">
        <v>2</v>
      </c>
      <c r="D464" s="12">
        <v>45021.036805555559</v>
      </c>
      <c r="E464" s="12">
        <v>45021.134027777778</v>
      </c>
      <c r="F464" s="11" t="s">
        <v>100</v>
      </c>
      <c r="G464" s="11" t="s">
        <v>86</v>
      </c>
      <c r="H464" s="11" t="s">
        <v>109</v>
      </c>
      <c r="I464" s="16">
        <v>17.07</v>
      </c>
      <c r="J464" s="11" t="s">
        <v>88</v>
      </c>
      <c r="K464" s="11">
        <v>463</v>
      </c>
      <c r="L464" s="11" t="s">
        <v>221</v>
      </c>
      <c r="M464" s="11" t="s">
        <v>15</v>
      </c>
      <c r="N464">
        <f>_xlfn.XLOOKUP(spaces_3iWczBNnn5rbfoUlE0Jd_uploads_git_blob_9864c7f811c613c3faab876659c6423__25[[#This Row],[Número de Orden]],Cocinadinamica!B465:B1233,Cocinadinamica!C465:C1233)</f>
        <v>36</v>
      </c>
      <c r="O464" s="7">
        <f>spaces_3iWczBNnn5rbfoUlE0Jd_uploads_git_blob_9864c7f811c613c3faab876659c6423__25[[#This Row],[Hora de Llegada]]</f>
        <v>45021.036805555559</v>
      </c>
      <c r="P464" s="9">
        <f>spaces_3iWczBNnn5rbfoUlE0Jd_uploads_git_blob_9864c7f811c613c3faab876659c6423__25[[#This Row],[Hora de Llegada]]</f>
        <v>45021.036805555559</v>
      </c>
      <c r="Q464" s="9">
        <f>spaces_3iWczBNnn5rbfoUlE0Jd_uploads_git_blob_9864c7f811c613c3faab876659c6423__25[[#This Row],[Hora de Salida]]</f>
        <v>45021.134027777778</v>
      </c>
      <c r="R464" s="9" cm="1">
        <f t="array" ref="R46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0.10763888888322981</v>
      </c>
      <c r="S464" s="9">
        <f>_xlfn.XLOOKUP(spaces_3iWczBNnn5rbfoUlE0Jd_uploads_git_blob_9864c7f811c613c3faab876659c6423__25[[#This Row],[Número de Orden]],Cocinadinamica!E465:E1233,Cocinadinamica!F465:F1233)/1440</f>
        <v>9.7222222222222224E-3</v>
      </c>
      <c r="T464" s="9" cm="1">
        <f t="array" ref="T46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9.7916666661007595E-2</v>
      </c>
      <c r="U464" s="9" t="str" cm="1">
        <f t="array" ref="U46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5" spans="1:21" x14ac:dyDescent="0.35">
      <c r="A465" s="28">
        <v>16</v>
      </c>
      <c r="B465" s="13" t="s">
        <v>905</v>
      </c>
      <c r="C465" s="13">
        <v>1</v>
      </c>
      <c r="D465" s="14">
        <v>45021.056250000001</v>
      </c>
      <c r="E465" s="14">
        <v>45021.193749999999</v>
      </c>
      <c r="F465" s="13" t="s">
        <v>72</v>
      </c>
      <c r="G465" s="13" t="s">
        <v>86</v>
      </c>
      <c r="H465" s="13" t="s">
        <v>74</v>
      </c>
      <c r="I465" s="17">
        <v>48.5</v>
      </c>
      <c r="J465" s="13" t="s">
        <v>94</v>
      </c>
      <c r="K465" s="13">
        <v>464</v>
      </c>
      <c r="L465" s="13" t="s">
        <v>101</v>
      </c>
      <c r="M465" s="13" t="s">
        <v>1587</v>
      </c>
      <c r="N465">
        <f>_xlfn.XLOOKUP(spaces_3iWczBNnn5rbfoUlE0Jd_uploads_git_blob_9864c7f811c613c3faab876659c6423__25[[#This Row],[Número de Orden]],Cocinadinamica!B466:B1234,Cocinadinamica!C466:C1234)</f>
        <v>64</v>
      </c>
      <c r="O465" s="7">
        <f>spaces_3iWczBNnn5rbfoUlE0Jd_uploads_git_blob_9864c7f811c613c3faab876659c6423__25[[#This Row],[Hora de Llegada]]</f>
        <v>45021.056250000001</v>
      </c>
      <c r="P465" s="9">
        <f>spaces_3iWczBNnn5rbfoUlE0Jd_uploads_git_blob_9864c7f811c613c3faab876659c6423__25[[#This Row],[Hora de Llegada]]</f>
        <v>45021.056250000001</v>
      </c>
      <c r="Q465" s="9">
        <f>spaces_3iWczBNnn5rbfoUlE0Jd_uploads_git_blob_9864c7f811c613c3faab876659c6423__25[[#This Row],[Hora de Salida]]</f>
        <v>45021.193749999999</v>
      </c>
      <c r="R465" s="9" cm="1">
        <f t="array" ref="R46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0.13749999999708962</v>
      </c>
      <c r="S465" s="9">
        <f>_xlfn.XLOOKUP(spaces_3iWczBNnn5rbfoUlE0Jd_uploads_git_blob_9864c7f811c613c3faab876659c6423__25[[#This Row],[Número de Orden]],Cocinadinamica!E466:E1234,Cocinadinamica!F466:F1234)/1440</f>
        <v>5.8333333333333334E-2</v>
      </c>
      <c r="T465" s="9" cm="1">
        <f t="array" ref="T46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7.9166666663756283E-2</v>
      </c>
      <c r="U465" s="9" t="str" cm="1">
        <f t="array" ref="U46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6" spans="1:21" x14ac:dyDescent="0.35">
      <c r="A466" s="27">
        <v>4</v>
      </c>
      <c r="B466" s="11" t="s">
        <v>1108</v>
      </c>
      <c r="C466" s="11">
        <v>2</v>
      </c>
      <c r="D466" s="12">
        <v>45021.049305555556</v>
      </c>
      <c r="E466" s="12">
        <v>45021.151388888888</v>
      </c>
      <c r="F466" s="11" t="s">
        <v>223</v>
      </c>
      <c r="G466" s="11" t="s">
        <v>86</v>
      </c>
      <c r="H466" s="11" t="s">
        <v>74</v>
      </c>
      <c r="I466" s="16">
        <v>44.9</v>
      </c>
      <c r="J466" s="11" t="s">
        <v>88</v>
      </c>
      <c r="K466" s="11">
        <v>465</v>
      </c>
      <c r="L466" s="11" t="s">
        <v>174</v>
      </c>
      <c r="M466" s="11" t="s">
        <v>1588</v>
      </c>
      <c r="N466">
        <f>_xlfn.XLOOKUP(spaces_3iWczBNnn5rbfoUlE0Jd_uploads_git_blob_9864c7f811c613c3faab876659c6423__25[[#This Row],[Número de Orden]],Cocinadinamica!B467:B1235,Cocinadinamica!C467:C1235)</f>
        <v>48</v>
      </c>
      <c r="O466" s="7">
        <f>spaces_3iWczBNnn5rbfoUlE0Jd_uploads_git_blob_9864c7f811c613c3faab876659c6423__25[[#This Row],[Hora de Llegada]]</f>
        <v>45021.049305555556</v>
      </c>
      <c r="P466" s="9">
        <f>spaces_3iWczBNnn5rbfoUlE0Jd_uploads_git_blob_9864c7f811c613c3faab876659c6423__25[[#This Row],[Hora de Llegada]]</f>
        <v>45021.049305555556</v>
      </c>
      <c r="Q466" s="9">
        <f>spaces_3iWczBNnn5rbfoUlE0Jd_uploads_git_blob_9864c7f811c613c3faab876659c6423__25[[#This Row],[Hora de Salida]]</f>
        <v>45021.151388888888</v>
      </c>
      <c r="R466" s="9" cm="1">
        <f t="array" ref="R46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0.11249999999563443</v>
      </c>
      <c r="S466" s="9">
        <f>_xlfn.XLOOKUP(spaces_3iWczBNnn5rbfoUlE0Jd_uploads_git_blob_9864c7f811c613c3faab876659c6423__25[[#This Row],[Número de Orden]],Cocinadinamica!E467:E1235,Cocinadinamica!F467:F1235)/1440</f>
        <v>4.1666666666666664E-2</v>
      </c>
      <c r="T466" s="9" cm="1">
        <f t="array" ref="T46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7.0833333328967768E-2</v>
      </c>
      <c r="U466" s="9" t="str" cm="1">
        <f t="array" ref="U46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7" spans="1:21" x14ac:dyDescent="0.35">
      <c r="A467" s="28">
        <v>4</v>
      </c>
      <c r="B467" s="13" t="s">
        <v>1109</v>
      </c>
      <c r="C467" s="13">
        <v>1</v>
      </c>
      <c r="D467" s="14">
        <v>45021.07916666667</v>
      </c>
      <c r="E467" s="14">
        <v>45021.180555555555</v>
      </c>
      <c r="F467" s="13" t="s">
        <v>223</v>
      </c>
      <c r="G467" s="13" t="s">
        <v>86</v>
      </c>
      <c r="H467" s="13" t="s">
        <v>74</v>
      </c>
      <c r="I467" s="17">
        <v>26.63</v>
      </c>
      <c r="J467" s="13" t="s">
        <v>75</v>
      </c>
      <c r="K467" s="13">
        <v>466</v>
      </c>
      <c r="L467" s="13" t="s">
        <v>95</v>
      </c>
      <c r="M467" s="13" t="s">
        <v>1589</v>
      </c>
      <c r="N467">
        <f>_xlfn.XLOOKUP(spaces_3iWczBNnn5rbfoUlE0Jd_uploads_git_blob_9864c7f811c613c3faab876659c6423__25[[#This Row],[Número de Orden]],Cocinadinamica!B468:B1236,Cocinadinamica!C468:C1236)</f>
        <v>57</v>
      </c>
      <c r="O467" s="7">
        <f>spaces_3iWczBNnn5rbfoUlE0Jd_uploads_git_blob_9864c7f811c613c3faab876659c6423__25[[#This Row],[Hora de Llegada]]</f>
        <v>45021.07916666667</v>
      </c>
      <c r="P467" s="9">
        <f>spaces_3iWczBNnn5rbfoUlE0Jd_uploads_git_blob_9864c7f811c613c3faab876659c6423__25[[#This Row],[Hora de Llegada]]</f>
        <v>45021.07916666667</v>
      </c>
      <c r="Q467" s="9">
        <f>spaces_3iWczBNnn5rbfoUlE0Jd_uploads_git_blob_9864c7f811c613c3faab876659c6423__25[[#This Row],[Hora de Salida]]</f>
        <v>45021.180555555555</v>
      </c>
      <c r="R467" s="9" cm="1">
        <f t="array" ref="R46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0.101388888884685</v>
      </c>
      <c r="S467" s="9">
        <f>_xlfn.XLOOKUP(spaces_3iWczBNnn5rbfoUlE0Jd_uploads_git_blob_9864c7f811c613c3faab876659c6423__25[[#This Row],[Número de Orden]],Cocinadinamica!E468:E1236,Cocinadinamica!F468:F1236)/1440</f>
        <v>0.10069444444444445</v>
      </c>
      <c r="T467" s="9" cm="1">
        <f t="array" ref="T46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6.9444444024055474E-4</v>
      </c>
      <c r="U467" s="9" t="str" cm="1">
        <f t="array" ref="U46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8" spans="1:21" x14ac:dyDescent="0.35">
      <c r="A468" s="27">
        <v>15</v>
      </c>
      <c r="B468" s="11" t="s">
        <v>1110</v>
      </c>
      <c r="C468" s="11">
        <v>3</v>
      </c>
      <c r="D468" s="12">
        <v>45021.112500000003</v>
      </c>
      <c r="E468" s="12">
        <v>45021.176388888889</v>
      </c>
      <c r="F468" s="11" t="s">
        <v>223</v>
      </c>
      <c r="G468" s="11" t="s">
        <v>86</v>
      </c>
      <c r="H468" s="11" t="s">
        <v>109</v>
      </c>
      <c r="I468" s="16">
        <v>42.31</v>
      </c>
      <c r="J468" s="11" t="s">
        <v>94</v>
      </c>
      <c r="K468" s="11">
        <v>467</v>
      </c>
      <c r="L468" s="11" t="s">
        <v>76</v>
      </c>
      <c r="M468" s="11" t="s">
        <v>1590</v>
      </c>
      <c r="N468">
        <f>_xlfn.XLOOKUP(spaces_3iWczBNnn5rbfoUlE0Jd_uploads_git_blob_9864c7f811c613c3faab876659c6423__25[[#This Row],[Número de Orden]],Cocinadinamica!B469:B1237,Cocinadinamica!C469:C1237)</f>
        <v>57</v>
      </c>
      <c r="O468" s="7">
        <f>spaces_3iWczBNnn5rbfoUlE0Jd_uploads_git_blob_9864c7f811c613c3faab876659c6423__25[[#This Row],[Hora de Llegada]]</f>
        <v>45021.112500000003</v>
      </c>
      <c r="P468" s="9">
        <f>spaces_3iWczBNnn5rbfoUlE0Jd_uploads_git_blob_9864c7f811c613c3faab876659c6423__25[[#This Row],[Hora de Llegada]]</f>
        <v>45021.112500000003</v>
      </c>
      <c r="Q468" s="9">
        <f>spaces_3iWczBNnn5rbfoUlE0Jd_uploads_git_blob_9864c7f811c613c3faab876659c6423__25[[#This Row],[Hora de Salida]]</f>
        <v>45021.176388888889</v>
      </c>
      <c r="R468" s="9" cm="1">
        <f t="array" ref="R46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6.3888888886140194E-2</v>
      </c>
      <c r="S468" s="9">
        <f>_xlfn.XLOOKUP(spaces_3iWczBNnn5rbfoUlE0Jd_uploads_git_blob_9864c7f811c613c3faab876659c6423__25[[#This Row],[Número de Orden]],Cocinadinamica!E469:E1237,Cocinadinamica!F469:F1237)/1440</f>
        <v>0.05</v>
      </c>
      <c r="T468" s="9" cm="1">
        <f t="array" ref="T46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1.3888888886140191E-2</v>
      </c>
      <c r="U468" s="9" t="str" cm="1">
        <f t="array" ref="U46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69" spans="1:21" x14ac:dyDescent="0.35">
      <c r="A469" s="28">
        <v>14</v>
      </c>
      <c r="B469" s="13" t="s">
        <v>1111</v>
      </c>
      <c r="C469" s="13">
        <v>6</v>
      </c>
      <c r="D469" s="14">
        <v>45021.124305555553</v>
      </c>
      <c r="E469" s="14">
        <v>45021.239583333336</v>
      </c>
      <c r="F469" s="13" t="s">
        <v>100</v>
      </c>
      <c r="G469" s="13" t="s">
        <v>163</v>
      </c>
      <c r="H469" s="13" t="s">
        <v>74</v>
      </c>
      <c r="I469" s="17">
        <v>14.28</v>
      </c>
      <c r="J469" s="13" t="s">
        <v>94</v>
      </c>
      <c r="K469" s="13">
        <v>468</v>
      </c>
      <c r="L469" s="13" t="s">
        <v>164</v>
      </c>
      <c r="M469" s="13" t="s">
        <v>1591</v>
      </c>
      <c r="N469">
        <f>_xlfn.XLOOKUP(spaces_3iWczBNnn5rbfoUlE0Jd_uploads_git_blob_9864c7f811c613c3faab876659c6423__25[[#This Row],[Número de Orden]],Cocinadinamica!B470:B1238,Cocinadinamica!C470:C1238)</f>
        <v>44</v>
      </c>
      <c r="O469" s="7">
        <f>spaces_3iWczBNnn5rbfoUlE0Jd_uploads_git_blob_9864c7f811c613c3faab876659c6423__25[[#This Row],[Hora de Llegada]]</f>
        <v>45021.124305555553</v>
      </c>
      <c r="P469" s="9">
        <f>spaces_3iWczBNnn5rbfoUlE0Jd_uploads_git_blob_9864c7f811c613c3faab876659c6423__25[[#This Row],[Hora de Llegada]]</f>
        <v>45021.124305555553</v>
      </c>
      <c r="Q469" s="9">
        <f>spaces_3iWczBNnn5rbfoUlE0Jd_uploads_git_blob_9864c7f811c613c3faab876659c6423__25[[#This Row],[Hora de Salida]]</f>
        <v>45021.239583333336</v>
      </c>
      <c r="R469" s="9" cm="1">
        <f t="array" ref="R46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0.11527777778246673</v>
      </c>
      <c r="S469" s="9">
        <f>_xlfn.XLOOKUP(spaces_3iWczBNnn5rbfoUlE0Jd_uploads_git_blob_9864c7f811c613c3faab876659c6423__25[[#This Row],[Número de Orden]],Cocinadinamica!E470:E1238,Cocinadinamica!F470:F1238)/1440</f>
        <v>4.3749999999999997E-2</v>
      </c>
      <c r="T469" s="9" cm="1">
        <f t="array" ref="T46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7.1527777782466731E-2</v>
      </c>
      <c r="U469" s="9" t="str" cm="1">
        <f t="array" ref="U46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70" spans="1:21" x14ac:dyDescent="0.35">
      <c r="A470" s="27">
        <v>1</v>
      </c>
      <c r="B470" s="11" t="s">
        <v>1112</v>
      </c>
      <c r="C470" s="11">
        <v>2</v>
      </c>
      <c r="D470" s="12">
        <v>45021.122916666667</v>
      </c>
      <c r="E470" s="12">
        <v>45021.223611111112</v>
      </c>
      <c r="F470" s="11" t="s">
        <v>223</v>
      </c>
      <c r="G470" s="11" t="s">
        <v>73</v>
      </c>
      <c r="H470" s="11" t="s">
        <v>74</v>
      </c>
      <c r="I470" s="16">
        <v>25.26</v>
      </c>
      <c r="J470" s="11" t="s">
        <v>94</v>
      </c>
      <c r="K470" s="11">
        <v>469</v>
      </c>
      <c r="L470" s="11" t="s">
        <v>110</v>
      </c>
      <c r="M470" s="11" t="s">
        <v>1592</v>
      </c>
      <c r="N470">
        <f>_xlfn.XLOOKUP(spaces_3iWczBNnn5rbfoUlE0Jd_uploads_git_blob_9864c7f811c613c3faab876659c6423__25[[#This Row],[Número de Orden]],Cocinadinamica!B471:B1239,Cocinadinamica!C471:C1239)</f>
        <v>55</v>
      </c>
      <c r="O470" s="7">
        <f>spaces_3iWczBNnn5rbfoUlE0Jd_uploads_git_blob_9864c7f811c613c3faab876659c6423__25[[#This Row],[Hora de Llegada]]</f>
        <v>45021.122916666667</v>
      </c>
      <c r="P470" s="9">
        <f>spaces_3iWczBNnn5rbfoUlE0Jd_uploads_git_blob_9864c7f811c613c3faab876659c6423__25[[#This Row],[Hora de Llegada]]</f>
        <v>45021.122916666667</v>
      </c>
      <c r="Q470" s="9">
        <f>spaces_3iWczBNnn5rbfoUlE0Jd_uploads_git_blob_9864c7f811c613c3faab876659c6423__25[[#This Row],[Hora de Salida]]</f>
        <v>45021.223611111112</v>
      </c>
      <c r="R470" s="9" cm="1">
        <f t="array" ref="R47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0.10069444444525288</v>
      </c>
      <c r="S470" s="9">
        <f>_xlfn.XLOOKUP(spaces_3iWczBNnn5rbfoUlE0Jd_uploads_git_blob_9864c7f811c613c3faab876659c6423__25[[#This Row],[Número de Orden]],Cocinadinamica!E471:E1239,Cocinadinamica!F471:F1239)/1440</f>
        <v>4.583333333333333E-2</v>
      </c>
      <c r="T470" s="9" cm="1">
        <f t="array" ref="T47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5.4861111111919554E-2</v>
      </c>
      <c r="U470" s="9" t="str" cm="1">
        <f t="array" ref="U47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71" spans="1:21" x14ac:dyDescent="0.35">
      <c r="A471" s="28">
        <v>17</v>
      </c>
      <c r="B471" s="13" t="s">
        <v>1113</v>
      </c>
      <c r="C471" s="13">
        <v>3</v>
      </c>
      <c r="D471" s="14">
        <v>45021.070138888892</v>
      </c>
      <c r="E471" s="14">
        <v>45021.178472222222</v>
      </c>
      <c r="F471" s="13" t="s">
        <v>72</v>
      </c>
      <c r="G471" s="13" t="s">
        <v>86</v>
      </c>
      <c r="H471" s="13" t="s">
        <v>74</v>
      </c>
      <c r="I471" s="17">
        <v>47.46</v>
      </c>
      <c r="J471" s="13" t="s">
        <v>88</v>
      </c>
      <c r="K471" s="13">
        <v>470</v>
      </c>
      <c r="L471" s="13" t="s">
        <v>174</v>
      </c>
      <c r="M471" s="13" t="s">
        <v>1593</v>
      </c>
      <c r="N471">
        <f>_xlfn.XLOOKUP(spaces_3iWczBNnn5rbfoUlE0Jd_uploads_git_blob_9864c7f811c613c3faab876659c6423__25[[#This Row],[Número de Orden]],Cocinadinamica!B472:B1240,Cocinadinamica!C472:C1240)</f>
        <v>34</v>
      </c>
      <c r="O471" s="7">
        <f>spaces_3iWczBNnn5rbfoUlE0Jd_uploads_git_blob_9864c7f811c613c3faab876659c6423__25[[#This Row],[Hora de Llegada]]</f>
        <v>45021.070138888892</v>
      </c>
      <c r="P471" s="9">
        <f>spaces_3iWczBNnn5rbfoUlE0Jd_uploads_git_blob_9864c7f811c613c3faab876659c6423__25[[#This Row],[Hora de Llegada]]</f>
        <v>45021.070138888892</v>
      </c>
      <c r="Q471" s="9">
        <f>spaces_3iWczBNnn5rbfoUlE0Jd_uploads_git_blob_9864c7f811c613c3faab876659c6423__25[[#This Row],[Hora de Salida]]</f>
        <v>45021.178472222222</v>
      </c>
      <c r="R471" s="9" cm="1">
        <f t="array" ref="R47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0.11874999999417923</v>
      </c>
      <c r="S471" s="9">
        <f>_xlfn.XLOOKUP(spaces_3iWczBNnn5rbfoUlE0Jd_uploads_git_blob_9864c7f811c613c3faab876659c6423__25[[#This Row],[Número de Orden]],Cocinadinamica!E472:E1240,Cocinadinamica!F472:F1240)/1440</f>
        <v>0.05</v>
      </c>
      <c r="T471" s="9" cm="1">
        <f t="array" ref="T47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6.8749999994179231E-2</v>
      </c>
      <c r="U471" s="9" t="str" cm="1">
        <f t="array" ref="U47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72" spans="1:21" x14ac:dyDescent="0.35">
      <c r="A472" s="27" t="s">
        <v>70</v>
      </c>
      <c r="B472" s="11" t="s">
        <v>575</v>
      </c>
      <c r="C472" s="11">
        <v>6</v>
      </c>
      <c r="D472" s="12">
        <v>45021.15</v>
      </c>
      <c r="E472" s="12">
        <v>45021.234722222223</v>
      </c>
      <c r="F472" s="11" t="s">
        <v>72</v>
      </c>
      <c r="G472" s="11" t="s">
        <v>163</v>
      </c>
      <c r="H472" s="11" t="s">
        <v>109</v>
      </c>
      <c r="I472" s="16">
        <v>28.49</v>
      </c>
      <c r="J472" s="11" t="s">
        <v>94</v>
      </c>
      <c r="K472" s="11">
        <v>471</v>
      </c>
      <c r="L472" s="11" t="s">
        <v>76</v>
      </c>
      <c r="M472" s="11" t="s">
        <v>31</v>
      </c>
      <c r="N472">
        <f>_xlfn.XLOOKUP(spaces_3iWczBNnn5rbfoUlE0Jd_uploads_git_blob_9864c7f811c613c3faab876659c6423__25[[#This Row],[Número de Orden]],Cocinadinamica!B473:B1241,Cocinadinamica!C473:C1241)</f>
        <v>42</v>
      </c>
      <c r="O472" s="7">
        <f>spaces_3iWczBNnn5rbfoUlE0Jd_uploads_git_blob_9864c7f811c613c3faab876659c6423__25[[#This Row],[Hora de Llegada]]</f>
        <v>45021.15</v>
      </c>
      <c r="P472" s="9">
        <f>spaces_3iWczBNnn5rbfoUlE0Jd_uploads_git_blob_9864c7f811c613c3faab876659c6423__25[[#This Row],[Hora de Llegada]]</f>
        <v>45021.15</v>
      </c>
      <c r="Q472" s="9">
        <f>spaces_3iWczBNnn5rbfoUlE0Jd_uploads_git_blob_9864c7f811c613c3faab876659c6423__25[[#This Row],[Hora de Salida]]</f>
        <v>45021.234722222223</v>
      </c>
      <c r="R472" s="9" cm="1">
        <f t="array" ref="R47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8.4722222221898846E-2</v>
      </c>
      <c r="S472" s="9">
        <f>_xlfn.XLOOKUP(spaces_3iWczBNnn5rbfoUlE0Jd_uploads_git_blob_9864c7f811c613c3faab876659c6423__25[[#This Row],[Número de Orden]],Cocinadinamica!E473:E1241,Cocinadinamica!F473:F1241)/1440</f>
        <v>3.9583333333333331E-2</v>
      </c>
      <c r="T472" s="9" cm="1">
        <f t="array" ref="T47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4.5138888888565515E-2</v>
      </c>
      <c r="U472" s="9" t="str" cm="1">
        <f t="array" ref="U47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73" spans="1:21" x14ac:dyDescent="0.35">
      <c r="A473" s="28">
        <v>20</v>
      </c>
      <c r="B473" s="13" t="s">
        <v>1114</v>
      </c>
      <c r="C473" s="13">
        <v>2</v>
      </c>
      <c r="D473" s="14">
        <v>45021.164583333331</v>
      </c>
      <c r="E473" s="14">
        <v>45021.286111111112</v>
      </c>
      <c r="F473" s="13" t="s">
        <v>100</v>
      </c>
      <c r="G473" s="13" t="s">
        <v>86</v>
      </c>
      <c r="H473" s="13" t="s">
        <v>87</v>
      </c>
      <c r="I473" s="17">
        <v>36.79</v>
      </c>
      <c r="J473" s="13" t="s">
        <v>88</v>
      </c>
      <c r="K473" s="13">
        <v>472</v>
      </c>
      <c r="L473" s="13" t="s">
        <v>174</v>
      </c>
      <c r="M473" s="13" t="s">
        <v>1594</v>
      </c>
      <c r="N473">
        <f>_xlfn.XLOOKUP(spaces_3iWczBNnn5rbfoUlE0Jd_uploads_git_blob_9864c7f811c613c3faab876659c6423__25[[#This Row],[Número de Orden]],Cocinadinamica!B474:B1242,Cocinadinamica!C474:C1242)</f>
        <v>46</v>
      </c>
      <c r="O473" s="7">
        <f>spaces_3iWczBNnn5rbfoUlE0Jd_uploads_git_blob_9864c7f811c613c3faab876659c6423__25[[#This Row],[Hora de Llegada]]</f>
        <v>45021.164583333331</v>
      </c>
      <c r="P473" s="9">
        <f>spaces_3iWczBNnn5rbfoUlE0Jd_uploads_git_blob_9864c7f811c613c3faab876659c6423__25[[#This Row],[Hora de Llegada]]</f>
        <v>45021.164583333331</v>
      </c>
      <c r="Q473" s="9">
        <f>spaces_3iWczBNnn5rbfoUlE0Jd_uploads_git_blob_9864c7f811c613c3faab876659c6423__25[[#This Row],[Hora de Salida]]</f>
        <v>45021.286111111112</v>
      </c>
      <c r="R473" s="9" cm="1">
        <f t="array" ref="R47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0.13194444444525288</v>
      </c>
      <c r="S473" s="9">
        <f>_xlfn.XLOOKUP(spaces_3iWczBNnn5rbfoUlE0Jd_uploads_git_blob_9864c7f811c613c3faab876659c6423__25[[#This Row],[Número de Orden]],Cocinadinamica!E474:E1242,Cocinadinamica!F474:F1242)/1440</f>
        <v>5.0694444444444445E-2</v>
      </c>
      <c r="T473" s="9" cm="1">
        <f t="array" ref="T47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8.1250000000808439E-2</v>
      </c>
      <c r="U473" s="9" t="str" cm="1">
        <f t="array" ref="U47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74" spans="1:21" x14ac:dyDescent="0.35">
      <c r="A474" s="27">
        <v>13</v>
      </c>
      <c r="B474" s="11" t="s">
        <v>1115</v>
      </c>
      <c r="C474" s="11">
        <v>4</v>
      </c>
      <c r="D474" s="12">
        <v>45022.15</v>
      </c>
      <c r="E474" s="12">
        <v>45022.294444444444</v>
      </c>
      <c r="F474" s="11" t="s">
        <v>100</v>
      </c>
      <c r="G474" s="11" t="s">
        <v>86</v>
      </c>
      <c r="H474" s="11" t="s">
        <v>109</v>
      </c>
      <c r="I474" s="16">
        <v>15.63</v>
      </c>
      <c r="J474" s="11" t="s">
        <v>88</v>
      </c>
      <c r="K474" s="11">
        <v>473</v>
      </c>
      <c r="L474" s="11" t="s">
        <v>221</v>
      </c>
      <c r="M474" s="11" t="s">
        <v>1595</v>
      </c>
      <c r="N474">
        <f>_xlfn.XLOOKUP(spaces_3iWczBNnn5rbfoUlE0Jd_uploads_git_blob_9864c7f811c613c3faab876659c6423__25[[#This Row],[Número de Orden]],Cocinadinamica!B475:B1243,Cocinadinamica!C475:C1243)</f>
        <v>32</v>
      </c>
      <c r="O474" s="7">
        <f>spaces_3iWczBNnn5rbfoUlE0Jd_uploads_git_blob_9864c7f811c613c3faab876659c6423__25[[#This Row],[Hora de Llegada]]</f>
        <v>45022.15</v>
      </c>
      <c r="P474" s="9">
        <f>spaces_3iWczBNnn5rbfoUlE0Jd_uploads_git_blob_9864c7f811c613c3faab876659c6423__25[[#This Row],[Hora de Llegada]]</f>
        <v>45022.15</v>
      </c>
      <c r="Q474" s="9">
        <f>spaces_3iWczBNnn5rbfoUlE0Jd_uploads_git_blob_9864c7f811c613c3faab876659c6423__25[[#This Row],[Hora de Salida]]</f>
        <v>45022.294444444444</v>
      </c>
      <c r="R474" s="9" cm="1">
        <f t="array" ref="R47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0.15486111110658385</v>
      </c>
      <c r="S474" s="9">
        <f>_xlfn.XLOOKUP(spaces_3iWczBNnn5rbfoUlE0Jd_uploads_git_blob_9864c7f811c613c3faab876659c6423__25[[#This Row],[Número de Orden]],Cocinadinamica!E475:E1243,Cocinadinamica!F475:F1243)/1440</f>
        <v>4.2361111111111113E-2</v>
      </c>
      <c r="T474" s="9" cm="1">
        <f t="array" ref="T47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0.11249999999547274</v>
      </c>
      <c r="U474" s="9" t="str" cm="1">
        <f t="array" ref="U47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75" spans="1:21" x14ac:dyDescent="0.35">
      <c r="A475" s="28">
        <v>2</v>
      </c>
      <c r="B475" s="13" t="s">
        <v>1116</v>
      </c>
      <c r="C475" s="13">
        <v>6</v>
      </c>
      <c r="D475" s="14">
        <v>45022.077777777777</v>
      </c>
      <c r="E475" s="14">
        <v>45022.147222222222</v>
      </c>
      <c r="F475" s="13" t="s">
        <v>72</v>
      </c>
      <c r="G475" s="13" t="s">
        <v>86</v>
      </c>
      <c r="H475" s="13" t="s">
        <v>74</v>
      </c>
      <c r="I475" s="17">
        <v>21.66</v>
      </c>
      <c r="J475" s="13" t="s">
        <v>75</v>
      </c>
      <c r="K475" s="13">
        <v>474</v>
      </c>
      <c r="L475" s="13" t="s">
        <v>76</v>
      </c>
      <c r="M475" s="13" t="s">
        <v>1596</v>
      </c>
      <c r="N475">
        <f>_xlfn.XLOOKUP(spaces_3iWczBNnn5rbfoUlE0Jd_uploads_git_blob_9864c7f811c613c3faab876659c6423__25[[#This Row],[Número de Orden]],Cocinadinamica!B476:B1244,Cocinadinamica!C476:C1244)</f>
        <v>74</v>
      </c>
      <c r="O475" s="7">
        <f>spaces_3iWczBNnn5rbfoUlE0Jd_uploads_git_blob_9864c7f811c613c3faab876659c6423__25[[#This Row],[Hora de Llegada]]</f>
        <v>45022.077777777777</v>
      </c>
      <c r="P475" s="9">
        <f>spaces_3iWczBNnn5rbfoUlE0Jd_uploads_git_blob_9864c7f811c613c3faab876659c6423__25[[#This Row],[Hora de Llegada]]</f>
        <v>45022.077777777777</v>
      </c>
      <c r="Q475" s="9">
        <f>spaces_3iWczBNnn5rbfoUlE0Jd_uploads_git_blob_9864c7f811c613c3faab876659c6423__25[[#This Row],[Hora de Salida]]</f>
        <v>45022.147222222222</v>
      </c>
      <c r="R475" s="9" cm="1">
        <f t="array" ref="R47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6.9444444445252884E-2</v>
      </c>
      <c r="S475" s="9">
        <f>_xlfn.XLOOKUP(spaces_3iWczBNnn5rbfoUlE0Jd_uploads_git_blob_9864c7f811c613c3faab876659c6423__25[[#This Row],[Número de Orden]],Cocinadinamica!E476:E1244,Cocinadinamica!F476:F1244)/1440</f>
        <v>0.11180555555555556</v>
      </c>
      <c r="T475" s="9" cm="1">
        <f t="array" ref="T47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75" s="9" t="str" cm="1">
        <f t="array" ref="U47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76" spans="1:21" x14ac:dyDescent="0.35">
      <c r="A476" s="27">
        <v>18</v>
      </c>
      <c r="B476" s="11" t="s">
        <v>453</v>
      </c>
      <c r="C476" s="11">
        <v>4</v>
      </c>
      <c r="D476" s="12">
        <v>45022.136805555558</v>
      </c>
      <c r="E476" s="12">
        <v>45022.243055555555</v>
      </c>
      <c r="F476" s="11" t="s">
        <v>85</v>
      </c>
      <c r="G476" s="11" t="s">
        <v>73</v>
      </c>
      <c r="H476" s="11" t="s">
        <v>109</v>
      </c>
      <c r="I476" s="16">
        <v>19.55</v>
      </c>
      <c r="J476" s="11" t="s">
        <v>88</v>
      </c>
      <c r="K476" s="11">
        <v>475</v>
      </c>
      <c r="L476" s="11" t="s">
        <v>221</v>
      </c>
      <c r="M476" s="11" t="s">
        <v>1597</v>
      </c>
      <c r="N476">
        <f>_xlfn.XLOOKUP(spaces_3iWczBNnn5rbfoUlE0Jd_uploads_git_blob_9864c7f811c613c3faab876659c6423__25[[#This Row],[Número de Orden]],Cocinadinamica!B477:B1245,Cocinadinamica!C477:C1245)</f>
        <v>72</v>
      </c>
      <c r="O476" s="7">
        <f>spaces_3iWczBNnn5rbfoUlE0Jd_uploads_git_blob_9864c7f811c613c3faab876659c6423__25[[#This Row],[Hora de Llegada]]</f>
        <v>45022.136805555558</v>
      </c>
      <c r="P476" s="9">
        <f>spaces_3iWczBNnn5rbfoUlE0Jd_uploads_git_blob_9864c7f811c613c3faab876659c6423__25[[#This Row],[Hora de Llegada]]</f>
        <v>45022.136805555558</v>
      </c>
      <c r="Q476" s="9">
        <f>spaces_3iWczBNnn5rbfoUlE0Jd_uploads_git_blob_9864c7f811c613c3faab876659c6423__25[[#This Row],[Hora de Salida]]</f>
        <v>45022.243055555555</v>
      </c>
      <c r="R476" s="9" cm="1">
        <f t="array" ref="R47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0.11666666666133096</v>
      </c>
      <c r="S476" s="9">
        <f>_xlfn.XLOOKUP(spaces_3iWczBNnn5rbfoUlE0Jd_uploads_git_blob_9864c7f811c613c3faab876659c6423__25[[#This Row],[Número de Orden]],Cocinadinamica!E477:E1245,Cocinadinamica!F477:F1245)/1440</f>
        <v>2.4305555555555556E-2</v>
      </c>
      <c r="T476" s="9" cm="1">
        <f t="array" ref="T47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9.2361111105775412E-2</v>
      </c>
      <c r="U476" s="9" t="str" cm="1">
        <f t="array" ref="U47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77" spans="1:21" x14ac:dyDescent="0.35">
      <c r="A477" s="28">
        <v>13</v>
      </c>
      <c r="B477" s="13" t="s">
        <v>1117</v>
      </c>
      <c r="C477" s="13">
        <v>2</v>
      </c>
      <c r="D477" s="14">
        <v>45022.002083333333</v>
      </c>
      <c r="E477" s="14">
        <v>45022.074305555558</v>
      </c>
      <c r="F477" s="13" t="s">
        <v>170</v>
      </c>
      <c r="G477" s="13" t="s">
        <v>163</v>
      </c>
      <c r="H477" s="13" t="s">
        <v>109</v>
      </c>
      <c r="I477" s="17">
        <v>43.53</v>
      </c>
      <c r="J477" s="13" t="s">
        <v>88</v>
      </c>
      <c r="K477" s="13">
        <v>476</v>
      </c>
      <c r="L477" s="13" t="s">
        <v>221</v>
      </c>
      <c r="M477" s="13" t="s">
        <v>1598</v>
      </c>
      <c r="N477">
        <f>_xlfn.XLOOKUP(spaces_3iWczBNnn5rbfoUlE0Jd_uploads_git_blob_9864c7f811c613c3faab876659c6423__25[[#This Row],[Número de Orden]],Cocinadinamica!B478:B1246,Cocinadinamica!C478:C1246)</f>
        <v>88</v>
      </c>
      <c r="O477" s="7">
        <f>spaces_3iWczBNnn5rbfoUlE0Jd_uploads_git_blob_9864c7f811c613c3faab876659c6423__25[[#This Row],[Hora de Llegada]]</f>
        <v>45022.002083333333</v>
      </c>
      <c r="P477" s="9">
        <f>spaces_3iWczBNnn5rbfoUlE0Jd_uploads_git_blob_9864c7f811c613c3faab876659c6423__25[[#This Row],[Hora de Llegada]]</f>
        <v>45022.002083333333</v>
      </c>
      <c r="Q477" s="9">
        <f>spaces_3iWczBNnn5rbfoUlE0Jd_uploads_git_blob_9864c7f811c613c3faab876659c6423__25[[#This Row],[Hora de Salida]]</f>
        <v>45022.074305555558</v>
      </c>
      <c r="R477" s="9" cm="1">
        <f t="array" ref="R47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8.2638888889050577E-2</v>
      </c>
      <c r="S477" s="9">
        <f>_xlfn.XLOOKUP(spaces_3iWczBNnn5rbfoUlE0Jd_uploads_git_blob_9864c7f811c613c3faab876659c6423__25[[#This Row],[Número de Orden]],Cocinadinamica!E478:E1246,Cocinadinamica!F478:F1246)/1440</f>
        <v>7.9861111111111105E-2</v>
      </c>
      <c r="T477" s="9" cm="1">
        <f t="array" ref="T47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2.7777777779394719E-3</v>
      </c>
      <c r="U477" s="9" t="str" cm="1">
        <f t="array" ref="U47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78" spans="1:21" x14ac:dyDescent="0.35">
      <c r="A478" s="27">
        <v>8</v>
      </c>
      <c r="B478" s="11" t="s">
        <v>1118</v>
      </c>
      <c r="C478" s="11">
        <v>6</v>
      </c>
      <c r="D478" s="12">
        <v>45022.068749999999</v>
      </c>
      <c r="E478" s="12">
        <v>45022.123611111114</v>
      </c>
      <c r="F478" s="11" t="s">
        <v>72</v>
      </c>
      <c r="G478" s="11" t="s">
        <v>163</v>
      </c>
      <c r="H478" s="11" t="s">
        <v>74</v>
      </c>
      <c r="I478" s="16">
        <v>33.85</v>
      </c>
      <c r="J478" s="11" t="s">
        <v>94</v>
      </c>
      <c r="K478" s="11">
        <v>477</v>
      </c>
      <c r="L478" s="11" t="s">
        <v>110</v>
      </c>
      <c r="M478" s="11" t="s">
        <v>1599</v>
      </c>
      <c r="N478">
        <f>_xlfn.XLOOKUP(spaces_3iWczBNnn5rbfoUlE0Jd_uploads_git_blob_9864c7f811c613c3faab876659c6423__25[[#This Row],[Número de Orden]],Cocinadinamica!B479:B1247,Cocinadinamica!C479:C1247)</f>
        <v>82</v>
      </c>
      <c r="O478" s="7">
        <f>spaces_3iWczBNnn5rbfoUlE0Jd_uploads_git_blob_9864c7f811c613c3faab876659c6423__25[[#This Row],[Hora de Llegada]]</f>
        <v>45022.068749999999</v>
      </c>
      <c r="P478" s="9">
        <f>spaces_3iWczBNnn5rbfoUlE0Jd_uploads_git_blob_9864c7f811c613c3faab876659c6423__25[[#This Row],[Hora de Llegada]]</f>
        <v>45022.068749999999</v>
      </c>
      <c r="Q478" s="9">
        <f>spaces_3iWczBNnn5rbfoUlE0Jd_uploads_git_blob_9864c7f811c613c3faab876659c6423__25[[#This Row],[Hora de Salida]]</f>
        <v>45022.123611111114</v>
      </c>
      <c r="R478" s="9" cm="1">
        <f t="array" ref="R47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5.4861111115314998E-2</v>
      </c>
      <c r="S478" s="9">
        <f>_xlfn.XLOOKUP(spaces_3iWczBNnn5rbfoUlE0Jd_uploads_git_blob_9864c7f811c613c3faab876659c6423__25[[#This Row],[Número de Orden]],Cocinadinamica!E479:E1247,Cocinadinamica!F479:F1247)/1440</f>
        <v>7.9861111111111105E-2</v>
      </c>
      <c r="T478" s="9" cm="1">
        <f t="array" ref="T47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78" s="9" t="str" cm="1">
        <f t="array" ref="U47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79" spans="1:21" x14ac:dyDescent="0.35">
      <c r="A479" s="28">
        <v>7</v>
      </c>
      <c r="B479" s="13" t="s">
        <v>921</v>
      </c>
      <c r="C479" s="13">
        <v>5</v>
      </c>
      <c r="D479" s="14">
        <v>45022.000694444447</v>
      </c>
      <c r="E479" s="14">
        <v>45022.144444444442</v>
      </c>
      <c r="F479" s="13" t="s">
        <v>223</v>
      </c>
      <c r="G479" s="13" t="s">
        <v>86</v>
      </c>
      <c r="H479" s="13" t="s">
        <v>87</v>
      </c>
      <c r="I479" s="17">
        <v>32.78</v>
      </c>
      <c r="J479" s="13" t="s">
        <v>88</v>
      </c>
      <c r="K479" s="13">
        <v>478</v>
      </c>
      <c r="L479" s="13" t="s">
        <v>95</v>
      </c>
      <c r="M479" s="13" t="s">
        <v>1600</v>
      </c>
      <c r="N479">
        <f>_xlfn.XLOOKUP(spaces_3iWczBNnn5rbfoUlE0Jd_uploads_git_blob_9864c7f811c613c3faab876659c6423__25[[#This Row],[Número de Orden]],Cocinadinamica!B480:B1248,Cocinadinamica!C480:C1248)</f>
        <v>48</v>
      </c>
      <c r="O479" s="7">
        <f>spaces_3iWczBNnn5rbfoUlE0Jd_uploads_git_blob_9864c7f811c613c3faab876659c6423__25[[#This Row],[Hora de Llegada]]</f>
        <v>45022.000694444447</v>
      </c>
      <c r="P479" s="9">
        <f>spaces_3iWczBNnn5rbfoUlE0Jd_uploads_git_blob_9864c7f811c613c3faab876659c6423__25[[#This Row],[Hora de Llegada]]</f>
        <v>45022.000694444447</v>
      </c>
      <c r="Q479" s="9">
        <f>spaces_3iWczBNnn5rbfoUlE0Jd_uploads_git_blob_9864c7f811c613c3faab876659c6423__25[[#This Row],[Hora de Salida]]</f>
        <v>45022.144444444442</v>
      </c>
      <c r="R479" s="9" cm="1">
        <f t="array" ref="R47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0.15416666665987577</v>
      </c>
      <c r="S479" s="9">
        <f>_xlfn.XLOOKUP(spaces_3iWczBNnn5rbfoUlE0Jd_uploads_git_blob_9864c7f811c613c3faab876659c6423__25[[#This Row],[Número de Orden]],Cocinadinamica!E480:E1248,Cocinadinamica!F480:F1248)/1440</f>
        <v>6.25E-2</v>
      </c>
      <c r="T479" s="9" cm="1">
        <f t="array" ref="T47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9.1666666659875773E-2</v>
      </c>
      <c r="U479" s="9" t="str" cm="1">
        <f t="array" ref="U47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0" spans="1:21" x14ac:dyDescent="0.35">
      <c r="A480" s="27">
        <v>1</v>
      </c>
      <c r="B480" s="11" t="s">
        <v>889</v>
      </c>
      <c r="C480" s="11">
        <v>3</v>
      </c>
      <c r="D480" s="12">
        <v>45022.029166666667</v>
      </c>
      <c r="E480" s="12">
        <v>45022.1875</v>
      </c>
      <c r="F480" s="11" t="s">
        <v>170</v>
      </c>
      <c r="G480" s="11" t="s">
        <v>86</v>
      </c>
      <c r="H480" s="11" t="s">
        <v>109</v>
      </c>
      <c r="I480" s="16">
        <v>39.58</v>
      </c>
      <c r="J480" s="11" t="s">
        <v>94</v>
      </c>
      <c r="K480" s="11">
        <v>479</v>
      </c>
      <c r="L480" s="11" t="s">
        <v>164</v>
      </c>
      <c r="M480" s="11" t="s">
        <v>1601</v>
      </c>
      <c r="N480">
        <f>_xlfn.XLOOKUP(spaces_3iWczBNnn5rbfoUlE0Jd_uploads_git_blob_9864c7f811c613c3faab876659c6423__25[[#This Row],[Número de Orden]],Cocinadinamica!B481:B1249,Cocinadinamica!C481:C1249)</f>
        <v>22</v>
      </c>
      <c r="O480" s="7">
        <f>spaces_3iWczBNnn5rbfoUlE0Jd_uploads_git_blob_9864c7f811c613c3faab876659c6423__25[[#This Row],[Hora de Llegada]]</f>
        <v>45022.029166666667</v>
      </c>
      <c r="P480" s="9">
        <f>spaces_3iWczBNnn5rbfoUlE0Jd_uploads_git_blob_9864c7f811c613c3faab876659c6423__25[[#This Row],[Hora de Llegada]]</f>
        <v>45022.029166666667</v>
      </c>
      <c r="Q480" s="9">
        <f>spaces_3iWczBNnn5rbfoUlE0Jd_uploads_git_blob_9864c7f811c613c3faab876659c6423__25[[#This Row],[Hora de Salida]]</f>
        <v>45022.1875</v>
      </c>
      <c r="R480" s="9" cm="1">
        <f t="array" ref="R48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0.15833333333284827</v>
      </c>
      <c r="S480" s="9">
        <f>_xlfn.XLOOKUP(spaces_3iWczBNnn5rbfoUlE0Jd_uploads_git_blob_9864c7f811c613c3faab876659c6423__25[[#This Row],[Número de Orden]],Cocinadinamica!E481:E1249,Cocinadinamica!F481:F1249)/1440</f>
        <v>5.7638888888888892E-2</v>
      </c>
      <c r="T480" s="9" cm="1">
        <f t="array" ref="T48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0.10069444444395938</v>
      </c>
      <c r="U480" s="9" t="str" cm="1">
        <f t="array" ref="U48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1" spans="1:21" x14ac:dyDescent="0.35">
      <c r="A481" s="28">
        <v>1</v>
      </c>
      <c r="B481" s="13" t="s">
        <v>1119</v>
      </c>
      <c r="C481" s="13">
        <v>5</v>
      </c>
      <c r="D481" s="14">
        <v>45022.143055555556</v>
      </c>
      <c r="E481" s="14">
        <v>45022.304861111108</v>
      </c>
      <c r="F481" s="13" t="s">
        <v>85</v>
      </c>
      <c r="G481" s="13" t="s">
        <v>163</v>
      </c>
      <c r="H481" s="13" t="s">
        <v>87</v>
      </c>
      <c r="I481" s="17">
        <v>18.63</v>
      </c>
      <c r="J481" s="13" t="s">
        <v>94</v>
      </c>
      <c r="K481" s="13">
        <v>480</v>
      </c>
      <c r="L481" s="13" t="s">
        <v>174</v>
      </c>
      <c r="M481" s="13" t="s">
        <v>1602</v>
      </c>
      <c r="N481">
        <f>_xlfn.XLOOKUP(spaces_3iWczBNnn5rbfoUlE0Jd_uploads_git_blob_9864c7f811c613c3faab876659c6423__25[[#This Row],[Número de Orden]],Cocinadinamica!B482:B1250,Cocinadinamica!C482:C1250)</f>
        <v>64</v>
      </c>
      <c r="O481" s="7">
        <f>spaces_3iWczBNnn5rbfoUlE0Jd_uploads_git_blob_9864c7f811c613c3faab876659c6423__25[[#This Row],[Hora de Llegada]]</f>
        <v>45022.143055555556</v>
      </c>
      <c r="P481" s="9">
        <f>spaces_3iWczBNnn5rbfoUlE0Jd_uploads_git_blob_9864c7f811c613c3faab876659c6423__25[[#This Row],[Hora de Llegada]]</f>
        <v>45022.143055555556</v>
      </c>
      <c r="Q481" s="9">
        <f>spaces_3iWczBNnn5rbfoUlE0Jd_uploads_git_blob_9864c7f811c613c3faab876659c6423__25[[#This Row],[Hora de Salida]]</f>
        <v>45022.304861111108</v>
      </c>
      <c r="R481" s="9" cm="1">
        <f t="array" ref="R48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0.16180555555183673</v>
      </c>
      <c r="S481" s="9">
        <f>_xlfn.XLOOKUP(spaces_3iWczBNnn5rbfoUlE0Jd_uploads_git_blob_9864c7f811c613c3faab876659c6423__25[[#This Row],[Número de Orden]],Cocinadinamica!E482:E1250,Cocinadinamica!F482:F1250)/1440</f>
        <v>4.5138888888888888E-2</v>
      </c>
      <c r="T481" s="9" cm="1">
        <f t="array" ref="T48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0.11666666666294784</v>
      </c>
      <c r="U481" s="9" t="str" cm="1">
        <f t="array" ref="U48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2" spans="1:21" x14ac:dyDescent="0.35">
      <c r="A482" s="27" t="s">
        <v>247</v>
      </c>
      <c r="B482" s="11" t="s">
        <v>585</v>
      </c>
      <c r="C482" s="11">
        <v>4</v>
      </c>
      <c r="D482" s="12">
        <v>45022.081250000003</v>
      </c>
      <c r="E482" s="12">
        <v>45022.196527777778</v>
      </c>
      <c r="F482" s="11" t="s">
        <v>223</v>
      </c>
      <c r="G482" s="11" t="s">
        <v>86</v>
      </c>
      <c r="H482" s="11" t="s">
        <v>74</v>
      </c>
      <c r="I482" s="16">
        <v>42.02</v>
      </c>
      <c r="J482" s="11" t="s">
        <v>94</v>
      </c>
      <c r="K482" s="11">
        <v>481</v>
      </c>
      <c r="L482" s="11" t="s">
        <v>76</v>
      </c>
      <c r="M482" s="11" t="s">
        <v>47</v>
      </c>
      <c r="N482">
        <f>_xlfn.XLOOKUP(spaces_3iWczBNnn5rbfoUlE0Jd_uploads_git_blob_9864c7f811c613c3faab876659c6423__25[[#This Row],[Número de Orden]],Cocinadinamica!B483:B1251,Cocinadinamica!C483:C1251)</f>
        <v>22</v>
      </c>
      <c r="O482" s="7">
        <f>spaces_3iWczBNnn5rbfoUlE0Jd_uploads_git_blob_9864c7f811c613c3faab876659c6423__25[[#This Row],[Hora de Llegada]]</f>
        <v>45022.081250000003</v>
      </c>
      <c r="P482" s="9">
        <f>spaces_3iWczBNnn5rbfoUlE0Jd_uploads_git_blob_9864c7f811c613c3faab876659c6423__25[[#This Row],[Hora de Llegada]]</f>
        <v>45022.081250000003</v>
      </c>
      <c r="Q482" s="9">
        <f>spaces_3iWczBNnn5rbfoUlE0Jd_uploads_git_blob_9864c7f811c613c3faab876659c6423__25[[#This Row],[Hora de Salida]]</f>
        <v>45022.196527777778</v>
      </c>
      <c r="R482" s="9" cm="1">
        <f t="array" ref="R48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0.11527777777519077</v>
      </c>
      <c r="S482" s="9">
        <f>_xlfn.XLOOKUP(spaces_3iWczBNnn5rbfoUlE0Jd_uploads_git_blob_9864c7f811c613c3faab876659c6423__25[[#This Row],[Número de Orden]],Cocinadinamica!E483:E1251,Cocinadinamica!F483:F1251)/1440</f>
        <v>4.027777777777778E-2</v>
      </c>
      <c r="T482" s="9" cm="1">
        <f t="array" ref="T48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7.4999999997412997E-2</v>
      </c>
      <c r="U482" s="9" t="str" cm="1">
        <f t="array" ref="U48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3" spans="1:21" x14ac:dyDescent="0.35">
      <c r="A483" s="28" t="s">
        <v>247</v>
      </c>
      <c r="B483" s="13" t="s">
        <v>586</v>
      </c>
      <c r="C483" s="13">
        <v>4</v>
      </c>
      <c r="D483" s="14">
        <v>45022.02847222222</v>
      </c>
      <c r="E483" s="14">
        <v>45022.124305555553</v>
      </c>
      <c r="F483" s="13" t="s">
        <v>170</v>
      </c>
      <c r="G483" s="13" t="s">
        <v>163</v>
      </c>
      <c r="H483" s="13" t="s">
        <v>74</v>
      </c>
      <c r="I483" s="17">
        <v>18.84</v>
      </c>
      <c r="J483" s="13" t="s">
        <v>75</v>
      </c>
      <c r="K483" s="13">
        <v>482</v>
      </c>
      <c r="L483" s="13" t="s">
        <v>110</v>
      </c>
      <c r="M483" s="13" t="s">
        <v>43</v>
      </c>
      <c r="N483">
        <f>_xlfn.XLOOKUP(spaces_3iWczBNnn5rbfoUlE0Jd_uploads_git_blob_9864c7f811c613c3faab876659c6423__25[[#This Row],[Número de Orden]],Cocinadinamica!B484:B1252,Cocinadinamica!C484:C1252)</f>
        <v>24</v>
      </c>
      <c r="O483" s="7">
        <f>spaces_3iWczBNnn5rbfoUlE0Jd_uploads_git_blob_9864c7f811c613c3faab876659c6423__25[[#This Row],[Hora de Llegada]]</f>
        <v>45022.02847222222</v>
      </c>
      <c r="P483" s="9">
        <f>spaces_3iWczBNnn5rbfoUlE0Jd_uploads_git_blob_9864c7f811c613c3faab876659c6423__25[[#This Row],[Hora de Llegada]]</f>
        <v>45022.02847222222</v>
      </c>
      <c r="Q483" s="9">
        <f>spaces_3iWczBNnn5rbfoUlE0Jd_uploads_git_blob_9864c7f811c613c3faab876659c6423__25[[#This Row],[Hora de Salida]]</f>
        <v>45022.124305555553</v>
      </c>
      <c r="R483" s="9" cm="1">
        <f t="array" ref="R48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9.5833333332848269E-2</v>
      </c>
      <c r="S483" s="9">
        <f>_xlfn.XLOOKUP(spaces_3iWczBNnn5rbfoUlE0Jd_uploads_git_blob_9864c7f811c613c3faab876659c6423__25[[#This Row],[Número de Orden]],Cocinadinamica!E484:E1252,Cocinadinamica!F484:F1252)/1440</f>
        <v>1.4583333333333334E-2</v>
      </c>
      <c r="T483" s="9" cm="1">
        <f t="array" ref="T48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8.1249999999514932E-2</v>
      </c>
      <c r="U483" s="9" t="str" cm="1">
        <f t="array" ref="U48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4" spans="1:21" x14ac:dyDescent="0.35">
      <c r="A484" s="27" t="s">
        <v>83</v>
      </c>
      <c r="B484" s="11" t="s">
        <v>587</v>
      </c>
      <c r="C484" s="11">
        <v>4</v>
      </c>
      <c r="D484" s="12">
        <v>45022.159722222219</v>
      </c>
      <c r="E484" s="12">
        <v>45022.292361111111</v>
      </c>
      <c r="F484" s="11" t="s">
        <v>223</v>
      </c>
      <c r="G484" s="11" t="s">
        <v>86</v>
      </c>
      <c r="H484" s="11" t="s">
        <v>74</v>
      </c>
      <c r="I484" s="16">
        <v>12.74</v>
      </c>
      <c r="J484" s="11" t="s">
        <v>94</v>
      </c>
      <c r="K484" s="11">
        <v>483</v>
      </c>
      <c r="L484" s="11" t="s">
        <v>187</v>
      </c>
      <c r="M484" s="11" t="s">
        <v>17</v>
      </c>
      <c r="N484">
        <f>_xlfn.XLOOKUP(spaces_3iWczBNnn5rbfoUlE0Jd_uploads_git_blob_9864c7f811c613c3faab876659c6423__25[[#This Row],[Número de Orden]],Cocinadinamica!B485:B1253,Cocinadinamica!C485:C1253)</f>
        <v>33</v>
      </c>
      <c r="O484" s="7">
        <f>spaces_3iWczBNnn5rbfoUlE0Jd_uploads_git_blob_9864c7f811c613c3faab876659c6423__25[[#This Row],[Hora de Llegada]]</f>
        <v>45022.159722222219</v>
      </c>
      <c r="P484" s="9">
        <f>spaces_3iWczBNnn5rbfoUlE0Jd_uploads_git_blob_9864c7f811c613c3faab876659c6423__25[[#This Row],[Hora de Llegada]]</f>
        <v>45022.159722222219</v>
      </c>
      <c r="Q484" s="9">
        <f>spaces_3iWczBNnn5rbfoUlE0Jd_uploads_git_blob_9864c7f811c613c3faab876659c6423__25[[#This Row],[Hora de Salida]]</f>
        <v>45022.292361111111</v>
      </c>
      <c r="R484" s="9" cm="1">
        <f t="array" ref="R48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0.13263888889196096</v>
      </c>
      <c r="S484" s="9">
        <f>_xlfn.XLOOKUP(spaces_3iWczBNnn5rbfoUlE0Jd_uploads_git_blob_9864c7f811c613c3faab876659c6423__25[[#This Row],[Número de Orden]],Cocinadinamica!E485:E1253,Cocinadinamica!F485:F1253)/1440</f>
        <v>3.6805555555555557E-2</v>
      </c>
      <c r="T484" s="9" cm="1">
        <f t="array" ref="T48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9.5833333336405396E-2</v>
      </c>
      <c r="U484" s="9" t="str" cm="1">
        <f t="array" ref="U48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5" spans="1:21" x14ac:dyDescent="0.35">
      <c r="A485" s="28" t="s">
        <v>98</v>
      </c>
      <c r="B485" s="13" t="s">
        <v>588</v>
      </c>
      <c r="C485" s="13">
        <v>2</v>
      </c>
      <c r="D485" s="14">
        <v>45022.064583333333</v>
      </c>
      <c r="E485" s="14">
        <v>45022.188194444447</v>
      </c>
      <c r="F485" s="13" t="s">
        <v>72</v>
      </c>
      <c r="G485" s="13" t="s">
        <v>86</v>
      </c>
      <c r="H485" s="13" t="s">
        <v>74</v>
      </c>
      <c r="I485" s="17">
        <v>22.76</v>
      </c>
      <c r="J485" s="13" t="s">
        <v>75</v>
      </c>
      <c r="K485" s="13">
        <v>484</v>
      </c>
      <c r="L485" s="13" t="s">
        <v>101</v>
      </c>
      <c r="M485" s="13" t="s">
        <v>49</v>
      </c>
      <c r="N485">
        <f>_xlfn.XLOOKUP(spaces_3iWczBNnn5rbfoUlE0Jd_uploads_git_blob_9864c7f811c613c3faab876659c6423__25[[#This Row],[Número de Orden]],Cocinadinamica!B486:B1254,Cocinadinamica!C486:C1254)</f>
        <v>30</v>
      </c>
      <c r="O485" s="7">
        <f>spaces_3iWczBNnn5rbfoUlE0Jd_uploads_git_blob_9864c7f811c613c3faab876659c6423__25[[#This Row],[Hora de Llegada]]</f>
        <v>45022.064583333333</v>
      </c>
      <c r="P485" s="9">
        <f>spaces_3iWczBNnn5rbfoUlE0Jd_uploads_git_blob_9864c7f811c613c3faab876659c6423__25[[#This Row],[Hora de Llegada]]</f>
        <v>45022.064583333333</v>
      </c>
      <c r="Q485" s="9">
        <f>spaces_3iWczBNnn5rbfoUlE0Jd_uploads_git_blob_9864c7f811c613c3faab876659c6423__25[[#This Row],[Hora de Salida]]</f>
        <v>45022.188194444447</v>
      </c>
      <c r="R485" s="9" cm="1">
        <f t="array" ref="R48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0.12361111111385981</v>
      </c>
      <c r="S485" s="9">
        <f>_xlfn.XLOOKUP(spaces_3iWczBNnn5rbfoUlE0Jd_uploads_git_blob_9864c7f811c613c3faab876659c6423__25[[#This Row],[Número de Orden]],Cocinadinamica!E486:E1254,Cocinadinamica!F486:F1254)/1440</f>
        <v>2.361111111111111E-2</v>
      </c>
      <c r="T485" s="9" cm="1">
        <f t="array" ref="T48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0.1000000000027487</v>
      </c>
      <c r="U485" s="9" t="str" cm="1">
        <f t="array" ref="U48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6" spans="1:21" x14ac:dyDescent="0.35">
      <c r="A486" s="27">
        <v>6</v>
      </c>
      <c r="B486" s="11" t="s">
        <v>1046</v>
      </c>
      <c r="C486" s="11">
        <v>5</v>
      </c>
      <c r="D486" s="12">
        <v>45022.041666666664</v>
      </c>
      <c r="E486" s="12">
        <v>45022.119444444441</v>
      </c>
      <c r="F486" s="11" t="s">
        <v>85</v>
      </c>
      <c r="G486" s="11" t="s">
        <v>73</v>
      </c>
      <c r="H486" s="11" t="s">
        <v>74</v>
      </c>
      <c r="I486" s="16">
        <v>39.07</v>
      </c>
      <c r="J486" s="11" t="s">
        <v>94</v>
      </c>
      <c r="K486" s="11">
        <v>485</v>
      </c>
      <c r="L486" s="11" t="s">
        <v>95</v>
      </c>
      <c r="M486" s="11" t="s">
        <v>1603</v>
      </c>
      <c r="N486">
        <f>_xlfn.XLOOKUP(spaces_3iWczBNnn5rbfoUlE0Jd_uploads_git_blob_9864c7f811c613c3faab876659c6423__25[[#This Row],[Número de Orden]],Cocinadinamica!B487:B1255,Cocinadinamica!C487:C1255)</f>
        <v>58</v>
      </c>
      <c r="O486" s="7">
        <f>spaces_3iWczBNnn5rbfoUlE0Jd_uploads_git_blob_9864c7f811c613c3faab876659c6423__25[[#This Row],[Hora de Llegada]]</f>
        <v>45022.041666666664</v>
      </c>
      <c r="P486" s="9">
        <f>spaces_3iWczBNnn5rbfoUlE0Jd_uploads_git_blob_9864c7f811c613c3faab876659c6423__25[[#This Row],[Hora de Llegada]]</f>
        <v>45022.041666666664</v>
      </c>
      <c r="Q486" s="9">
        <f>spaces_3iWczBNnn5rbfoUlE0Jd_uploads_git_blob_9864c7f811c613c3faab876659c6423__25[[#This Row],[Hora de Salida]]</f>
        <v>45022.119444444441</v>
      </c>
      <c r="R486" s="9" cm="1">
        <f t="array" ref="R48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7.7777777776645962E-2</v>
      </c>
      <c r="S486" s="9">
        <f>_xlfn.XLOOKUP(spaces_3iWczBNnn5rbfoUlE0Jd_uploads_git_blob_9864c7f811c613c3faab876659c6423__25[[#This Row],[Número de Orden]],Cocinadinamica!E487:E1255,Cocinadinamica!F487:F1255)/1440</f>
        <v>5.486111111111111E-2</v>
      </c>
      <c r="T486" s="9" cm="1">
        <f t="array" ref="T48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2.2916666665534852E-2</v>
      </c>
      <c r="U486" s="9" t="str" cm="1">
        <f t="array" ref="U48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7" spans="1:21" x14ac:dyDescent="0.35">
      <c r="A487" s="28">
        <v>15</v>
      </c>
      <c r="B487" s="13" t="s">
        <v>1120</v>
      </c>
      <c r="C487" s="13">
        <v>3</v>
      </c>
      <c r="D487" s="14">
        <v>45022.115972222222</v>
      </c>
      <c r="E487" s="14">
        <v>45022.258333333331</v>
      </c>
      <c r="F487" s="13" t="s">
        <v>223</v>
      </c>
      <c r="G487" s="13" t="s">
        <v>163</v>
      </c>
      <c r="H487" s="13" t="s">
        <v>109</v>
      </c>
      <c r="I487" s="17">
        <v>12.66</v>
      </c>
      <c r="J487" s="13" t="s">
        <v>88</v>
      </c>
      <c r="K487" s="13">
        <v>486</v>
      </c>
      <c r="L487" s="13" t="s">
        <v>110</v>
      </c>
      <c r="M487" s="13" t="s">
        <v>1604</v>
      </c>
      <c r="N487">
        <f>_xlfn.XLOOKUP(spaces_3iWczBNnn5rbfoUlE0Jd_uploads_git_blob_9864c7f811c613c3faab876659c6423__25[[#This Row],[Número de Orden]],Cocinadinamica!B488:B1256,Cocinadinamica!C488:C1256)</f>
        <v>60</v>
      </c>
      <c r="O487" s="7">
        <f>spaces_3iWczBNnn5rbfoUlE0Jd_uploads_git_blob_9864c7f811c613c3faab876659c6423__25[[#This Row],[Hora de Llegada]]</f>
        <v>45022.115972222222</v>
      </c>
      <c r="P487" s="9">
        <f>spaces_3iWczBNnn5rbfoUlE0Jd_uploads_git_blob_9864c7f811c613c3faab876659c6423__25[[#This Row],[Hora de Llegada]]</f>
        <v>45022.115972222222</v>
      </c>
      <c r="Q487" s="9">
        <f>spaces_3iWczBNnn5rbfoUlE0Jd_uploads_git_blob_9864c7f811c613c3faab876659c6423__25[[#This Row],[Hora de Salida]]</f>
        <v>45022.258333333331</v>
      </c>
      <c r="R487" s="9" cm="1">
        <f t="array" ref="R48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0.15277777777373558</v>
      </c>
      <c r="S487" s="9">
        <f>_xlfn.XLOOKUP(spaces_3iWczBNnn5rbfoUlE0Jd_uploads_git_blob_9864c7f811c613c3faab876659c6423__25[[#This Row],[Número de Orden]],Cocinadinamica!E488:E1256,Cocinadinamica!F488:F1256)/1440</f>
        <v>4.0972222222222222E-2</v>
      </c>
      <c r="T487" s="9" cm="1">
        <f t="array" ref="T48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0.11180555555151336</v>
      </c>
      <c r="U487" s="9" t="str" cm="1">
        <f t="array" ref="U48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8" spans="1:21" x14ac:dyDescent="0.35">
      <c r="A488" s="27">
        <v>17</v>
      </c>
      <c r="B488" s="11" t="s">
        <v>745</v>
      </c>
      <c r="C488" s="11">
        <v>1</v>
      </c>
      <c r="D488" s="12">
        <v>45022.06527777778</v>
      </c>
      <c r="E488" s="12">
        <v>45022.159722222219</v>
      </c>
      <c r="F488" s="11" t="s">
        <v>223</v>
      </c>
      <c r="G488" s="11" t="s">
        <v>86</v>
      </c>
      <c r="H488" s="11" t="s">
        <v>74</v>
      </c>
      <c r="I488" s="16">
        <v>45.76</v>
      </c>
      <c r="J488" s="11" t="s">
        <v>88</v>
      </c>
      <c r="K488" s="11">
        <v>487</v>
      </c>
      <c r="L488" s="11" t="s">
        <v>221</v>
      </c>
      <c r="M488" s="11" t="s">
        <v>1605</v>
      </c>
      <c r="N488">
        <f>_xlfn.XLOOKUP(spaces_3iWczBNnn5rbfoUlE0Jd_uploads_git_blob_9864c7f811c613c3faab876659c6423__25[[#This Row],[Número de Orden]],Cocinadinamica!B489:B1257,Cocinadinamica!C489:C1257)</f>
        <v>61</v>
      </c>
      <c r="O488" s="7">
        <f>spaces_3iWczBNnn5rbfoUlE0Jd_uploads_git_blob_9864c7f811c613c3faab876659c6423__25[[#This Row],[Hora de Llegada]]</f>
        <v>45022.06527777778</v>
      </c>
      <c r="P488" s="9">
        <f>spaces_3iWczBNnn5rbfoUlE0Jd_uploads_git_blob_9864c7f811c613c3faab876659c6423__25[[#This Row],[Hora de Llegada]]</f>
        <v>45022.06527777778</v>
      </c>
      <c r="Q488" s="9">
        <f>spaces_3iWczBNnn5rbfoUlE0Jd_uploads_git_blob_9864c7f811c613c3faab876659c6423__25[[#This Row],[Hora de Salida]]</f>
        <v>45022.159722222219</v>
      </c>
      <c r="R488" s="9" cm="1">
        <f t="array" ref="R48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0.10486111110367347</v>
      </c>
      <c r="S488" s="9">
        <f>_xlfn.XLOOKUP(spaces_3iWczBNnn5rbfoUlE0Jd_uploads_git_blob_9864c7f811c613c3faab876659c6423__25[[#This Row],[Número de Orden]],Cocinadinamica!E489:E1257,Cocinadinamica!F489:F1257)/1440</f>
        <v>6.3888888888888884E-2</v>
      </c>
      <c r="T488" s="9" cm="1">
        <f t="array" ref="T48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4.0972222214784582E-2</v>
      </c>
      <c r="U488" s="9" t="str" cm="1">
        <f t="array" ref="U48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89" spans="1:21" x14ac:dyDescent="0.35">
      <c r="A489" s="28">
        <v>10</v>
      </c>
      <c r="B489" s="13" t="s">
        <v>1121</v>
      </c>
      <c r="C489" s="13">
        <v>4</v>
      </c>
      <c r="D489" s="14">
        <v>45022</v>
      </c>
      <c r="E489" s="14">
        <v>45022.081944444442</v>
      </c>
      <c r="F489" s="13" t="s">
        <v>170</v>
      </c>
      <c r="G489" s="13" t="s">
        <v>86</v>
      </c>
      <c r="H489" s="13" t="s">
        <v>109</v>
      </c>
      <c r="I489" s="17">
        <v>37.380000000000003</v>
      </c>
      <c r="J489" s="13" t="s">
        <v>75</v>
      </c>
      <c r="K489" s="13">
        <v>488</v>
      </c>
      <c r="L489" s="13" t="s">
        <v>164</v>
      </c>
      <c r="M489" s="13" t="s">
        <v>1606</v>
      </c>
      <c r="N489">
        <f>_xlfn.XLOOKUP(spaces_3iWczBNnn5rbfoUlE0Jd_uploads_git_blob_9864c7f811c613c3faab876659c6423__25[[#This Row],[Número de Orden]],Cocinadinamica!B490:B1258,Cocinadinamica!C490:C1258)</f>
        <v>75</v>
      </c>
      <c r="O489" s="7">
        <f>spaces_3iWczBNnn5rbfoUlE0Jd_uploads_git_blob_9864c7f811c613c3faab876659c6423__25[[#This Row],[Hora de Llegada]]</f>
        <v>45022</v>
      </c>
      <c r="P489" s="9">
        <f>spaces_3iWczBNnn5rbfoUlE0Jd_uploads_git_blob_9864c7f811c613c3faab876659c6423__25[[#This Row],[Hora de Llegada]]</f>
        <v>45022</v>
      </c>
      <c r="Q489" s="9">
        <f>spaces_3iWczBNnn5rbfoUlE0Jd_uploads_git_blob_9864c7f811c613c3faab876659c6423__25[[#This Row],[Hora de Salida]]</f>
        <v>45022.081944444442</v>
      </c>
      <c r="R489" s="9" cm="1">
        <f t="array" ref="R48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8.1944444442342501E-2</v>
      </c>
      <c r="S489" s="9">
        <f>_xlfn.XLOOKUP(spaces_3iWczBNnn5rbfoUlE0Jd_uploads_git_blob_9864c7f811c613c3faab876659c6423__25[[#This Row],[Número de Orden]],Cocinadinamica!E490:E1258,Cocinadinamica!F490:F1258)/1440</f>
        <v>8.611111111111111E-2</v>
      </c>
      <c r="T489" s="9" cm="1">
        <f t="array" ref="T48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89" s="9" t="str" cm="1">
        <f t="array" ref="U48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90" spans="1:21" x14ac:dyDescent="0.35">
      <c r="A490" s="27">
        <v>3</v>
      </c>
      <c r="B490" s="11" t="s">
        <v>1122</v>
      </c>
      <c r="C490" s="11">
        <v>1</v>
      </c>
      <c r="D490" s="12">
        <v>45022.122916666667</v>
      </c>
      <c r="E490" s="12">
        <v>45022.227083333331</v>
      </c>
      <c r="F490" s="11" t="s">
        <v>170</v>
      </c>
      <c r="G490" s="11" t="s">
        <v>163</v>
      </c>
      <c r="H490" s="11" t="s">
        <v>74</v>
      </c>
      <c r="I490" s="16">
        <v>22.27</v>
      </c>
      <c r="J490" s="11" t="s">
        <v>88</v>
      </c>
      <c r="K490" s="11">
        <v>489</v>
      </c>
      <c r="L490" s="11" t="s">
        <v>164</v>
      </c>
      <c r="M490" s="11" t="s">
        <v>1325</v>
      </c>
      <c r="N490">
        <f>_xlfn.XLOOKUP(spaces_3iWczBNnn5rbfoUlE0Jd_uploads_git_blob_9864c7f811c613c3faab876659c6423__25[[#This Row],[Número de Orden]],Cocinadinamica!B491:B1259,Cocinadinamica!C491:C1259)</f>
        <v>57</v>
      </c>
      <c r="O490" s="7">
        <f>spaces_3iWczBNnn5rbfoUlE0Jd_uploads_git_blob_9864c7f811c613c3faab876659c6423__25[[#This Row],[Hora de Llegada]]</f>
        <v>45022.122916666667</v>
      </c>
      <c r="P490" s="9">
        <f>spaces_3iWczBNnn5rbfoUlE0Jd_uploads_git_blob_9864c7f811c613c3faab876659c6423__25[[#This Row],[Hora de Llegada]]</f>
        <v>45022.122916666667</v>
      </c>
      <c r="Q490" s="9">
        <f>spaces_3iWczBNnn5rbfoUlE0Jd_uploads_git_blob_9864c7f811c613c3faab876659c6423__25[[#This Row],[Hora de Salida]]</f>
        <v>45022.227083333331</v>
      </c>
      <c r="R490" s="9" cm="1">
        <f t="array" ref="R49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0.11458333332848269</v>
      </c>
      <c r="S490" s="9">
        <f>_xlfn.XLOOKUP(spaces_3iWczBNnn5rbfoUlE0Jd_uploads_git_blob_9864c7f811c613c3faab876659c6423__25[[#This Row],[Número de Orden]],Cocinadinamica!E491:E1259,Cocinadinamica!F491:F1259)/1440</f>
        <v>2.361111111111111E-2</v>
      </c>
      <c r="T490" s="9" cm="1">
        <f t="array" ref="T49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9.0972222217371584E-2</v>
      </c>
      <c r="U490" s="9" t="str" cm="1">
        <f t="array" ref="U49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91" spans="1:21" x14ac:dyDescent="0.35">
      <c r="A491" s="28">
        <v>1</v>
      </c>
      <c r="B491" s="13" t="s">
        <v>567</v>
      </c>
      <c r="C491" s="13">
        <v>2</v>
      </c>
      <c r="D491" s="14">
        <v>45022.138888888891</v>
      </c>
      <c r="E491" s="14">
        <v>45022.206250000003</v>
      </c>
      <c r="F491" s="13" t="s">
        <v>85</v>
      </c>
      <c r="G491" s="13" t="s">
        <v>86</v>
      </c>
      <c r="H491" s="13" t="s">
        <v>74</v>
      </c>
      <c r="I491" s="17">
        <v>26.79</v>
      </c>
      <c r="J491" s="13" t="s">
        <v>75</v>
      </c>
      <c r="K491" s="13">
        <v>490</v>
      </c>
      <c r="L491" s="13" t="s">
        <v>110</v>
      </c>
      <c r="M491" s="13" t="s">
        <v>1607</v>
      </c>
      <c r="N491">
        <f>_xlfn.XLOOKUP(spaces_3iWczBNnn5rbfoUlE0Jd_uploads_git_blob_9864c7f811c613c3faab876659c6423__25[[#This Row],[Número de Orden]],Cocinadinamica!B492:B1260,Cocinadinamica!C492:C1260)</f>
        <v>88</v>
      </c>
      <c r="O491" s="7">
        <f>spaces_3iWczBNnn5rbfoUlE0Jd_uploads_git_blob_9864c7f811c613c3faab876659c6423__25[[#This Row],[Hora de Llegada]]</f>
        <v>45022.138888888891</v>
      </c>
      <c r="P491" s="9">
        <f>spaces_3iWczBNnn5rbfoUlE0Jd_uploads_git_blob_9864c7f811c613c3faab876659c6423__25[[#This Row],[Hora de Llegada]]</f>
        <v>45022.138888888891</v>
      </c>
      <c r="Q491" s="9">
        <f>spaces_3iWczBNnn5rbfoUlE0Jd_uploads_git_blob_9864c7f811c613c3faab876659c6423__25[[#This Row],[Hora de Salida]]</f>
        <v>45022.206250000003</v>
      </c>
      <c r="R491" s="9" cm="1">
        <f t="array" ref="R49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6.7361111112404615E-2</v>
      </c>
      <c r="S491" s="9">
        <f>_xlfn.XLOOKUP(spaces_3iWczBNnn5rbfoUlE0Jd_uploads_git_blob_9864c7f811c613c3faab876659c6423__25[[#This Row],[Número de Orden]],Cocinadinamica!E492:E1260,Cocinadinamica!F492:F1260)/1440</f>
        <v>9.0972222222222218E-2</v>
      </c>
      <c r="T491" s="9" cm="1">
        <f t="array" ref="T49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491" s="9" t="str" cm="1">
        <f t="array" ref="U49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492" spans="1:21" x14ac:dyDescent="0.35">
      <c r="A492" s="27">
        <v>7</v>
      </c>
      <c r="B492" s="11" t="s">
        <v>1089</v>
      </c>
      <c r="C492" s="11">
        <v>4</v>
      </c>
      <c r="D492" s="12">
        <v>45022.004861111112</v>
      </c>
      <c r="E492" s="12">
        <v>45022.109027777777</v>
      </c>
      <c r="F492" s="11" t="s">
        <v>72</v>
      </c>
      <c r="G492" s="11" t="s">
        <v>163</v>
      </c>
      <c r="H492" s="11" t="s">
        <v>74</v>
      </c>
      <c r="I492" s="16">
        <v>34.68</v>
      </c>
      <c r="J492" s="11" t="s">
        <v>88</v>
      </c>
      <c r="K492" s="11">
        <v>491</v>
      </c>
      <c r="L492" s="11" t="s">
        <v>181</v>
      </c>
      <c r="M492" s="11" t="s">
        <v>1608</v>
      </c>
      <c r="N492">
        <f>_xlfn.XLOOKUP(spaces_3iWczBNnn5rbfoUlE0Jd_uploads_git_blob_9864c7f811c613c3faab876659c6423__25[[#This Row],[Número de Orden]],Cocinadinamica!B493:B1261,Cocinadinamica!C493:C1261)</f>
        <v>48</v>
      </c>
      <c r="O492" s="7">
        <f>spaces_3iWczBNnn5rbfoUlE0Jd_uploads_git_blob_9864c7f811c613c3faab876659c6423__25[[#This Row],[Hora de Llegada]]</f>
        <v>45022.004861111112</v>
      </c>
      <c r="P492" s="9">
        <f>spaces_3iWczBNnn5rbfoUlE0Jd_uploads_git_blob_9864c7f811c613c3faab876659c6423__25[[#This Row],[Hora de Llegada]]</f>
        <v>45022.004861111112</v>
      </c>
      <c r="Q492" s="9">
        <f>spaces_3iWczBNnn5rbfoUlE0Jd_uploads_git_blob_9864c7f811c613c3faab876659c6423__25[[#This Row],[Hora de Salida]]</f>
        <v>45022.109027777777</v>
      </c>
      <c r="R492" s="9" cm="1">
        <f t="array" ref="R49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0.11458333332848269</v>
      </c>
      <c r="S492" s="9">
        <f>_xlfn.XLOOKUP(spaces_3iWczBNnn5rbfoUlE0Jd_uploads_git_blob_9864c7f811c613c3faab876659c6423__25[[#This Row],[Número de Orden]],Cocinadinamica!E493:E1261,Cocinadinamica!F493:F1261)/1440</f>
        <v>2.8472222222222222E-2</v>
      </c>
      <c r="T492" s="9" cm="1">
        <f t="array" ref="T49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8.6111111106260477E-2</v>
      </c>
      <c r="U492" s="9" t="str" cm="1">
        <f t="array" ref="U49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93" spans="1:21" x14ac:dyDescent="0.35">
      <c r="A493" s="28">
        <v>4</v>
      </c>
      <c r="B493" s="13" t="s">
        <v>1123</v>
      </c>
      <c r="C493" s="13">
        <v>4</v>
      </c>
      <c r="D493" s="14">
        <v>45022.043749999997</v>
      </c>
      <c r="E493" s="14">
        <v>45022.191666666666</v>
      </c>
      <c r="F493" s="13" t="s">
        <v>223</v>
      </c>
      <c r="G493" s="13" t="s">
        <v>86</v>
      </c>
      <c r="H493" s="13" t="s">
        <v>74</v>
      </c>
      <c r="I493" s="17">
        <v>16.62</v>
      </c>
      <c r="J493" s="13" t="s">
        <v>94</v>
      </c>
      <c r="K493" s="13">
        <v>492</v>
      </c>
      <c r="L493" s="13" t="s">
        <v>110</v>
      </c>
      <c r="M493" s="13" t="s">
        <v>1609</v>
      </c>
      <c r="N493">
        <f>_xlfn.XLOOKUP(spaces_3iWczBNnn5rbfoUlE0Jd_uploads_git_blob_9864c7f811c613c3faab876659c6423__25[[#This Row],[Número de Orden]],Cocinadinamica!B494:B1262,Cocinadinamica!C494:C1262)</f>
        <v>83</v>
      </c>
      <c r="O493" s="7">
        <f>spaces_3iWczBNnn5rbfoUlE0Jd_uploads_git_blob_9864c7f811c613c3faab876659c6423__25[[#This Row],[Hora de Llegada]]</f>
        <v>45022.043749999997</v>
      </c>
      <c r="P493" s="9">
        <f>spaces_3iWczBNnn5rbfoUlE0Jd_uploads_git_blob_9864c7f811c613c3faab876659c6423__25[[#This Row],[Hora de Llegada]]</f>
        <v>45022.043749999997</v>
      </c>
      <c r="Q493" s="9">
        <f>spaces_3iWczBNnn5rbfoUlE0Jd_uploads_git_blob_9864c7f811c613c3faab876659c6423__25[[#This Row],[Hora de Salida]]</f>
        <v>45022.191666666666</v>
      </c>
      <c r="R493" s="9" cm="1">
        <f t="array" ref="R49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0.14791666666860692</v>
      </c>
      <c r="S493" s="9">
        <f>_xlfn.XLOOKUP(spaces_3iWczBNnn5rbfoUlE0Jd_uploads_git_blob_9864c7f811c613c3faab876659c6423__25[[#This Row],[Número de Orden]],Cocinadinamica!E494:E1262,Cocinadinamica!F494:F1262)/1440</f>
        <v>3.4027777777777775E-2</v>
      </c>
      <c r="T493" s="9" cm="1">
        <f t="array" ref="T49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0.11388888889082915</v>
      </c>
      <c r="U493" s="9" t="str" cm="1">
        <f t="array" ref="U49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94" spans="1:21" x14ac:dyDescent="0.35">
      <c r="A494" s="27" t="s">
        <v>83</v>
      </c>
      <c r="B494" s="11" t="s">
        <v>597</v>
      </c>
      <c r="C494" s="11">
        <v>2</v>
      </c>
      <c r="D494" s="12">
        <v>45022.021527777775</v>
      </c>
      <c r="E494" s="12">
        <v>45022.073611111111</v>
      </c>
      <c r="F494" s="11" t="s">
        <v>85</v>
      </c>
      <c r="G494" s="11" t="s">
        <v>86</v>
      </c>
      <c r="H494" s="11" t="s">
        <v>74</v>
      </c>
      <c r="I494" s="16">
        <v>32.67</v>
      </c>
      <c r="J494" s="11" t="s">
        <v>88</v>
      </c>
      <c r="K494" s="11">
        <v>493</v>
      </c>
      <c r="L494" s="11" t="s">
        <v>76</v>
      </c>
      <c r="M494" s="11" t="s">
        <v>45</v>
      </c>
      <c r="N494">
        <f>_xlfn.XLOOKUP(spaces_3iWczBNnn5rbfoUlE0Jd_uploads_git_blob_9864c7f811c613c3faab876659c6423__25[[#This Row],[Número de Orden]],Cocinadinamica!B495:B1263,Cocinadinamica!C495:C1263)</f>
        <v>24</v>
      </c>
      <c r="O494" s="7">
        <f>spaces_3iWczBNnn5rbfoUlE0Jd_uploads_git_blob_9864c7f811c613c3faab876659c6423__25[[#This Row],[Hora de Llegada]]</f>
        <v>45022.021527777775</v>
      </c>
      <c r="P494" s="9">
        <f>spaces_3iWczBNnn5rbfoUlE0Jd_uploads_git_blob_9864c7f811c613c3faab876659c6423__25[[#This Row],[Hora de Llegada]]</f>
        <v>45022.021527777775</v>
      </c>
      <c r="Q494" s="9">
        <f>spaces_3iWczBNnn5rbfoUlE0Jd_uploads_git_blob_9864c7f811c613c3faab876659c6423__25[[#This Row],[Hora de Salida]]</f>
        <v>45022.073611111111</v>
      </c>
      <c r="R494" s="9" cm="1">
        <f t="array" ref="R49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6.25E-2</v>
      </c>
      <c r="S494" s="9">
        <f>_xlfn.XLOOKUP(spaces_3iWczBNnn5rbfoUlE0Jd_uploads_git_blob_9864c7f811c613c3faab876659c6423__25[[#This Row],[Número de Orden]],Cocinadinamica!E495:E1263,Cocinadinamica!F495:F1263)/1440</f>
        <v>5.5555555555555558E-3</v>
      </c>
      <c r="T494" s="9" cm="1">
        <f t="array" ref="T49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5.6944444444444443E-2</v>
      </c>
      <c r="U494" s="9" t="str" cm="1">
        <f t="array" ref="U49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95" spans="1:21" x14ac:dyDescent="0.35">
      <c r="A495" s="28">
        <v>20</v>
      </c>
      <c r="B495" s="13" t="s">
        <v>1045</v>
      </c>
      <c r="C495" s="13">
        <v>5</v>
      </c>
      <c r="D495" s="14">
        <v>45022.061111111114</v>
      </c>
      <c r="E495" s="14">
        <v>45022.200694444444</v>
      </c>
      <c r="F495" s="13" t="s">
        <v>223</v>
      </c>
      <c r="G495" s="13" t="s">
        <v>163</v>
      </c>
      <c r="H495" s="13" t="s">
        <v>74</v>
      </c>
      <c r="I495" s="17">
        <v>11.85</v>
      </c>
      <c r="J495" s="13" t="s">
        <v>94</v>
      </c>
      <c r="K495" s="13">
        <v>494</v>
      </c>
      <c r="L495" s="13" t="s">
        <v>221</v>
      </c>
      <c r="M495" s="13" t="s">
        <v>1267</v>
      </c>
      <c r="N495">
        <f>_xlfn.XLOOKUP(spaces_3iWczBNnn5rbfoUlE0Jd_uploads_git_blob_9864c7f811c613c3faab876659c6423__25[[#This Row],[Número de Orden]],Cocinadinamica!B496:B1264,Cocinadinamica!C496:C1264)</f>
        <v>68</v>
      </c>
      <c r="O495" s="7">
        <f>spaces_3iWczBNnn5rbfoUlE0Jd_uploads_git_blob_9864c7f811c613c3faab876659c6423__25[[#This Row],[Hora de Llegada]]</f>
        <v>45022.061111111114</v>
      </c>
      <c r="P495" s="9">
        <f>spaces_3iWczBNnn5rbfoUlE0Jd_uploads_git_blob_9864c7f811c613c3faab876659c6423__25[[#This Row],[Hora de Llegada]]</f>
        <v>45022.061111111114</v>
      </c>
      <c r="Q495" s="9">
        <f>spaces_3iWczBNnn5rbfoUlE0Jd_uploads_git_blob_9864c7f811c613c3faab876659c6423__25[[#This Row],[Hora de Salida]]</f>
        <v>45022.200694444444</v>
      </c>
      <c r="R495" s="9" cm="1">
        <f t="array" ref="R49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0.13958333332993789</v>
      </c>
      <c r="S495" s="9">
        <f>_xlfn.XLOOKUP(spaces_3iWczBNnn5rbfoUlE0Jd_uploads_git_blob_9864c7f811c613c3faab876659c6423__25[[#This Row],[Número de Orden]],Cocinadinamica!E496:E1264,Cocinadinamica!F496:F1264)/1440</f>
        <v>2.1527777777777778E-2</v>
      </c>
      <c r="T495" s="9" cm="1">
        <f t="array" ref="T49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0.1180555555521601</v>
      </c>
      <c r="U495" s="9" t="str" cm="1">
        <f t="array" ref="U49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96" spans="1:21" x14ac:dyDescent="0.35">
      <c r="A496" s="27">
        <v>11</v>
      </c>
      <c r="B496" s="11" t="s">
        <v>783</v>
      </c>
      <c r="C496" s="11">
        <v>6</v>
      </c>
      <c r="D496" s="12">
        <v>45022.125694444447</v>
      </c>
      <c r="E496" s="12">
        <v>45022.284722222219</v>
      </c>
      <c r="F496" s="11" t="s">
        <v>100</v>
      </c>
      <c r="G496" s="11" t="s">
        <v>163</v>
      </c>
      <c r="H496" s="11" t="s">
        <v>74</v>
      </c>
      <c r="I496" s="16">
        <v>33.96</v>
      </c>
      <c r="J496" s="11" t="s">
        <v>75</v>
      </c>
      <c r="K496" s="11">
        <v>495</v>
      </c>
      <c r="L496" s="11" t="s">
        <v>275</v>
      </c>
      <c r="M496" s="11" t="s">
        <v>1610</v>
      </c>
      <c r="N496">
        <f>_xlfn.XLOOKUP(spaces_3iWczBNnn5rbfoUlE0Jd_uploads_git_blob_9864c7f811c613c3faab876659c6423__25[[#This Row],[Número de Orden]],Cocinadinamica!B497:B1265,Cocinadinamica!C497:C1265)</f>
        <v>104</v>
      </c>
      <c r="O496" s="7">
        <f>spaces_3iWczBNnn5rbfoUlE0Jd_uploads_git_blob_9864c7f811c613c3faab876659c6423__25[[#This Row],[Hora de Llegada]]</f>
        <v>45022.125694444447</v>
      </c>
      <c r="P496" s="9">
        <f>spaces_3iWczBNnn5rbfoUlE0Jd_uploads_git_blob_9864c7f811c613c3faab876659c6423__25[[#This Row],[Hora de Llegada]]</f>
        <v>45022.125694444447</v>
      </c>
      <c r="Q496" s="9">
        <f>spaces_3iWczBNnn5rbfoUlE0Jd_uploads_git_blob_9864c7f811c613c3faab876659c6423__25[[#This Row],[Hora de Salida]]</f>
        <v>45022.284722222219</v>
      </c>
      <c r="R496" s="9" cm="1">
        <f t="array" ref="R49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0.15902777777228039</v>
      </c>
      <c r="S496" s="9">
        <f>_xlfn.XLOOKUP(spaces_3iWczBNnn5rbfoUlE0Jd_uploads_git_blob_9864c7f811c613c3faab876659c6423__25[[#This Row],[Número de Orden]],Cocinadinamica!E497:E1265,Cocinadinamica!F497:F1265)/1440</f>
        <v>7.0833333333333331E-2</v>
      </c>
      <c r="T496" s="9" cm="1">
        <f t="array" ref="T49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8.8194444438947056E-2</v>
      </c>
      <c r="U496" s="9" t="str" cm="1">
        <f t="array" ref="U49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97" spans="1:21" x14ac:dyDescent="0.35">
      <c r="A497" s="28">
        <v>1</v>
      </c>
      <c r="B497" s="13" t="s">
        <v>948</v>
      </c>
      <c r="C497" s="13">
        <v>3</v>
      </c>
      <c r="D497" s="14">
        <v>45022.106944444444</v>
      </c>
      <c r="E497" s="14">
        <v>45022.265277777777</v>
      </c>
      <c r="F497" s="13" t="s">
        <v>223</v>
      </c>
      <c r="G497" s="13" t="s">
        <v>86</v>
      </c>
      <c r="H497" s="13" t="s">
        <v>74</v>
      </c>
      <c r="I497" s="17">
        <v>39.42</v>
      </c>
      <c r="J497" s="13" t="s">
        <v>94</v>
      </c>
      <c r="K497" s="13">
        <v>496</v>
      </c>
      <c r="L497" s="13" t="s">
        <v>164</v>
      </c>
      <c r="M497" s="13" t="s">
        <v>1611</v>
      </c>
      <c r="N497">
        <f>_xlfn.XLOOKUP(spaces_3iWczBNnn5rbfoUlE0Jd_uploads_git_blob_9864c7f811c613c3faab876659c6423__25[[#This Row],[Número de Orden]],Cocinadinamica!B498:B1266,Cocinadinamica!C498:C1266)</f>
        <v>91</v>
      </c>
      <c r="O497" s="7">
        <f>spaces_3iWczBNnn5rbfoUlE0Jd_uploads_git_blob_9864c7f811c613c3faab876659c6423__25[[#This Row],[Hora de Llegada]]</f>
        <v>45022.106944444444</v>
      </c>
      <c r="P497" s="9">
        <f>spaces_3iWczBNnn5rbfoUlE0Jd_uploads_git_blob_9864c7f811c613c3faab876659c6423__25[[#This Row],[Hora de Llegada]]</f>
        <v>45022.106944444444</v>
      </c>
      <c r="Q497" s="9">
        <f>spaces_3iWczBNnn5rbfoUlE0Jd_uploads_git_blob_9864c7f811c613c3faab876659c6423__25[[#This Row],[Hora de Salida]]</f>
        <v>45022.265277777777</v>
      </c>
      <c r="R497" s="9" cm="1">
        <f t="array" ref="R49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0.15833333333284827</v>
      </c>
      <c r="S497" s="9">
        <f>_xlfn.XLOOKUP(spaces_3iWczBNnn5rbfoUlE0Jd_uploads_git_blob_9864c7f811c613c3faab876659c6423__25[[#This Row],[Número de Orden]],Cocinadinamica!E498:E1266,Cocinadinamica!F498:F1266)/1440</f>
        <v>9.2361111111111116E-2</v>
      </c>
      <c r="T497" s="9" cm="1">
        <f t="array" ref="T49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6.5972222221737153E-2</v>
      </c>
      <c r="U497" s="9" t="str" cm="1">
        <f t="array" ref="U49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98" spans="1:21" x14ac:dyDescent="0.35">
      <c r="A498" s="27">
        <v>13</v>
      </c>
      <c r="B498" s="11" t="s">
        <v>902</v>
      </c>
      <c r="C498" s="11">
        <v>6</v>
      </c>
      <c r="D498" s="12">
        <v>45022.145833333336</v>
      </c>
      <c r="E498" s="12">
        <v>45022.290277777778</v>
      </c>
      <c r="F498" s="11" t="s">
        <v>170</v>
      </c>
      <c r="G498" s="11" t="s">
        <v>86</v>
      </c>
      <c r="H498" s="11" t="s">
        <v>109</v>
      </c>
      <c r="I498" s="16">
        <v>29.93</v>
      </c>
      <c r="J498" s="11" t="s">
        <v>94</v>
      </c>
      <c r="K498" s="11">
        <v>497</v>
      </c>
      <c r="L498" s="11" t="s">
        <v>164</v>
      </c>
      <c r="M498" s="11" t="s">
        <v>1612</v>
      </c>
      <c r="N498">
        <f>_xlfn.XLOOKUP(spaces_3iWczBNnn5rbfoUlE0Jd_uploads_git_blob_9864c7f811c613c3faab876659c6423__25[[#This Row],[Número de Orden]],Cocinadinamica!B499:B1267,Cocinadinamica!C499:C1267)</f>
        <v>57</v>
      </c>
      <c r="O498" s="7">
        <f>spaces_3iWczBNnn5rbfoUlE0Jd_uploads_git_blob_9864c7f811c613c3faab876659c6423__25[[#This Row],[Hora de Llegada]]</f>
        <v>45022.145833333336</v>
      </c>
      <c r="P498" s="9">
        <f>spaces_3iWczBNnn5rbfoUlE0Jd_uploads_git_blob_9864c7f811c613c3faab876659c6423__25[[#This Row],[Hora de Llegada]]</f>
        <v>45022.145833333336</v>
      </c>
      <c r="Q498" s="9">
        <f>spaces_3iWczBNnn5rbfoUlE0Jd_uploads_git_blob_9864c7f811c613c3faab876659c6423__25[[#This Row],[Hora de Salida]]</f>
        <v>45022.290277777778</v>
      </c>
      <c r="R498" s="9" cm="1">
        <f t="array" ref="R49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0.1444444444423425</v>
      </c>
      <c r="S498" s="9">
        <f>_xlfn.XLOOKUP(spaces_3iWczBNnn5rbfoUlE0Jd_uploads_git_blob_9864c7f811c613c3faab876659c6423__25[[#This Row],[Número de Orden]],Cocinadinamica!E499:E1267,Cocinadinamica!F499:F1267)/1440</f>
        <v>2.6388888888888889E-2</v>
      </c>
      <c r="T498" s="9" cm="1">
        <f t="array" ref="T49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0.11805555555345361</v>
      </c>
      <c r="U498" s="9" t="str" cm="1">
        <f t="array" ref="U49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499" spans="1:21" x14ac:dyDescent="0.35">
      <c r="A499" s="28" t="s">
        <v>92</v>
      </c>
      <c r="B499" s="13" t="s">
        <v>536</v>
      </c>
      <c r="C499" s="13">
        <v>3</v>
      </c>
      <c r="D499" s="14">
        <v>45022.011805555558</v>
      </c>
      <c r="E499" s="14">
        <v>45022.156944444447</v>
      </c>
      <c r="F499" s="13" t="s">
        <v>170</v>
      </c>
      <c r="G499" s="13" t="s">
        <v>86</v>
      </c>
      <c r="H499" s="13" t="s">
        <v>74</v>
      </c>
      <c r="I499" s="17">
        <v>21.99</v>
      </c>
      <c r="J499" s="13" t="s">
        <v>75</v>
      </c>
      <c r="K499" s="13">
        <v>498</v>
      </c>
      <c r="L499" s="13" t="s">
        <v>181</v>
      </c>
      <c r="M499" s="13" t="s">
        <v>29</v>
      </c>
      <c r="N499">
        <f>_xlfn.XLOOKUP(spaces_3iWczBNnn5rbfoUlE0Jd_uploads_git_blob_9864c7f811c613c3faab876659c6423__25[[#This Row],[Número de Orden]],Cocinadinamica!B500:B1268,Cocinadinamica!C500:C1268)</f>
        <v>8</v>
      </c>
      <c r="O499" s="7">
        <f>spaces_3iWczBNnn5rbfoUlE0Jd_uploads_git_blob_9864c7f811c613c3faab876659c6423__25[[#This Row],[Hora de Llegada]]</f>
        <v>45022.011805555558</v>
      </c>
      <c r="P499" s="9">
        <f>spaces_3iWczBNnn5rbfoUlE0Jd_uploads_git_blob_9864c7f811c613c3faab876659c6423__25[[#This Row],[Hora de Llegada]]</f>
        <v>45022.011805555558</v>
      </c>
      <c r="Q499" s="9">
        <f>spaces_3iWczBNnn5rbfoUlE0Jd_uploads_git_blob_9864c7f811c613c3faab876659c6423__25[[#This Row],[Hora de Salida]]</f>
        <v>45022.156944444447</v>
      </c>
      <c r="R499" s="9" cm="1">
        <f t="array" ref="R49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0.14513888888905058</v>
      </c>
      <c r="S499" s="9">
        <f>_xlfn.XLOOKUP(spaces_3iWczBNnn5rbfoUlE0Jd_uploads_git_blob_9864c7f811c613c3faab876659c6423__25[[#This Row],[Número de Orden]],Cocinadinamica!E500:E1268,Cocinadinamica!F500:F1268)/1440</f>
        <v>2.2222222222222223E-2</v>
      </c>
      <c r="T499" s="9" cm="1">
        <f t="array" ref="T49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0.12291666666682835</v>
      </c>
      <c r="U499" s="9" t="str" cm="1">
        <f t="array" ref="U49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00" spans="1:21" x14ac:dyDescent="0.35">
      <c r="A500" s="27">
        <v>5</v>
      </c>
      <c r="B500" s="11" t="s">
        <v>1085</v>
      </c>
      <c r="C500" s="11">
        <v>5</v>
      </c>
      <c r="D500" s="12">
        <v>45022.056250000001</v>
      </c>
      <c r="E500" s="12">
        <v>45022.186111111114</v>
      </c>
      <c r="F500" s="11" t="s">
        <v>100</v>
      </c>
      <c r="G500" s="11" t="s">
        <v>73</v>
      </c>
      <c r="H500" s="11" t="s">
        <v>109</v>
      </c>
      <c r="I500" s="16">
        <v>22.69</v>
      </c>
      <c r="J500" s="11" t="s">
        <v>94</v>
      </c>
      <c r="K500" s="11">
        <v>499</v>
      </c>
      <c r="L500" s="11" t="s">
        <v>89</v>
      </c>
      <c r="M500" s="11" t="s">
        <v>1613</v>
      </c>
      <c r="N500">
        <f>_xlfn.XLOOKUP(spaces_3iWczBNnn5rbfoUlE0Jd_uploads_git_blob_9864c7f811c613c3faab876659c6423__25[[#This Row],[Número de Orden]],Cocinadinamica!B501:B1269,Cocinadinamica!C501:C1269)</f>
        <v>65</v>
      </c>
      <c r="O500" s="7">
        <f>spaces_3iWczBNnn5rbfoUlE0Jd_uploads_git_blob_9864c7f811c613c3faab876659c6423__25[[#This Row],[Hora de Llegada]]</f>
        <v>45022.056250000001</v>
      </c>
      <c r="P500" s="9">
        <f>spaces_3iWczBNnn5rbfoUlE0Jd_uploads_git_blob_9864c7f811c613c3faab876659c6423__25[[#This Row],[Hora de Llegada]]</f>
        <v>45022.056250000001</v>
      </c>
      <c r="Q500" s="9">
        <f>spaces_3iWczBNnn5rbfoUlE0Jd_uploads_git_blob_9864c7f811c613c3faab876659c6423__25[[#This Row],[Hora de Salida]]</f>
        <v>45022.186111111114</v>
      </c>
      <c r="R500" s="9" cm="1">
        <f t="array" ref="R50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0.12986111111240461</v>
      </c>
      <c r="S500" s="9">
        <f>_xlfn.XLOOKUP(spaces_3iWczBNnn5rbfoUlE0Jd_uploads_git_blob_9864c7f811c613c3faab876659c6423__25[[#This Row],[Número de Orden]],Cocinadinamica!E501:E1269,Cocinadinamica!F501:F1269)/1440</f>
        <v>9.0277777777777776E-2</v>
      </c>
      <c r="T500" s="9" cm="1">
        <f t="array" ref="T50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3.9583333334626838E-2</v>
      </c>
      <c r="U500" s="9" t="str" cm="1">
        <f t="array" ref="U50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01" spans="1:21" x14ac:dyDescent="0.35">
      <c r="A501" s="28">
        <v>4</v>
      </c>
      <c r="B501" s="13" t="s">
        <v>1122</v>
      </c>
      <c r="C501" s="13">
        <v>5</v>
      </c>
      <c r="D501" s="14">
        <v>45022.053472222222</v>
      </c>
      <c r="E501" s="14">
        <v>45022.21875</v>
      </c>
      <c r="F501" s="13" t="s">
        <v>72</v>
      </c>
      <c r="G501" s="13" t="s">
        <v>163</v>
      </c>
      <c r="H501" s="13" t="s">
        <v>109</v>
      </c>
      <c r="I501" s="17">
        <v>37.619999999999997</v>
      </c>
      <c r="J501" s="13" t="s">
        <v>88</v>
      </c>
      <c r="K501" s="13">
        <v>500</v>
      </c>
      <c r="L501" s="13" t="s">
        <v>164</v>
      </c>
      <c r="M501" s="13" t="s">
        <v>1614</v>
      </c>
      <c r="N501">
        <f>_xlfn.XLOOKUP(spaces_3iWczBNnn5rbfoUlE0Jd_uploads_git_blob_9864c7f811c613c3faab876659c6423__25[[#This Row],[Número de Orden]],Cocinadinamica!B502:B1270,Cocinadinamica!C502:C1270)</f>
        <v>38</v>
      </c>
      <c r="O501" s="7">
        <f>spaces_3iWczBNnn5rbfoUlE0Jd_uploads_git_blob_9864c7f811c613c3faab876659c6423__25[[#This Row],[Hora de Llegada]]</f>
        <v>45022.053472222222</v>
      </c>
      <c r="P501" s="9">
        <f>spaces_3iWczBNnn5rbfoUlE0Jd_uploads_git_blob_9864c7f811c613c3faab876659c6423__25[[#This Row],[Hora de Llegada]]</f>
        <v>45022.053472222222</v>
      </c>
      <c r="Q501" s="9">
        <f>spaces_3iWczBNnn5rbfoUlE0Jd_uploads_git_blob_9864c7f811c613c3faab876659c6423__25[[#This Row],[Hora de Salida]]</f>
        <v>45022.21875</v>
      </c>
      <c r="R501" s="9" cm="1">
        <f t="array" ref="R50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0.1756944444423425</v>
      </c>
      <c r="S501" s="9">
        <f>_xlfn.XLOOKUP(spaces_3iWczBNnn5rbfoUlE0Jd_uploads_git_blob_9864c7f811c613c3faab876659c6423__25[[#This Row],[Número de Orden]],Cocinadinamica!E502:E1270,Cocinadinamica!F502:F1270)/1440</f>
        <v>2.9166666666666667E-2</v>
      </c>
      <c r="T501" s="9" cm="1">
        <f t="array" ref="T50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0.14652777777567583</v>
      </c>
      <c r="U501" s="9" t="str" cm="1">
        <f t="array" ref="U50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02" spans="1:21" x14ac:dyDescent="0.35">
      <c r="A502" s="27">
        <v>7</v>
      </c>
      <c r="B502" s="11" t="s">
        <v>1124</v>
      </c>
      <c r="C502" s="11">
        <v>1</v>
      </c>
      <c r="D502" s="12">
        <v>45022.155555555553</v>
      </c>
      <c r="E502" s="12">
        <v>45022.271527777775</v>
      </c>
      <c r="F502" s="11" t="s">
        <v>223</v>
      </c>
      <c r="G502" s="11" t="s">
        <v>73</v>
      </c>
      <c r="H502" s="11" t="s">
        <v>74</v>
      </c>
      <c r="I502" s="16">
        <v>28.38</v>
      </c>
      <c r="J502" s="11" t="s">
        <v>88</v>
      </c>
      <c r="K502" s="11">
        <v>501</v>
      </c>
      <c r="L502" s="11" t="s">
        <v>275</v>
      </c>
      <c r="M502" s="11" t="s">
        <v>1615</v>
      </c>
      <c r="N502">
        <f>_xlfn.XLOOKUP(spaces_3iWczBNnn5rbfoUlE0Jd_uploads_git_blob_9864c7f811c613c3faab876659c6423__25[[#This Row],[Número de Orden]],Cocinadinamica!B503:B1271,Cocinadinamica!C503:C1271)</f>
        <v>55</v>
      </c>
      <c r="O502" s="7">
        <f>spaces_3iWczBNnn5rbfoUlE0Jd_uploads_git_blob_9864c7f811c613c3faab876659c6423__25[[#This Row],[Hora de Llegada]]</f>
        <v>45022.155555555553</v>
      </c>
      <c r="P502" s="9">
        <f>spaces_3iWczBNnn5rbfoUlE0Jd_uploads_git_blob_9864c7f811c613c3faab876659c6423__25[[#This Row],[Hora de Llegada]]</f>
        <v>45022.155555555553</v>
      </c>
      <c r="Q502" s="9">
        <f>spaces_3iWczBNnn5rbfoUlE0Jd_uploads_git_blob_9864c7f811c613c3faab876659c6423__25[[#This Row],[Hora de Salida]]</f>
        <v>45022.271527777775</v>
      </c>
      <c r="R502" s="9" cm="1">
        <f t="array" ref="R50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0.12638888888614019</v>
      </c>
      <c r="S502" s="9">
        <f>_xlfn.XLOOKUP(spaces_3iWczBNnn5rbfoUlE0Jd_uploads_git_blob_9864c7f811c613c3faab876659c6423__25[[#This Row],[Número de Orden]],Cocinadinamica!E503:E1271,Cocinadinamica!F503:F1271)/1440</f>
        <v>2.7083333333333334E-2</v>
      </c>
      <c r="T502" s="9" cm="1">
        <f t="array" ref="T50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9.930555555280686E-2</v>
      </c>
      <c r="U502" s="9" t="str" cm="1">
        <f t="array" ref="U50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03" spans="1:21" x14ac:dyDescent="0.35">
      <c r="A503" s="28">
        <v>5</v>
      </c>
      <c r="B503" s="13" t="s">
        <v>985</v>
      </c>
      <c r="C503" s="13">
        <v>2</v>
      </c>
      <c r="D503" s="14">
        <v>45022.03125</v>
      </c>
      <c r="E503" s="14">
        <v>45022.081250000003</v>
      </c>
      <c r="F503" s="13" t="s">
        <v>85</v>
      </c>
      <c r="G503" s="13" t="s">
        <v>86</v>
      </c>
      <c r="H503" s="13" t="s">
        <v>74</v>
      </c>
      <c r="I503" s="17">
        <v>32.9</v>
      </c>
      <c r="J503" s="13" t="s">
        <v>94</v>
      </c>
      <c r="K503" s="13">
        <v>502</v>
      </c>
      <c r="L503" s="13" t="s">
        <v>95</v>
      </c>
      <c r="M503" s="13" t="s">
        <v>1616</v>
      </c>
      <c r="N503">
        <f>_xlfn.XLOOKUP(spaces_3iWczBNnn5rbfoUlE0Jd_uploads_git_blob_9864c7f811c613c3faab876659c6423__25[[#This Row],[Número de Orden]],Cocinadinamica!B504:B1272,Cocinadinamica!C504:C1272)</f>
        <v>56</v>
      </c>
      <c r="O503" s="7">
        <f>spaces_3iWczBNnn5rbfoUlE0Jd_uploads_git_blob_9864c7f811c613c3faab876659c6423__25[[#This Row],[Hora de Llegada]]</f>
        <v>45022.03125</v>
      </c>
      <c r="P503" s="9">
        <f>spaces_3iWczBNnn5rbfoUlE0Jd_uploads_git_blob_9864c7f811c613c3faab876659c6423__25[[#This Row],[Hora de Llegada]]</f>
        <v>45022.03125</v>
      </c>
      <c r="Q503" s="9">
        <f>spaces_3iWczBNnn5rbfoUlE0Jd_uploads_git_blob_9864c7f811c613c3faab876659c6423__25[[#This Row],[Hora de Salida]]</f>
        <v>45022.081250000003</v>
      </c>
      <c r="R503" s="9" cm="1">
        <f t="array" ref="R50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5.0000000002910383E-2</v>
      </c>
      <c r="S503" s="9">
        <f>_xlfn.XLOOKUP(spaces_3iWczBNnn5rbfoUlE0Jd_uploads_git_blob_9864c7f811c613c3faab876659c6423__25[[#This Row],[Número de Orden]],Cocinadinamica!E504:E1272,Cocinadinamica!F504:F1272)/1440</f>
        <v>5.0694444444444445E-2</v>
      </c>
      <c r="T503" s="9" cm="1">
        <f t="array" ref="T50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03" s="9" t="str" cm="1">
        <f t="array" ref="U50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04" spans="1:21" x14ac:dyDescent="0.35">
      <c r="A504" s="27">
        <v>3</v>
      </c>
      <c r="B504" s="11" t="s">
        <v>1125</v>
      </c>
      <c r="C504" s="11">
        <v>1</v>
      </c>
      <c r="D504" s="12">
        <v>45022.097222222219</v>
      </c>
      <c r="E504" s="12">
        <v>45022.168055555558</v>
      </c>
      <c r="F504" s="11" t="s">
        <v>170</v>
      </c>
      <c r="G504" s="11" t="s">
        <v>86</v>
      </c>
      <c r="H504" s="11" t="s">
        <v>74</v>
      </c>
      <c r="I504" s="16">
        <v>35.840000000000003</v>
      </c>
      <c r="J504" s="11" t="s">
        <v>94</v>
      </c>
      <c r="K504" s="11">
        <v>503</v>
      </c>
      <c r="L504" s="11" t="s">
        <v>181</v>
      </c>
      <c r="M504" s="11" t="s">
        <v>1443</v>
      </c>
      <c r="N504">
        <f>_xlfn.XLOOKUP(spaces_3iWczBNnn5rbfoUlE0Jd_uploads_git_blob_9864c7f811c613c3faab876659c6423__25[[#This Row],[Número de Orden]],Cocinadinamica!B505:B1273,Cocinadinamica!C505:C1273)</f>
        <v>54</v>
      </c>
      <c r="O504" s="7">
        <f>spaces_3iWczBNnn5rbfoUlE0Jd_uploads_git_blob_9864c7f811c613c3faab876659c6423__25[[#This Row],[Hora de Llegada]]</f>
        <v>45022.097222222219</v>
      </c>
      <c r="P504" s="9">
        <f>spaces_3iWczBNnn5rbfoUlE0Jd_uploads_git_blob_9864c7f811c613c3faab876659c6423__25[[#This Row],[Hora de Llegada]]</f>
        <v>45022.097222222219</v>
      </c>
      <c r="Q504" s="9">
        <f>spaces_3iWczBNnn5rbfoUlE0Jd_uploads_git_blob_9864c7f811c613c3faab876659c6423__25[[#This Row],[Hora de Salida]]</f>
        <v>45022.168055555558</v>
      </c>
      <c r="R504" s="9" cm="1">
        <f t="array" ref="R50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7.0833333338669036E-2</v>
      </c>
      <c r="S504" s="9">
        <f>_xlfn.XLOOKUP(spaces_3iWczBNnn5rbfoUlE0Jd_uploads_git_blob_9864c7f811c613c3faab876659c6423__25[[#This Row],[Número de Orden]],Cocinadinamica!E505:E1273,Cocinadinamica!F505:F1273)/1440</f>
        <v>5.9027777777777776E-2</v>
      </c>
      <c r="T504" s="9" cm="1">
        <f t="array" ref="T50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1.1805555560891259E-2</v>
      </c>
      <c r="U504" s="9" t="str" cm="1">
        <f t="array" ref="U50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05" spans="1:21" x14ac:dyDescent="0.35">
      <c r="A505" s="28" t="s">
        <v>83</v>
      </c>
      <c r="B505" s="13" t="s">
        <v>607</v>
      </c>
      <c r="C505" s="13">
        <v>5</v>
      </c>
      <c r="D505" s="14">
        <v>45022.090277777781</v>
      </c>
      <c r="E505" s="14">
        <v>45022.2</v>
      </c>
      <c r="F505" s="13" t="s">
        <v>85</v>
      </c>
      <c r="G505" s="13" t="s">
        <v>73</v>
      </c>
      <c r="H505" s="13" t="s">
        <v>87</v>
      </c>
      <c r="I505" s="17">
        <v>31.31</v>
      </c>
      <c r="J505" s="13" t="s">
        <v>94</v>
      </c>
      <c r="K505" s="13">
        <v>504</v>
      </c>
      <c r="L505" s="13" t="s">
        <v>89</v>
      </c>
      <c r="M505" s="13" t="s">
        <v>17</v>
      </c>
      <c r="N505">
        <f>_xlfn.XLOOKUP(spaces_3iWczBNnn5rbfoUlE0Jd_uploads_git_blob_9864c7f811c613c3faab876659c6423__25[[#This Row],[Número de Orden]],Cocinadinamica!B506:B1274,Cocinadinamica!C506:C1274)</f>
        <v>22</v>
      </c>
      <c r="O505" s="7">
        <f>spaces_3iWczBNnn5rbfoUlE0Jd_uploads_git_blob_9864c7f811c613c3faab876659c6423__25[[#This Row],[Hora de Llegada]]</f>
        <v>45022.090277777781</v>
      </c>
      <c r="P505" s="9">
        <f>spaces_3iWczBNnn5rbfoUlE0Jd_uploads_git_blob_9864c7f811c613c3faab876659c6423__25[[#This Row],[Hora de Llegada]]</f>
        <v>45022.090277777781</v>
      </c>
      <c r="Q505" s="9">
        <f>spaces_3iWczBNnn5rbfoUlE0Jd_uploads_git_blob_9864c7f811c613c3faab876659c6423__25[[#This Row],[Hora de Salida]]</f>
        <v>45022.2</v>
      </c>
      <c r="R505" s="9" cm="1">
        <f t="array" ref="R50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0.10972222221607808</v>
      </c>
      <c r="S505" s="9">
        <f>_xlfn.XLOOKUP(spaces_3iWczBNnn5rbfoUlE0Jd_uploads_git_blob_9864c7f811c613c3faab876659c6423__25[[#This Row],[Número de Orden]],Cocinadinamica!E506:E1274,Cocinadinamica!F506:F1274)/1440</f>
        <v>1.3194444444444444E-2</v>
      </c>
      <c r="T505" s="9" cm="1">
        <f t="array" ref="T50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9.6527777771633641E-2</v>
      </c>
      <c r="U505" s="9" t="str" cm="1">
        <f t="array" ref="U50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06" spans="1:21" x14ac:dyDescent="0.35">
      <c r="A506" s="27">
        <v>5</v>
      </c>
      <c r="B506" s="11" t="s">
        <v>1126</v>
      </c>
      <c r="C506" s="11">
        <v>1</v>
      </c>
      <c r="D506" s="12">
        <v>45022.109722222223</v>
      </c>
      <c r="E506" s="12">
        <v>45022.254861111112</v>
      </c>
      <c r="F506" s="11" t="s">
        <v>100</v>
      </c>
      <c r="G506" s="11" t="s">
        <v>73</v>
      </c>
      <c r="H506" s="11" t="s">
        <v>74</v>
      </c>
      <c r="I506" s="16">
        <v>25.76</v>
      </c>
      <c r="J506" s="11" t="s">
        <v>94</v>
      </c>
      <c r="K506" s="11">
        <v>505</v>
      </c>
      <c r="L506" s="11" t="s">
        <v>110</v>
      </c>
      <c r="M506" s="11" t="s">
        <v>1617</v>
      </c>
      <c r="N506">
        <f>_xlfn.XLOOKUP(spaces_3iWczBNnn5rbfoUlE0Jd_uploads_git_blob_9864c7f811c613c3faab876659c6423__25[[#This Row],[Número de Orden]],Cocinadinamica!B507:B1275,Cocinadinamica!C507:C1275)</f>
        <v>60</v>
      </c>
      <c r="O506" s="7">
        <f>spaces_3iWczBNnn5rbfoUlE0Jd_uploads_git_blob_9864c7f811c613c3faab876659c6423__25[[#This Row],[Hora de Llegada]]</f>
        <v>45022.109722222223</v>
      </c>
      <c r="P506" s="9">
        <f>spaces_3iWczBNnn5rbfoUlE0Jd_uploads_git_blob_9864c7f811c613c3faab876659c6423__25[[#This Row],[Hora de Llegada]]</f>
        <v>45022.109722222223</v>
      </c>
      <c r="Q506" s="9">
        <f>spaces_3iWczBNnn5rbfoUlE0Jd_uploads_git_blob_9864c7f811c613c3faab876659c6423__25[[#This Row],[Hora de Salida]]</f>
        <v>45022.254861111112</v>
      </c>
      <c r="R506" s="9" cm="1">
        <f t="array" ref="R50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0.14513888888905058</v>
      </c>
      <c r="S506" s="9">
        <f>_xlfn.XLOOKUP(spaces_3iWczBNnn5rbfoUlE0Jd_uploads_git_blob_9864c7f811c613c3faab876659c6423__25[[#This Row],[Número de Orden]],Cocinadinamica!E507:E1275,Cocinadinamica!F507:F1275)/1440</f>
        <v>7.9861111111111105E-2</v>
      </c>
      <c r="T506" s="9" cm="1">
        <f t="array" ref="T50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6.5277777777939472E-2</v>
      </c>
      <c r="U506" s="9" t="str" cm="1">
        <f t="array" ref="U50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07" spans="1:21" x14ac:dyDescent="0.35">
      <c r="A507" s="28" t="s">
        <v>98</v>
      </c>
      <c r="B507" s="13" t="s">
        <v>609</v>
      </c>
      <c r="C507" s="13">
        <v>2</v>
      </c>
      <c r="D507" s="14">
        <v>45022.084027777775</v>
      </c>
      <c r="E507" s="14">
        <v>45022.168055555558</v>
      </c>
      <c r="F507" s="13" t="s">
        <v>170</v>
      </c>
      <c r="G507" s="13" t="s">
        <v>73</v>
      </c>
      <c r="H507" s="13" t="s">
        <v>74</v>
      </c>
      <c r="I507" s="17">
        <v>11.65</v>
      </c>
      <c r="J507" s="13" t="s">
        <v>88</v>
      </c>
      <c r="K507" s="13">
        <v>506</v>
      </c>
      <c r="L507" s="13" t="s">
        <v>221</v>
      </c>
      <c r="M507" s="13" t="s">
        <v>31</v>
      </c>
      <c r="N507">
        <f>_xlfn.XLOOKUP(spaces_3iWczBNnn5rbfoUlE0Jd_uploads_git_blob_9864c7f811c613c3faab876659c6423__25[[#This Row],[Número de Orden]],Cocinadinamica!B508:B1276,Cocinadinamica!C508:C1276)</f>
        <v>28</v>
      </c>
      <c r="O507" s="7">
        <f>spaces_3iWczBNnn5rbfoUlE0Jd_uploads_git_blob_9864c7f811c613c3faab876659c6423__25[[#This Row],[Hora de Llegada]]</f>
        <v>45022.084027777775</v>
      </c>
      <c r="P507" s="9">
        <f>spaces_3iWczBNnn5rbfoUlE0Jd_uploads_git_blob_9864c7f811c613c3faab876659c6423__25[[#This Row],[Hora de Llegada]]</f>
        <v>45022.084027777775</v>
      </c>
      <c r="Q507" s="9">
        <f>spaces_3iWczBNnn5rbfoUlE0Jd_uploads_git_blob_9864c7f811c613c3faab876659c6423__25[[#This Row],[Hora de Salida]]</f>
        <v>45022.168055555558</v>
      </c>
      <c r="R507" s="9" cm="1">
        <f t="array" ref="R50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9.4444444446708076E-2</v>
      </c>
      <c r="S507" s="9">
        <f>_xlfn.XLOOKUP(spaces_3iWczBNnn5rbfoUlE0Jd_uploads_git_blob_9864c7f811c613c3faab876659c6423__25[[#This Row],[Número de Orden]],Cocinadinamica!E508:E1276,Cocinadinamica!F508:F1276)/1440</f>
        <v>3.472222222222222E-3</v>
      </c>
      <c r="T507" s="9" cm="1">
        <f t="array" ref="T50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9.0972222224485852E-2</v>
      </c>
      <c r="U507" s="9" t="str" cm="1">
        <f t="array" ref="U50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08" spans="1:21" x14ac:dyDescent="0.35">
      <c r="A508" s="27">
        <v>18</v>
      </c>
      <c r="B508" s="11" t="s">
        <v>563</v>
      </c>
      <c r="C508" s="11">
        <v>4</v>
      </c>
      <c r="D508" s="12">
        <v>45022.143055555556</v>
      </c>
      <c r="E508" s="12">
        <v>45022.1875</v>
      </c>
      <c r="F508" s="11" t="s">
        <v>100</v>
      </c>
      <c r="G508" s="11" t="s">
        <v>163</v>
      </c>
      <c r="H508" s="11" t="s">
        <v>74</v>
      </c>
      <c r="I508" s="16">
        <v>43.42</v>
      </c>
      <c r="J508" s="11" t="s">
        <v>75</v>
      </c>
      <c r="K508" s="11">
        <v>507</v>
      </c>
      <c r="L508" s="11" t="s">
        <v>95</v>
      </c>
      <c r="M508" s="11" t="s">
        <v>1618</v>
      </c>
      <c r="N508">
        <f>_xlfn.XLOOKUP(spaces_3iWczBNnn5rbfoUlE0Jd_uploads_git_blob_9864c7f811c613c3faab876659c6423__25[[#This Row],[Número de Orden]],Cocinadinamica!B509:B1277,Cocinadinamica!C509:C1277)</f>
        <v>84</v>
      </c>
      <c r="O508" s="7">
        <f>spaces_3iWczBNnn5rbfoUlE0Jd_uploads_git_blob_9864c7f811c613c3faab876659c6423__25[[#This Row],[Hora de Llegada]]</f>
        <v>45022.143055555556</v>
      </c>
      <c r="P508" s="9">
        <f>spaces_3iWczBNnn5rbfoUlE0Jd_uploads_git_blob_9864c7f811c613c3faab876659c6423__25[[#This Row],[Hora de Llegada]]</f>
        <v>45022.143055555556</v>
      </c>
      <c r="Q508" s="9">
        <f>spaces_3iWczBNnn5rbfoUlE0Jd_uploads_git_blob_9864c7f811c613c3faab876659c6423__25[[#This Row],[Hora de Salida]]</f>
        <v>45022.1875</v>
      </c>
      <c r="R508" s="9" cm="1">
        <f t="array" ref="R50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4.4444444443797693E-2</v>
      </c>
      <c r="S508" s="9">
        <f>_xlfn.XLOOKUP(spaces_3iWczBNnn5rbfoUlE0Jd_uploads_git_blob_9864c7f811c613c3faab876659c6423__25[[#This Row],[Número de Orden]],Cocinadinamica!E509:E1277,Cocinadinamica!F509:F1277)/1440</f>
        <v>4.791666666666667E-2</v>
      </c>
      <c r="T508" s="9" cm="1">
        <f t="array" ref="T50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08" s="9" t="str" cm="1">
        <f t="array" ref="U50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09" spans="1:21" x14ac:dyDescent="0.35">
      <c r="A509" s="28" t="s">
        <v>185</v>
      </c>
      <c r="B509" s="13" t="s">
        <v>611</v>
      </c>
      <c r="C509" s="13">
        <v>1</v>
      </c>
      <c r="D509" s="14">
        <v>45022.118055555555</v>
      </c>
      <c r="E509" s="14">
        <v>45022.274305555555</v>
      </c>
      <c r="F509" s="13" t="s">
        <v>85</v>
      </c>
      <c r="G509" s="13" t="s">
        <v>86</v>
      </c>
      <c r="H509" s="13" t="s">
        <v>74</v>
      </c>
      <c r="I509" s="17">
        <v>4.28</v>
      </c>
      <c r="J509" s="13" t="s">
        <v>94</v>
      </c>
      <c r="K509" s="13">
        <v>508</v>
      </c>
      <c r="L509" s="13" t="s">
        <v>89</v>
      </c>
      <c r="M509" s="13" t="s">
        <v>33</v>
      </c>
      <c r="N509">
        <f>_xlfn.XLOOKUP(spaces_3iWczBNnn5rbfoUlE0Jd_uploads_git_blob_9864c7f811c613c3faab876659c6423__25[[#This Row],[Número de Orden]],Cocinadinamica!B510:B1278,Cocinadinamica!C510:C1278)</f>
        <v>13</v>
      </c>
      <c r="O509" s="7">
        <f>spaces_3iWczBNnn5rbfoUlE0Jd_uploads_git_blob_9864c7f811c613c3faab876659c6423__25[[#This Row],[Hora de Llegada]]</f>
        <v>45022.118055555555</v>
      </c>
      <c r="P509" s="9">
        <f>spaces_3iWczBNnn5rbfoUlE0Jd_uploads_git_blob_9864c7f811c613c3faab876659c6423__25[[#This Row],[Hora de Llegada]]</f>
        <v>45022.118055555555</v>
      </c>
      <c r="Q509" s="9">
        <f>spaces_3iWczBNnn5rbfoUlE0Jd_uploads_git_blob_9864c7f811c613c3faab876659c6423__25[[#This Row],[Hora de Salida]]</f>
        <v>45022.274305555555</v>
      </c>
      <c r="R509" s="9" cm="1">
        <f t="array" ref="R50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509" s="9">
        <f>_xlfn.XLOOKUP(spaces_3iWczBNnn5rbfoUlE0Jd_uploads_git_blob_9864c7f811c613c3faab876659c6423__25[[#This Row],[Número de Orden]],Cocinadinamica!E510:E1278,Cocinadinamica!F510:F1278)/1440</f>
        <v>2.361111111111111E-2</v>
      </c>
      <c r="T509" s="9" cm="1">
        <f t="array" ref="T50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0.13263888888888889</v>
      </c>
      <c r="U509" s="9" t="str" cm="1">
        <f t="array" ref="U50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0" spans="1:21" x14ac:dyDescent="0.35">
      <c r="A510" s="27" t="s">
        <v>121</v>
      </c>
      <c r="B510" s="11" t="s">
        <v>612</v>
      </c>
      <c r="C510" s="11">
        <v>3</v>
      </c>
      <c r="D510" s="12">
        <v>45022.133333333331</v>
      </c>
      <c r="E510" s="12">
        <v>45022.251388888886</v>
      </c>
      <c r="F510" s="11" t="s">
        <v>223</v>
      </c>
      <c r="G510" s="11" t="s">
        <v>163</v>
      </c>
      <c r="H510" s="11" t="s">
        <v>74</v>
      </c>
      <c r="I510" s="16">
        <v>16.260000000000002</v>
      </c>
      <c r="J510" s="11" t="s">
        <v>88</v>
      </c>
      <c r="K510" s="11">
        <v>509</v>
      </c>
      <c r="L510" s="11" t="s">
        <v>89</v>
      </c>
      <c r="M510" s="11" t="s">
        <v>19</v>
      </c>
      <c r="N510">
        <f>_xlfn.XLOOKUP(spaces_3iWczBNnn5rbfoUlE0Jd_uploads_git_blob_9864c7f811c613c3faab876659c6423__25[[#This Row],[Número de Orden]],Cocinadinamica!B511:B1279,Cocinadinamica!C511:C1279)</f>
        <v>30</v>
      </c>
      <c r="O510" s="7">
        <f>spaces_3iWczBNnn5rbfoUlE0Jd_uploads_git_blob_9864c7f811c613c3faab876659c6423__25[[#This Row],[Hora de Llegada]]</f>
        <v>45022.133333333331</v>
      </c>
      <c r="P510" s="9">
        <f>spaces_3iWczBNnn5rbfoUlE0Jd_uploads_git_blob_9864c7f811c613c3faab876659c6423__25[[#This Row],[Hora de Llegada]]</f>
        <v>45022.133333333331</v>
      </c>
      <c r="Q510" s="9">
        <f>spaces_3iWczBNnn5rbfoUlE0Jd_uploads_git_blob_9864c7f811c613c3faab876659c6423__25[[#This Row],[Hora de Salida]]</f>
        <v>45022.251388888886</v>
      </c>
      <c r="R510" s="9" cm="1">
        <f t="array" ref="R51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0.12847222221898846</v>
      </c>
      <c r="S510" s="9">
        <f>_xlfn.XLOOKUP(spaces_3iWczBNnn5rbfoUlE0Jd_uploads_git_blob_9864c7f811c613c3faab876659c6423__25[[#This Row],[Número de Orden]],Cocinadinamica!E511:E1279,Cocinadinamica!F511:F1279)/1440</f>
        <v>3.2638888888888891E-2</v>
      </c>
      <c r="T510" s="9" cm="1">
        <f t="array" ref="T51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9.5833333330099579E-2</v>
      </c>
      <c r="U510" s="9" t="str" cm="1">
        <f t="array" ref="U51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1" spans="1:21" x14ac:dyDescent="0.35">
      <c r="A511" s="28" t="s">
        <v>185</v>
      </c>
      <c r="B511" s="13" t="s">
        <v>613</v>
      </c>
      <c r="C511" s="13">
        <v>4</v>
      </c>
      <c r="D511" s="14">
        <v>45022.147222222222</v>
      </c>
      <c r="E511" s="14">
        <v>45022.189583333333</v>
      </c>
      <c r="F511" s="13" t="s">
        <v>72</v>
      </c>
      <c r="G511" s="13" t="s">
        <v>86</v>
      </c>
      <c r="H511" s="13" t="s">
        <v>74</v>
      </c>
      <c r="I511" s="17">
        <v>14.97</v>
      </c>
      <c r="J511" s="13" t="s">
        <v>75</v>
      </c>
      <c r="K511" s="13">
        <v>510</v>
      </c>
      <c r="L511" s="13" t="s">
        <v>221</v>
      </c>
      <c r="M511" s="13" t="s">
        <v>21</v>
      </c>
      <c r="N511">
        <f>_xlfn.XLOOKUP(spaces_3iWczBNnn5rbfoUlE0Jd_uploads_git_blob_9864c7f811c613c3faab876659c6423__25[[#This Row],[Número de Orden]],Cocinadinamica!B512:B1280,Cocinadinamica!C512:C1280)</f>
        <v>14</v>
      </c>
      <c r="O511" s="7">
        <f>spaces_3iWczBNnn5rbfoUlE0Jd_uploads_git_blob_9864c7f811c613c3faab876659c6423__25[[#This Row],[Hora de Llegada]]</f>
        <v>45022.147222222222</v>
      </c>
      <c r="P511" s="9">
        <f>spaces_3iWczBNnn5rbfoUlE0Jd_uploads_git_blob_9864c7f811c613c3faab876659c6423__25[[#This Row],[Hora de Llegada]]</f>
        <v>45022.147222222222</v>
      </c>
      <c r="Q511" s="9">
        <f>spaces_3iWczBNnn5rbfoUlE0Jd_uploads_git_blob_9864c7f811c613c3faab876659c6423__25[[#This Row],[Hora de Salida]]</f>
        <v>45022.189583333333</v>
      </c>
      <c r="R511" s="9" cm="1">
        <f t="array" ref="R51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4.2361111110949423E-2</v>
      </c>
      <c r="S511" s="9">
        <f>_xlfn.XLOOKUP(spaces_3iWczBNnn5rbfoUlE0Jd_uploads_git_blob_9864c7f811c613c3faab876659c6423__25[[#This Row],[Número de Orden]],Cocinadinamica!E512:E1280,Cocinadinamica!F512:F1280)/1440</f>
        <v>3.3333333333333333E-2</v>
      </c>
      <c r="T511" s="9" cm="1">
        <f t="array" ref="T51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9.0277777776160903E-3</v>
      </c>
      <c r="U511" s="9" t="str" cm="1">
        <f t="array" ref="U51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2" spans="1:21" x14ac:dyDescent="0.35">
      <c r="A512" s="27">
        <v>2</v>
      </c>
      <c r="B512" s="11" t="s">
        <v>1127</v>
      </c>
      <c r="C512" s="11">
        <v>1</v>
      </c>
      <c r="D512" s="12">
        <v>45022.068055555559</v>
      </c>
      <c r="E512" s="12">
        <v>45022.140972222223</v>
      </c>
      <c r="F512" s="11" t="s">
        <v>223</v>
      </c>
      <c r="G512" s="11" t="s">
        <v>86</v>
      </c>
      <c r="H512" s="11" t="s">
        <v>74</v>
      </c>
      <c r="I512" s="16">
        <v>35.950000000000003</v>
      </c>
      <c r="J512" s="11" t="s">
        <v>75</v>
      </c>
      <c r="K512" s="11">
        <v>511</v>
      </c>
      <c r="L512" s="11" t="s">
        <v>164</v>
      </c>
      <c r="M512" s="11" t="s">
        <v>1619</v>
      </c>
      <c r="N512">
        <f>_xlfn.XLOOKUP(spaces_3iWczBNnn5rbfoUlE0Jd_uploads_git_blob_9864c7f811c613c3faab876659c6423__25[[#This Row],[Número de Orden]],Cocinadinamica!B513:B1281,Cocinadinamica!C513:C1281)</f>
        <v>55</v>
      </c>
      <c r="O512" s="7">
        <f>spaces_3iWczBNnn5rbfoUlE0Jd_uploads_git_blob_9864c7f811c613c3faab876659c6423__25[[#This Row],[Hora de Llegada]]</f>
        <v>45022.068055555559</v>
      </c>
      <c r="P512" s="9">
        <f>spaces_3iWczBNnn5rbfoUlE0Jd_uploads_git_blob_9864c7f811c613c3faab876659c6423__25[[#This Row],[Hora de Llegada]]</f>
        <v>45022.068055555559</v>
      </c>
      <c r="Q512" s="9">
        <f>spaces_3iWczBNnn5rbfoUlE0Jd_uploads_git_blob_9864c7f811c613c3faab876659c6423__25[[#This Row],[Hora de Salida]]</f>
        <v>45022.140972222223</v>
      </c>
      <c r="R512" s="9" cm="1">
        <f t="array" ref="R51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7.2916666664241347E-2</v>
      </c>
      <c r="S512" s="9">
        <f>_xlfn.XLOOKUP(spaces_3iWczBNnn5rbfoUlE0Jd_uploads_git_blob_9864c7f811c613c3faab876659c6423__25[[#This Row],[Número de Orden]],Cocinadinamica!E513:E1281,Cocinadinamica!F513:F1281)/1440</f>
        <v>2.6388888888888889E-2</v>
      </c>
      <c r="T512" s="9" cm="1">
        <f t="array" ref="T51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4.6527777775352455E-2</v>
      </c>
      <c r="U512" s="9" t="str" cm="1">
        <f t="array" ref="U51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3" spans="1:21" x14ac:dyDescent="0.35">
      <c r="A513" s="28">
        <v>2</v>
      </c>
      <c r="B513" s="13" t="s">
        <v>1079</v>
      </c>
      <c r="C513" s="13">
        <v>1</v>
      </c>
      <c r="D513" s="14">
        <v>45022.054861111108</v>
      </c>
      <c r="E513" s="14">
        <v>45022.101388888892</v>
      </c>
      <c r="F513" s="13" t="s">
        <v>85</v>
      </c>
      <c r="G513" s="13" t="s">
        <v>86</v>
      </c>
      <c r="H513" s="13" t="s">
        <v>74</v>
      </c>
      <c r="I513" s="17">
        <v>37.369999999999997</v>
      </c>
      <c r="J513" s="13" t="s">
        <v>88</v>
      </c>
      <c r="K513" s="13">
        <v>512</v>
      </c>
      <c r="L513" s="13" t="s">
        <v>181</v>
      </c>
      <c r="M513" s="13" t="s">
        <v>1554</v>
      </c>
      <c r="N513">
        <f>_xlfn.XLOOKUP(spaces_3iWczBNnn5rbfoUlE0Jd_uploads_git_blob_9864c7f811c613c3faab876659c6423__25[[#This Row],[Número de Orden]],Cocinadinamica!B514:B1282,Cocinadinamica!C514:C1282)</f>
        <v>50</v>
      </c>
      <c r="O513" s="7">
        <f>spaces_3iWczBNnn5rbfoUlE0Jd_uploads_git_blob_9864c7f811c613c3faab876659c6423__25[[#This Row],[Hora de Llegada]]</f>
        <v>45022.054861111108</v>
      </c>
      <c r="P513" s="9">
        <f>spaces_3iWczBNnn5rbfoUlE0Jd_uploads_git_blob_9864c7f811c613c3faab876659c6423__25[[#This Row],[Hora de Llegada]]</f>
        <v>45022.054861111108</v>
      </c>
      <c r="Q513" s="9">
        <f>spaces_3iWczBNnn5rbfoUlE0Jd_uploads_git_blob_9864c7f811c613c3faab876659c6423__25[[#This Row],[Hora de Salida]]</f>
        <v>45022.101388888892</v>
      </c>
      <c r="R513" s="9" cm="1">
        <f t="array" ref="R51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5.6944444448163267E-2</v>
      </c>
      <c r="S513" s="9">
        <f>_xlfn.XLOOKUP(spaces_3iWczBNnn5rbfoUlE0Jd_uploads_git_blob_9864c7f811c613c3faab876659c6423__25[[#This Row],[Número de Orden]],Cocinadinamica!E514:E1282,Cocinadinamica!F514:F1282)/1440</f>
        <v>4.0972222222222222E-2</v>
      </c>
      <c r="T513" s="9" cm="1">
        <f t="array" ref="T51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1.5972222225941045E-2</v>
      </c>
      <c r="U513" s="9" t="str" cm="1">
        <f t="array" ref="U51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4" spans="1:21" x14ac:dyDescent="0.35">
      <c r="A514" s="27" t="s">
        <v>215</v>
      </c>
      <c r="B514" s="11" t="s">
        <v>84</v>
      </c>
      <c r="C514" s="11">
        <v>6</v>
      </c>
      <c r="D514" s="12">
        <v>45022.061111111114</v>
      </c>
      <c r="E514" s="12">
        <v>45022.20208333333</v>
      </c>
      <c r="F514" s="11" t="s">
        <v>170</v>
      </c>
      <c r="G514" s="11" t="s">
        <v>163</v>
      </c>
      <c r="H514" s="11" t="s">
        <v>74</v>
      </c>
      <c r="I514" s="16">
        <v>22.74</v>
      </c>
      <c r="J514" s="11" t="s">
        <v>88</v>
      </c>
      <c r="K514" s="11">
        <v>513</v>
      </c>
      <c r="L514" s="11" t="s">
        <v>95</v>
      </c>
      <c r="M514" s="11" t="s">
        <v>45</v>
      </c>
      <c r="N514">
        <f>_xlfn.XLOOKUP(spaces_3iWczBNnn5rbfoUlE0Jd_uploads_git_blob_9864c7f811c613c3faab876659c6423__25[[#This Row],[Número de Orden]],Cocinadinamica!B515:B1283,Cocinadinamica!C515:C1283)</f>
        <v>24</v>
      </c>
      <c r="O514" s="7">
        <f>spaces_3iWczBNnn5rbfoUlE0Jd_uploads_git_blob_9864c7f811c613c3faab876659c6423__25[[#This Row],[Hora de Llegada]]</f>
        <v>45022.061111111114</v>
      </c>
      <c r="P514" s="9">
        <f>spaces_3iWczBNnn5rbfoUlE0Jd_uploads_git_blob_9864c7f811c613c3faab876659c6423__25[[#This Row],[Hora de Llegada]]</f>
        <v>45022.061111111114</v>
      </c>
      <c r="Q514" s="9">
        <f>spaces_3iWczBNnn5rbfoUlE0Jd_uploads_git_blob_9864c7f811c613c3faab876659c6423__25[[#This Row],[Hora de Salida]]</f>
        <v>45022.20208333333</v>
      </c>
      <c r="R514" s="9" cm="1">
        <f t="array" ref="R51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0.15138888888031943</v>
      </c>
      <c r="S514" s="9">
        <f>_xlfn.XLOOKUP(spaces_3iWczBNnn5rbfoUlE0Jd_uploads_git_blob_9864c7f811c613c3faab876659c6423__25[[#This Row],[Número de Orden]],Cocinadinamica!E515:E1283,Cocinadinamica!F515:F1283)/1440</f>
        <v>3.888888888888889E-2</v>
      </c>
      <c r="T514" s="9" cm="1">
        <f t="array" ref="T51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0.11249999999143054</v>
      </c>
      <c r="U514" s="9" t="str" cm="1">
        <f t="array" ref="U51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5" spans="1:21" x14ac:dyDescent="0.35">
      <c r="A515" s="28">
        <v>18</v>
      </c>
      <c r="B515" s="13" t="s">
        <v>1128</v>
      </c>
      <c r="C515" s="13">
        <v>5</v>
      </c>
      <c r="D515" s="14">
        <v>45022.054861111108</v>
      </c>
      <c r="E515" s="14">
        <v>45022.191666666666</v>
      </c>
      <c r="F515" s="13" t="s">
        <v>72</v>
      </c>
      <c r="G515" s="13" t="s">
        <v>86</v>
      </c>
      <c r="H515" s="13" t="s">
        <v>74</v>
      </c>
      <c r="I515" s="17">
        <v>38.840000000000003</v>
      </c>
      <c r="J515" s="13" t="s">
        <v>75</v>
      </c>
      <c r="K515" s="13">
        <v>514</v>
      </c>
      <c r="L515" s="13" t="s">
        <v>101</v>
      </c>
      <c r="M515" s="13" t="s">
        <v>1620</v>
      </c>
      <c r="N515">
        <f>_xlfn.XLOOKUP(spaces_3iWczBNnn5rbfoUlE0Jd_uploads_git_blob_9864c7f811c613c3faab876659c6423__25[[#This Row],[Número de Orden]],Cocinadinamica!B516:B1284,Cocinadinamica!C516:C1284)</f>
        <v>72</v>
      </c>
      <c r="O515" s="7">
        <f>spaces_3iWczBNnn5rbfoUlE0Jd_uploads_git_blob_9864c7f811c613c3faab876659c6423__25[[#This Row],[Hora de Llegada]]</f>
        <v>45022.054861111108</v>
      </c>
      <c r="P515" s="9">
        <f>spaces_3iWczBNnn5rbfoUlE0Jd_uploads_git_blob_9864c7f811c613c3faab876659c6423__25[[#This Row],[Hora de Llegada]]</f>
        <v>45022.054861111108</v>
      </c>
      <c r="Q515" s="9">
        <f>spaces_3iWczBNnn5rbfoUlE0Jd_uploads_git_blob_9864c7f811c613c3faab876659c6423__25[[#This Row],[Hora de Salida]]</f>
        <v>45022.191666666666</v>
      </c>
      <c r="R515" s="9" cm="1">
        <f t="array" ref="R51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0.1368055555576575</v>
      </c>
      <c r="S515" s="9">
        <f>_xlfn.XLOOKUP(spaces_3iWczBNnn5rbfoUlE0Jd_uploads_git_blob_9864c7f811c613c3faab876659c6423__25[[#This Row],[Número de Orden]],Cocinadinamica!E516:E1284,Cocinadinamica!F516:F1284)/1440</f>
        <v>7.7777777777777779E-2</v>
      </c>
      <c r="T515" s="9" cm="1">
        <f t="array" ref="T51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5.902777777987972E-2</v>
      </c>
      <c r="U515" s="9" t="str" cm="1">
        <f t="array" ref="U51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6" spans="1:21" x14ac:dyDescent="0.35">
      <c r="A516" s="27" t="s">
        <v>177</v>
      </c>
      <c r="B516" s="11" t="s">
        <v>617</v>
      </c>
      <c r="C516" s="11">
        <v>2</v>
      </c>
      <c r="D516" s="12">
        <v>45022.040277777778</v>
      </c>
      <c r="E516" s="12">
        <v>45022.085416666669</v>
      </c>
      <c r="F516" s="11" t="s">
        <v>100</v>
      </c>
      <c r="G516" s="11" t="s">
        <v>86</v>
      </c>
      <c r="H516" s="11" t="s">
        <v>74</v>
      </c>
      <c r="I516" s="16">
        <v>43.79</v>
      </c>
      <c r="J516" s="11" t="s">
        <v>88</v>
      </c>
      <c r="K516" s="11">
        <v>515</v>
      </c>
      <c r="L516" s="11" t="s">
        <v>101</v>
      </c>
      <c r="M516" s="11" t="s">
        <v>45</v>
      </c>
      <c r="N516">
        <f>_xlfn.XLOOKUP(spaces_3iWczBNnn5rbfoUlE0Jd_uploads_git_blob_9864c7f811c613c3faab876659c6423__25[[#This Row],[Número de Orden]],Cocinadinamica!B517:B1285,Cocinadinamica!C517:C1285)</f>
        <v>8</v>
      </c>
      <c r="O516" s="7">
        <f>spaces_3iWczBNnn5rbfoUlE0Jd_uploads_git_blob_9864c7f811c613c3faab876659c6423__25[[#This Row],[Hora de Llegada]]</f>
        <v>45022.040277777778</v>
      </c>
      <c r="P516" s="9">
        <f>spaces_3iWczBNnn5rbfoUlE0Jd_uploads_git_blob_9864c7f811c613c3faab876659c6423__25[[#This Row],[Hora de Llegada]]</f>
        <v>45022.040277777778</v>
      </c>
      <c r="Q516" s="9">
        <f>spaces_3iWczBNnn5rbfoUlE0Jd_uploads_git_blob_9864c7f811c613c3faab876659c6423__25[[#This Row],[Hora de Salida]]</f>
        <v>45022.085416666669</v>
      </c>
      <c r="R516" s="9" cm="1">
        <f t="array" ref="R51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5.5555555554747116E-2</v>
      </c>
      <c r="S516" s="9">
        <f>_xlfn.XLOOKUP(spaces_3iWczBNnn5rbfoUlE0Jd_uploads_git_blob_9864c7f811c613c3faab876659c6423__25[[#This Row],[Número de Orden]],Cocinadinamica!E517:E1285,Cocinadinamica!F517:F1285)/1440</f>
        <v>9.0277777777777769E-3</v>
      </c>
      <c r="T516" s="9" cm="1">
        <f t="array" ref="T51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4.6527777776969342E-2</v>
      </c>
      <c r="U516" s="9" t="str" cm="1">
        <f t="array" ref="U51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7" spans="1:21" x14ac:dyDescent="0.35">
      <c r="A517" s="28">
        <v>7</v>
      </c>
      <c r="B517" s="13" t="s">
        <v>1129</v>
      </c>
      <c r="C517" s="13">
        <v>2</v>
      </c>
      <c r="D517" s="14">
        <v>45022.163194444445</v>
      </c>
      <c r="E517" s="14">
        <v>45022.207638888889</v>
      </c>
      <c r="F517" s="13" t="s">
        <v>72</v>
      </c>
      <c r="G517" s="13" t="s">
        <v>86</v>
      </c>
      <c r="H517" s="13" t="s">
        <v>74</v>
      </c>
      <c r="I517" s="17">
        <v>20.85</v>
      </c>
      <c r="J517" s="13" t="s">
        <v>94</v>
      </c>
      <c r="K517" s="13">
        <v>516</v>
      </c>
      <c r="L517" s="13" t="s">
        <v>221</v>
      </c>
      <c r="M517" s="13" t="s">
        <v>1621</v>
      </c>
      <c r="N517">
        <f>_xlfn.XLOOKUP(spaces_3iWczBNnn5rbfoUlE0Jd_uploads_git_blob_9864c7f811c613c3faab876659c6423__25[[#This Row],[Número de Orden]],Cocinadinamica!B518:B1286,Cocinadinamica!C518:C1286)</f>
        <v>59</v>
      </c>
      <c r="O517" s="7">
        <f>spaces_3iWczBNnn5rbfoUlE0Jd_uploads_git_blob_9864c7f811c613c3faab876659c6423__25[[#This Row],[Hora de Llegada]]</f>
        <v>45022.163194444445</v>
      </c>
      <c r="P517" s="9">
        <f>spaces_3iWczBNnn5rbfoUlE0Jd_uploads_git_blob_9864c7f811c613c3faab876659c6423__25[[#This Row],[Hora de Llegada]]</f>
        <v>45022.163194444445</v>
      </c>
      <c r="Q517" s="9">
        <f>spaces_3iWczBNnn5rbfoUlE0Jd_uploads_git_blob_9864c7f811c613c3faab876659c6423__25[[#This Row],[Hora de Salida]]</f>
        <v>45022.207638888889</v>
      </c>
      <c r="R517" s="9" cm="1">
        <f t="array" ref="R51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4.4444444443797693E-2</v>
      </c>
      <c r="S517" s="9">
        <f>_xlfn.XLOOKUP(spaces_3iWczBNnn5rbfoUlE0Jd_uploads_git_blob_9864c7f811c613c3faab876659c6423__25[[#This Row],[Número de Orden]],Cocinadinamica!E518:E1286,Cocinadinamica!F518:F1286)/1440</f>
        <v>6.7361111111111108E-2</v>
      </c>
      <c r="T517" s="9" cm="1">
        <f t="array" ref="T51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17" s="9" t="str" cm="1">
        <f t="array" ref="U51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18" spans="1:21" x14ac:dyDescent="0.35">
      <c r="A518" s="27">
        <v>4</v>
      </c>
      <c r="B518" s="11" t="s">
        <v>491</v>
      </c>
      <c r="C518" s="11">
        <v>5</v>
      </c>
      <c r="D518" s="12">
        <v>45022.065972222219</v>
      </c>
      <c r="E518" s="12">
        <v>45022.229166666664</v>
      </c>
      <c r="F518" s="11" t="s">
        <v>72</v>
      </c>
      <c r="G518" s="11" t="s">
        <v>86</v>
      </c>
      <c r="H518" s="11" t="s">
        <v>87</v>
      </c>
      <c r="I518" s="16">
        <v>23.92</v>
      </c>
      <c r="J518" s="11" t="s">
        <v>94</v>
      </c>
      <c r="K518" s="11">
        <v>517</v>
      </c>
      <c r="L518" s="11" t="s">
        <v>187</v>
      </c>
      <c r="M518" s="11" t="s">
        <v>1622</v>
      </c>
      <c r="N518">
        <f>_xlfn.XLOOKUP(spaces_3iWczBNnn5rbfoUlE0Jd_uploads_git_blob_9864c7f811c613c3faab876659c6423__25[[#This Row],[Número de Orden]],Cocinadinamica!B519:B1287,Cocinadinamica!C519:C1287)</f>
        <v>43</v>
      </c>
      <c r="O518" s="7">
        <f>spaces_3iWczBNnn5rbfoUlE0Jd_uploads_git_blob_9864c7f811c613c3faab876659c6423__25[[#This Row],[Hora de Llegada]]</f>
        <v>45022.065972222219</v>
      </c>
      <c r="P518" s="9">
        <f>spaces_3iWczBNnn5rbfoUlE0Jd_uploads_git_blob_9864c7f811c613c3faab876659c6423__25[[#This Row],[Hora de Llegada]]</f>
        <v>45022.065972222219</v>
      </c>
      <c r="Q518" s="9">
        <f>spaces_3iWczBNnn5rbfoUlE0Jd_uploads_git_blob_9864c7f811c613c3faab876659c6423__25[[#This Row],[Hora de Salida]]</f>
        <v>45022.229166666664</v>
      </c>
      <c r="R518" s="9" cm="1">
        <f t="array" ref="R51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0.16319444444525288</v>
      </c>
      <c r="S518" s="9">
        <f>_xlfn.XLOOKUP(spaces_3iWczBNnn5rbfoUlE0Jd_uploads_git_blob_9864c7f811c613c3faab876659c6423__25[[#This Row],[Número de Orden]],Cocinadinamica!E519:E1287,Cocinadinamica!F519:F1287)/1440</f>
        <v>4.5138888888888888E-2</v>
      </c>
      <c r="T518" s="9" cm="1">
        <f t="array" ref="T51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0.11805555555636399</v>
      </c>
      <c r="U518" s="9" t="str" cm="1">
        <f t="array" ref="U51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19" spans="1:21" x14ac:dyDescent="0.35">
      <c r="A519" s="28">
        <v>5</v>
      </c>
      <c r="B519" s="13" t="s">
        <v>938</v>
      </c>
      <c r="C519" s="13">
        <v>6</v>
      </c>
      <c r="D519" s="14">
        <v>45022.088888888888</v>
      </c>
      <c r="E519" s="14">
        <v>45022.251388888886</v>
      </c>
      <c r="F519" s="13" t="s">
        <v>72</v>
      </c>
      <c r="G519" s="13" t="s">
        <v>163</v>
      </c>
      <c r="H519" s="13" t="s">
        <v>74</v>
      </c>
      <c r="I519" s="17">
        <v>18.48</v>
      </c>
      <c r="J519" s="13" t="s">
        <v>88</v>
      </c>
      <c r="K519" s="13">
        <v>518</v>
      </c>
      <c r="L519" s="13" t="s">
        <v>110</v>
      </c>
      <c r="M519" s="13" t="s">
        <v>1590</v>
      </c>
      <c r="N519">
        <f>_xlfn.XLOOKUP(spaces_3iWczBNnn5rbfoUlE0Jd_uploads_git_blob_9864c7f811c613c3faab876659c6423__25[[#This Row],[Número de Orden]],Cocinadinamica!B520:B1288,Cocinadinamica!C520:C1288)</f>
        <v>31</v>
      </c>
      <c r="O519" s="7">
        <f>spaces_3iWczBNnn5rbfoUlE0Jd_uploads_git_blob_9864c7f811c613c3faab876659c6423__25[[#This Row],[Hora de Llegada]]</f>
        <v>45022.088888888888</v>
      </c>
      <c r="P519" s="9">
        <f>spaces_3iWczBNnn5rbfoUlE0Jd_uploads_git_blob_9864c7f811c613c3faab876659c6423__25[[#This Row],[Hora de Llegada]]</f>
        <v>45022.088888888888</v>
      </c>
      <c r="Q519" s="9">
        <f>spaces_3iWczBNnn5rbfoUlE0Jd_uploads_git_blob_9864c7f811c613c3faab876659c6423__25[[#This Row],[Hora de Salida]]</f>
        <v>45022.251388888886</v>
      </c>
      <c r="R519" s="9" cm="1">
        <f t="array" ref="R51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0.17291666666278616</v>
      </c>
      <c r="S519" s="9">
        <f>_xlfn.XLOOKUP(spaces_3iWczBNnn5rbfoUlE0Jd_uploads_git_blob_9864c7f811c613c3faab876659c6423__25[[#This Row],[Número de Orden]],Cocinadinamica!E520:E1288,Cocinadinamica!F520:F1288)/1440</f>
        <v>3.6805555555555557E-2</v>
      </c>
      <c r="T519" s="9" cm="1">
        <f t="array" ref="T51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0.13611111110723059</v>
      </c>
      <c r="U519" s="9" t="str" cm="1">
        <f t="array" ref="U51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0" spans="1:21" x14ac:dyDescent="0.35">
      <c r="A520" s="27">
        <v>6</v>
      </c>
      <c r="B520" s="11" t="s">
        <v>1130</v>
      </c>
      <c r="C520" s="11">
        <v>2</v>
      </c>
      <c r="D520" s="12">
        <v>45022.033333333333</v>
      </c>
      <c r="E520" s="12">
        <v>45022.15902777778</v>
      </c>
      <c r="F520" s="11" t="s">
        <v>85</v>
      </c>
      <c r="G520" s="11" t="s">
        <v>86</v>
      </c>
      <c r="H520" s="11" t="s">
        <v>74</v>
      </c>
      <c r="I520" s="16">
        <v>34.590000000000003</v>
      </c>
      <c r="J520" s="11" t="s">
        <v>75</v>
      </c>
      <c r="K520" s="11">
        <v>519</v>
      </c>
      <c r="L520" s="11" t="s">
        <v>221</v>
      </c>
      <c r="M520" s="11" t="s">
        <v>1623</v>
      </c>
      <c r="N520">
        <f>_xlfn.XLOOKUP(spaces_3iWczBNnn5rbfoUlE0Jd_uploads_git_blob_9864c7f811c613c3faab876659c6423__25[[#This Row],[Número de Orden]],Cocinadinamica!B521:B1289,Cocinadinamica!C521:C1289)</f>
        <v>96</v>
      </c>
      <c r="O520" s="7">
        <f>spaces_3iWczBNnn5rbfoUlE0Jd_uploads_git_blob_9864c7f811c613c3faab876659c6423__25[[#This Row],[Hora de Llegada]]</f>
        <v>45022.033333333333</v>
      </c>
      <c r="P520" s="9">
        <f>spaces_3iWczBNnn5rbfoUlE0Jd_uploads_git_blob_9864c7f811c613c3faab876659c6423__25[[#This Row],[Hora de Llegada]]</f>
        <v>45022.033333333333</v>
      </c>
      <c r="Q520" s="9">
        <f>spaces_3iWczBNnn5rbfoUlE0Jd_uploads_git_blob_9864c7f811c613c3faab876659c6423__25[[#This Row],[Hora de Salida]]</f>
        <v>45022.15902777778</v>
      </c>
      <c r="R520" s="9" cm="1">
        <f t="array" ref="R52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0.12569444444670808</v>
      </c>
      <c r="S520" s="9">
        <f>_xlfn.XLOOKUP(spaces_3iWczBNnn5rbfoUlE0Jd_uploads_git_blob_9864c7f811c613c3faab876659c6423__25[[#This Row],[Número de Orden]],Cocinadinamica!E521:E1289,Cocinadinamica!F521:F1289)/1440</f>
        <v>0.10833333333333334</v>
      </c>
      <c r="T520" s="9" cm="1">
        <f t="array" ref="T52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1.7361111113374739E-2</v>
      </c>
      <c r="U520" s="9" t="str" cm="1">
        <f t="array" ref="U52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1" spans="1:21" x14ac:dyDescent="0.35">
      <c r="A521" s="28">
        <v>4</v>
      </c>
      <c r="B521" s="13" t="s">
        <v>1131</v>
      </c>
      <c r="C521" s="13">
        <v>4</v>
      </c>
      <c r="D521" s="14">
        <v>45022.149305555555</v>
      </c>
      <c r="E521" s="14">
        <v>45022.265972222223</v>
      </c>
      <c r="F521" s="13" t="s">
        <v>72</v>
      </c>
      <c r="G521" s="13" t="s">
        <v>73</v>
      </c>
      <c r="H521" s="13" t="s">
        <v>74</v>
      </c>
      <c r="I521" s="17">
        <v>43.99</v>
      </c>
      <c r="J521" s="13" t="s">
        <v>75</v>
      </c>
      <c r="K521" s="13">
        <v>520</v>
      </c>
      <c r="L521" s="13" t="s">
        <v>110</v>
      </c>
      <c r="M521" s="13" t="s">
        <v>1624</v>
      </c>
      <c r="N521">
        <f>_xlfn.XLOOKUP(spaces_3iWczBNnn5rbfoUlE0Jd_uploads_git_blob_9864c7f811c613c3faab876659c6423__25[[#This Row],[Número de Orden]],Cocinadinamica!B522:B1290,Cocinadinamica!C522:C1290)</f>
        <v>112</v>
      </c>
      <c r="O521" s="7">
        <f>spaces_3iWczBNnn5rbfoUlE0Jd_uploads_git_blob_9864c7f811c613c3faab876659c6423__25[[#This Row],[Hora de Llegada]]</f>
        <v>45022.149305555555</v>
      </c>
      <c r="P521" s="9">
        <f>spaces_3iWczBNnn5rbfoUlE0Jd_uploads_git_blob_9864c7f811c613c3faab876659c6423__25[[#This Row],[Hora de Llegada]]</f>
        <v>45022.149305555555</v>
      </c>
      <c r="Q521" s="9">
        <f>spaces_3iWczBNnn5rbfoUlE0Jd_uploads_git_blob_9864c7f811c613c3faab876659c6423__25[[#This Row],[Hora de Salida]]</f>
        <v>45022.265972222223</v>
      </c>
      <c r="R521" s="9" cm="1">
        <f t="array" ref="R52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0.11666666666860692</v>
      </c>
      <c r="S521" s="9">
        <f>_xlfn.XLOOKUP(spaces_3iWczBNnn5rbfoUlE0Jd_uploads_git_blob_9864c7f811c613c3faab876659c6423__25[[#This Row],[Número de Orden]],Cocinadinamica!E522:E1290,Cocinadinamica!F522:F1290)/1440</f>
        <v>8.4027777777777785E-2</v>
      </c>
      <c r="T521" s="9" cm="1">
        <f t="array" ref="T52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3.2638888890829137E-2</v>
      </c>
      <c r="U521" s="9" t="str" cm="1">
        <f t="array" ref="U52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2" spans="1:21" x14ac:dyDescent="0.35">
      <c r="A522" s="27">
        <v>18</v>
      </c>
      <c r="B522" s="11" t="s">
        <v>1132</v>
      </c>
      <c r="C522" s="11">
        <v>2</v>
      </c>
      <c r="D522" s="12">
        <v>45022.029861111114</v>
      </c>
      <c r="E522" s="12">
        <v>45022.120833333334</v>
      </c>
      <c r="F522" s="11" t="s">
        <v>72</v>
      </c>
      <c r="G522" s="11" t="s">
        <v>86</v>
      </c>
      <c r="H522" s="11" t="s">
        <v>74</v>
      </c>
      <c r="I522" s="16">
        <v>15.18</v>
      </c>
      <c r="J522" s="11" t="s">
        <v>75</v>
      </c>
      <c r="K522" s="11">
        <v>521</v>
      </c>
      <c r="L522" s="11" t="s">
        <v>95</v>
      </c>
      <c r="M522" s="11" t="s">
        <v>1625</v>
      </c>
      <c r="N522">
        <f>_xlfn.XLOOKUP(spaces_3iWczBNnn5rbfoUlE0Jd_uploads_git_blob_9864c7f811c613c3faab876659c6423__25[[#This Row],[Número de Orden]],Cocinadinamica!B523:B1291,Cocinadinamica!C523:C1291)</f>
        <v>86</v>
      </c>
      <c r="O522" s="7">
        <f>spaces_3iWczBNnn5rbfoUlE0Jd_uploads_git_blob_9864c7f811c613c3faab876659c6423__25[[#This Row],[Hora de Llegada]]</f>
        <v>45022.029861111114</v>
      </c>
      <c r="P522" s="9">
        <f>spaces_3iWczBNnn5rbfoUlE0Jd_uploads_git_blob_9864c7f811c613c3faab876659c6423__25[[#This Row],[Hora de Llegada]]</f>
        <v>45022.029861111114</v>
      </c>
      <c r="Q522" s="9">
        <f>spaces_3iWczBNnn5rbfoUlE0Jd_uploads_git_blob_9864c7f811c613c3faab876659c6423__25[[#This Row],[Hora de Salida]]</f>
        <v>45022.120833333334</v>
      </c>
      <c r="R522" s="9" cm="1">
        <f t="array" ref="R52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9.0972222220443655E-2</v>
      </c>
      <c r="S522" s="9">
        <f>_xlfn.XLOOKUP(spaces_3iWczBNnn5rbfoUlE0Jd_uploads_git_blob_9864c7f811c613c3faab876659c6423__25[[#This Row],[Número de Orden]],Cocinadinamica!E523:E1291,Cocinadinamica!F523:F1291)/1440</f>
        <v>6.3194444444444442E-2</v>
      </c>
      <c r="T522" s="9" cm="1">
        <f t="array" ref="T52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2.7777777775999213E-2</v>
      </c>
      <c r="U522" s="9" t="str" cm="1">
        <f t="array" ref="U52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3" spans="1:21" x14ac:dyDescent="0.35">
      <c r="A523" s="28" t="s">
        <v>83</v>
      </c>
      <c r="B523" s="13" t="s">
        <v>624</v>
      </c>
      <c r="C523" s="13">
        <v>5</v>
      </c>
      <c r="D523" s="14">
        <v>45022.068055555559</v>
      </c>
      <c r="E523" s="14">
        <v>45022.18472222222</v>
      </c>
      <c r="F523" s="13" t="s">
        <v>72</v>
      </c>
      <c r="G523" s="13" t="s">
        <v>86</v>
      </c>
      <c r="H523" s="13" t="s">
        <v>87</v>
      </c>
      <c r="I523" s="17">
        <v>35.35</v>
      </c>
      <c r="J523" s="13" t="s">
        <v>75</v>
      </c>
      <c r="K523" s="13">
        <v>522</v>
      </c>
      <c r="L523" s="13" t="s">
        <v>174</v>
      </c>
      <c r="M523" s="13" t="s">
        <v>27</v>
      </c>
      <c r="N523">
        <f>_xlfn.XLOOKUP(spaces_3iWczBNnn5rbfoUlE0Jd_uploads_git_blob_9864c7f811c613c3faab876659c6423__25[[#This Row],[Número de Orden]],Cocinadinamica!B524:B1292,Cocinadinamica!C524:C1292)</f>
        <v>36</v>
      </c>
      <c r="O523" s="7">
        <f>spaces_3iWczBNnn5rbfoUlE0Jd_uploads_git_blob_9864c7f811c613c3faab876659c6423__25[[#This Row],[Hora de Llegada]]</f>
        <v>45022.068055555559</v>
      </c>
      <c r="P523" s="9">
        <f>spaces_3iWczBNnn5rbfoUlE0Jd_uploads_git_blob_9864c7f811c613c3faab876659c6423__25[[#This Row],[Hora de Llegada]]</f>
        <v>45022.068055555559</v>
      </c>
      <c r="Q523" s="9">
        <f>spaces_3iWczBNnn5rbfoUlE0Jd_uploads_git_blob_9864c7f811c613c3faab876659c6423__25[[#This Row],[Hora de Salida]]</f>
        <v>45022.18472222222</v>
      </c>
      <c r="R523" s="9" cm="1">
        <f t="array" ref="R52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0.11666666666133096</v>
      </c>
      <c r="S523" s="9">
        <f>_xlfn.XLOOKUP(spaces_3iWczBNnn5rbfoUlE0Jd_uploads_git_blob_9864c7f811c613c3faab876659c6423__25[[#This Row],[Número de Orden]],Cocinadinamica!E524:E1292,Cocinadinamica!F524:F1292)/1440</f>
        <v>3.2638888888888891E-2</v>
      </c>
      <c r="T523" s="9" cm="1">
        <f t="array" ref="T52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8.402777777244208E-2</v>
      </c>
      <c r="U523" s="9" t="str" cm="1">
        <f t="array" ref="U52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4" spans="1:21" x14ac:dyDescent="0.35">
      <c r="A524" s="27" t="s">
        <v>210</v>
      </c>
      <c r="B524" s="11" t="s">
        <v>625</v>
      </c>
      <c r="C524" s="11">
        <v>3</v>
      </c>
      <c r="D524" s="12">
        <v>45022.068749999999</v>
      </c>
      <c r="E524" s="12">
        <v>45022.195833333331</v>
      </c>
      <c r="F524" s="11" t="s">
        <v>85</v>
      </c>
      <c r="G524" s="11" t="s">
        <v>86</v>
      </c>
      <c r="H524" s="11" t="s">
        <v>74</v>
      </c>
      <c r="I524" s="16">
        <v>45.41</v>
      </c>
      <c r="J524" s="11" t="s">
        <v>88</v>
      </c>
      <c r="K524" s="11">
        <v>523</v>
      </c>
      <c r="L524" s="11" t="s">
        <v>164</v>
      </c>
      <c r="M524" s="11" t="s">
        <v>17</v>
      </c>
      <c r="N524">
        <f>_xlfn.XLOOKUP(spaces_3iWczBNnn5rbfoUlE0Jd_uploads_git_blob_9864c7f811c613c3faab876659c6423__25[[#This Row],[Número de Orden]],Cocinadinamica!B525:B1293,Cocinadinamica!C525:C1293)</f>
        <v>33</v>
      </c>
      <c r="O524" s="7">
        <f>spaces_3iWczBNnn5rbfoUlE0Jd_uploads_git_blob_9864c7f811c613c3faab876659c6423__25[[#This Row],[Hora de Llegada]]</f>
        <v>45022.068749999999</v>
      </c>
      <c r="P524" s="9">
        <f>spaces_3iWczBNnn5rbfoUlE0Jd_uploads_git_blob_9864c7f811c613c3faab876659c6423__25[[#This Row],[Hora de Llegada]]</f>
        <v>45022.068749999999</v>
      </c>
      <c r="Q524" s="9">
        <f>spaces_3iWczBNnn5rbfoUlE0Jd_uploads_git_blob_9864c7f811c613c3faab876659c6423__25[[#This Row],[Hora de Salida]]</f>
        <v>45022.195833333331</v>
      </c>
      <c r="R524" s="9" cm="1">
        <f t="array" ref="R52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0.13749999999708962</v>
      </c>
      <c r="S524" s="9">
        <f>_xlfn.XLOOKUP(spaces_3iWczBNnn5rbfoUlE0Jd_uploads_git_blob_9864c7f811c613c3faab876659c6423__25[[#This Row],[Número de Orden]],Cocinadinamica!E525:E1293,Cocinadinamica!F525:F1293)/1440</f>
        <v>3.5416666666666666E-2</v>
      </c>
      <c r="T524" s="9" cm="1">
        <f t="array" ref="T52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0.10208333333042295</v>
      </c>
      <c r="U524" s="9" t="str" cm="1">
        <f t="array" ref="U52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5" spans="1:21" x14ac:dyDescent="0.35">
      <c r="A525" s="28">
        <v>16</v>
      </c>
      <c r="B525" s="13" t="s">
        <v>1133</v>
      </c>
      <c r="C525" s="13">
        <v>4</v>
      </c>
      <c r="D525" s="14">
        <v>45022.002083333333</v>
      </c>
      <c r="E525" s="14">
        <v>45022.105555555558</v>
      </c>
      <c r="F525" s="13" t="s">
        <v>170</v>
      </c>
      <c r="G525" s="13" t="s">
        <v>86</v>
      </c>
      <c r="H525" s="13" t="s">
        <v>74</v>
      </c>
      <c r="I525" s="17">
        <v>26.91</v>
      </c>
      <c r="J525" s="13" t="s">
        <v>88</v>
      </c>
      <c r="K525" s="13">
        <v>524</v>
      </c>
      <c r="L525" s="13" t="s">
        <v>76</v>
      </c>
      <c r="M525" s="13" t="s">
        <v>1564</v>
      </c>
      <c r="N525">
        <f>_xlfn.XLOOKUP(spaces_3iWczBNnn5rbfoUlE0Jd_uploads_git_blob_9864c7f811c613c3faab876659c6423__25[[#This Row],[Número de Orden]],Cocinadinamica!B526:B1294,Cocinadinamica!C526:C1294)</f>
        <v>31</v>
      </c>
      <c r="O525" s="7">
        <f>spaces_3iWczBNnn5rbfoUlE0Jd_uploads_git_blob_9864c7f811c613c3faab876659c6423__25[[#This Row],[Hora de Llegada]]</f>
        <v>45022.002083333333</v>
      </c>
      <c r="P525" s="9">
        <f>spaces_3iWczBNnn5rbfoUlE0Jd_uploads_git_blob_9864c7f811c613c3faab876659c6423__25[[#This Row],[Hora de Llegada]]</f>
        <v>45022.002083333333</v>
      </c>
      <c r="Q525" s="9">
        <f>spaces_3iWczBNnn5rbfoUlE0Jd_uploads_git_blob_9864c7f811c613c3faab876659c6423__25[[#This Row],[Hora de Salida]]</f>
        <v>45022.105555555558</v>
      </c>
      <c r="R525" s="9" cm="1">
        <f t="array" ref="R52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0.11388888888905058</v>
      </c>
      <c r="S525" s="9">
        <f>_xlfn.XLOOKUP(spaces_3iWczBNnn5rbfoUlE0Jd_uploads_git_blob_9864c7f811c613c3faab876659c6423__25[[#This Row],[Número de Orden]],Cocinadinamica!E526:E1294,Cocinadinamica!F526:F1294)/1440</f>
        <v>4.2361111111111113E-2</v>
      </c>
      <c r="T525" s="9" cm="1">
        <f t="array" ref="T52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7.1527777777939464E-2</v>
      </c>
      <c r="U525" s="9" t="str" cm="1">
        <f t="array" ref="U52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6" spans="1:21" x14ac:dyDescent="0.35">
      <c r="A526" s="27">
        <v>16</v>
      </c>
      <c r="B526" s="11" t="s">
        <v>302</v>
      </c>
      <c r="C526" s="11">
        <v>3</v>
      </c>
      <c r="D526" s="12">
        <v>45022.143750000003</v>
      </c>
      <c r="E526" s="12">
        <v>45022.301388888889</v>
      </c>
      <c r="F526" s="11" t="s">
        <v>170</v>
      </c>
      <c r="G526" s="11" t="s">
        <v>86</v>
      </c>
      <c r="H526" s="11" t="s">
        <v>74</v>
      </c>
      <c r="I526" s="16">
        <v>32.869999999999997</v>
      </c>
      <c r="J526" s="11" t="s">
        <v>88</v>
      </c>
      <c r="K526" s="11">
        <v>525</v>
      </c>
      <c r="L526" s="11" t="s">
        <v>275</v>
      </c>
      <c r="M526" s="11" t="s">
        <v>1626</v>
      </c>
      <c r="N526">
        <f>_xlfn.XLOOKUP(spaces_3iWczBNnn5rbfoUlE0Jd_uploads_git_blob_9864c7f811c613c3faab876659c6423__25[[#This Row],[Número de Orden]],Cocinadinamica!B527:B1295,Cocinadinamica!C527:C1295)</f>
        <v>77</v>
      </c>
      <c r="O526" s="7">
        <f>spaces_3iWczBNnn5rbfoUlE0Jd_uploads_git_blob_9864c7f811c613c3faab876659c6423__25[[#This Row],[Hora de Llegada]]</f>
        <v>45022.143750000003</v>
      </c>
      <c r="P526" s="9">
        <f>spaces_3iWczBNnn5rbfoUlE0Jd_uploads_git_blob_9864c7f811c613c3faab876659c6423__25[[#This Row],[Hora de Llegada]]</f>
        <v>45022.143750000003</v>
      </c>
      <c r="Q526" s="9">
        <f>spaces_3iWczBNnn5rbfoUlE0Jd_uploads_git_blob_9864c7f811c613c3faab876659c6423__25[[#This Row],[Hora de Salida]]</f>
        <v>45022.301388888889</v>
      </c>
      <c r="R526" s="9" cm="1">
        <f t="array" ref="R52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0.16805555555038154</v>
      </c>
      <c r="S526" s="9">
        <f>_xlfn.XLOOKUP(spaces_3iWczBNnn5rbfoUlE0Jd_uploads_git_blob_9864c7f811c613c3faab876659c6423__25[[#This Row],[Número de Orden]],Cocinadinamica!E527:E1295,Cocinadinamica!F527:F1295)/1440</f>
        <v>5.347222222222222E-2</v>
      </c>
      <c r="T526" s="9" cm="1">
        <f t="array" ref="T52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0.11458333332815931</v>
      </c>
      <c r="U526" s="9" t="str" cm="1">
        <f t="array" ref="U52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7" spans="1:21" x14ac:dyDescent="0.35">
      <c r="A527" s="28" t="s">
        <v>210</v>
      </c>
      <c r="B527" s="13" t="s">
        <v>628</v>
      </c>
      <c r="C527" s="13">
        <v>6</v>
      </c>
      <c r="D527" s="14">
        <v>45022.155555555553</v>
      </c>
      <c r="E527" s="14">
        <v>45022.236805555556</v>
      </c>
      <c r="F527" s="13" t="s">
        <v>72</v>
      </c>
      <c r="G527" s="13" t="s">
        <v>73</v>
      </c>
      <c r="H527" s="13" t="s">
        <v>109</v>
      </c>
      <c r="I527" s="17">
        <v>43.02</v>
      </c>
      <c r="J527" s="13" t="s">
        <v>75</v>
      </c>
      <c r="K527" s="13">
        <v>526</v>
      </c>
      <c r="L527" s="13" t="s">
        <v>95</v>
      </c>
      <c r="M527" s="13" t="s">
        <v>25</v>
      </c>
      <c r="N527">
        <f>_xlfn.XLOOKUP(spaces_3iWczBNnn5rbfoUlE0Jd_uploads_git_blob_9864c7f811c613c3faab876659c6423__25[[#This Row],[Número de Orden]],Cocinadinamica!B528:B1296,Cocinadinamica!C528:C1296)</f>
        <v>13</v>
      </c>
      <c r="O527" s="7">
        <f>spaces_3iWczBNnn5rbfoUlE0Jd_uploads_git_blob_9864c7f811c613c3faab876659c6423__25[[#This Row],[Hora de Llegada]]</f>
        <v>45022.155555555553</v>
      </c>
      <c r="P527" s="9">
        <f>spaces_3iWczBNnn5rbfoUlE0Jd_uploads_git_blob_9864c7f811c613c3faab876659c6423__25[[#This Row],[Hora de Llegada]]</f>
        <v>45022.155555555553</v>
      </c>
      <c r="Q527" s="9">
        <f>spaces_3iWczBNnn5rbfoUlE0Jd_uploads_git_blob_9864c7f811c613c3faab876659c6423__25[[#This Row],[Hora de Salida]]</f>
        <v>45022.236805555556</v>
      </c>
      <c r="R527" s="9" cm="1">
        <f t="array" ref="R52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8.1250000002910383E-2</v>
      </c>
      <c r="S527" s="9">
        <f>_xlfn.XLOOKUP(spaces_3iWczBNnn5rbfoUlE0Jd_uploads_git_blob_9864c7f811c613c3faab876659c6423__25[[#This Row],[Número de Orden]],Cocinadinamica!E528:E1296,Cocinadinamica!F528:F1296)/1440</f>
        <v>1.5277777777777777E-2</v>
      </c>
      <c r="T527" s="9" cm="1">
        <f t="array" ref="T52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6.5972222225132604E-2</v>
      </c>
      <c r="U527" s="9" t="str" cm="1">
        <f t="array" ref="U52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8" spans="1:21" x14ac:dyDescent="0.35">
      <c r="A528" s="27" t="s">
        <v>177</v>
      </c>
      <c r="B528" s="11" t="s">
        <v>629</v>
      </c>
      <c r="C528" s="11">
        <v>4</v>
      </c>
      <c r="D528" s="12">
        <v>45022.15347222222</v>
      </c>
      <c r="E528" s="12">
        <v>45022.246527777781</v>
      </c>
      <c r="F528" s="11" t="s">
        <v>223</v>
      </c>
      <c r="G528" s="11" t="s">
        <v>163</v>
      </c>
      <c r="H528" s="11" t="s">
        <v>87</v>
      </c>
      <c r="I528" s="16">
        <v>22.95</v>
      </c>
      <c r="J528" s="11" t="s">
        <v>88</v>
      </c>
      <c r="K528" s="11">
        <v>527</v>
      </c>
      <c r="L528" s="11" t="s">
        <v>181</v>
      </c>
      <c r="M528" s="11" t="s">
        <v>17</v>
      </c>
      <c r="N528">
        <f>_xlfn.XLOOKUP(spaces_3iWczBNnn5rbfoUlE0Jd_uploads_git_blob_9864c7f811c613c3faab876659c6423__25[[#This Row],[Número de Orden]],Cocinadinamica!B529:B1297,Cocinadinamica!C529:C1297)</f>
        <v>22</v>
      </c>
      <c r="O528" s="7">
        <f>spaces_3iWczBNnn5rbfoUlE0Jd_uploads_git_blob_9864c7f811c613c3faab876659c6423__25[[#This Row],[Hora de Llegada]]</f>
        <v>45022.15347222222</v>
      </c>
      <c r="P528" s="9">
        <f>spaces_3iWczBNnn5rbfoUlE0Jd_uploads_git_blob_9864c7f811c613c3faab876659c6423__25[[#This Row],[Hora de Llegada]]</f>
        <v>45022.15347222222</v>
      </c>
      <c r="Q528" s="9">
        <f>spaces_3iWczBNnn5rbfoUlE0Jd_uploads_git_blob_9864c7f811c613c3faab876659c6423__25[[#This Row],[Hora de Salida]]</f>
        <v>45022.246527777781</v>
      </c>
      <c r="R528" s="9" cm="1">
        <f t="array" ref="R52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0.10347222222480923</v>
      </c>
      <c r="S528" s="9">
        <f>_xlfn.XLOOKUP(spaces_3iWczBNnn5rbfoUlE0Jd_uploads_git_blob_9864c7f811c613c3faab876659c6423__25[[#This Row],[Número de Orden]],Cocinadinamica!E529:E1297,Cocinadinamica!F529:F1297)/1440</f>
        <v>2.1527777777777778E-2</v>
      </c>
      <c r="T528" s="9" cm="1">
        <f t="array" ref="T52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8.1944444447031445E-2</v>
      </c>
      <c r="U528" s="9" t="str" cm="1">
        <f t="array" ref="U52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29" spans="1:21" x14ac:dyDescent="0.35">
      <c r="A529" s="28">
        <v>14</v>
      </c>
      <c r="B529" s="13" t="s">
        <v>1134</v>
      </c>
      <c r="C529" s="13">
        <v>2</v>
      </c>
      <c r="D529" s="14">
        <v>45022.074305555558</v>
      </c>
      <c r="E529" s="14">
        <v>45022.158333333333</v>
      </c>
      <c r="F529" s="13" t="s">
        <v>100</v>
      </c>
      <c r="G529" s="13" t="s">
        <v>86</v>
      </c>
      <c r="H529" s="13" t="s">
        <v>109</v>
      </c>
      <c r="I529" s="17">
        <v>15.62</v>
      </c>
      <c r="J529" s="13" t="s">
        <v>94</v>
      </c>
      <c r="K529" s="13">
        <v>528</v>
      </c>
      <c r="L529" s="13" t="s">
        <v>95</v>
      </c>
      <c r="M529" s="13" t="s">
        <v>1627</v>
      </c>
      <c r="N529">
        <f>_xlfn.XLOOKUP(spaces_3iWczBNnn5rbfoUlE0Jd_uploads_git_blob_9864c7f811c613c3faab876659c6423__25[[#This Row],[Número de Orden]],Cocinadinamica!B530:B1298,Cocinadinamica!C530:C1298)</f>
        <v>31</v>
      </c>
      <c r="O529" s="7">
        <f>spaces_3iWczBNnn5rbfoUlE0Jd_uploads_git_blob_9864c7f811c613c3faab876659c6423__25[[#This Row],[Hora de Llegada]]</f>
        <v>45022.074305555558</v>
      </c>
      <c r="P529" s="9">
        <f>spaces_3iWczBNnn5rbfoUlE0Jd_uploads_git_blob_9864c7f811c613c3faab876659c6423__25[[#This Row],[Hora de Llegada]]</f>
        <v>45022.074305555558</v>
      </c>
      <c r="Q529" s="9">
        <f>spaces_3iWczBNnn5rbfoUlE0Jd_uploads_git_blob_9864c7f811c613c3faab876659c6423__25[[#This Row],[Hora de Salida]]</f>
        <v>45022.158333333333</v>
      </c>
      <c r="R529" s="9" cm="1">
        <f t="array" ref="R52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8.4027777775190771E-2</v>
      </c>
      <c r="S529" s="9">
        <f>_xlfn.XLOOKUP(spaces_3iWczBNnn5rbfoUlE0Jd_uploads_git_blob_9864c7f811c613c3faab876659c6423__25[[#This Row],[Número de Orden]],Cocinadinamica!E530:E1298,Cocinadinamica!F530:F1298)/1440</f>
        <v>8.4027777777777785E-2</v>
      </c>
      <c r="T529" s="9" cm="1">
        <f t="array" ref="T52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29" s="9" t="str" cm="1">
        <f t="array" ref="U52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30" spans="1:21" x14ac:dyDescent="0.35">
      <c r="A530" s="27">
        <v>1</v>
      </c>
      <c r="B530" s="11" t="s">
        <v>1135</v>
      </c>
      <c r="C530" s="11">
        <v>2</v>
      </c>
      <c r="D530" s="12">
        <v>45022.081944444442</v>
      </c>
      <c r="E530" s="12">
        <v>45022.195833333331</v>
      </c>
      <c r="F530" s="11" t="s">
        <v>170</v>
      </c>
      <c r="G530" s="11" t="s">
        <v>86</v>
      </c>
      <c r="H530" s="11" t="s">
        <v>74</v>
      </c>
      <c r="I530" s="16">
        <v>25.91</v>
      </c>
      <c r="J530" s="11" t="s">
        <v>88</v>
      </c>
      <c r="K530" s="11">
        <v>529</v>
      </c>
      <c r="L530" s="11" t="s">
        <v>181</v>
      </c>
      <c r="M530" s="11" t="s">
        <v>1628</v>
      </c>
      <c r="N530">
        <f>_xlfn.XLOOKUP(spaces_3iWczBNnn5rbfoUlE0Jd_uploads_git_blob_9864c7f811c613c3faab876659c6423__25[[#This Row],[Número de Orden]],Cocinadinamica!B531:B1299,Cocinadinamica!C531:C1299)</f>
        <v>84</v>
      </c>
      <c r="O530" s="7">
        <f>spaces_3iWczBNnn5rbfoUlE0Jd_uploads_git_blob_9864c7f811c613c3faab876659c6423__25[[#This Row],[Hora de Llegada]]</f>
        <v>45022.081944444442</v>
      </c>
      <c r="P530" s="9">
        <f>spaces_3iWczBNnn5rbfoUlE0Jd_uploads_git_blob_9864c7f811c613c3faab876659c6423__25[[#This Row],[Hora de Llegada]]</f>
        <v>45022.081944444442</v>
      </c>
      <c r="Q530" s="9">
        <f>spaces_3iWczBNnn5rbfoUlE0Jd_uploads_git_blob_9864c7f811c613c3faab876659c6423__25[[#This Row],[Hora de Salida]]</f>
        <v>45022.195833333331</v>
      </c>
      <c r="R530" s="9" cm="1">
        <f t="array" ref="R53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0.12430555555329192</v>
      </c>
      <c r="S530" s="9">
        <f>_xlfn.XLOOKUP(spaces_3iWczBNnn5rbfoUlE0Jd_uploads_git_blob_9864c7f811c613c3faab876659c6423__25[[#This Row],[Número de Orden]],Cocinadinamica!E531:E1299,Cocinadinamica!F531:F1299)/1440</f>
        <v>0.10902777777777778</v>
      </c>
      <c r="T530" s="9" cm="1">
        <f t="array" ref="T53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1.5277777775514145E-2</v>
      </c>
      <c r="U530" s="9" t="str" cm="1">
        <f t="array" ref="U53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31" spans="1:21" x14ac:dyDescent="0.35">
      <c r="A531" s="28">
        <v>7</v>
      </c>
      <c r="B531" s="13" t="s">
        <v>1136</v>
      </c>
      <c r="C531" s="13">
        <v>5</v>
      </c>
      <c r="D531" s="14">
        <v>45022.092361111114</v>
      </c>
      <c r="E531" s="14">
        <v>45022.254861111112</v>
      </c>
      <c r="F531" s="13" t="s">
        <v>85</v>
      </c>
      <c r="G531" s="13" t="s">
        <v>86</v>
      </c>
      <c r="H531" s="13" t="s">
        <v>74</v>
      </c>
      <c r="I531" s="17">
        <v>30.19</v>
      </c>
      <c r="J531" s="13" t="s">
        <v>88</v>
      </c>
      <c r="K531" s="13">
        <v>530</v>
      </c>
      <c r="L531" s="13" t="s">
        <v>221</v>
      </c>
      <c r="M531" s="13" t="s">
        <v>1629</v>
      </c>
      <c r="N531">
        <f>_xlfn.XLOOKUP(spaces_3iWczBNnn5rbfoUlE0Jd_uploads_git_blob_9864c7f811c613c3faab876659c6423__25[[#This Row],[Número de Orden]],Cocinadinamica!B532:B1300,Cocinadinamica!C532:C1300)</f>
        <v>68</v>
      </c>
      <c r="O531" s="7">
        <f>spaces_3iWczBNnn5rbfoUlE0Jd_uploads_git_blob_9864c7f811c613c3faab876659c6423__25[[#This Row],[Hora de Llegada]]</f>
        <v>45022.092361111114</v>
      </c>
      <c r="P531" s="9">
        <f>spaces_3iWczBNnn5rbfoUlE0Jd_uploads_git_blob_9864c7f811c613c3faab876659c6423__25[[#This Row],[Hora de Llegada]]</f>
        <v>45022.092361111114</v>
      </c>
      <c r="Q531" s="9">
        <f>spaces_3iWczBNnn5rbfoUlE0Jd_uploads_git_blob_9864c7f811c613c3faab876659c6423__25[[#This Row],[Hora de Salida]]</f>
        <v>45022.254861111112</v>
      </c>
      <c r="R531" s="9" cm="1">
        <f t="array" ref="R53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0.17291666666278616</v>
      </c>
      <c r="S531" s="9">
        <f>_xlfn.XLOOKUP(spaces_3iWczBNnn5rbfoUlE0Jd_uploads_git_blob_9864c7f811c613c3faab876659c6423__25[[#This Row],[Número de Orden]],Cocinadinamica!E532:E1300,Cocinadinamica!F532:F1300)/1440</f>
        <v>7.3611111111111113E-2</v>
      </c>
      <c r="T531" s="9" cm="1">
        <f t="array" ref="T53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9.9305555551675043E-2</v>
      </c>
      <c r="U531" s="9" t="str" cm="1">
        <f t="array" ref="U53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32" spans="1:21" x14ac:dyDescent="0.35">
      <c r="A532" s="27">
        <v>9</v>
      </c>
      <c r="B532" s="11" t="s">
        <v>1070</v>
      </c>
      <c r="C532" s="11">
        <v>6</v>
      </c>
      <c r="D532" s="12">
        <v>45022.127083333333</v>
      </c>
      <c r="E532" s="12">
        <v>45022.211111111108</v>
      </c>
      <c r="F532" s="11" t="s">
        <v>100</v>
      </c>
      <c r="G532" s="11" t="s">
        <v>73</v>
      </c>
      <c r="H532" s="11" t="s">
        <v>87</v>
      </c>
      <c r="I532" s="16">
        <v>34.39</v>
      </c>
      <c r="J532" s="11" t="s">
        <v>75</v>
      </c>
      <c r="K532" s="11">
        <v>531</v>
      </c>
      <c r="L532" s="11" t="s">
        <v>221</v>
      </c>
      <c r="M532" s="11" t="s">
        <v>1630</v>
      </c>
      <c r="N532">
        <f>_xlfn.XLOOKUP(spaces_3iWczBNnn5rbfoUlE0Jd_uploads_git_blob_9864c7f811c613c3faab876659c6423__25[[#This Row],[Número de Orden]],Cocinadinamica!B533:B1301,Cocinadinamica!C533:C1301)</f>
        <v>99</v>
      </c>
      <c r="O532" s="7">
        <f>spaces_3iWczBNnn5rbfoUlE0Jd_uploads_git_blob_9864c7f811c613c3faab876659c6423__25[[#This Row],[Hora de Llegada]]</f>
        <v>45022.127083333333</v>
      </c>
      <c r="P532" s="9">
        <f>spaces_3iWczBNnn5rbfoUlE0Jd_uploads_git_blob_9864c7f811c613c3faab876659c6423__25[[#This Row],[Hora de Llegada]]</f>
        <v>45022.127083333333</v>
      </c>
      <c r="Q532" s="9">
        <f>spaces_3iWczBNnn5rbfoUlE0Jd_uploads_git_blob_9864c7f811c613c3faab876659c6423__25[[#This Row],[Hora de Salida]]</f>
        <v>45022.211111111108</v>
      </c>
      <c r="R532" s="9" cm="1">
        <f t="array" ref="R53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8.4027777775190771E-2</v>
      </c>
      <c r="S532" s="9">
        <f>_xlfn.XLOOKUP(spaces_3iWczBNnn5rbfoUlE0Jd_uploads_git_blob_9864c7f811c613c3faab876659c6423__25[[#This Row],[Número de Orden]],Cocinadinamica!E533:E1301,Cocinadinamica!F533:F1301)/1440</f>
        <v>0.13819444444444445</v>
      </c>
      <c r="T532" s="9" cm="1">
        <f t="array" ref="T53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32" s="9" t="str" cm="1">
        <f t="array" ref="U53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33" spans="1:21" x14ac:dyDescent="0.35">
      <c r="A533" s="28">
        <v>13</v>
      </c>
      <c r="B533" s="13" t="s">
        <v>892</v>
      </c>
      <c r="C533" s="13">
        <v>3</v>
      </c>
      <c r="D533" s="14">
        <v>45022.074999999997</v>
      </c>
      <c r="E533" s="14">
        <v>45022.226388888892</v>
      </c>
      <c r="F533" s="13" t="s">
        <v>170</v>
      </c>
      <c r="G533" s="13" t="s">
        <v>163</v>
      </c>
      <c r="H533" s="13" t="s">
        <v>109</v>
      </c>
      <c r="I533" s="17">
        <v>17.95</v>
      </c>
      <c r="J533" s="13" t="s">
        <v>94</v>
      </c>
      <c r="K533" s="13">
        <v>532</v>
      </c>
      <c r="L533" s="13" t="s">
        <v>164</v>
      </c>
      <c r="M533" s="13" t="s">
        <v>1631</v>
      </c>
      <c r="N533">
        <f>_xlfn.XLOOKUP(spaces_3iWczBNnn5rbfoUlE0Jd_uploads_git_blob_9864c7f811c613c3faab876659c6423__25[[#This Row],[Número de Orden]],Cocinadinamica!B534:B1302,Cocinadinamica!C534:C1302)</f>
        <v>56</v>
      </c>
      <c r="O533" s="7">
        <f>spaces_3iWczBNnn5rbfoUlE0Jd_uploads_git_blob_9864c7f811c613c3faab876659c6423__25[[#This Row],[Hora de Llegada]]</f>
        <v>45022.074999999997</v>
      </c>
      <c r="P533" s="9">
        <f>spaces_3iWczBNnn5rbfoUlE0Jd_uploads_git_blob_9864c7f811c613c3faab876659c6423__25[[#This Row],[Hora de Llegada]]</f>
        <v>45022.074999999997</v>
      </c>
      <c r="Q533" s="9">
        <f>spaces_3iWczBNnn5rbfoUlE0Jd_uploads_git_blob_9864c7f811c613c3faab876659c6423__25[[#This Row],[Hora de Salida]]</f>
        <v>45022.226388888892</v>
      </c>
      <c r="R533" s="9" cm="1">
        <f t="array" ref="R53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0.15138888889487134</v>
      </c>
      <c r="S533" s="9">
        <f>_xlfn.XLOOKUP(spaces_3iWczBNnn5rbfoUlE0Jd_uploads_git_blob_9864c7f811c613c3faab876659c6423__25[[#This Row],[Número de Orden]],Cocinadinamica!E534:E1302,Cocinadinamica!F534:F1302)/1440</f>
        <v>4.0972222222222222E-2</v>
      </c>
      <c r="T533" s="9" cm="1">
        <f t="array" ref="T53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0.11041666667264913</v>
      </c>
      <c r="U533" s="9" t="str" cm="1">
        <f t="array" ref="U53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34" spans="1:21" x14ac:dyDescent="0.35">
      <c r="A534" s="27">
        <v>1</v>
      </c>
      <c r="B534" s="11" t="s">
        <v>725</v>
      </c>
      <c r="C534" s="11">
        <v>3</v>
      </c>
      <c r="D534" s="12">
        <v>45022.134722222225</v>
      </c>
      <c r="E534" s="12">
        <v>45022.222222222219</v>
      </c>
      <c r="F534" s="11" t="s">
        <v>85</v>
      </c>
      <c r="G534" s="11" t="s">
        <v>73</v>
      </c>
      <c r="H534" s="11" t="s">
        <v>109</v>
      </c>
      <c r="I534" s="16">
        <v>20.09</v>
      </c>
      <c r="J534" s="11" t="s">
        <v>75</v>
      </c>
      <c r="K534" s="11">
        <v>533</v>
      </c>
      <c r="L534" s="11" t="s">
        <v>187</v>
      </c>
      <c r="M534" s="11" t="s">
        <v>1542</v>
      </c>
      <c r="N534">
        <f>_xlfn.XLOOKUP(spaces_3iWczBNnn5rbfoUlE0Jd_uploads_git_blob_9864c7f811c613c3faab876659c6423__25[[#This Row],[Número de Orden]],Cocinadinamica!B535:B1303,Cocinadinamica!C535:C1303)</f>
        <v>16</v>
      </c>
      <c r="O534" s="7">
        <f>spaces_3iWczBNnn5rbfoUlE0Jd_uploads_git_blob_9864c7f811c613c3faab876659c6423__25[[#This Row],[Hora de Llegada]]</f>
        <v>45022.134722222225</v>
      </c>
      <c r="P534" s="9">
        <f>spaces_3iWczBNnn5rbfoUlE0Jd_uploads_git_blob_9864c7f811c613c3faab876659c6423__25[[#This Row],[Hora de Llegada]]</f>
        <v>45022.134722222225</v>
      </c>
      <c r="Q534" s="9">
        <f>spaces_3iWczBNnn5rbfoUlE0Jd_uploads_git_blob_9864c7f811c613c3faab876659c6423__25[[#This Row],[Hora de Salida]]</f>
        <v>45022.222222222219</v>
      </c>
      <c r="R534" s="9" cm="1">
        <f t="array" ref="R53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8.7499999994179234E-2</v>
      </c>
      <c r="S534" s="9">
        <f>_xlfn.XLOOKUP(spaces_3iWczBNnn5rbfoUlE0Jd_uploads_git_blob_9864c7f811c613c3faab876659c6423__25[[#This Row],[Número de Orden]],Cocinadinamica!E535:E1303,Cocinadinamica!F535:F1303)/1440</f>
        <v>3.3333333333333333E-2</v>
      </c>
      <c r="T534" s="9" cm="1">
        <f t="array" ref="T53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5.4166666660845901E-2</v>
      </c>
      <c r="U534" s="9" t="str" cm="1">
        <f t="array" ref="U53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35" spans="1:21" x14ac:dyDescent="0.35">
      <c r="A535" s="28">
        <v>1</v>
      </c>
      <c r="B535" s="13" t="s">
        <v>1137</v>
      </c>
      <c r="C535" s="13">
        <v>6</v>
      </c>
      <c r="D535" s="14">
        <v>45022.043055555558</v>
      </c>
      <c r="E535" s="14">
        <v>45022.186805555553</v>
      </c>
      <c r="F535" s="13" t="s">
        <v>72</v>
      </c>
      <c r="G535" s="13" t="s">
        <v>73</v>
      </c>
      <c r="H535" s="13" t="s">
        <v>74</v>
      </c>
      <c r="I535" s="17">
        <v>23.59</v>
      </c>
      <c r="J535" s="13" t="s">
        <v>94</v>
      </c>
      <c r="K535" s="13">
        <v>534</v>
      </c>
      <c r="L535" s="13" t="s">
        <v>89</v>
      </c>
      <c r="M535" s="13" t="s">
        <v>1632</v>
      </c>
      <c r="N535">
        <f>_xlfn.XLOOKUP(spaces_3iWczBNnn5rbfoUlE0Jd_uploads_git_blob_9864c7f811c613c3faab876659c6423__25[[#This Row],[Número de Orden]],Cocinadinamica!B536:B1304,Cocinadinamica!C536:C1304)</f>
        <v>60</v>
      </c>
      <c r="O535" s="7">
        <f>spaces_3iWczBNnn5rbfoUlE0Jd_uploads_git_blob_9864c7f811c613c3faab876659c6423__25[[#This Row],[Hora de Llegada]]</f>
        <v>45022.043055555558</v>
      </c>
      <c r="P535" s="9">
        <f>spaces_3iWczBNnn5rbfoUlE0Jd_uploads_git_blob_9864c7f811c613c3faab876659c6423__25[[#This Row],[Hora de Llegada]]</f>
        <v>45022.043055555558</v>
      </c>
      <c r="Q535" s="9">
        <f>spaces_3iWczBNnn5rbfoUlE0Jd_uploads_git_blob_9864c7f811c613c3faab876659c6423__25[[#This Row],[Hora de Salida]]</f>
        <v>45022.186805555553</v>
      </c>
      <c r="R535" s="9" cm="1">
        <f t="array" ref="R53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0.14374999999563443</v>
      </c>
      <c r="S535" s="9">
        <f>_xlfn.XLOOKUP(spaces_3iWczBNnn5rbfoUlE0Jd_uploads_git_blob_9864c7f811c613c3faab876659c6423__25[[#This Row],[Número de Orden]],Cocinadinamica!E536:E1304,Cocinadinamica!F536:F1304)/1440</f>
        <v>5.2777777777777778E-2</v>
      </c>
      <c r="T535" s="9" cm="1">
        <f t="array" ref="T53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9.0972222217856641E-2</v>
      </c>
      <c r="U535" s="9" t="str" cm="1">
        <f t="array" ref="U53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36" spans="1:21" x14ac:dyDescent="0.35">
      <c r="A536" s="27">
        <v>15</v>
      </c>
      <c r="B536" s="11" t="s">
        <v>203</v>
      </c>
      <c r="C536" s="11">
        <v>3</v>
      </c>
      <c r="D536" s="12">
        <v>45022.039583333331</v>
      </c>
      <c r="E536" s="12">
        <v>45022.147222222222</v>
      </c>
      <c r="F536" s="11" t="s">
        <v>223</v>
      </c>
      <c r="G536" s="11" t="s">
        <v>163</v>
      </c>
      <c r="H536" s="11" t="s">
        <v>74</v>
      </c>
      <c r="I536" s="16">
        <v>39.450000000000003</v>
      </c>
      <c r="J536" s="11" t="s">
        <v>75</v>
      </c>
      <c r="K536" s="11">
        <v>535</v>
      </c>
      <c r="L536" s="11" t="s">
        <v>101</v>
      </c>
      <c r="M536" s="11" t="s">
        <v>1633</v>
      </c>
      <c r="N536">
        <f>_xlfn.XLOOKUP(spaces_3iWczBNnn5rbfoUlE0Jd_uploads_git_blob_9864c7f811c613c3faab876659c6423__25[[#This Row],[Número de Orden]],Cocinadinamica!B537:B1305,Cocinadinamica!C537:C1305)</f>
        <v>109</v>
      </c>
      <c r="O536" s="7">
        <f>spaces_3iWczBNnn5rbfoUlE0Jd_uploads_git_blob_9864c7f811c613c3faab876659c6423__25[[#This Row],[Hora de Llegada]]</f>
        <v>45022.039583333331</v>
      </c>
      <c r="P536" s="9">
        <f>spaces_3iWczBNnn5rbfoUlE0Jd_uploads_git_blob_9864c7f811c613c3faab876659c6423__25[[#This Row],[Hora de Llegada]]</f>
        <v>45022.039583333331</v>
      </c>
      <c r="Q536" s="9">
        <f>spaces_3iWczBNnn5rbfoUlE0Jd_uploads_git_blob_9864c7f811c613c3faab876659c6423__25[[#This Row],[Hora de Salida]]</f>
        <v>45022.147222222222</v>
      </c>
      <c r="R536" s="9" cm="1">
        <f t="array" ref="R53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0.10763888889050577</v>
      </c>
      <c r="S536" s="9">
        <f>_xlfn.XLOOKUP(spaces_3iWczBNnn5rbfoUlE0Jd_uploads_git_blob_9864c7f811c613c3faab876659c6423__25[[#This Row],[Número de Orden]],Cocinadinamica!E537:E1305,Cocinadinamica!F537:F1305)/1440</f>
        <v>7.8472222222222221E-2</v>
      </c>
      <c r="T536" s="9" cm="1">
        <f t="array" ref="T53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2.9166666668283547E-2</v>
      </c>
      <c r="U536" s="9" t="str" cm="1">
        <f t="array" ref="U53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37" spans="1:21" x14ac:dyDescent="0.35">
      <c r="A537" s="28">
        <v>9</v>
      </c>
      <c r="B537" s="13" t="s">
        <v>1138</v>
      </c>
      <c r="C537" s="13">
        <v>2</v>
      </c>
      <c r="D537" s="14">
        <v>45022.104861111111</v>
      </c>
      <c r="E537" s="14">
        <v>45022.193749999999</v>
      </c>
      <c r="F537" s="13" t="s">
        <v>72</v>
      </c>
      <c r="G537" s="13" t="s">
        <v>86</v>
      </c>
      <c r="H537" s="13" t="s">
        <v>74</v>
      </c>
      <c r="I537" s="17">
        <v>46</v>
      </c>
      <c r="J537" s="13" t="s">
        <v>94</v>
      </c>
      <c r="K537" s="13">
        <v>536</v>
      </c>
      <c r="L537" s="13" t="s">
        <v>101</v>
      </c>
      <c r="M537" s="13" t="s">
        <v>1634</v>
      </c>
      <c r="N537">
        <f>_xlfn.XLOOKUP(spaces_3iWczBNnn5rbfoUlE0Jd_uploads_git_blob_9864c7f811c613c3faab876659c6423__25[[#This Row],[Número de Orden]],Cocinadinamica!B538:B1306,Cocinadinamica!C538:C1306)</f>
        <v>86</v>
      </c>
      <c r="O537" s="7">
        <f>spaces_3iWczBNnn5rbfoUlE0Jd_uploads_git_blob_9864c7f811c613c3faab876659c6423__25[[#This Row],[Hora de Llegada]]</f>
        <v>45022.104861111111</v>
      </c>
      <c r="P537" s="9">
        <f>spaces_3iWczBNnn5rbfoUlE0Jd_uploads_git_blob_9864c7f811c613c3faab876659c6423__25[[#This Row],[Hora de Llegada]]</f>
        <v>45022.104861111111</v>
      </c>
      <c r="Q537" s="9">
        <f>spaces_3iWczBNnn5rbfoUlE0Jd_uploads_git_blob_9864c7f811c613c3faab876659c6423__25[[#This Row],[Hora de Salida]]</f>
        <v>45022.193749999999</v>
      </c>
      <c r="R537" s="9" cm="1">
        <f t="array" ref="R53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8.8888888887595385E-2</v>
      </c>
      <c r="S537" s="9">
        <f>_xlfn.XLOOKUP(spaces_3iWczBNnn5rbfoUlE0Jd_uploads_git_blob_9864c7f811c613c3faab876659c6423__25[[#This Row],[Número de Orden]],Cocinadinamica!E538:E1306,Cocinadinamica!F538:F1306)/1440</f>
        <v>0.10555555555555556</v>
      </c>
      <c r="T537" s="9" cm="1">
        <f t="array" ref="T53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37" s="9" t="str" cm="1">
        <f t="array" ref="U53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38" spans="1:21" x14ac:dyDescent="0.35">
      <c r="A538" s="27" t="s">
        <v>98</v>
      </c>
      <c r="B538" s="11" t="s">
        <v>233</v>
      </c>
      <c r="C538" s="11">
        <v>6</v>
      </c>
      <c r="D538" s="12">
        <v>45022.01666666667</v>
      </c>
      <c r="E538" s="12">
        <v>45022.089583333334</v>
      </c>
      <c r="F538" s="11" t="s">
        <v>170</v>
      </c>
      <c r="G538" s="11" t="s">
        <v>163</v>
      </c>
      <c r="H538" s="11" t="s">
        <v>109</v>
      </c>
      <c r="I538" s="16">
        <v>28.68</v>
      </c>
      <c r="J538" s="11" t="s">
        <v>88</v>
      </c>
      <c r="K538" s="11">
        <v>537</v>
      </c>
      <c r="L538" s="11" t="s">
        <v>76</v>
      </c>
      <c r="M538" s="11" t="s">
        <v>43</v>
      </c>
      <c r="N538">
        <f>_xlfn.XLOOKUP(spaces_3iWczBNnn5rbfoUlE0Jd_uploads_git_blob_9864c7f811c613c3faab876659c6423__25[[#This Row],[Número de Orden]],Cocinadinamica!B539:B1307,Cocinadinamica!C539:C1307)</f>
        <v>24</v>
      </c>
      <c r="O538" s="7">
        <f>spaces_3iWczBNnn5rbfoUlE0Jd_uploads_git_blob_9864c7f811c613c3faab876659c6423__25[[#This Row],[Hora de Llegada]]</f>
        <v>45022.01666666667</v>
      </c>
      <c r="P538" s="9">
        <f>spaces_3iWczBNnn5rbfoUlE0Jd_uploads_git_blob_9864c7f811c613c3faab876659c6423__25[[#This Row],[Hora de Llegada]]</f>
        <v>45022.01666666667</v>
      </c>
      <c r="Q538" s="9">
        <f>spaces_3iWczBNnn5rbfoUlE0Jd_uploads_git_blob_9864c7f811c613c3faab876659c6423__25[[#This Row],[Hora de Salida]]</f>
        <v>45022.089583333334</v>
      </c>
      <c r="R538" s="9" cm="1">
        <f t="array" ref="R53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8.3333333328482695E-2</v>
      </c>
      <c r="S538" s="9">
        <f>_xlfn.XLOOKUP(spaces_3iWczBNnn5rbfoUlE0Jd_uploads_git_blob_9864c7f811c613c3faab876659c6423__25[[#This Row],[Número de Orden]],Cocinadinamica!E539:E1307,Cocinadinamica!F539:F1307)/1440</f>
        <v>1.4583333333333334E-2</v>
      </c>
      <c r="T538" s="9" cm="1">
        <f t="array" ref="T53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6.8749999995149358E-2</v>
      </c>
      <c r="U538" s="9" t="str" cm="1">
        <f t="array" ref="U53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39" spans="1:21" x14ac:dyDescent="0.35">
      <c r="A539" s="28">
        <v>14</v>
      </c>
      <c r="B539" s="13" t="s">
        <v>1010</v>
      </c>
      <c r="C539" s="13">
        <v>4</v>
      </c>
      <c r="D539" s="14">
        <v>45022.138194444444</v>
      </c>
      <c r="E539" s="14">
        <v>45022.231249999997</v>
      </c>
      <c r="F539" s="13" t="s">
        <v>72</v>
      </c>
      <c r="G539" s="13" t="s">
        <v>73</v>
      </c>
      <c r="H539" s="13" t="s">
        <v>109</v>
      </c>
      <c r="I539" s="17">
        <v>41.35</v>
      </c>
      <c r="J539" s="13" t="s">
        <v>75</v>
      </c>
      <c r="K539" s="13">
        <v>538</v>
      </c>
      <c r="L539" s="13" t="s">
        <v>110</v>
      </c>
      <c r="M539" s="13" t="s">
        <v>1635</v>
      </c>
      <c r="N539">
        <f>_xlfn.XLOOKUP(spaces_3iWczBNnn5rbfoUlE0Jd_uploads_git_blob_9864c7f811c613c3faab876659c6423__25[[#This Row],[Número de Orden]],Cocinadinamica!B540:B1308,Cocinadinamica!C540:C1308)</f>
        <v>58</v>
      </c>
      <c r="O539" s="7">
        <f>spaces_3iWczBNnn5rbfoUlE0Jd_uploads_git_blob_9864c7f811c613c3faab876659c6423__25[[#This Row],[Hora de Llegada]]</f>
        <v>45022.138194444444</v>
      </c>
      <c r="P539" s="9">
        <f>spaces_3iWczBNnn5rbfoUlE0Jd_uploads_git_blob_9864c7f811c613c3faab876659c6423__25[[#This Row],[Hora de Llegada]]</f>
        <v>45022.138194444444</v>
      </c>
      <c r="Q539" s="9">
        <f>spaces_3iWczBNnn5rbfoUlE0Jd_uploads_git_blob_9864c7f811c613c3faab876659c6423__25[[#This Row],[Hora de Salida]]</f>
        <v>45022.231249999997</v>
      </c>
      <c r="R539" s="9" cm="1">
        <f t="array" ref="R53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9.3055555553291924E-2</v>
      </c>
      <c r="S539" s="9">
        <f>_xlfn.XLOOKUP(spaces_3iWczBNnn5rbfoUlE0Jd_uploads_git_blob_9864c7f811c613c3faab876659c6423__25[[#This Row],[Número de Orden]],Cocinadinamica!E540:E1308,Cocinadinamica!F540:F1308)/1440</f>
        <v>0.13750000000000001</v>
      </c>
      <c r="T539" s="9" cm="1">
        <f t="array" ref="T53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39" s="9" t="str" cm="1">
        <f t="array" ref="U53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40" spans="1:21" x14ac:dyDescent="0.35">
      <c r="A540" s="27">
        <v>18</v>
      </c>
      <c r="B540" s="11" t="s">
        <v>1139</v>
      </c>
      <c r="C540" s="11">
        <v>3</v>
      </c>
      <c r="D540" s="12">
        <v>45022.160416666666</v>
      </c>
      <c r="E540" s="12">
        <v>45022.291666666664</v>
      </c>
      <c r="F540" s="11" t="s">
        <v>100</v>
      </c>
      <c r="G540" s="11" t="s">
        <v>163</v>
      </c>
      <c r="H540" s="11" t="s">
        <v>87</v>
      </c>
      <c r="I540" s="16">
        <v>20.9</v>
      </c>
      <c r="J540" s="11" t="s">
        <v>75</v>
      </c>
      <c r="K540" s="11">
        <v>539</v>
      </c>
      <c r="L540" s="11" t="s">
        <v>110</v>
      </c>
      <c r="M540" s="11" t="s">
        <v>1636</v>
      </c>
      <c r="N540">
        <f>_xlfn.XLOOKUP(spaces_3iWczBNnn5rbfoUlE0Jd_uploads_git_blob_9864c7f811c613c3faab876659c6423__25[[#This Row],[Número de Orden]],Cocinadinamica!B541:B1309,Cocinadinamica!C541:C1309)</f>
        <v>99</v>
      </c>
      <c r="O540" s="7">
        <f>spaces_3iWczBNnn5rbfoUlE0Jd_uploads_git_blob_9864c7f811c613c3faab876659c6423__25[[#This Row],[Hora de Llegada]]</f>
        <v>45022.160416666666</v>
      </c>
      <c r="P540" s="9">
        <f>spaces_3iWczBNnn5rbfoUlE0Jd_uploads_git_blob_9864c7f811c613c3faab876659c6423__25[[#This Row],[Hora de Llegada]]</f>
        <v>45022.160416666666</v>
      </c>
      <c r="Q540" s="9">
        <f>spaces_3iWczBNnn5rbfoUlE0Jd_uploads_git_blob_9864c7f811c613c3faab876659c6423__25[[#This Row],[Hora de Salida]]</f>
        <v>45022.291666666664</v>
      </c>
      <c r="R540" s="9" cm="1">
        <f t="array" ref="R54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0.13124999999854481</v>
      </c>
      <c r="S540" s="9">
        <f>_xlfn.XLOOKUP(spaces_3iWczBNnn5rbfoUlE0Jd_uploads_git_blob_9864c7f811c613c3faab876659c6423__25[[#This Row],[Número de Orden]],Cocinadinamica!E541:E1309,Cocinadinamica!F541:F1309)/1440</f>
        <v>8.9583333333333334E-2</v>
      </c>
      <c r="T540" s="9" cm="1">
        <f t="array" ref="T54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4.1666666665211474E-2</v>
      </c>
      <c r="U540" s="9" t="str" cm="1">
        <f t="array" ref="U54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1" spans="1:21" x14ac:dyDescent="0.35">
      <c r="A541" s="28">
        <v>6</v>
      </c>
      <c r="B541" s="13" t="s">
        <v>1140</v>
      </c>
      <c r="C541" s="13">
        <v>4</v>
      </c>
      <c r="D541" s="14">
        <v>45022.156944444447</v>
      </c>
      <c r="E541" s="14">
        <v>45022.288888888892</v>
      </c>
      <c r="F541" s="13" t="s">
        <v>223</v>
      </c>
      <c r="G541" s="13" t="s">
        <v>86</v>
      </c>
      <c r="H541" s="13" t="s">
        <v>74</v>
      </c>
      <c r="I541" s="17">
        <v>47.85</v>
      </c>
      <c r="J541" s="13" t="s">
        <v>94</v>
      </c>
      <c r="K541" s="13">
        <v>540</v>
      </c>
      <c r="L541" s="13" t="s">
        <v>174</v>
      </c>
      <c r="M541" s="13" t="s">
        <v>1637</v>
      </c>
      <c r="N541">
        <f>_xlfn.XLOOKUP(spaces_3iWczBNnn5rbfoUlE0Jd_uploads_git_blob_9864c7f811c613c3faab876659c6423__25[[#This Row],[Número de Orden]],Cocinadinamica!B542:B1310,Cocinadinamica!C542:C1310)</f>
        <v>52</v>
      </c>
      <c r="O541" s="7">
        <f>spaces_3iWczBNnn5rbfoUlE0Jd_uploads_git_blob_9864c7f811c613c3faab876659c6423__25[[#This Row],[Hora de Llegada]]</f>
        <v>45022.156944444447</v>
      </c>
      <c r="P541" s="9">
        <f>spaces_3iWczBNnn5rbfoUlE0Jd_uploads_git_blob_9864c7f811c613c3faab876659c6423__25[[#This Row],[Hora de Llegada]]</f>
        <v>45022.156944444447</v>
      </c>
      <c r="Q541" s="9">
        <f>spaces_3iWczBNnn5rbfoUlE0Jd_uploads_git_blob_9864c7f811c613c3faab876659c6423__25[[#This Row],[Hora de Salida]]</f>
        <v>45022.288888888892</v>
      </c>
      <c r="R541" s="9" cm="1">
        <f t="array" ref="R54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0.13194444444525288</v>
      </c>
      <c r="S541" s="9">
        <f>_xlfn.XLOOKUP(spaces_3iWczBNnn5rbfoUlE0Jd_uploads_git_blob_9864c7f811c613c3faab876659c6423__25[[#This Row],[Número de Orden]],Cocinadinamica!E542:E1310,Cocinadinamica!F542:F1310)/1440</f>
        <v>5.6944444444444443E-2</v>
      </c>
      <c r="T541" s="9" cm="1">
        <f t="array" ref="T54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7.5000000000808448E-2</v>
      </c>
      <c r="U541" s="9" t="str" cm="1">
        <f t="array" ref="U54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2" spans="1:21" x14ac:dyDescent="0.35">
      <c r="A542" s="27">
        <v>19</v>
      </c>
      <c r="B542" s="11" t="s">
        <v>875</v>
      </c>
      <c r="C542" s="11">
        <v>2</v>
      </c>
      <c r="D542" s="12">
        <v>45022.022916666669</v>
      </c>
      <c r="E542" s="12">
        <v>45022.188888888886</v>
      </c>
      <c r="F542" s="11" t="s">
        <v>223</v>
      </c>
      <c r="G542" s="11" t="s">
        <v>163</v>
      </c>
      <c r="H542" s="11" t="s">
        <v>109</v>
      </c>
      <c r="I542" s="16">
        <v>33.700000000000003</v>
      </c>
      <c r="J542" s="11" t="s">
        <v>94</v>
      </c>
      <c r="K542" s="11">
        <v>541</v>
      </c>
      <c r="L542" s="11" t="s">
        <v>110</v>
      </c>
      <c r="M542" s="11" t="s">
        <v>1638</v>
      </c>
      <c r="N542">
        <f>_xlfn.XLOOKUP(spaces_3iWczBNnn5rbfoUlE0Jd_uploads_git_blob_9864c7f811c613c3faab876659c6423__25[[#This Row],[Número de Orden]],Cocinadinamica!B543:B1311,Cocinadinamica!C543:C1311)</f>
        <v>81</v>
      </c>
      <c r="O542" s="7">
        <f>spaces_3iWczBNnn5rbfoUlE0Jd_uploads_git_blob_9864c7f811c613c3faab876659c6423__25[[#This Row],[Hora de Llegada]]</f>
        <v>45022.022916666669</v>
      </c>
      <c r="P542" s="9">
        <f>spaces_3iWczBNnn5rbfoUlE0Jd_uploads_git_blob_9864c7f811c613c3faab876659c6423__25[[#This Row],[Hora de Llegada]]</f>
        <v>45022.022916666669</v>
      </c>
      <c r="Q542" s="9">
        <f>spaces_3iWczBNnn5rbfoUlE0Jd_uploads_git_blob_9864c7f811c613c3faab876659c6423__25[[#This Row],[Hora de Salida]]</f>
        <v>45022.188888888886</v>
      </c>
      <c r="R542" s="9" cm="1">
        <f t="array" ref="R54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0.16597222221753327</v>
      </c>
      <c r="S542" s="9">
        <f>_xlfn.XLOOKUP(spaces_3iWczBNnn5rbfoUlE0Jd_uploads_git_blob_9864c7f811c613c3faab876659c6423__25[[#This Row],[Número de Orden]],Cocinadinamica!E543:E1311,Cocinadinamica!F543:F1311)/1440</f>
        <v>8.611111111111111E-2</v>
      </c>
      <c r="T542" s="9" cm="1">
        <f t="array" ref="T54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7.9861111106422161E-2</v>
      </c>
      <c r="U542" s="9" t="str" cm="1">
        <f t="array" ref="U54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3" spans="1:21" x14ac:dyDescent="0.35">
      <c r="A543" s="28">
        <v>9</v>
      </c>
      <c r="B543" s="13" t="s">
        <v>935</v>
      </c>
      <c r="C543" s="13">
        <v>5</v>
      </c>
      <c r="D543" s="14">
        <v>45022.115972222222</v>
      </c>
      <c r="E543" s="14">
        <v>45022.196527777778</v>
      </c>
      <c r="F543" s="13" t="s">
        <v>170</v>
      </c>
      <c r="G543" s="13" t="s">
        <v>163</v>
      </c>
      <c r="H543" s="13" t="s">
        <v>74</v>
      </c>
      <c r="I543" s="17">
        <v>49.05</v>
      </c>
      <c r="J543" s="13" t="s">
        <v>94</v>
      </c>
      <c r="K543" s="13">
        <v>542</v>
      </c>
      <c r="L543" s="13" t="s">
        <v>101</v>
      </c>
      <c r="M543" s="13" t="s">
        <v>1639</v>
      </c>
      <c r="N543">
        <f>_xlfn.XLOOKUP(spaces_3iWczBNnn5rbfoUlE0Jd_uploads_git_blob_9864c7f811c613c3faab876659c6423__25[[#This Row],[Número de Orden]],Cocinadinamica!B544:B1312,Cocinadinamica!C544:C1312)</f>
        <v>61</v>
      </c>
      <c r="O543" s="7">
        <f>spaces_3iWczBNnn5rbfoUlE0Jd_uploads_git_blob_9864c7f811c613c3faab876659c6423__25[[#This Row],[Hora de Llegada]]</f>
        <v>45022.115972222222</v>
      </c>
      <c r="P543" s="9">
        <f>spaces_3iWczBNnn5rbfoUlE0Jd_uploads_git_blob_9864c7f811c613c3faab876659c6423__25[[#This Row],[Hora de Llegada]]</f>
        <v>45022.115972222222</v>
      </c>
      <c r="Q543" s="9">
        <f>spaces_3iWczBNnn5rbfoUlE0Jd_uploads_git_blob_9864c7f811c613c3faab876659c6423__25[[#This Row],[Hora de Salida]]</f>
        <v>45022.196527777778</v>
      </c>
      <c r="R543" s="9" cm="1">
        <f t="array" ref="R54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8.0555555556202307E-2</v>
      </c>
      <c r="S543" s="9">
        <f>_xlfn.XLOOKUP(spaces_3iWczBNnn5rbfoUlE0Jd_uploads_git_blob_9864c7f811c613c3faab876659c6423__25[[#This Row],[Número de Orden]],Cocinadinamica!E544:E1312,Cocinadinamica!F544:F1312)/1440</f>
        <v>7.9861111111111105E-2</v>
      </c>
      <c r="T543" s="9" cm="1">
        <f t="array" ref="T54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6.944444450912024E-4</v>
      </c>
      <c r="U543" s="9" t="str" cm="1">
        <f t="array" ref="U54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4" spans="1:21" x14ac:dyDescent="0.35">
      <c r="A544" s="27">
        <v>19</v>
      </c>
      <c r="B544" s="11" t="s">
        <v>1141</v>
      </c>
      <c r="C544" s="11">
        <v>5</v>
      </c>
      <c r="D544" s="12">
        <v>45022.032638888886</v>
      </c>
      <c r="E544" s="12">
        <v>45022.150694444441</v>
      </c>
      <c r="F544" s="11" t="s">
        <v>72</v>
      </c>
      <c r="G544" s="11" t="s">
        <v>73</v>
      </c>
      <c r="H544" s="11" t="s">
        <v>74</v>
      </c>
      <c r="I544" s="16">
        <v>49.37</v>
      </c>
      <c r="J544" s="11" t="s">
        <v>94</v>
      </c>
      <c r="K544" s="11">
        <v>543</v>
      </c>
      <c r="L544" s="11" t="s">
        <v>221</v>
      </c>
      <c r="M544" s="11" t="s">
        <v>1640</v>
      </c>
      <c r="N544">
        <f>_xlfn.XLOOKUP(spaces_3iWczBNnn5rbfoUlE0Jd_uploads_git_blob_9864c7f811c613c3faab876659c6423__25[[#This Row],[Número de Orden]],Cocinadinamica!B545:B1313,Cocinadinamica!C545:C1313)</f>
        <v>85</v>
      </c>
      <c r="O544" s="7">
        <f>spaces_3iWczBNnn5rbfoUlE0Jd_uploads_git_blob_9864c7f811c613c3faab876659c6423__25[[#This Row],[Hora de Llegada]]</f>
        <v>45022.032638888886</v>
      </c>
      <c r="P544" s="9">
        <f>spaces_3iWczBNnn5rbfoUlE0Jd_uploads_git_blob_9864c7f811c613c3faab876659c6423__25[[#This Row],[Hora de Llegada]]</f>
        <v>45022.032638888886</v>
      </c>
      <c r="Q544" s="9">
        <f>spaces_3iWczBNnn5rbfoUlE0Jd_uploads_git_blob_9864c7f811c613c3faab876659c6423__25[[#This Row],[Hora de Salida]]</f>
        <v>45022.150694444441</v>
      </c>
      <c r="R544" s="9" cm="1">
        <f t="array" ref="R54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0.11805555555474712</v>
      </c>
      <c r="S544" s="9">
        <f>_xlfn.XLOOKUP(spaces_3iWczBNnn5rbfoUlE0Jd_uploads_git_blob_9864c7f811c613c3faab876659c6423__25[[#This Row],[Número de Orden]],Cocinadinamica!E545:E1313,Cocinadinamica!F545:F1313)/1440</f>
        <v>5.1388888888888887E-2</v>
      </c>
      <c r="T544" s="9" cm="1">
        <f t="array" ref="T54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6.6666666665858229E-2</v>
      </c>
      <c r="U544" s="9" t="str" cm="1">
        <f t="array" ref="U54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5" spans="1:21" x14ac:dyDescent="0.35">
      <c r="A545" s="28" t="s">
        <v>70</v>
      </c>
      <c r="B545" s="13" t="s">
        <v>645</v>
      </c>
      <c r="C545" s="13">
        <v>4</v>
      </c>
      <c r="D545" s="14">
        <v>45022.136805555558</v>
      </c>
      <c r="E545" s="14">
        <v>45022.197916666664</v>
      </c>
      <c r="F545" s="13" t="s">
        <v>85</v>
      </c>
      <c r="G545" s="13" t="s">
        <v>86</v>
      </c>
      <c r="H545" s="13" t="s">
        <v>74</v>
      </c>
      <c r="I545" s="17">
        <v>44.91</v>
      </c>
      <c r="J545" s="13" t="s">
        <v>88</v>
      </c>
      <c r="K545" s="13">
        <v>544</v>
      </c>
      <c r="L545" s="13" t="s">
        <v>187</v>
      </c>
      <c r="M545" s="13" t="s">
        <v>31</v>
      </c>
      <c r="N545">
        <f>_xlfn.XLOOKUP(spaces_3iWczBNnn5rbfoUlE0Jd_uploads_git_blob_9864c7f811c613c3faab876659c6423__25[[#This Row],[Número de Orden]],Cocinadinamica!B546:B1314,Cocinadinamica!C546:C1314)</f>
        <v>28</v>
      </c>
      <c r="O545" s="7">
        <f>spaces_3iWczBNnn5rbfoUlE0Jd_uploads_git_blob_9864c7f811c613c3faab876659c6423__25[[#This Row],[Hora de Llegada]]</f>
        <v>45022.136805555558</v>
      </c>
      <c r="P545" s="9">
        <f>spaces_3iWczBNnn5rbfoUlE0Jd_uploads_git_blob_9864c7f811c613c3faab876659c6423__25[[#This Row],[Hora de Llegada]]</f>
        <v>45022.136805555558</v>
      </c>
      <c r="Q545" s="9">
        <f>spaces_3iWczBNnn5rbfoUlE0Jd_uploads_git_blob_9864c7f811c613c3faab876659c6423__25[[#This Row],[Hora de Salida]]</f>
        <v>45022.197916666664</v>
      </c>
      <c r="R545" s="9" cm="1">
        <f t="array" ref="R54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7.1527777770825196E-2</v>
      </c>
      <c r="S545" s="9">
        <f>_xlfn.XLOOKUP(spaces_3iWczBNnn5rbfoUlE0Jd_uploads_git_blob_9864c7f811c613c3faab876659c6423__25[[#This Row],[Número de Orden]],Cocinadinamica!E546:E1314,Cocinadinamica!F546:F1314)/1440</f>
        <v>3.3333333333333333E-2</v>
      </c>
      <c r="T545" s="9" cm="1">
        <f t="array" ref="T54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3.8194444437491863E-2</v>
      </c>
      <c r="U545" s="9" t="str" cm="1">
        <f t="array" ref="U54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6" spans="1:21" x14ac:dyDescent="0.35">
      <c r="A546" s="27">
        <v>20</v>
      </c>
      <c r="B546" s="11" t="s">
        <v>1142</v>
      </c>
      <c r="C546" s="11">
        <v>5</v>
      </c>
      <c r="D546" s="12">
        <v>45022.11041666667</v>
      </c>
      <c r="E546" s="12">
        <v>45022.18472222222</v>
      </c>
      <c r="F546" s="11" t="s">
        <v>100</v>
      </c>
      <c r="G546" s="11" t="s">
        <v>86</v>
      </c>
      <c r="H546" s="11" t="s">
        <v>87</v>
      </c>
      <c r="I546" s="16">
        <v>12.18</v>
      </c>
      <c r="J546" s="11" t="s">
        <v>88</v>
      </c>
      <c r="K546" s="11">
        <v>545</v>
      </c>
      <c r="L546" s="11" t="s">
        <v>101</v>
      </c>
      <c r="M546" s="11" t="s">
        <v>1641</v>
      </c>
      <c r="N546">
        <f>_xlfn.XLOOKUP(spaces_3iWczBNnn5rbfoUlE0Jd_uploads_git_blob_9864c7f811c613c3faab876659c6423__25[[#This Row],[Número de Orden]],Cocinadinamica!B547:B1315,Cocinadinamica!C547:C1315)</f>
        <v>51</v>
      </c>
      <c r="O546" s="7">
        <f>spaces_3iWczBNnn5rbfoUlE0Jd_uploads_git_blob_9864c7f811c613c3faab876659c6423__25[[#This Row],[Hora de Llegada]]</f>
        <v>45022.11041666667</v>
      </c>
      <c r="P546" s="9">
        <f>spaces_3iWczBNnn5rbfoUlE0Jd_uploads_git_blob_9864c7f811c613c3faab876659c6423__25[[#This Row],[Hora de Llegada]]</f>
        <v>45022.11041666667</v>
      </c>
      <c r="Q546" s="9">
        <f>spaces_3iWczBNnn5rbfoUlE0Jd_uploads_git_blob_9864c7f811c613c3faab876659c6423__25[[#This Row],[Hora de Salida]]</f>
        <v>45022.18472222222</v>
      </c>
      <c r="R546" s="9" cm="1">
        <f t="array" ref="R54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8.4722222214622889E-2</v>
      </c>
      <c r="S546" s="9">
        <f>_xlfn.XLOOKUP(spaces_3iWczBNnn5rbfoUlE0Jd_uploads_git_blob_9864c7f811c613c3faab876659c6423__25[[#This Row],[Número de Orden]],Cocinadinamica!E547:E1315,Cocinadinamica!F547:F1315)/1440</f>
        <v>6.8750000000000006E-2</v>
      </c>
      <c r="T546" s="9" cm="1">
        <f t="array" ref="T54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1.5972222214622883E-2</v>
      </c>
      <c r="U546" s="9" t="str" cm="1">
        <f t="array" ref="U54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7" spans="1:21" x14ac:dyDescent="0.35">
      <c r="A547" s="28">
        <v>5</v>
      </c>
      <c r="B547" s="13" t="s">
        <v>1143</v>
      </c>
      <c r="C547" s="13">
        <v>2</v>
      </c>
      <c r="D547" s="14">
        <v>45022.134722222225</v>
      </c>
      <c r="E547" s="14">
        <v>45022.228472222225</v>
      </c>
      <c r="F547" s="13" t="s">
        <v>72</v>
      </c>
      <c r="G547" s="13" t="s">
        <v>86</v>
      </c>
      <c r="H547" s="13" t="s">
        <v>109</v>
      </c>
      <c r="I547" s="17">
        <v>47.81</v>
      </c>
      <c r="J547" s="13" t="s">
        <v>94</v>
      </c>
      <c r="K547" s="13">
        <v>546</v>
      </c>
      <c r="L547" s="13" t="s">
        <v>95</v>
      </c>
      <c r="M547" s="13" t="s">
        <v>1642</v>
      </c>
      <c r="N547">
        <f>_xlfn.XLOOKUP(spaces_3iWczBNnn5rbfoUlE0Jd_uploads_git_blob_9864c7f811c613c3faab876659c6423__25[[#This Row],[Número de Orden]],Cocinadinamica!B548:B1316,Cocinadinamica!C548:C1316)</f>
        <v>38</v>
      </c>
      <c r="O547" s="7">
        <f>spaces_3iWczBNnn5rbfoUlE0Jd_uploads_git_blob_9864c7f811c613c3faab876659c6423__25[[#This Row],[Hora de Llegada]]</f>
        <v>45022.134722222225</v>
      </c>
      <c r="P547" s="9">
        <f>spaces_3iWczBNnn5rbfoUlE0Jd_uploads_git_blob_9864c7f811c613c3faab876659c6423__25[[#This Row],[Hora de Llegada]]</f>
        <v>45022.134722222225</v>
      </c>
      <c r="Q547" s="9">
        <f>spaces_3iWczBNnn5rbfoUlE0Jd_uploads_git_blob_9864c7f811c613c3faab876659c6423__25[[#This Row],[Hora de Salida]]</f>
        <v>45022.228472222225</v>
      </c>
      <c r="R547" s="9" cm="1">
        <f t="array" ref="R54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9.375E-2</v>
      </c>
      <c r="S547" s="9">
        <f>_xlfn.XLOOKUP(spaces_3iWczBNnn5rbfoUlE0Jd_uploads_git_blob_9864c7f811c613c3faab876659c6423__25[[#This Row],[Número de Orden]],Cocinadinamica!E548:E1316,Cocinadinamica!F548:F1316)/1440</f>
        <v>6.3194444444444442E-2</v>
      </c>
      <c r="T547" s="9" cm="1">
        <f t="array" ref="T54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3.0555555555555558E-2</v>
      </c>
      <c r="U547" s="9" t="str" cm="1">
        <f t="array" ref="U54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8" spans="1:21" x14ac:dyDescent="0.35">
      <c r="A548" s="27">
        <v>9</v>
      </c>
      <c r="B548" s="11" t="s">
        <v>1144</v>
      </c>
      <c r="C548" s="11">
        <v>3</v>
      </c>
      <c r="D548" s="12">
        <v>45022.113194444442</v>
      </c>
      <c r="E548" s="12">
        <v>45022.191666666666</v>
      </c>
      <c r="F548" s="11" t="s">
        <v>85</v>
      </c>
      <c r="G548" s="11" t="s">
        <v>73</v>
      </c>
      <c r="H548" s="11" t="s">
        <v>74</v>
      </c>
      <c r="I548" s="16">
        <v>20.04</v>
      </c>
      <c r="J548" s="11" t="s">
        <v>88</v>
      </c>
      <c r="K548" s="11">
        <v>547</v>
      </c>
      <c r="L548" s="11" t="s">
        <v>110</v>
      </c>
      <c r="M548" s="11" t="s">
        <v>1643</v>
      </c>
      <c r="N548">
        <f>_xlfn.XLOOKUP(spaces_3iWczBNnn5rbfoUlE0Jd_uploads_git_blob_9864c7f811c613c3faab876659c6423__25[[#This Row],[Número de Orden]],Cocinadinamica!B549:B1317,Cocinadinamica!C549:C1317)</f>
        <v>89</v>
      </c>
      <c r="O548" s="7">
        <f>spaces_3iWczBNnn5rbfoUlE0Jd_uploads_git_blob_9864c7f811c613c3faab876659c6423__25[[#This Row],[Hora de Llegada]]</f>
        <v>45022.113194444442</v>
      </c>
      <c r="P548" s="9">
        <f>spaces_3iWczBNnn5rbfoUlE0Jd_uploads_git_blob_9864c7f811c613c3faab876659c6423__25[[#This Row],[Hora de Llegada]]</f>
        <v>45022.113194444442</v>
      </c>
      <c r="Q548" s="9">
        <f>spaces_3iWczBNnn5rbfoUlE0Jd_uploads_git_blob_9864c7f811c613c3faab876659c6423__25[[#This Row],[Hora de Salida]]</f>
        <v>45022.191666666666</v>
      </c>
      <c r="R548" s="9" cm="1">
        <f t="array" ref="R54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8.8888888887595385E-2</v>
      </c>
      <c r="S548" s="9">
        <f>_xlfn.XLOOKUP(spaces_3iWczBNnn5rbfoUlE0Jd_uploads_git_blob_9864c7f811c613c3faab876659c6423__25[[#This Row],[Número de Orden]],Cocinadinamica!E549:E1317,Cocinadinamica!F549:F1317)/1440</f>
        <v>6.7361111111111108E-2</v>
      </c>
      <c r="T548" s="9" cm="1">
        <f t="array" ref="T54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2.1527777776484278E-2</v>
      </c>
      <c r="U548" s="9" t="str" cm="1">
        <f t="array" ref="U54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49" spans="1:21" x14ac:dyDescent="0.35">
      <c r="A549" s="28">
        <v>4</v>
      </c>
      <c r="B549" s="13" t="s">
        <v>1145</v>
      </c>
      <c r="C549" s="13">
        <v>2</v>
      </c>
      <c r="D549" s="14">
        <v>45022.038194444445</v>
      </c>
      <c r="E549" s="14">
        <v>45022.168749999997</v>
      </c>
      <c r="F549" s="13" t="s">
        <v>100</v>
      </c>
      <c r="G549" s="13" t="s">
        <v>86</v>
      </c>
      <c r="H549" s="13" t="s">
        <v>74</v>
      </c>
      <c r="I549" s="17">
        <v>28.88</v>
      </c>
      <c r="J549" s="13" t="s">
        <v>75</v>
      </c>
      <c r="K549" s="13">
        <v>548</v>
      </c>
      <c r="L549" s="13" t="s">
        <v>101</v>
      </c>
      <c r="M549" s="13" t="s">
        <v>1644</v>
      </c>
      <c r="N549">
        <f>_xlfn.XLOOKUP(spaces_3iWczBNnn5rbfoUlE0Jd_uploads_git_blob_9864c7f811c613c3faab876659c6423__25[[#This Row],[Número de Orden]],Cocinadinamica!B550:B1318,Cocinadinamica!C550:C1318)</f>
        <v>38</v>
      </c>
      <c r="O549" s="7">
        <f>spaces_3iWczBNnn5rbfoUlE0Jd_uploads_git_blob_9864c7f811c613c3faab876659c6423__25[[#This Row],[Hora de Llegada]]</f>
        <v>45022.038194444445</v>
      </c>
      <c r="P549" s="9">
        <f>spaces_3iWczBNnn5rbfoUlE0Jd_uploads_git_blob_9864c7f811c613c3faab876659c6423__25[[#This Row],[Hora de Llegada]]</f>
        <v>45022.038194444445</v>
      </c>
      <c r="Q549" s="9">
        <f>spaces_3iWczBNnn5rbfoUlE0Jd_uploads_git_blob_9864c7f811c613c3faab876659c6423__25[[#This Row],[Hora de Salida]]</f>
        <v>45022.168749999997</v>
      </c>
      <c r="R549" s="9" cm="1">
        <f t="array" ref="R54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0.13055555555183673</v>
      </c>
      <c r="S549" s="9">
        <f>_xlfn.XLOOKUP(spaces_3iWczBNnn5rbfoUlE0Jd_uploads_git_blob_9864c7f811c613c3faab876659c6423__25[[#This Row],[Número de Orden]],Cocinadinamica!E550:E1318,Cocinadinamica!F550:F1318)/1440</f>
        <v>7.3611111111111113E-2</v>
      </c>
      <c r="T549" s="9" cm="1">
        <f t="array" ref="T54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5.694444444072562E-2</v>
      </c>
      <c r="U549" s="9" t="str" cm="1">
        <f t="array" ref="U54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50" spans="1:21" x14ac:dyDescent="0.35">
      <c r="A550" s="27">
        <v>12</v>
      </c>
      <c r="B550" s="11" t="s">
        <v>1025</v>
      </c>
      <c r="C550" s="11">
        <v>2</v>
      </c>
      <c r="D550" s="12">
        <v>45022.064583333333</v>
      </c>
      <c r="E550" s="12">
        <v>45022.226388888892</v>
      </c>
      <c r="F550" s="11" t="s">
        <v>223</v>
      </c>
      <c r="G550" s="11" t="s">
        <v>86</v>
      </c>
      <c r="H550" s="11" t="s">
        <v>74</v>
      </c>
      <c r="I550" s="16">
        <v>35.340000000000003</v>
      </c>
      <c r="J550" s="11" t="s">
        <v>75</v>
      </c>
      <c r="K550" s="11">
        <v>549</v>
      </c>
      <c r="L550" s="11" t="s">
        <v>110</v>
      </c>
      <c r="M550" s="11" t="s">
        <v>1645</v>
      </c>
      <c r="N550">
        <f>_xlfn.XLOOKUP(spaces_3iWczBNnn5rbfoUlE0Jd_uploads_git_blob_9864c7f811c613c3faab876659c6423__25[[#This Row],[Número de Orden]],Cocinadinamica!B551:B1319,Cocinadinamica!C551:C1319)</f>
        <v>66</v>
      </c>
      <c r="O550" s="7">
        <f>spaces_3iWczBNnn5rbfoUlE0Jd_uploads_git_blob_9864c7f811c613c3faab876659c6423__25[[#This Row],[Hora de Llegada]]</f>
        <v>45022.064583333333</v>
      </c>
      <c r="P550" s="9">
        <f>spaces_3iWczBNnn5rbfoUlE0Jd_uploads_git_blob_9864c7f811c613c3faab876659c6423__25[[#This Row],[Hora de Llegada]]</f>
        <v>45022.064583333333</v>
      </c>
      <c r="Q550" s="9">
        <f>spaces_3iWczBNnn5rbfoUlE0Jd_uploads_git_blob_9864c7f811c613c3faab876659c6423__25[[#This Row],[Hora de Salida]]</f>
        <v>45022.226388888892</v>
      </c>
      <c r="R550" s="9" cm="1">
        <f t="array" ref="R55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0.16180555555911269</v>
      </c>
      <c r="S550" s="9">
        <f>_xlfn.XLOOKUP(spaces_3iWczBNnn5rbfoUlE0Jd_uploads_git_blob_9864c7f811c613c3faab876659c6423__25[[#This Row],[Número de Orden]],Cocinadinamica!E551:E1319,Cocinadinamica!F551:F1319)/1440</f>
        <v>6.805555555555555E-2</v>
      </c>
      <c r="T550" s="9" cm="1">
        <f t="array" ref="T55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9.3750000003557141E-2</v>
      </c>
      <c r="U550" s="9" t="str" cm="1">
        <f t="array" ref="U55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51" spans="1:21" x14ac:dyDescent="0.35">
      <c r="A551" s="28">
        <v>1</v>
      </c>
      <c r="B551" s="13" t="s">
        <v>1098</v>
      </c>
      <c r="C551" s="13">
        <v>6</v>
      </c>
      <c r="D551" s="14">
        <v>45022.047222222223</v>
      </c>
      <c r="E551" s="14">
        <v>45022.11041666667</v>
      </c>
      <c r="F551" s="13" t="s">
        <v>170</v>
      </c>
      <c r="G551" s="13" t="s">
        <v>86</v>
      </c>
      <c r="H551" s="13" t="s">
        <v>74</v>
      </c>
      <c r="I551" s="17">
        <v>28.33</v>
      </c>
      <c r="J551" s="13" t="s">
        <v>88</v>
      </c>
      <c r="K551" s="13">
        <v>550</v>
      </c>
      <c r="L551" s="13" t="s">
        <v>89</v>
      </c>
      <c r="M551" s="13" t="s">
        <v>1646</v>
      </c>
      <c r="N551">
        <f>_xlfn.XLOOKUP(spaces_3iWczBNnn5rbfoUlE0Jd_uploads_git_blob_9864c7f811c613c3faab876659c6423__25[[#This Row],[Número de Orden]],Cocinadinamica!B552:B1320,Cocinadinamica!C552:C1320)</f>
        <v>50</v>
      </c>
      <c r="O551" s="7">
        <f>spaces_3iWczBNnn5rbfoUlE0Jd_uploads_git_blob_9864c7f811c613c3faab876659c6423__25[[#This Row],[Hora de Llegada]]</f>
        <v>45022.047222222223</v>
      </c>
      <c r="P551" s="9">
        <f>spaces_3iWczBNnn5rbfoUlE0Jd_uploads_git_blob_9864c7f811c613c3faab876659c6423__25[[#This Row],[Hora de Llegada]]</f>
        <v>45022.047222222223</v>
      </c>
      <c r="Q551" s="9">
        <f>spaces_3iWczBNnn5rbfoUlE0Jd_uploads_git_blob_9864c7f811c613c3faab876659c6423__25[[#This Row],[Hora de Salida]]</f>
        <v>45022.11041666667</v>
      </c>
      <c r="R551" s="9" cm="1">
        <f t="array" ref="R55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7.3611111110949423E-2</v>
      </c>
      <c r="S551" s="9">
        <f>_xlfn.XLOOKUP(spaces_3iWczBNnn5rbfoUlE0Jd_uploads_git_blob_9864c7f811c613c3faab876659c6423__25[[#This Row],[Número de Orden]],Cocinadinamica!E552:E1320,Cocinadinamica!F552:F1320)/1440</f>
        <v>3.9583333333333331E-2</v>
      </c>
      <c r="T551" s="9" cm="1">
        <f t="array" ref="T55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3.4027777777616092E-2</v>
      </c>
      <c r="U551" s="9" t="str" cm="1">
        <f t="array" ref="U55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52" spans="1:21" x14ac:dyDescent="0.35">
      <c r="A552" s="27">
        <v>4</v>
      </c>
      <c r="B552" s="11" t="s">
        <v>1146</v>
      </c>
      <c r="C552" s="11">
        <v>2</v>
      </c>
      <c r="D552" s="12">
        <v>45022.123611111114</v>
      </c>
      <c r="E552" s="12">
        <v>45022.173611111109</v>
      </c>
      <c r="F552" s="11" t="s">
        <v>170</v>
      </c>
      <c r="G552" s="11" t="s">
        <v>163</v>
      </c>
      <c r="H552" s="11" t="s">
        <v>74</v>
      </c>
      <c r="I552" s="16">
        <v>17.54</v>
      </c>
      <c r="J552" s="11" t="s">
        <v>94</v>
      </c>
      <c r="K552" s="11">
        <v>551</v>
      </c>
      <c r="L552" s="11" t="s">
        <v>221</v>
      </c>
      <c r="M552" s="11" t="s">
        <v>1647</v>
      </c>
      <c r="N552">
        <f>_xlfn.XLOOKUP(spaces_3iWczBNnn5rbfoUlE0Jd_uploads_git_blob_9864c7f811c613c3faab876659c6423__25[[#This Row],[Número de Orden]],Cocinadinamica!B553:B1321,Cocinadinamica!C553:C1321)</f>
        <v>68</v>
      </c>
      <c r="O552" s="7">
        <f>spaces_3iWczBNnn5rbfoUlE0Jd_uploads_git_blob_9864c7f811c613c3faab876659c6423__25[[#This Row],[Hora de Llegada]]</f>
        <v>45022.123611111114</v>
      </c>
      <c r="P552" s="9">
        <f>spaces_3iWczBNnn5rbfoUlE0Jd_uploads_git_blob_9864c7f811c613c3faab876659c6423__25[[#This Row],[Hora de Llegada]]</f>
        <v>45022.123611111114</v>
      </c>
      <c r="Q552" s="9">
        <f>spaces_3iWczBNnn5rbfoUlE0Jd_uploads_git_blob_9864c7f811c613c3faab876659c6423__25[[#This Row],[Hora de Salida]]</f>
        <v>45022.173611111109</v>
      </c>
      <c r="R552" s="9" cm="1">
        <f t="array" ref="R55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4.9999999995634425E-2</v>
      </c>
      <c r="S552" s="9">
        <f>_xlfn.XLOOKUP(spaces_3iWczBNnn5rbfoUlE0Jd_uploads_git_blob_9864c7f811c613c3faab876659c6423__25[[#This Row],[Número de Orden]],Cocinadinamica!E553:E1321,Cocinadinamica!F553:F1321)/1440</f>
        <v>8.5416666666666669E-2</v>
      </c>
      <c r="T552" s="9" cm="1">
        <f t="array" ref="T55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52" s="9" t="str" cm="1">
        <f t="array" ref="U55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53" spans="1:21" x14ac:dyDescent="0.35">
      <c r="A553" s="28">
        <v>11</v>
      </c>
      <c r="B553" s="13" t="s">
        <v>1147</v>
      </c>
      <c r="C553" s="13">
        <v>6</v>
      </c>
      <c r="D553" s="14">
        <v>45022.018055555556</v>
      </c>
      <c r="E553" s="14">
        <v>45022.162499999999</v>
      </c>
      <c r="F553" s="13" t="s">
        <v>170</v>
      </c>
      <c r="G553" s="13" t="s">
        <v>73</v>
      </c>
      <c r="H553" s="13" t="s">
        <v>109</v>
      </c>
      <c r="I553" s="17">
        <v>10.28</v>
      </c>
      <c r="J553" s="13" t="s">
        <v>75</v>
      </c>
      <c r="K553" s="13">
        <v>552</v>
      </c>
      <c r="L553" s="13" t="s">
        <v>181</v>
      </c>
      <c r="M553" s="13" t="s">
        <v>1648</v>
      </c>
      <c r="N553">
        <f>_xlfn.XLOOKUP(spaces_3iWczBNnn5rbfoUlE0Jd_uploads_git_blob_9864c7f811c613c3faab876659c6423__25[[#This Row],[Número de Orden]],Cocinadinamica!B554:B1322,Cocinadinamica!C554:C1322)</f>
        <v>93</v>
      </c>
      <c r="O553" s="7">
        <f>spaces_3iWczBNnn5rbfoUlE0Jd_uploads_git_blob_9864c7f811c613c3faab876659c6423__25[[#This Row],[Hora de Llegada]]</f>
        <v>45022.018055555556</v>
      </c>
      <c r="P553" s="9">
        <f>spaces_3iWczBNnn5rbfoUlE0Jd_uploads_git_blob_9864c7f811c613c3faab876659c6423__25[[#This Row],[Hora de Llegada]]</f>
        <v>45022.018055555556</v>
      </c>
      <c r="Q553" s="9">
        <f>spaces_3iWczBNnn5rbfoUlE0Jd_uploads_git_blob_9864c7f811c613c3faab876659c6423__25[[#This Row],[Hora de Salida]]</f>
        <v>45022.162499999999</v>
      </c>
      <c r="R553" s="9" cm="1">
        <f t="array" ref="R55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0.1444444444423425</v>
      </c>
      <c r="S553" s="9">
        <f>_xlfn.XLOOKUP(spaces_3iWczBNnn5rbfoUlE0Jd_uploads_git_blob_9864c7f811c613c3faab876659c6423__25[[#This Row],[Número de Orden]],Cocinadinamica!E554:E1322,Cocinadinamica!F554:F1322)/1440</f>
        <v>7.9861111111111105E-2</v>
      </c>
      <c r="T553" s="9" cm="1">
        <f t="array" ref="T55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6.4583333331231396E-2</v>
      </c>
      <c r="U553" s="9" t="str" cm="1">
        <f t="array" ref="U55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54" spans="1:21" x14ac:dyDescent="0.35">
      <c r="A554" s="27">
        <v>14</v>
      </c>
      <c r="B554" s="11" t="s">
        <v>1148</v>
      </c>
      <c r="C554" s="11">
        <v>2</v>
      </c>
      <c r="D554" s="12">
        <v>45022.114583333336</v>
      </c>
      <c r="E554" s="12">
        <v>45022.224999999999</v>
      </c>
      <c r="F554" s="11" t="s">
        <v>170</v>
      </c>
      <c r="G554" s="11" t="s">
        <v>86</v>
      </c>
      <c r="H554" s="11" t="s">
        <v>74</v>
      </c>
      <c r="I554" s="16">
        <v>44.38</v>
      </c>
      <c r="J554" s="11" t="s">
        <v>75</v>
      </c>
      <c r="K554" s="11">
        <v>553</v>
      </c>
      <c r="L554" s="11" t="s">
        <v>89</v>
      </c>
      <c r="M554" s="11" t="s">
        <v>1649</v>
      </c>
      <c r="N554">
        <f>_xlfn.XLOOKUP(spaces_3iWczBNnn5rbfoUlE0Jd_uploads_git_blob_9864c7f811c613c3faab876659c6423__25[[#This Row],[Número de Orden]],Cocinadinamica!B555:B1323,Cocinadinamica!C555:C1323)</f>
        <v>82</v>
      </c>
      <c r="O554" s="7">
        <f>spaces_3iWczBNnn5rbfoUlE0Jd_uploads_git_blob_9864c7f811c613c3faab876659c6423__25[[#This Row],[Hora de Llegada]]</f>
        <v>45022.114583333336</v>
      </c>
      <c r="P554" s="9">
        <f>spaces_3iWczBNnn5rbfoUlE0Jd_uploads_git_blob_9864c7f811c613c3faab876659c6423__25[[#This Row],[Hora de Llegada]]</f>
        <v>45022.114583333336</v>
      </c>
      <c r="Q554" s="9">
        <f>spaces_3iWczBNnn5rbfoUlE0Jd_uploads_git_blob_9864c7f811c613c3faab876659c6423__25[[#This Row],[Hora de Salida]]</f>
        <v>45022.224999999999</v>
      </c>
      <c r="R554" s="9" cm="1">
        <f t="array" ref="R55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0.11041666666278616</v>
      </c>
      <c r="S554" s="9">
        <f>_xlfn.XLOOKUP(spaces_3iWczBNnn5rbfoUlE0Jd_uploads_git_blob_9864c7f811c613c3faab876659c6423__25[[#This Row],[Número de Orden]],Cocinadinamica!E555:E1323,Cocinadinamica!F555:F1323)/1440</f>
        <v>0.12361111111111112</v>
      </c>
      <c r="T554" s="9" cm="1">
        <f t="array" ref="T55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54" s="9" t="str" cm="1">
        <f t="array" ref="U55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55" spans="1:21" x14ac:dyDescent="0.35">
      <c r="A555" s="28">
        <v>10</v>
      </c>
      <c r="B555" s="13" t="s">
        <v>1149</v>
      </c>
      <c r="C555" s="13">
        <v>6</v>
      </c>
      <c r="D555" s="14">
        <v>45022.0625</v>
      </c>
      <c r="E555" s="14">
        <v>45022.121527777781</v>
      </c>
      <c r="F555" s="13" t="s">
        <v>170</v>
      </c>
      <c r="G555" s="13" t="s">
        <v>86</v>
      </c>
      <c r="H555" s="13" t="s">
        <v>109</v>
      </c>
      <c r="I555" s="17">
        <v>19.600000000000001</v>
      </c>
      <c r="J555" s="13" t="s">
        <v>88</v>
      </c>
      <c r="K555" s="13">
        <v>554</v>
      </c>
      <c r="L555" s="13" t="s">
        <v>181</v>
      </c>
      <c r="M555" s="13" t="s">
        <v>1650</v>
      </c>
      <c r="N555">
        <f>_xlfn.XLOOKUP(spaces_3iWczBNnn5rbfoUlE0Jd_uploads_git_blob_9864c7f811c613c3faab876659c6423__25[[#This Row],[Número de Orden]],Cocinadinamica!B556:B1324,Cocinadinamica!C556:C1324)</f>
        <v>63</v>
      </c>
      <c r="O555" s="7">
        <f>spaces_3iWczBNnn5rbfoUlE0Jd_uploads_git_blob_9864c7f811c613c3faab876659c6423__25[[#This Row],[Hora de Llegada]]</f>
        <v>45022.0625</v>
      </c>
      <c r="P555" s="9">
        <f>spaces_3iWczBNnn5rbfoUlE0Jd_uploads_git_blob_9864c7f811c613c3faab876659c6423__25[[#This Row],[Hora de Llegada]]</f>
        <v>45022.0625</v>
      </c>
      <c r="Q555" s="9">
        <f>spaces_3iWczBNnn5rbfoUlE0Jd_uploads_git_blob_9864c7f811c613c3faab876659c6423__25[[#This Row],[Hora de Salida]]</f>
        <v>45022.121527777781</v>
      </c>
      <c r="R555" s="9" cm="1">
        <f t="array" ref="R55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6.9444444445252884E-2</v>
      </c>
      <c r="S555" s="9">
        <f>_xlfn.XLOOKUP(spaces_3iWczBNnn5rbfoUlE0Jd_uploads_git_blob_9864c7f811c613c3faab876659c6423__25[[#This Row],[Número de Orden]],Cocinadinamica!E556:E1324,Cocinadinamica!F556:F1324)/1440</f>
        <v>4.9305555555555554E-2</v>
      </c>
      <c r="T555" s="9" cm="1">
        <f t="array" ref="T55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2.013888888969733E-2</v>
      </c>
      <c r="U555" s="9" t="str" cm="1">
        <f t="array" ref="U55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56" spans="1:21" x14ac:dyDescent="0.35">
      <c r="A556" s="27" t="s">
        <v>92</v>
      </c>
      <c r="B556" s="11" t="s">
        <v>656</v>
      </c>
      <c r="C556" s="11">
        <v>1</v>
      </c>
      <c r="D556" s="12">
        <v>45022.082638888889</v>
      </c>
      <c r="E556" s="12">
        <v>45022.209722222222</v>
      </c>
      <c r="F556" s="11" t="s">
        <v>100</v>
      </c>
      <c r="G556" s="11" t="s">
        <v>163</v>
      </c>
      <c r="H556" s="11" t="s">
        <v>87</v>
      </c>
      <c r="I556" s="16">
        <v>41.08</v>
      </c>
      <c r="J556" s="11" t="s">
        <v>75</v>
      </c>
      <c r="K556" s="11">
        <v>555</v>
      </c>
      <c r="L556" s="11" t="s">
        <v>89</v>
      </c>
      <c r="M556" s="11" t="s">
        <v>12</v>
      </c>
      <c r="N556">
        <f>_xlfn.XLOOKUP(spaces_3iWczBNnn5rbfoUlE0Jd_uploads_git_blob_9864c7f811c613c3faab876659c6423__25[[#This Row],[Número de Orden]],Cocinadinamica!B557:B1325,Cocinadinamica!C557:C1325)</f>
        <v>12</v>
      </c>
      <c r="O556" s="7">
        <f>spaces_3iWczBNnn5rbfoUlE0Jd_uploads_git_blob_9864c7f811c613c3faab876659c6423__25[[#This Row],[Hora de Llegada]]</f>
        <v>45022.082638888889</v>
      </c>
      <c r="P556" s="9">
        <f>spaces_3iWczBNnn5rbfoUlE0Jd_uploads_git_blob_9864c7f811c613c3faab876659c6423__25[[#This Row],[Hora de Llegada]]</f>
        <v>45022.082638888889</v>
      </c>
      <c r="Q556" s="9">
        <f>spaces_3iWczBNnn5rbfoUlE0Jd_uploads_git_blob_9864c7f811c613c3faab876659c6423__25[[#This Row],[Hora de Salida]]</f>
        <v>45022.209722222222</v>
      </c>
      <c r="R556" s="9" cm="1">
        <f t="array" ref="R55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0.12708333333284827</v>
      </c>
      <c r="S556" s="9">
        <f>_xlfn.XLOOKUP(spaces_3iWczBNnn5rbfoUlE0Jd_uploads_git_blob_9864c7f811c613c3faab876659c6423__25[[#This Row],[Número de Orden]],Cocinadinamica!E557:E1325,Cocinadinamica!F557:F1325)/1440</f>
        <v>3.1944444444444442E-2</v>
      </c>
      <c r="T556" s="9" cm="1">
        <f t="array" ref="T55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9.5138888888403828E-2</v>
      </c>
      <c r="U556" s="9" t="str" cm="1">
        <f t="array" ref="U55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57" spans="1:21" x14ac:dyDescent="0.35">
      <c r="A557" s="28">
        <v>9</v>
      </c>
      <c r="B557" s="13" t="s">
        <v>886</v>
      </c>
      <c r="C557" s="13">
        <v>6</v>
      </c>
      <c r="D557" s="14">
        <v>45022.164583333331</v>
      </c>
      <c r="E557" s="14">
        <v>45022.320138888892</v>
      </c>
      <c r="F557" s="13" t="s">
        <v>100</v>
      </c>
      <c r="G557" s="13" t="s">
        <v>86</v>
      </c>
      <c r="H557" s="13" t="s">
        <v>109</v>
      </c>
      <c r="I557" s="17">
        <v>14.09</v>
      </c>
      <c r="J557" s="13" t="s">
        <v>75</v>
      </c>
      <c r="K557" s="13">
        <v>556</v>
      </c>
      <c r="L557" s="13" t="s">
        <v>221</v>
      </c>
      <c r="M557" s="13" t="s">
        <v>1447</v>
      </c>
      <c r="N557">
        <f>_xlfn.XLOOKUP(spaces_3iWczBNnn5rbfoUlE0Jd_uploads_git_blob_9864c7f811c613c3faab876659c6423__25[[#This Row],[Número de Orden]],Cocinadinamica!B558:B1326,Cocinadinamica!C558:C1326)</f>
        <v>33</v>
      </c>
      <c r="O557" s="7">
        <f>spaces_3iWczBNnn5rbfoUlE0Jd_uploads_git_blob_9864c7f811c613c3faab876659c6423__25[[#This Row],[Hora de Llegada]]</f>
        <v>45022.164583333331</v>
      </c>
      <c r="P557" s="9">
        <f>spaces_3iWczBNnn5rbfoUlE0Jd_uploads_git_blob_9864c7f811c613c3faab876659c6423__25[[#This Row],[Hora de Llegada]]</f>
        <v>45022.164583333331</v>
      </c>
      <c r="Q557" s="9">
        <f>spaces_3iWczBNnn5rbfoUlE0Jd_uploads_git_blob_9864c7f811c613c3faab876659c6423__25[[#This Row],[Hora de Salida]]</f>
        <v>45022.320138888892</v>
      </c>
      <c r="R557" s="9" cm="1">
        <f t="array" ref="R55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0.15555555556056788</v>
      </c>
      <c r="S557" s="9">
        <f>_xlfn.XLOOKUP(spaces_3iWczBNnn5rbfoUlE0Jd_uploads_git_blob_9864c7f811c613c3faab876659c6423__25[[#This Row],[Número de Orden]],Cocinadinamica!E558:E1326,Cocinadinamica!F558:F1326)/1440</f>
        <v>4.583333333333333E-2</v>
      </c>
      <c r="T557" s="9" cm="1">
        <f t="array" ref="T55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0.10972222222723454</v>
      </c>
      <c r="U557" s="9" t="str" cm="1">
        <f t="array" ref="U55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58" spans="1:21" x14ac:dyDescent="0.35">
      <c r="A558" s="27">
        <v>7</v>
      </c>
      <c r="B558" s="11" t="s">
        <v>225</v>
      </c>
      <c r="C558" s="11">
        <v>5</v>
      </c>
      <c r="D558" s="12">
        <v>45022.161111111112</v>
      </c>
      <c r="E558" s="12">
        <v>45022.318749999999</v>
      </c>
      <c r="F558" s="11" t="s">
        <v>100</v>
      </c>
      <c r="G558" s="11" t="s">
        <v>86</v>
      </c>
      <c r="H558" s="11" t="s">
        <v>87</v>
      </c>
      <c r="I558" s="16">
        <v>35.880000000000003</v>
      </c>
      <c r="J558" s="11" t="s">
        <v>88</v>
      </c>
      <c r="K558" s="11">
        <v>557</v>
      </c>
      <c r="L558" s="11" t="s">
        <v>187</v>
      </c>
      <c r="M558" s="11" t="s">
        <v>1651</v>
      </c>
      <c r="N558">
        <f>_xlfn.XLOOKUP(spaces_3iWczBNnn5rbfoUlE0Jd_uploads_git_blob_9864c7f811c613c3faab876659c6423__25[[#This Row],[Número de Orden]],Cocinadinamica!B559:B1327,Cocinadinamica!C559:C1327)</f>
        <v>70</v>
      </c>
      <c r="O558" s="7">
        <f>spaces_3iWczBNnn5rbfoUlE0Jd_uploads_git_blob_9864c7f811c613c3faab876659c6423__25[[#This Row],[Hora de Llegada]]</f>
        <v>45022.161111111112</v>
      </c>
      <c r="P558" s="9">
        <f>spaces_3iWczBNnn5rbfoUlE0Jd_uploads_git_blob_9864c7f811c613c3faab876659c6423__25[[#This Row],[Hora de Llegada]]</f>
        <v>45022.161111111112</v>
      </c>
      <c r="Q558" s="9">
        <f>spaces_3iWczBNnn5rbfoUlE0Jd_uploads_git_blob_9864c7f811c613c3faab876659c6423__25[[#This Row],[Hora de Salida]]</f>
        <v>45022.318749999999</v>
      </c>
      <c r="R558" s="9" cm="1">
        <f t="array" ref="R55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0.16805555555038154</v>
      </c>
      <c r="S558" s="9">
        <f>_xlfn.XLOOKUP(spaces_3iWczBNnn5rbfoUlE0Jd_uploads_git_blob_9864c7f811c613c3faab876659c6423__25[[#This Row],[Número de Orden]],Cocinadinamica!E559:E1327,Cocinadinamica!F559:F1327)/1440</f>
        <v>7.4305555555555555E-2</v>
      </c>
      <c r="T558" s="9" cm="1">
        <f t="array" ref="T55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9.3749999994825986E-2</v>
      </c>
      <c r="U558" s="9" t="str" cm="1">
        <f t="array" ref="U55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59" spans="1:21" x14ac:dyDescent="0.35">
      <c r="A559" s="28">
        <v>6</v>
      </c>
      <c r="B559" s="13" t="s">
        <v>1103</v>
      </c>
      <c r="C559" s="13">
        <v>4</v>
      </c>
      <c r="D559" s="14">
        <v>45022.012499999997</v>
      </c>
      <c r="E559" s="14">
        <v>45022.129166666666</v>
      </c>
      <c r="F559" s="13" t="s">
        <v>223</v>
      </c>
      <c r="G559" s="13" t="s">
        <v>86</v>
      </c>
      <c r="H559" s="13" t="s">
        <v>74</v>
      </c>
      <c r="I559" s="17">
        <v>45.26</v>
      </c>
      <c r="J559" s="13" t="s">
        <v>94</v>
      </c>
      <c r="K559" s="13">
        <v>558</v>
      </c>
      <c r="L559" s="13" t="s">
        <v>221</v>
      </c>
      <c r="M559" s="13" t="s">
        <v>1652</v>
      </c>
      <c r="N559">
        <f>_xlfn.XLOOKUP(spaces_3iWczBNnn5rbfoUlE0Jd_uploads_git_blob_9864c7f811c613c3faab876659c6423__25[[#This Row],[Número de Orden]],Cocinadinamica!B560:B1328,Cocinadinamica!C560:C1328)</f>
        <v>72</v>
      </c>
      <c r="O559" s="7">
        <f>spaces_3iWczBNnn5rbfoUlE0Jd_uploads_git_blob_9864c7f811c613c3faab876659c6423__25[[#This Row],[Hora de Llegada]]</f>
        <v>45022.012499999997</v>
      </c>
      <c r="P559" s="9">
        <f>spaces_3iWczBNnn5rbfoUlE0Jd_uploads_git_blob_9864c7f811c613c3faab876659c6423__25[[#This Row],[Hora de Llegada]]</f>
        <v>45022.012499999997</v>
      </c>
      <c r="Q559" s="9">
        <f>spaces_3iWczBNnn5rbfoUlE0Jd_uploads_git_blob_9864c7f811c613c3faab876659c6423__25[[#This Row],[Hora de Salida]]</f>
        <v>45022.129166666666</v>
      </c>
      <c r="R559" s="9" cm="1">
        <f t="array" ref="R55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0.11666666666860692</v>
      </c>
      <c r="S559" s="9">
        <f>_xlfn.XLOOKUP(spaces_3iWczBNnn5rbfoUlE0Jd_uploads_git_blob_9864c7f811c613c3faab876659c6423__25[[#This Row],[Número de Orden]],Cocinadinamica!E560:E1328,Cocinadinamica!F560:F1328)/1440</f>
        <v>0.11597222222222223</v>
      </c>
      <c r="T559" s="9" cm="1">
        <f t="array" ref="T55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6.9444444638469549E-4</v>
      </c>
      <c r="U559" s="9" t="str" cm="1">
        <f t="array" ref="U55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0" spans="1:21" x14ac:dyDescent="0.35">
      <c r="A560" s="27" t="s">
        <v>354</v>
      </c>
      <c r="B560" s="11" t="s">
        <v>660</v>
      </c>
      <c r="C560" s="11">
        <v>1</v>
      </c>
      <c r="D560" s="12">
        <v>45022.009722222225</v>
      </c>
      <c r="E560" s="12">
        <v>45022.165972222225</v>
      </c>
      <c r="F560" s="11" t="s">
        <v>100</v>
      </c>
      <c r="G560" s="11" t="s">
        <v>86</v>
      </c>
      <c r="H560" s="11" t="s">
        <v>74</v>
      </c>
      <c r="I560" s="16">
        <v>24.36</v>
      </c>
      <c r="J560" s="11" t="s">
        <v>94</v>
      </c>
      <c r="K560" s="11">
        <v>559</v>
      </c>
      <c r="L560" s="11" t="s">
        <v>174</v>
      </c>
      <c r="M560" s="11" t="s">
        <v>25</v>
      </c>
      <c r="N560">
        <f>_xlfn.XLOOKUP(spaces_3iWczBNnn5rbfoUlE0Jd_uploads_git_blob_9864c7f811c613c3faab876659c6423__25[[#This Row],[Número de Orden]],Cocinadinamica!B561:B1329,Cocinadinamica!C561:C1329)</f>
        <v>39</v>
      </c>
      <c r="O560" s="7">
        <f>spaces_3iWczBNnn5rbfoUlE0Jd_uploads_git_blob_9864c7f811c613c3faab876659c6423__25[[#This Row],[Hora de Llegada]]</f>
        <v>45022.009722222225</v>
      </c>
      <c r="P560" s="9">
        <f>spaces_3iWczBNnn5rbfoUlE0Jd_uploads_git_blob_9864c7f811c613c3faab876659c6423__25[[#This Row],[Hora de Llegada]]</f>
        <v>45022.009722222225</v>
      </c>
      <c r="Q560" s="9">
        <f>spaces_3iWczBNnn5rbfoUlE0Jd_uploads_git_blob_9864c7f811c613c3faab876659c6423__25[[#This Row],[Hora de Salida]]</f>
        <v>45022.165972222225</v>
      </c>
      <c r="R560" s="9" cm="1">
        <f t="array" ref="R56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560" s="9">
        <f>_xlfn.XLOOKUP(spaces_3iWczBNnn5rbfoUlE0Jd_uploads_git_blob_9864c7f811c613c3faab876659c6423__25[[#This Row],[Número de Orden]],Cocinadinamica!E561:E1329,Cocinadinamica!F561:F1329)/1440</f>
        <v>2.8472222222222222E-2</v>
      </c>
      <c r="T560" s="9" cm="1">
        <f t="array" ref="T56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0.12777777777777777</v>
      </c>
      <c r="U560" s="9" t="str" cm="1">
        <f t="array" ref="U56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1" spans="1:21" x14ac:dyDescent="0.35">
      <c r="A561" s="28">
        <v>6</v>
      </c>
      <c r="B561" s="13" t="s">
        <v>962</v>
      </c>
      <c r="C561" s="13">
        <v>6</v>
      </c>
      <c r="D561" s="14">
        <v>45022.010416666664</v>
      </c>
      <c r="E561" s="14">
        <v>45022.136805555558</v>
      </c>
      <c r="F561" s="13" t="s">
        <v>85</v>
      </c>
      <c r="G561" s="13" t="s">
        <v>73</v>
      </c>
      <c r="H561" s="13" t="s">
        <v>109</v>
      </c>
      <c r="I561" s="17">
        <v>31.53</v>
      </c>
      <c r="J561" s="13" t="s">
        <v>94</v>
      </c>
      <c r="K561" s="13">
        <v>560</v>
      </c>
      <c r="L561" s="13" t="s">
        <v>164</v>
      </c>
      <c r="M561" s="13" t="s">
        <v>1653</v>
      </c>
      <c r="N561">
        <f>_xlfn.XLOOKUP(spaces_3iWczBNnn5rbfoUlE0Jd_uploads_git_blob_9864c7f811c613c3faab876659c6423__25[[#This Row],[Número de Orden]],Cocinadinamica!B562:B1330,Cocinadinamica!C562:C1330)</f>
        <v>46</v>
      </c>
      <c r="O561" s="7">
        <f>spaces_3iWczBNnn5rbfoUlE0Jd_uploads_git_blob_9864c7f811c613c3faab876659c6423__25[[#This Row],[Hora de Llegada]]</f>
        <v>45022.010416666664</v>
      </c>
      <c r="P561" s="9">
        <f>spaces_3iWczBNnn5rbfoUlE0Jd_uploads_git_blob_9864c7f811c613c3faab876659c6423__25[[#This Row],[Hora de Llegada]]</f>
        <v>45022.010416666664</v>
      </c>
      <c r="Q561" s="9">
        <f>spaces_3iWczBNnn5rbfoUlE0Jd_uploads_git_blob_9864c7f811c613c3faab876659c6423__25[[#This Row],[Hora de Salida]]</f>
        <v>45022.136805555558</v>
      </c>
      <c r="R561" s="9" cm="1">
        <f t="array" ref="R56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0.12638888889341615</v>
      </c>
      <c r="S561" s="9">
        <f>_xlfn.XLOOKUP(spaces_3iWczBNnn5rbfoUlE0Jd_uploads_git_blob_9864c7f811c613c3faab876659c6423__25[[#This Row],[Número de Orden]],Cocinadinamica!E562:E1330,Cocinadinamica!F562:F1330)/1440</f>
        <v>3.3333333333333333E-2</v>
      </c>
      <c r="T561" s="9" cm="1">
        <f t="array" ref="T56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9.3055555560082825E-2</v>
      </c>
      <c r="U561" s="9" t="str" cm="1">
        <f t="array" ref="U56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2" spans="1:21" x14ac:dyDescent="0.35">
      <c r="A562" s="27">
        <v>4</v>
      </c>
      <c r="B562" s="11" t="s">
        <v>872</v>
      </c>
      <c r="C562" s="11">
        <v>2</v>
      </c>
      <c r="D562" s="12">
        <v>45022.050694444442</v>
      </c>
      <c r="E562" s="12">
        <v>45022.152083333334</v>
      </c>
      <c r="F562" s="11" t="s">
        <v>223</v>
      </c>
      <c r="G562" s="11" t="s">
        <v>86</v>
      </c>
      <c r="H562" s="11" t="s">
        <v>74</v>
      </c>
      <c r="I562" s="16">
        <v>44.24</v>
      </c>
      <c r="J562" s="11" t="s">
        <v>94</v>
      </c>
      <c r="K562" s="11">
        <v>561</v>
      </c>
      <c r="L562" s="11" t="s">
        <v>101</v>
      </c>
      <c r="M562" s="11" t="s">
        <v>1654</v>
      </c>
      <c r="N562">
        <f>_xlfn.XLOOKUP(spaces_3iWczBNnn5rbfoUlE0Jd_uploads_git_blob_9864c7f811c613c3faab876659c6423__25[[#This Row],[Número de Orden]],Cocinadinamica!B563:B1331,Cocinadinamica!C563:C1331)</f>
        <v>26</v>
      </c>
      <c r="O562" s="7">
        <f>spaces_3iWczBNnn5rbfoUlE0Jd_uploads_git_blob_9864c7f811c613c3faab876659c6423__25[[#This Row],[Hora de Llegada]]</f>
        <v>45022.050694444442</v>
      </c>
      <c r="P562" s="9">
        <f>spaces_3iWczBNnn5rbfoUlE0Jd_uploads_git_blob_9864c7f811c613c3faab876659c6423__25[[#This Row],[Hora de Llegada]]</f>
        <v>45022.050694444442</v>
      </c>
      <c r="Q562" s="9">
        <f>spaces_3iWczBNnn5rbfoUlE0Jd_uploads_git_blob_9864c7f811c613c3faab876659c6423__25[[#This Row],[Hora de Salida]]</f>
        <v>45022.152083333334</v>
      </c>
      <c r="R562" s="9" cm="1">
        <f t="array" ref="R56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0.10138888889196096</v>
      </c>
      <c r="S562" s="9">
        <f>_xlfn.XLOOKUP(spaces_3iWczBNnn5rbfoUlE0Jd_uploads_git_blob_9864c7f811c613c3faab876659c6423__25[[#This Row],[Número de Orden]],Cocinadinamica!E563:E1331,Cocinadinamica!F563:F1331)/1440</f>
        <v>4.4444444444444446E-2</v>
      </c>
      <c r="T562" s="9" cm="1">
        <f t="array" ref="T56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5.6944444447516514E-2</v>
      </c>
      <c r="U562" s="9" t="str" cm="1">
        <f t="array" ref="U56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3" spans="1:21" x14ac:dyDescent="0.35">
      <c r="A563" s="28">
        <v>20</v>
      </c>
      <c r="B563" s="13" t="s">
        <v>1150</v>
      </c>
      <c r="C563" s="13">
        <v>3</v>
      </c>
      <c r="D563" s="14">
        <v>45022.10833333333</v>
      </c>
      <c r="E563" s="14">
        <v>45022.263888888891</v>
      </c>
      <c r="F563" s="13" t="s">
        <v>223</v>
      </c>
      <c r="G563" s="13" t="s">
        <v>73</v>
      </c>
      <c r="H563" s="13" t="s">
        <v>74</v>
      </c>
      <c r="I563" s="17">
        <v>21.49</v>
      </c>
      <c r="J563" s="13" t="s">
        <v>75</v>
      </c>
      <c r="K563" s="13">
        <v>562</v>
      </c>
      <c r="L563" s="13" t="s">
        <v>275</v>
      </c>
      <c r="M563" s="13" t="s">
        <v>1655</v>
      </c>
      <c r="N563">
        <f>_xlfn.XLOOKUP(spaces_3iWczBNnn5rbfoUlE0Jd_uploads_git_blob_9864c7f811c613c3faab876659c6423__25[[#This Row],[Número de Orden]],Cocinadinamica!B564:B1332,Cocinadinamica!C564:C1332)</f>
        <v>113</v>
      </c>
      <c r="O563" s="7">
        <f>spaces_3iWczBNnn5rbfoUlE0Jd_uploads_git_blob_9864c7f811c613c3faab876659c6423__25[[#This Row],[Hora de Llegada]]</f>
        <v>45022.10833333333</v>
      </c>
      <c r="P563" s="9">
        <f>spaces_3iWczBNnn5rbfoUlE0Jd_uploads_git_blob_9864c7f811c613c3faab876659c6423__25[[#This Row],[Hora de Llegada]]</f>
        <v>45022.10833333333</v>
      </c>
      <c r="Q563" s="9">
        <f>spaces_3iWczBNnn5rbfoUlE0Jd_uploads_git_blob_9864c7f811c613c3faab876659c6423__25[[#This Row],[Hora de Salida]]</f>
        <v>45022.263888888891</v>
      </c>
      <c r="R563" s="9" cm="1">
        <f t="array" ref="R56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0.15555555556056788</v>
      </c>
      <c r="S563" s="9">
        <f>_xlfn.XLOOKUP(spaces_3iWczBNnn5rbfoUlE0Jd_uploads_git_blob_9864c7f811c613c3faab876659c6423__25[[#This Row],[Número de Orden]],Cocinadinamica!E564:E1332,Cocinadinamica!F564:F1332)/1440</f>
        <v>7.7777777777777779E-2</v>
      </c>
      <c r="T563" s="9" cm="1">
        <f t="array" ref="T56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7.7777777782790103E-2</v>
      </c>
      <c r="U563" s="9" t="str" cm="1">
        <f t="array" ref="U56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4" spans="1:21" x14ac:dyDescent="0.35">
      <c r="A564" s="27" t="s">
        <v>107</v>
      </c>
      <c r="B564" s="11" t="s">
        <v>664</v>
      </c>
      <c r="C564" s="11">
        <v>3</v>
      </c>
      <c r="D564" s="12">
        <v>45022.12777777778</v>
      </c>
      <c r="E564" s="12">
        <v>45022.196527777778</v>
      </c>
      <c r="F564" s="11" t="s">
        <v>85</v>
      </c>
      <c r="G564" s="11" t="s">
        <v>163</v>
      </c>
      <c r="H564" s="11" t="s">
        <v>87</v>
      </c>
      <c r="I564" s="16">
        <v>20.07</v>
      </c>
      <c r="J564" s="11" t="s">
        <v>88</v>
      </c>
      <c r="K564" s="11">
        <v>563</v>
      </c>
      <c r="L564" s="11" t="s">
        <v>164</v>
      </c>
      <c r="M564" s="11" t="s">
        <v>17</v>
      </c>
      <c r="N564">
        <f>_xlfn.XLOOKUP(spaces_3iWczBNnn5rbfoUlE0Jd_uploads_git_blob_9864c7f811c613c3faab876659c6423__25[[#This Row],[Número de Orden]],Cocinadinamica!B565:B1333,Cocinadinamica!C565:C1333)</f>
        <v>22</v>
      </c>
      <c r="O564" s="7">
        <f>spaces_3iWczBNnn5rbfoUlE0Jd_uploads_git_blob_9864c7f811c613c3faab876659c6423__25[[#This Row],[Hora de Llegada]]</f>
        <v>45022.12777777778</v>
      </c>
      <c r="P564" s="9">
        <f>spaces_3iWczBNnn5rbfoUlE0Jd_uploads_git_blob_9864c7f811c613c3faab876659c6423__25[[#This Row],[Hora de Llegada]]</f>
        <v>45022.12777777778</v>
      </c>
      <c r="Q564" s="9">
        <f>spaces_3iWczBNnn5rbfoUlE0Jd_uploads_git_blob_9864c7f811c613c3faab876659c6423__25[[#This Row],[Hora de Salida]]</f>
        <v>45022.196527777778</v>
      </c>
      <c r="R564" s="9" cm="1">
        <f t="array" ref="R56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7.9166666662786156E-2</v>
      </c>
      <c r="S564" s="9">
        <f>_xlfn.XLOOKUP(spaces_3iWczBNnn5rbfoUlE0Jd_uploads_git_blob_9864c7f811c613c3faab876659c6423__25[[#This Row],[Número de Orden]],Cocinadinamica!E565:E1333,Cocinadinamica!F565:F1333)/1440</f>
        <v>2.5694444444444443E-2</v>
      </c>
      <c r="T564" s="9" cm="1">
        <f t="array" ref="T56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5.3472222218341713E-2</v>
      </c>
      <c r="U564" s="9" t="str" cm="1">
        <f t="array" ref="U56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5" spans="1:21" x14ac:dyDescent="0.35">
      <c r="A565" s="28">
        <v>9</v>
      </c>
      <c r="B565" s="13" t="s">
        <v>1151</v>
      </c>
      <c r="C565" s="13">
        <v>3</v>
      </c>
      <c r="D565" s="14">
        <v>45022.021527777775</v>
      </c>
      <c r="E565" s="14">
        <v>45022.099305555559</v>
      </c>
      <c r="F565" s="13" t="s">
        <v>85</v>
      </c>
      <c r="G565" s="13" t="s">
        <v>73</v>
      </c>
      <c r="H565" s="13" t="s">
        <v>87</v>
      </c>
      <c r="I565" s="17">
        <v>33.08</v>
      </c>
      <c r="J565" s="13" t="s">
        <v>94</v>
      </c>
      <c r="K565" s="13">
        <v>564</v>
      </c>
      <c r="L565" s="13" t="s">
        <v>275</v>
      </c>
      <c r="M565" s="13" t="s">
        <v>1656</v>
      </c>
      <c r="N565">
        <f>_xlfn.XLOOKUP(spaces_3iWczBNnn5rbfoUlE0Jd_uploads_git_blob_9864c7f811c613c3faab876659c6423__25[[#This Row],[Número de Orden]],Cocinadinamica!B566:B1334,Cocinadinamica!C566:C1334)</f>
        <v>60</v>
      </c>
      <c r="O565" s="7">
        <f>spaces_3iWczBNnn5rbfoUlE0Jd_uploads_git_blob_9864c7f811c613c3faab876659c6423__25[[#This Row],[Hora de Llegada]]</f>
        <v>45022.021527777775</v>
      </c>
      <c r="P565" s="9">
        <f>spaces_3iWczBNnn5rbfoUlE0Jd_uploads_git_blob_9864c7f811c613c3faab876659c6423__25[[#This Row],[Hora de Llegada]]</f>
        <v>45022.021527777775</v>
      </c>
      <c r="Q565" s="9">
        <f>spaces_3iWczBNnn5rbfoUlE0Jd_uploads_git_blob_9864c7f811c613c3faab876659c6423__25[[#This Row],[Hora de Salida]]</f>
        <v>45022.099305555559</v>
      </c>
      <c r="R565" s="9" cm="1">
        <f t="array" ref="R56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7.777777778392192E-2</v>
      </c>
      <c r="S565" s="9">
        <f>_xlfn.XLOOKUP(spaces_3iWczBNnn5rbfoUlE0Jd_uploads_git_blob_9864c7f811c613c3faab876659c6423__25[[#This Row],[Número de Orden]],Cocinadinamica!E566:E1334,Cocinadinamica!F566:F1334)/1440</f>
        <v>3.7499999999999999E-2</v>
      </c>
      <c r="T565" s="9" cm="1">
        <f t="array" ref="T56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4.0277777783921921E-2</v>
      </c>
      <c r="U565" s="9" t="str" cm="1">
        <f t="array" ref="U56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6" spans="1:21" x14ac:dyDescent="0.35">
      <c r="A566" s="27">
        <v>3</v>
      </c>
      <c r="B566" s="11" t="s">
        <v>1152</v>
      </c>
      <c r="C566" s="11">
        <v>6</v>
      </c>
      <c r="D566" s="12">
        <v>45022.11041666667</v>
      </c>
      <c r="E566" s="12">
        <v>45022.228472222225</v>
      </c>
      <c r="F566" s="11" t="s">
        <v>223</v>
      </c>
      <c r="G566" s="11" t="s">
        <v>86</v>
      </c>
      <c r="H566" s="11" t="s">
        <v>74</v>
      </c>
      <c r="I566" s="16">
        <v>15.11</v>
      </c>
      <c r="J566" s="11" t="s">
        <v>75</v>
      </c>
      <c r="K566" s="11">
        <v>565</v>
      </c>
      <c r="L566" s="11" t="s">
        <v>275</v>
      </c>
      <c r="M566" s="11" t="s">
        <v>1657</v>
      </c>
      <c r="N566">
        <f>_xlfn.XLOOKUP(spaces_3iWczBNnn5rbfoUlE0Jd_uploads_git_blob_9864c7f811c613c3faab876659c6423__25[[#This Row],[Número de Orden]],Cocinadinamica!B567:B1335,Cocinadinamica!C567:C1335)</f>
        <v>103</v>
      </c>
      <c r="O566" s="7">
        <f>spaces_3iWczBNnn5rbfoUlE0Jd_uploads_git_blob_9864c7f811c613c3faab876659c6423__25[[#This Row],[Hora de Llegada]]</f>
        <v>45022.11041666667</v>
      </c>
      <c r="P566" s="9">
        <f>spaces_3iWczBNnn5rbfoUlE0Jd_uploads_git_blob_9864c7f811c613c3faab876659c6423__25[[#This Row],[Hora de Llegada]]</f>
        <v>45022.11041666667</v>
      </c>
      <c r="Q566" s="9">
        <f>spaces_3iWczBNnn5rbfoUlE0Jd_uploads_git_blob_9864c7f811c613c3faab876659c6423__25[[#This Row],[Hora de Salida]]</f>
        <v>45022.228472222225</v>
      </c>
      <c r="R566" s="9" cm="1">
        <f t="array" ref="R56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0.11805555555474712</v>
      </c>
      <c r="S566" s="9">
        <f>_xlfn.XLOOKUP(spaces_3iWczBNnn5rbfoUlE0Jd_uploads_git_blob_9864c7f811c613c3faab876659c6423__25[[#This Row],[Número de Orden]],Cocinadinamica!E567:E1335,Cocinadinamica!F567:F1335)/1440</f>
        <v>6.805555555555555E-2</v>
      </c>
      <c r="T566" s="9" cm="1">
        <f t="array" ref="T56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4.9999999999191566E-2</v>
      </c>
      <c r="U566" s="9" t="str" cm="1">
        <f t="array" ref="U56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7" spans="1:21" x14ac:dyDescent="0.35">
      <c r="A567" s="28" t="s">
        <v>210</v>
      </c>
      <c r="B567" s="13" t="s">
        <v>667</v>
      </c>
      <c r="C567" s="13">
        <v>3</v>
      </c>
      <c r="D567" s="14">
        <v>45022.072916666664</v>
      </c>
      <c r="E567" s="14">
        <v>45022.206250000003</v>
      </c>
      <c r="F567" s="13" t="s">
        <v>170</v>
      </c>
      <c r="G567" s="13" t="s">
        <v>86</v>
      </c>
      <c r="H567" s="13" t="s">
        <v>74</v>
      </c>
      <c r="I567" s="17">
        <v>42.62</v>
      </c>
      <c r="J567" s="13" t="s">
        <v>75</v>
      </c>
      <c r="K567" s="13">
        <v>566</v>
      </c>
      <c r="L567" s="13" t="s">
        <v>174</v>
      </c>
      <c r="M567" s="13" t="s">
        <v>47</v>
      </c>
      <c r="N567">
        <f>_xlfn.XLOOKUP(spaces_3iWczBNnn5rbfoUlE0Jd_uploads_git_blob_9864c7f811c613c3faab876659c6423__25[[#This Row],[Número de Orden]],Cocinadinamica!B568:B1336,Cocinadinamica!C568:C1336)</f>
        <v>33</v>
      </c>
      <c r="O567" s="7">
        <f>spaces_3iWczBNnn5rbfoUlE0Jd_uploads_git_blob_9864c7f811c613c3faab876659c6423__25[[#This Row],[Hora de Llegada]]</f>
        <v>45022.072916666664</v>
      </c>
      <c r="P567" s="9">
        <f>spaces_3iWczBNnn5rbfoUlE0Jd_uploads_git_blob_9864c7f811c613c3faab876659c6423__25[[#This Row],[Hora de Llegada]]</f>
        <v>45022.072916666664</v>
      </c>
      <c r="Q567" s="9">
        <f>spaces_3iWczBNnn5rbfoUlE0Jd_uploads_git_blob_9864c7f811c613c3faab876659c6423__25[[#This Row],[Hora de Salida]]</f>
        <v>45022.206250000003</v>
      </c>
      <c r="R567" s="9" cm="1">
        <f t="array" ref="R56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0.13333333333866904</v>
      </c>
      <c r="S567" s="9">
        <f>_xlfn.XLOOKUP(spaces_3iWczBNnn5rbfoUlE0Jd_uploads_git_blob_9864c7f811c613c3faab876659c6423__25[[#This Row],[Número de Orden]],Cocinadinamica!E568:E1336,Cocinadinamica!F568:F1336)/1440</f>
        <v>3.888888888888889E-2</v>
      </c>
      <c r="T567" s="9" cm="1">
        <f t="array" ref="T56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9.4444444449780146E-2</v>
      </c>
      <c r="U567" s="9" t="str" cm="1">
        <f t="array" ref="U56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8" spans="1:21" x14ac:dyDescent="0.35">
      <c r="A568" s="27">
        <v>15</v>
      </c>
      <c r="B568" s="11" t="s">
        <v>1071</v>
      </c>
      <c r="C568" s="11">
        <v>4</v>
      </c>
      <c r="D568" s="12">
        <v>45022.082638888889</v>
      </c>
      <c r="E568" s="12">
        <v>45022.219444444447</v>
      </c>
      <c r="F568" s="11" t="s">
        <v>72</v>
      </c>
      <c r="G568" s="11" t="s">
        <v>86</v>
      </c>
      <c r="H568" s="11" t="s">
        <v>109</v>
      </c>
      <c r="I568" s="16">
        <v>42.83</v>
      </c>
      <c r="J568" s="11" t="s">
        <v>88</v>
      </c>
      <c r="K568" s="11">
        <v>567</v>
      </c>
      <c r="L568" s="11" t="s">
        <v>101</v>
      </c>
      <c r="M568" s="11" t="s">
        <v>1658</v>
      </c>
      <c r="N568">
        <f>_xlfn.XLOOKUP(spaces_3iWczBNnn5rbfoUlE0Jd_uploads_git_blob_9864c7f811c613c3faab876659c6423__25[[#This Row],[Número de Orden]],Cocinadinamica!B569:B1337,Cocinadinamica!C569:C1337)</f>
        <v>102</v>
      </c>
      <c r="O568" s="7">
        <f>spaces_3iWczBNnn5rbfoUlE0Jd_uploads_git_blob_9864c7f811c613c3faab876659c6423__25[[#This Row],[Hora de Llegada]]</f>
        <v>45022.082638888889</v>
      </c>
      <c r="P568" s="9">
        <f>spaces_3iWczBNnn5rbfoUlE0Jd_uploads_git_blob_9864c7f811c613c3faab876659c6423__25[[#This Row],[Hora de Llegada]]</f>
        <v>45022.082638888889</v>
      </c>
      <c r="Q568" s="9">
        <f>spaces_3iWczBNnn5rbfoUlE0Jd_uploads_git_blob_9864c7f811c613c3faab876659c6423__25[[#This Row],[Hora de Salida]]</f>
        <v>45022.219444444447</v>
      </c>
      <c r="R568" s="9" cm="1">
        <f t="array" ref="R56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0.14722222222189885</v>
      </c>
      <c r="S568" s="9">
        <f>_xlfn.XLOOKUP(spaces_3iWczBNnn5rbfoUlE0Jd_uploads_git_blob_9864c7f811c613c3faab876659c6423__25[[#This Row],[Número de Orden]],Cocinadinamica!E569:E1337,Cocinadinamica!F569:F1337)/1440</f>
        <v>7.0833333333333331E-2</v>
      </c>
      <c r="T568" s="9" cm="1">
        <f t="array" ref="T56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7.6388888888565515E-2</v>
      </c>
      <c r="U568" s="9" t="str" cm="1">
        <f t="array" ref="U56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69" spans="1:21" x14ac:dyDescent="0.35">
      <c r="A569" s="28">
        <v>5</v>
      </c>
      <c r="B569" s="13" t="s">
        <v>892</v>
      </c>
      <c r="C569" s="13">
        <v>1</v>
      </c>
      <c r="D569" s="14">
        <v>45022.068749999999</v>
      </c>
      <c r="E569" s="14">
        <v>45022.144444444442</v>
      </c>
      <c r="F569" s="13" t="s">
        <v>72</v>
      </c>
      <c r="G569" s="13" t="s">
        <v>86</v>
      </c>
      <c r="H569" s="13" t="s">
        <v>109</v>
      </c>
      <c r="I569" s="17">
        <v>21.13</v>
      </c>
      <c r="J569" s="13" t="s">
        <v>88</v>
      </c>
      <c r="K569" s="13">
        <v>568</v>
      </c>
      <c r="L569" s="13" t="s">
        <v>110</v>
      </c>
      <c r="M569" s="13" t="s">
        <v>1270</v>
      </c>
      <c r="N569">
        <f>_xlfn.XLOOKUP(spaces_3iWczBNnn5rbfoUlE0Jd_uploads_git_blob_9864c7f811c613c3faab876659c6423__25[[#This Row],[Número de Orden]],Cocinadinamica!B570:B1338,Cocinadinamica!C570:C1338)</f>
        <v>72</v>
      </c>
      <c r="O569" s="7">
        <f>spaces_3iWczBNnn5rbfoUlE0Jd_uploads_git_blob_9864c7f811c613c3faab876659c6423__25[[#This Row],[Hora de Llegada]]</f>
        <v>45022.068749999999</v>
      </c>
      <c r="P569" s="9">
        <f>spaces_3iWczBNnn5rbfoUlE0Jd_uploads_git_blob_9864c7f811c613c3faab876659c6423__25[[#This Row],[Hora de Llegada]]</f>
        <v>45022.068749999999</v>
      </c>
      <c r="Q569" s="9">
        <f>spaces_3iWczBNnn5rbfoUlE0Jd_uploads_git_blob_9864c7f811c613c3faab876659c6423__25[[#This Row],[Hora de Salida]]</f>
        <v>45022.144444444442</v>
      </c>
      <c r="R569" s="9" cm="1">
        <f t="array" ref="R56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8.611111110803904E-2</v>
      </c>
      <c r="S569" s="9">
        <f>_xlfn.XLOOKUP(spaces_3iWczBNnn5rbfoUlE0Jd_uploads_git_blob_9864c7f811c613c3faab876659c6423__25[[#This Row],[Número de Orden]],Cocinadinamica!E570:E1338,Cocinadinamica!F570:F1338)/1440</f>
        <v>5.8333333333333334E-2</v>
      </c>
      <c r="T569" s="9" cm="1">
        <f t="array" ref="T56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2.7777777774705706E-2</v>
      </c>
      <c r="U569" s="9" t="str" cm="1">
        <f t="array" ref="U56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0" spans="1:21" x14ac:dyDescent="0.35">
      <c r="A570" s="27">
        <v>12</v>
      </c>
      <c r="B570" s="11" t="s">
        <v>1153</v>
      </c>
      <c r="C570" s="11">
        <v>5</v>
      </c>
      <c r="D570" s="12">
        <v>45022.061111111114</v>
      </c>
      <c r="E570" s="12">
        <v>45022.128472222219</v>
      </c>
      <c r="F570" s="11" t="s">
        <v>223</v>
      </c>
      <c r="G570" s="11" t="s">
        <v>86</v>
      </c>
      <c r="H570" s="11" t="s">
        <v>74</v>
      </c>
      <c r="I570" s="16">
        <v>28.52</v>
      </c>
      <c r="J570" s="11" t="s">
        <v>94</v>
      </c>
      <c r="K570" s="11">
        <v>569</v>
      </c>
      <c r="L570" s="11" t="s">
        <v>95</v>
      </c>
      <c r="M570" s="11" t="s">
        <v>1659</v>
      </c>
      <c r="N570">
        <f>_xlfn.XLOOKUP(spaces_3iWczBNnn5rbfoUlE0Jd_uploads_git_blob_9864c7f811c613c3faab876659c6423__25[[#This Row],[Número de Orden]],Cocinadinamica!B571:B1339,Cocinadinamica!C571:C1339)</f>
        <v>52</v>
      </c>
      <c r="O570" s="7">
        <f>spaces_3iWczBNnn5rbfoUlE0Jd_uploads_git_blob_9864c7f811c613c3faab876659c6423__25[[#This Row],[Hora de Llegada]]</f>
        <v>45022.061111111114</v>
      </c>
      <c r="P570" s="9">
        <f>spaces_3iWczBNnn5rbfoUlE0Jd_uploads_git_blob_9864c7f811c613c3faab876659c6423__25[[#This Row],[Hora de Llegada]]</f>
        <v>45022.061111111114</v>
      </c>
      <c r="Q570" s="9">
        <f>spaces_3iWczBNnn5rbfoUlE0Jd_uploads_git_blob_9864c7f811c613c3faab876659c6423__25[[#This Row],[Hora de Salida]]</f>
        <v>45022.128472222219</v>
      </c>
      <c r="R570" s="9" cm="1">
        <f t="array" ref="R57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6.7361111105128657E-2</v>
      </c>
      <c r="S570" s="9">
        <f>_xlfn.XLOOKUP(spaces_3iWczBNnn5rbfoUlE0Jd_uploads_git_blob_9864c7f811c613c3faab876659c6423__25[[#This Row],[Número de Orden]],Cocinadinamica!E571:E1339,Cocinadinamica!F571:F1339)/1440</f>
        <v>4.027777777777778E-2</v>
      </c>
      <c r="T570" s="9" cm="1">
        <f t="array" ref="T57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2.7083333327350877E-2</v>
      </c>
      <c r="U570" s="9" t="str" cm="1">
        <f t="array" ref="U57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1" spans="1:21" x14ac:dyDescent="0.35">
      <c r="A571" s="28">
        <v>1</v>
      </c>
      <c r="B571" s="13" t="s">
        <v>1154</v>
      </c>
      <c r="C571" s="13">
        <v>6</v>
      </c>
      <c r="D571" s="14">
        <v>45022.111111111109</v>
      </c>
      <c r="E571" s="14">
        <v>45022.185416666667</v>
      </c>
      <c r="F571" s="13" t="s">
        <v>85</v>
      </c>
      <c r="G571" s="13" t="s">
        <v>86</v>
      </c>
      <c r="H571" s="13" t="s">
        <v>74</v>
      </c>
      <c r="I571" s="17">
        <v>38.4</v>
      </c>
      <c r="J571" s="13" t="s">
        <v>75</v>
      </c>
      <c r="K571" s="13">
        <v>570</v>
      </c>
      <c r="L571" s="13" t="s">
        <v>110</v>
      </c>
      <c r="M571" s="13" t="s">
        <v>1572</v>
      </c>
      <c r="N571">
        <f>_xlfn.XLOOKUP(spaces_3iWczBNnn5rbfoUlE0Jd_uploads_git_blob_9864c7f811c613c3faab876659c6423__25[[#This Row],[Número de Orden]],Cocinadinamica!B572:B1340,Cocinadinamica!C572:C1340)</f>
        <v>35</v>
      </c>
      <c r="O571" s="7">
        <f>spaces_3iWczBNnn5rbfoUlE0Jd_uploads_git_blob_9864c7f811c613c3faab876659c6423__25[[#This Row],[Hora de Llegada]]</f>
        <v>45022.111111111109</v>
      </c>
      <c r="P571" s="9">
        <f>spaces_3iWczBNnn5rbfoUlE0Jd_uploads_git_blob_9864c7f811c613c3faab876659c6423__25[[#This Row],[Hora de Llegada]]</f>
        <v>45022.111111111109</v>
      </c>
      <c r="Q571" s="9">
        <f>spaces_3iWczBNnn5rbfoUlE0Jd_uploads_git_blob_9864c7f811c613c3faab876659c6423__25[[#This Row],[Hora de Salida]]</f>
        <v>45022.185416666667</v>
      </c>
      <c r="R571" s="9" cm="1">
        <f t="array" ref="R57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7.4305555557657499E-2</v>
      </c>
      <c r="S571" s="9">
        <f>_xlfn.XLOOKUP(spaces_3iWczBNnn5rbfoUlE0Jd_uploads_git_blob_9864c7f811c613c3faab876659c6423__25[[#This Row],[Número de Orden]],Cocinadinamica!E572:E1340,Cocinadinamica!F572:F1340)/1440</f>
        <v>3.1944444444444442E-2</v>
      </c>
      <c r="T571" s="9" cm="1">
        <f t="array" ref="T57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4.2361111113213057E-2</v>
      </c>
      <c r="U571" s="9" t="str" cm="1">
        <f t="array" ref="U57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2" spans="1:21" x14ac:dyDescent="0.35">
      <c r="A572" s="27" t="s">
        <v>125</v>
      </c>
      <c r="B572" s="11" t="s">
        <v>672</v>
      </c>
      <c r="C572" s="11">
        <v>2</v>
      </c>
      <c r="D572" s="12">
        <v>45022.056250000001</v>
      </c>
      <c r="E572" s="12">
        <v>45022.120833333334</v>
      </c>
      <c r="F572" s="11" t="s">
        <v>85</v>
      </c>
      <c r="G572" s="11" t="s">
        <v>86</v>
      </c>
      <c r="H572" s="11" t="s">
        <v>74</v>
      </c>
      <c r="I572" s="16">
        <v>49.54</v>
      </c>
      <c r="J572" s="11" t="s">
        <v>75</v>
      </c>
      <c r="K572" s="11">
        <v>571</v>
      </c>
      <c r="L572" s="11" t="s">
        <v>76</v>
      </c>
      <c r="M572" s="11" t="s">
        <v>17</v>
      </c>
      <c r="N572">
        <f>_xlfn.XLOOKUP(spaces_3iWczBNnn5rbfoUlE0Jd_uploads_git_blob_9864c7f811c613c3faab876659c6423__25[[#This Row],[Número de Orden]],Cocinadinamica!B573:B1341,Cocinadinamica!C573:C1341)</f>
        <v>22</v>
      </c>
      <c r="O572" s="7">
        <f>spaces_3iWczBNnn5rbfoUlE0Jd_uploads_git_blob_9864c7f811c613c3faab876659c6423__25[[#This Row],[Hora de Llegada]]</f>
        <v>45022.056250000001</v>
      </c>
      <c r="P572" s="9">
        <f>spaces_3iWczBNnn5rbfoUlE0Jd_uploads_git_blob_9864c7f811c613c3faab876659c6423__25[[#This Row],[Hora de Llegada]]</f>
        <v>45022.056250000001</v>
      </c>
      <c r="Q572" s="9">
        <f>spaces_3iWczBNnn5rbfoUlE0Jd_uploads_git_blob_9864c7f811c613c3faab876659c6423__25[[#This Row],[Hora de Salida]]</f>
        <v>45022.120833333334</v>
      </c>
      <c r="R572" s="9" cm="1">
        <f t="array" ref="R57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6.4583333332848269E-2</v>
      </c>
      <c r="S572" s="9">
        <f>_xlfn.XLOOKUP(spaces_3iWczBNnn5rbfoUlE0Jd_uploads_git_blob_9864c7f811c613c3faab876659c6423__25[[#This Row],[Número de Orden]],Cocinadinamica!E573:E1341,Cocinadinamica!F573:F1341)/1440</f>
        <v>1.8055555555555554E-2</v>
      </c>
      <c r="T572" s="9" cm="1">
        <f t="array" ref="T57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4.6527777777292716E-2</v>
      </c>
      <c r="U572" s="9" t="str" cm="1">
        <f t="array" ref="U57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3" spans="1:21" x14ac:dyDescent="0.35">
      <c r="A573" s="28">
        <v>19</v>
      </c>
      <c r="B573" s="13" t="s">
        <v>1155</v>
      </c>
      <c r="C573" s="13">
        <v>3</v>
      </c>
      <c r="D573" s="14">
        <v>45022.120138888888</v>
      </c>
      <c r="E573" s="14">
        <v>45022.268750000003</v>
      </c>
      <c r="F573" s="13" t="s">
        <v>72</v>
      </c>
      <c r="G573" s="13" t="s">
        <v>86</v>
      </c>
      <c r="H573" s="13" t="s">
        <v>87</v>
      </c>
      <c r="I573" s="17">
        <v>46.21</v>
      </c>
      <c r="J573" s="13" t="s">
        <v>88</v>
      </c>
      <c r="K573" s="13">
        <v>572</v>
      </c>
      <c r="L573" s="13" t="s">
        <v>89</v>
      </c>
      <c r="M573" s="13" t="s">
        <v>1660</v>
      </c>
      <c r="N573">
        <f>_xlfn.XLOOKUP(spaces_3iWczBNnn5rbfoUlE0Jd_uploads_git_blob_9864c7f811c613c3faab876659c6423__25[[#This Row],[Número de Orden]],Cocinadinamica!B574:B1342,Cocinadinamica!C574:C1342)</f>
        <v>30</v>
      </c>
      <c r="O573" s="7">
        <f>spaces_3iWczBNnn5rbfoUlE0Jd_uploads_git_blob_9864c7f811c613c3faab876659c6423__25[[#This Row],[Hora de Llegada]]</f>
        <v>45022.120138888888</v>
      </c>
      <c r="P573" s="9">
        <f>spaces_3iWczBNnn5rbfoUlE0Jd_uploads_git_blob_9864c7f811c613c3faab876659c6423__25[[#This Row],[Hora de Llegada]]</f>
        <v>45022.120138888888</v>
      </c>
      <c r="Q573" s="9">
        <f>spaces_3iWczBNnn5rbfoUlE0Jd_uploads_git_blob_9864c7f811c613c3faab876659c6423__25[[#This Row],[Hora de Salida]]</f>
        <v>45022.268750000003</v>
      </c>
      <c r="R573" s="9" cm="1">
        <f t="array" ref="R57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0.15902777777955635</v>
      </c>
      <c r="S573" s="9">
        <f>_xlfn.XLOOKUP(spaces_3iWczBNnn5rbfoUlE0Jd_uploads_git_blob_9864c7f811c613c3faab876659c6423__25[[#This Row],[Número de Orden]],Cocinadinamica!E574:E1342,Cocinadinamica!F574:F1342)/1440</f>
        <v>3.0555555555555555E-2</v>
      </c>
      <c r="T573" s="9" cm="1">
        <f t="array" ref="T57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0.12847222222400079</v>
      </c>
      <c r="U573" s="9" t="str" cm="1">
        <f t="array" ref="U57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4" spans="1:21" x14ac:dyDescent="0.35">
      <c r="A574" s="27">
        <v>7</v>
      </c>
      <c r="B574" s="11" t="s">
        <v>1156</v>
      </c>
      <c r="C574" s="11">
        <v>3</v>
      </c>
      <c r="D574" s="12">
        <v>45022.133333333331</v>
      </c>
      <c r="E574" s="12">
        <v>45022.29791666667</v>
      </c>
      <c r="F574" s="11" t="s">
        <v>170</v>
      </c>
      <c r="G574" s="11" t="s">
        <v>86</v>
      </c>
      <c r="H574" s="11" t="s">
        <v>74</v>
      </c>
      <c r="I574" s="16">
        <v>47.08</v>
      </c>
      <c r="J574" s="11" t="s">
        <v>88</v>
      </c>
      <c r="K574" s="11">
        <v>573</v>
      </c>
      <c r="L574" s="11" t="s">
        <v>101</v>
      </c>
      <c r="M574" s="11" t="s">
        <v>1661</v>
      </c>
      <c r="N574">
        <f>_xlfn.XLOOKUP(spaces_3iWczBNnn5rbfoUlE0Jd_uploads_git_blob_9864c7f811c613c3faab876659c6423__25[[#This Row],[Número de Orden]],Cocinadinamica!B575:B1343,Cocinadinamica!C575:C1343)</f>
        <v>66</v>
      </c>
      <c r="O574" s="7">
        <f>spaces_3iWczBNnn5rbfoUlE0Jd_uploads_git_blob_9864c7f811c613c3faab876659c6423__25[[#This Row],[Hora de Llegada]]</f>
        <v>45022.133333333331</v>
      </c>
      <c r="P574" s="9">
        <f>spaces_3iWczBNnn5rbfoUlE0Jd_uploads_git_blob_9864c7f811c613c3faab876659c6423__25[[#This Row],[Hora de Llegada]]</f>
        <v>45022.133333333331</v>
      </c>
      <c r="Q574" s="9">
        <f>spaces_3iWczBNnn5rbfoUlE0Jd_uploads_git_blob_9864c7f811c613c3faab876659c6423__25[[#This Row],[Hora de Salida]]</f>
        <v>45022.29791666667</v>
      </c>
      <c r="R574" s="9" cm="1">
        <f t="array" ref="R57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0.17500000000291038</v>
      </c>
      <c r="S574" s="9">
        <f>_xlfn.XLOOKUP(spaces_3iWczBNnn5rbfoUlE0Jd_uploads_git_blob_9864c7f811c613c3faab876659c6423__25[[#This Row],[Número de Orden]],Cocinadinamica!E575:E1343,Cocinadinamica!F575:F1343)/1440</f>
        <v>4.791666666666667E-2</v>
      </c>
      <c r="T574" s="9" cm="1">
        <f t="array" ref="T57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0.12708333333624372</v>
      </c>
      <c r="U574" s="9" t="str" cm="1">
        <f t="array" ref="U57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5" spans="1:21" x14ac:dyDescent="0.35">
      <c r="A575" s="28">
        <v>20</v>
      </c>
      <c r="B575" s="13" t="s">
        <v>1157</v>
      </c>
      <c r="C575" s="13">
        <v>3</v>
      </c>
      <c r="D575" s="14">
        <v>45022.021527777775</v>
      </c>
      <c r="E575" s="14">
        <v>45022.130555555559</v>
      </c>
      <c r="F575" s="13" t="s">
        <v>85</v>
      </c>
      <c r="G575" s="13" t="s">
        <v>86</v>
      </c>
      <c r="H575" s="13" t="s">
        <v>74</v>
      </c>
      <c r="I575" s="17">
        <v>42.57</v>
      </c>
      <c r="J575" s="13" t="s">
        <v>75</v>
      </c>
      <c r="K575" s="13">
        <v>574</v>
      </c>
      <c r="L575" s="13" t="s">
        <v>89</v>
      </c>
      <c r="M575" s="13" t="s">
        <v>1662</v>
      </c>
      <c r="N575">
        <f>_xlfn.XLOOKUP(spaces_3iWczBNnn5rbfoUlE0Jd_uploads_git_blob_9864c7f811c613c3faab876659c6423__25[[#This Row],[Número de Orden]],Cocinadinamica!B576:B1344,Cocinadinamica!C576:C1344)</f>
        <v>85</v>
      </c>
      <c r="O575" s="7">
        <f>spaces_3iWczBNnn5rbfoUlE0Jd_uploads_git_blob_9864c7f811c613c3faab876659c6423__25[[#This Row],[Hora de Llegada]]</f>
        <v>45022.021527777775</v>
      </c>
      <c r="P575" s="9">
        <f>spaces_3iWczBNnn5rbfoUlE0Jd_uploads_git_blob_9864c7f811c613c3faab876659c6423__25[[#This Row],[Hora de Llegada]]</f>
        <v>45022.021527777775</v>
      </c>
      <c r="Q575" s="9">
        <f>spaces_3iWczBNnn5rbfoUlE0Jd_uploads_git_blob_9864c7f811c613c3faab876659c6423__25[[#This Row],[Hora de Salida]]</f>
        <v>45022.130555555559</v>
      </c>
      <c r="R575" s="9" cm="1">
        <f t="array" ref="R57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0.10902777778392192</v>
      </c>
      <c r="S575" s="9">
        <f>_xlfn.XLOOKUP(spaces_3iWczBNnn5rbfoUlE0Jd_uploads_git_blob_9864c7f811c613c3faab876659c6423__25[[#This Row],[Número de Orden]],Cocinadinamica!E576:E1344,Cocinadinamica!F576:F1344)/1440</f>
        <v>0.11666666666666667</v>
      </c>
      <c r="T575" s="9" cm="1">
        <f t="array" ref="T57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75" s="9" t="str" cm="1">
        <f t="array" ref="U57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76" spans="1:21" x14ac:dyDescent="0.35">
      <c r="A576" s="27" t="s">
        <v>125</v>
      </c>
      <c r="B576" s="11" t="s">
        <v>676</v>
      </c>
      <c r="C576" s="11">
        <v>4</v>
      </c>
      <c r="D576" s="12">
        <v>45022.066666666666</v>
      </c>
      <c r="E576" s="12">
        <v>45022.197222222225</v>
      </c>
      <c r="F576" s="11" t="s">
        <v>72</v>
      </c>
      <c r="G576" s="11" t="s">
        <v>86</v>
      </c>
      <c r="H576" s="11" t="s">
        <v>74</v>
      </c>
      <c r="I576" s="16">
        <v>33.520000000000003</v>
      </c>
      <c r="J576" s="11" t="s">
        <v>75</v>
      </c>
      <c r="K576" s="11">
        <v>575</v>
      </c>
      <c r="L576" s="11" t="s">
        <v>221</v>
      </c>
      <c r="M576" s="11" t="s">
        <v>45</v>
      </c>
      <c r="N576">
        <f>_xlfn.XLOOKUP(spaces_3iWczBNnn5rbfoUlE0Jd_uploads_git_blob_9864c7f811c613c3faab876659c6423__25[[#This Row],[Número de Orden]],Cocinadinamica!B577:B1345,Cocinadinamica!C577:C1345)</f>
        <v>8</v>
      </c>
      <c r="O576" s="7">
        <f>spaces_3iWczBNnn5rbfoUlE0Jd_uploads_git_blob_9864c7f811c613c3faab876659c6423__25[[#This Row],[Hora de Llegada]]</f>
        <v>45022.066666666666</v>
      </c>
      <c r="P576" s="9">
        <f>spaces_3iWczBNnn5rbfoUlE0Jd_uploads_git_blob_9864c7f811c613c3faab876659c6423__25[[#This Row],[Hora de Llegada]]</f>
        <v>45022.066666666666</v>
      </c>
      <c r="Q576" s="9">
        <f>spaces_3iWczBNnn5rbfoUlE0Jd_uploads_git_blob_9864c7f811c613c3faab876659c6423__25[[#This Row],[Hora de Salida]]</f>
        <v>45022.197222222225</v>
      </c>
      <c r="R576" s="9" cm="1">
        <f t="array" ref="R57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0.13055555555911269</v>
      </c>
      <c r="S576" s="9">
        <f>_xlfn.XLOOKUP(spaces_3iWczBNnn5rbfoUlE0Jd_uploads_git_blob_9864c7f811c613c3faab876659c6423__25[[#This Row],[Número de Orden]],Cocinadinamica!E577:E1345,Cocinadinamica!F577:F1345)/1440</f>
        <v>3.0555555555555555E-2</v>
      </c>
      <c r="T576" s="9" cm="1">
        <f t="array" ref="T57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0.10000000000355713</v>
      </c>
      <c r="U576" s="9" t="str" cm="1">
        <f t="array" ref="U57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7" spans="1:21" x14ac:dyDescent="0.35">
      <c r="A577" s="28">
        <v>9</v>
      </c>
      <c r="B577" s="13" t="s">
        <v>1158</v>
      </c>
      <c r="C577" s="13">
        <v>1</v>
      </c>
      <c r="D577" s="14">
        <v>45022.164583333331</v>
      </c>
      <c r="E577" s="14">
        <v>45022.29583333333</v>
      </c>
      <c r="F577" s="13" t="s">
        <v>72</v>
      </c>
      <c r="G577" s="13" t="s">
        <v>73</v>
      </c>
      <c r="H577" s="13" t="s">
        <v>87</v>
      </c>
      <c r="I577" s="17">
        <v>21.71</v>
      </c>
      <c r="J577" s="13" t="s">
        <v>94</v>
      </c>
      <c r="K577" s="13">
        <v>576</v>
      </c>
      <c r="L577" s="13" t="s">
        <v>174</v>
      </c>
      <c r="M577" s="13" t="s">
        <v>1663</v>
      </c>
      <c r="N577">
        <f>_xlfn.XLOOKUP(spaces_3iWczBNnn5rbfoUlE0Jd_uploads_git_blob_9864c7f811c613c3faab876659c6423__25[[#This Row],[Número de Orden]],Cocinadinamica!B578:B1346,Cocinadinamica!C578:C1346)</f>
        <v>91</v>
      </c>
      <c r="O577" s="7">
        <f>spaces_3iWczBNnn5rbfoUlE0Jd_uploads_git_blob_9864c7f811c613c3faab876659c6423__25[[#This Row],[Hora de Llegada]]</f>
        <v>45022.164583333331</v>
      </c>
      <c r="P577" s="9">
        <f>spaces_3iWczBNnn5rbfoUlE0Jd_uploads_git_blob_9864c7f811c613c3faab876659c6423__25[[#This Row],[Hora de Llegada]]</f>
        <v>45022.164583333331</v>
      </c>
      <c r="Q577" s="9">
        <f>spaces_3iWczBNnn5rbfoUlE0Jd_uploads_git_blob_9864c7f811c613c3faab876659c6423__25[[#This Row],[Hora de Salida]]</f>
        <v>45022.29583333333</v>
      </c>
      <c r="R577" s="9" cm="1">
        <f t="array" ref="R57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0.13124999999854481</v>
      </c>
      <c r="S577" s="9">
        <f>_xlfn.XLOOKUP(spaces_3iWczBNnn5rbfoUlE0Jd_uploads_git_blob_9864c7f811c613c3faab876659c6423__25[[#This Row],[Número de Orden]],Cocinadinamica!E578:E1346,Cocinadinamica!F578:F1346)/1440</f>
        <v>7.9861111111111105E-2</v>
      </c>
      <c r="T577" s="9" cm="1">
        <f t="array" ref="T57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5.1388888887433704E-2</v>
      </c>
      <c r="U577" s="9" t="str" cm="1">
        <f t="array" ref="U57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8" spans="1:21" x14ac:dyDescent="0.35">
      <c r="A578" s="27">
        <v>5</v>
      </c>
      <c r="B578" s="11" t="s">
        <v>822</v>
      </c>
      <c r="C578" s="11">
        <v>4</v>
      </c>
      <c r="D578" s="12">
        <v>45022.134027777778</v>
      </c>
      <c r="E578" s="12">
        <v>45022.277777777781</v>
      </c>
      <c r="F578" s="11" t="s">
        <v>72</v>
      </c>
      <c r="G578" s="11" t="s">
        <v>86</v>
      </c>
      <c r="H578" s="11" t="s">
        <v>74</v>
      </c>
      <c r="I578" s="16">
        <v>34.119999999999997</v>
      </c>
      <c r="J578" s="11" t="s">
        <v>75</v>
      </c>
      <c r="K578" s="11">
        <v>577</v>
      </c>
      <c r="L578" s="11" t="s">
        <v>76</v>
      </c>
      <c r="M578" s="11" t="s">
        <v>1664</v>
      </c>
      <c r="N578">
        <f>_xlfn.XLOOKUP(spaces_3iWczBNnn5rbfoUlE0Jd_uploads_git_blob_9864c7f811c613c3faab876659c6423__25[[#This Row],[Número de Orden]],Cocinadinamica!B579:B1347,Cocinadinamica!C579:C1347)</f>
        <v>17</v>
      </c>
      <c r="O578" s="7">
        <f>spaces_3iWczBNnn5rbfoUlE0Jd_uploads_git_blob_9864c7f811c613c3faab876659c6423__25[[#This Row],[Hora de Llegada]]</f>
        <v>45022.134027777778</v>
      </c>
      <c r="P578" s="9">
        <f>spaces_3iWczBNnn5rbfoUlE0Jd_uploads_git_blob_9864c7f811c613c3faab876659c6423__25[[#This Row],[Hora de Llegada]]</f>
        <v>45022.134027777778</v>
      </c>
      <c r="Q578" s="9">
        <f>spaces_3iWczBNnn5rbfoUlE0Jd_uploads_git_blob_9864c7f811c613c3faab876659c6423__25[[#This Row],[Hora de Salida]]</f>
        <v>45022.277777777781</v>
      </c>
      <c r="R578" s="9" cm="1">
        <f t="array" ref="R57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0.14375000000291038</v>
      </c>
      <c r="S578" s="9">
        <f>_xlfn.XLOOKUP(spaces_3iWczBNnn5rbfoUlE0Jd_uploads_git_blob_9864c7f811c613c3faab876659c6423__25[[#This Row],[Número de Orden]],Cocinadinamica!E579:E1347,Cocinadinamica!F579:F1347)/1440</f>
        <v>1.7361111111111112E-2</v>
      </c>
      <c r="T578" s="9" cm="1">
        <f t="array" ref="T57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0.12638888889179928</v>
      </c>
      <c r="U578" s="9" t="str" cm="1">
        <f t="array" ref="U57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79" spans="1:21" x14ac:dyDescent="0.35">
      <c r="A579" s="28" t="s">
        <v>354</v>
      </c>
      <c r="B579" s="13" t="s">
        <v>679</v>
      </c>
      <c r="C579" s="13">
        <v>6</v>
      </c>
      <c r="D579" s="14">
        <v>45022.09097222222</v>
      </c>
      <c r="E579" s="14">
        <v>45022.183333333334</v>
      </c>
      <c r="F579" s="13" t="s">
        <v>170</v>
      </c>
      <c r="G579" s="13" t="s">
        <v>86</v>
      </c>
      <c r="H579" s="13" t="s">
        <v>74</v>
      </c>
      <c r="I579" s="17">
        <v>3.28</v>
      </c>
      <c r="J579" s="13" t="s">
        <v>88</v>
      </c>
      <c r="K579" s="13">
        <v>578</v>
      </c>
      <c r="L579" s="13" t="s">
        <v>181</v>
      </c>
      <c r="M579" s="13" t="s">
        <v>12</v>
      </c>
      <c r="N579">
        <f>_xlfn.XLOOKUP(spaces_3iWczBNnn5rbfoUlE0Jd_uploads_git_blob_9864c7f811c613c3faab876659c6423__25[[#This Row],[Número de Orden]],Cocinadinamica!B580:B1348,Cocinadinamica!C580:C1348)</f>
        <v>36</v>
      </c>
      <c r="O579" s="7">
        <f>spaces_3iWczBNnn5rbfoUlE0Jd_uploads_git_blob_9864c7f811c613c3faab876659c6423__25[[#This Row],[Hora de Llegada]]</f>
        <v>45022.09097222222</v>
      </c>
      <c r="P579" s="9">
        <f>spaces_3iWczBNnn5rbfoUlE0Jd_uploads_git_blob_9864c7f811c613c3faab876659c6423__25[[#This Row],[Hora de Llegada]]</f>
        <v>45022.09097222222</v>
      </c>
      <c r="Q579" s="9">
        <f>spaces_3iWczBNnn5rbfoUlE0Jd_uploads_git_blob_9864c7f811c613c3faab876659c6423__25[[#This Row],[Hora de Salida]]</f>
        <v>45022.183333333334</v>
      </c>
      <c r="R579" s="9" cm="1">
        <f t="array" ref="R57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0.10277777777810115</v>
      </c>
      <c r="S579" s="9">
        <f>_xlfn.XLOOKUP(spaces_3iWczBNnn5rbfoUlE0Jd_uploads_git_blob_9864c7f811c613c3faab876659c6423__25[[#This Row],[Número de Orden]],Cocinadinamica!E580:E1348,Cocinadinamica!F580:F1348)/1440</f>
        <v>3.0555555555555555E-2</v>
      </c>
      <c r="T579" s="9" cm="1">
        <f t="array" ref="T57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7.2222222222545596E-2</v>
      </c>
      <c r="U579" s="9" t="str" cm="1">
        <f t="array" ref="U57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0" spans="1:21" x14ac:dyDescent="0.35">
      <c r="A580" s="27" t="s">
        <v>247</v>
      </c>
      <c r="B580" s="11" t="s">
        <v>680</v>
      </c>
      <c r="C580" s="11">
        <v>2</v>
      </c>
      <c r="D580" s="12">
        <v>45022.006944444445</v>
      </c>
      <c r="E580" s="12">
        <v>45022.095138888886</v>
      </c>
      <c r="F580" s="11" t="s">
        <v>170</v>
      </c>
      <c r="G580" s="11" t="s">
        <v>86</v>
      </c>
      <c r="H580" s="11" t="s">
        <v>74</v>
      </c>
      <c r="I580" s="16">
        <v>35.96</v>
      </c>
      <c r="J580" s="11" t="s">
        <v>75</v>
      </c>
      <c r="K580" s="11">
        <v>579</v>
      </c>
      <c r="L580" s="11" t="s">
        <v>221</v>
      </c>
      <c r="M580" s="11" t="s">
        <v>49</v>
      </c>
      <c r="N580">
        <f>_xlfn.XLOOKUP(spaces_3iWczBNnn5rbfoUlE0Jd_uploads_git_blob_9864c7f811c613c3faab876659c6423__25[[#This Row],[Número de Orden]],Cocinadinamica!B581:B1349,Cocinadinamica!C581:C1349)</f>
        <v>20</v>
      </c>
      <c r="O580" s="7">
        <f>spaces_3iWczBNnn5rbfoUlE0Jd_uploads_git_blob_9864c7f811c613c3faab876659c6423__25[[#This Row],[Hora de Llegada]]</f>
        <v>45022.006944444445</v>
      </c>
      <c r="P580" s="9">
        <f>spaces_3iWczBNnn5rbfoUlE0Jd_uploads_git_blob_9864c7f811c613c3faab876659c6423__25[[#This Row],[Hora de Llegada]]</f>
        <v>45022.006944444445</v>
      </c>
      <c r="Q580" s="9">
        <f>spaces_3iWczBNnn5rbfoUlE0Jd_uploads_git_blob_9864c7f811c613c3faab876659c6423__25[[#This Row],[Hora de Salida]]</f>
        <v>45022.095138888886</v>
      </c>
      <c r="R580" s="9" cm="1">
        <f t="array" ref="R58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8.819444444088731E-2</v>
      </c>
      <c r="S580" s="9">
        <f>_xlfn.XLOOKUP(spaces_3iWczBNnn5rbfoUlE0Jd_uploads_git_blob_9864c7f811c613c3faab876659c6423__25[[#This Row],[Número de Orden]],Cocinadinamica!E581:E1349,Cocinadinamica!F581:F1349)/1440</f>
        <v>3.3333333333333333E-2</v>
      </c>
      <c r="T580" s="9" cm="1">
        <f t="array" ref="T58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5.4861111107553977E-2</v>
      </c>
      <c r="U580" s="9" t="str" cm="1">
        <f t="array" ref="U58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1" spans="1:21" x14ac:dyDescent="0.35">
      <c r="A581" s="28" t="s">
        <v>232</v>
      </c>
      <c r="B581" s="13" t="s">
        <v>126</v>
      </c>
      <c r="C581" s="13">
        <v>5</v>
      </c>
      <c r="D581" s="14">
        <v>45022.004166666666</v>
      </c>
      <c r="E581" s="14">
        <v>45022.054166666669</v>
      </c>
      <c r="F581" s="13" t="s">
        <v>72</v>
      </c>
      <c r="G581" s="13" t="s">
        <v>86</v>
      </c>
      <c r="H581" s="13" t="s">
        <v>109</v>
      </c>
      <c r="I581" s="17">
        <v>44.54</v>
      </c>
      <c r="J581" s="13" t="s">
        <v>75</v>
      </c>
      <c r="K581" s="13">
        <v>580</v>
      </c>
      <c r="L581" s="13" t="s">
        <v>174</v>
      </c>
      <c r="M581" s="13" t="s">
        <v>25</v>
      </c>
      <c r="N581">
        <f>_xlfn.XLOOKUP(spaces_3iWczBNnn5rbfoUlE0Jd_uploads_git_blob_9864c7f811c613c3faab876659c6423__25[[#This Row],[Número de Orden]],Cocinadinamica!B582:B1350,Cocinadinamica!C582:C1350)</f>
        <v>13</v>
      </c>
      <c r="O581" s="7">
        <f>spaces_3iWczBNnn5rbfoUlE0Jd_uploads_git_blob_9864c7f811c613c3faab876659c6423__25[[#This Row],[Hora de Llegada]]</f>
        <v>45022.004166666666</v>
      </c>
      <c r="P581" s="9">
        <f>spaces_3iWczBNnn5rbfoUlE0Jd_uploads_git_blob_9864c7f811c613c3faab876659c6423__25[[#This Row],[Hora de Llegada]]</f>
        <v>45022.004166666666</v>
      </c>
      <c r="Q581" s="9">
        <f>spaces_3iWczBNnn5rbfoUlE0Jd_uploads_git_blob_9864c7f811c613c3faab876659c6423__25[[#This Row],[Hora de Salida]]</f>
        <v>45022.054166666669</v>
      </c>
      <c r="R581" s="9" cm="1">
        <f t="array" ref="R58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5.0000000002910383E-2</v>
      </c>
      <c r="S581" s="9">
        <f>_xlfn.XLOOKUP(spaces_3iWczBNnn5rbfoUlE0Jd_uploads_git_blob_9864c7f811c613c3faab876659c6423__25[[#This Row],[Número de Orden]],Cocinadinamica!E582:E1350,Cocinadinamica!F582:F1350)/1440</f>
        <v>2.0833333333333332E-2</v>
      </c>
      <c r="T581" s="9" cm="1">
        <f t="array" ref="T58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2.9166666669577051E-2</v>
      </c>
      <c r="U581" s="9" t="str" cm="1">
        <f t="array" ref="U58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2" spans="1:21" x14ac:dyDescent="0.35">
      <c r="A582" s="27">
        <v>18</v>
      </c>
      <c r="B582" s="11" t="s">
        <v>925</v>
      </c>
      <c r="C582" s="11">
        <v>5</v>
      </c>
      <c r="D582" s="12">
        <v>45022.147916666669</v>
      </c>
      <c r="E582" s="12">
        <v>45022.213888888888</v>
      </c>
      <c r="F582" s="11" t="s">
        <v>72</v>
      </c>
      <c r="G582" s="11" t="s">
        <v>86</v>
      </c>
      <c r="H582" s="11" t="s">
        <v>74</v>
      </c>
      <c r="I582" s="16">
        <v>13.27</v>
      </c>
      <c r="J582" s="11" t="s">
        <v>88</v>
      </c>
      <c r="K582" s="11">
        <v>581</v>
      </c>
      <c r="L582" s="11" t="s">
        <v>76</v>
      </c>
      <c r="M582" s="11" t="s">
        <v>1409</v>
      </c>
      <c r="N582">
        <f>_xlfn.XLOOKUP(spaces_3iWczBNnn5rbfoUlE0Jd_uploads_git_blob_9864c7f811c613c3faab876659c6423__25[[#This Row],[Número de Orden]],Cocinadinamica!B583:B1351,Cocinadinamica!C583:C1351)</f>
        <v>49</v>
      </c>
      <c r="O582" s="7">
        <f>spaces_3iWczBNnn5rbfoUlE0Jd_uploads_git_blob_9864c7f811c613c3faab876659c6423__25[[#This Row],[Hora de Llegada]]</f>
        <v>45022.147916666669</v>
      </c>
      <c r="P582" s="9">
        <f>spaces_3iWczBNnn5rbfoUlE0Jd_uploads_git_blob_9864c7f811c613c3faab876659c6423__25[[#This Row],[Hora de Llegada]]</f>
        <v>45022.147916666669</v>
      </c>
      <c r="Q582" s="9">
        <f>spaces_3iWczBNnn5rbfoUlE0Jd_uploads_git_blob_9864c7f811c613c3faab876659c6423__25[[#This Row],[Hora de Salida]]</f>
        <v>45022.213888888888</v>
      </c>
      <c r="R582" s="9" cm="1">
        <f t="array" ref="R58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7.6388888883229811E-2</v>
      </c>
      <c r="S582" s="9">
        <f>_xlfn.XLOOKUP(spaces_3iWczBNnn5rbfoUlE0Jd_uploads_git_blob_9864c7f811c613c3faab876659c6423__25[[#This Row],[Número de Orden]],Cocinadinamica!E583:E1351,Cocinadinamica!F583:F1351)/1440</f>
        <v>3.8194444444444448E-2</v>
      </c>
      <c r="T582" s="9" cm="1">
        <f t="array" ref="T58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3.8194444438785363E-2</v>
      </c>
      <c r="U582" s="9" t="str" cm="1">
        <f t="array" ref="U58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3" spans="1:21" x14ac:dyDescent="0.35">
      <c r="A583" s="28" t="s">
        <v>308</v>
      </c>
      <c r="B583" s="13" t="s">
        <v>682</v>
      </c>
      <c r="C583" s="13">
        <v>1</v>
      </c>
      <c r="D583" s="14">
        <v>45022.158333333333</v>
      </c>
      <c r="E583" s="14">
        <v>45022.214583333334</v>
      </c>
      <c r="F583" s="13" t="s">
        <v>100</v>
      </c>
      <c r="G583" s="13" t="s">
        <v>86</v>
      </c>
      <c r="H583" s="13" t="s">
        <v>74</v>
      </c>
      <c r="I583" s="17">
        <v>20.23</v>
      </c>
      <c r="J583" s="13" t="s">
        <v>94</v>
      </c>
      <c r="K583" s="13">
        <v>582</v>
      </c>
      <c r="L583" s="13" t="s">
        <v>174</v>
      </c>
      <c r="M583" s="13" t="s">
        <v>17</v>
      </c>
      <c r="N583">
        <f>_xlfn.XLOOKUP(spaces_3iWczBNnn5rbfoUlE0Jd_uploads_git_blob_9864c7f811c613c3faab876659c6423__25[[#This Row],[Número de Orden]],Cocinadinamica!B584:B1352,Cocinadinamica!C584:C1352)</f>
        <v>22</v>
      </c>
      <c r="O583" s="7">
        <f>spaces_3iWczBNnn5rbfoUlE0Jd_uploads_git_blob_9864c7f811c613c3faab876659c6423__25[[#This Row],[Hora de Llegada]]</f>
        <v>45022.158333333333</v>
      </c>
      <c r="P583" s="9">
        <f>spaces_3iWczBNnn5rbfoUlE0Jd_uploads_git_blob_9864c7f811c613c3faab876659c6423__25[[#This Row],[Hora de Llegada]]</f>
        <v>45022.158333333333</v>
      </c>
      <c r="Q583" s="9">
        <f>spaces_3iWczBNnn5rbfoUlE0Jd_uploads_git_blob_9864c7f811c613c3faab876659c6423__25[[#This Row],[Hora de Salida]]</f>
        <v>45022.214583333334</v>
      </c>
      <c r="R583" s="9" cm="1">
        <f t="array" ref="R58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5.6250000001455192E-2</v>
      </c>
      <c r="S583" s="9">
        <f>_xlfn.XLOOKUP(spaces_3iWczBNnn5rbfoUlE0Jd_uploads_git_blob_9864c7f811c613c3faab876659c6423__25[[#This Row],[Número de Orden]],Cocinadinamica!E584:E1352,Cocinadinamica!F584:F1352)/1440</f>
        <v>2.9166666666666667E-2</v>
      </c>
      <c r="T583" s="9" cm="1">
        <f t="array" ref="T58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2.7083333334788524E-2</v>
      </c>
      <c r="U583" s="9" t="str" cm="1">
        <f t="array" ref="U58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4" spans="1:21" x14ac:dyDescent="0.35">
      <c r="A584" s="27">
        <v>9</v>
      </c>
      <c r="B584" s="11" t="s">
        <v>365</v>
      </c>
      <c r="C584" s="11">
        <v>2</v>
      </c>
      <c r="D584" s="12">
        <v>45022.070138888892</v>
      </c>
      <c r="E584" s="12">
        <v>45022.148611111108</v>
      </c>
      <c r="F584" s="11" t="s">
        <v>100</v>
      </c>
      <c r="G584" s="11" t="s">
        <v>73</v>
      </c>
      <c r="H584" s="11" t="s">
        <v>109</v>
      </c>
      <c r="I584" s="16">
        <v>35.99</v>
      </c>
      <c r="J584" s="11" t="s">
        <v>75</v>
      </c>
      <c r="K584" s="11">
        <v>583</v>
      </c>
      <c r="L584" s="11" t="s">
        <v>89</v>
      </c>
      <c r="M584" s="11" t="s">
        <v>1665</v>
      </c>
      <c r="N584">
        <f>_xlfn.XLOOKUP(spaces_3iWczBNnn5rbfoUlE0Jd_uploads_git_blob_9864c7f811c613c3faab876659c6423__25[[#This Row],[Número de Orden]],Cocinadinamica!B585:B1353,Cocinadinamica!C585:C1353)</f>
        <v>97</v>
      </c>
      <c r="O584" s="7">
        <f>spaces_3iWczBNnn5rbfoUlE0Jd_uploads_git_blob_9864c7f811c613c3faab876659c6423__25[[#This Row],[Hora de Llegada]]</f>
        <v>45022.070138888892</v>
      </c>
      <c r="P584" s="9">
        <f>spaces_3iWczBNnn5rbfoUlE0Jd_uploads_git_blob_9864c7f811c613c3faab876659c6423__25[[#This Row],[Hora de Llegada]]</f>
        <v>45022.070138888892</v>
      </c>
      <c r="Q584" s="9">
        <f>spaces_3iWczBNnn5rbfoUlE0Jd_uploads_git_blob_9864c7f811c613c3faab876659c6423__25[[#This Row],[Hora de Salida]]</f>
        <v>45022.148611111108</v>
      </c>
      <c r="R584" s="9" cm="1">
        <f t="array" ref="R58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7.847222221607808E-2</v>
      </c>
      <c r="S584" s="9">
        <f>_xlfn.XLOOKUP(spaces_3iWczBNnn5rbfoUlE0Jd_uploads_git_blob_9864c7f811c613c3faab876659c6423__25[[#This Row],[Número de Orden]],Cocinadinamica!E585:E1353,Cocinadinamica!F585:F1353)/1440</f>
        <v>7.2916666666666671E-2</v>
      </c>
      <c r="T584" s="9" cm="1">
        <f t="array" ref="T58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5.5555555494114089E-3</v>
      </c>
      <c r="U584" s="9" t="str" cm="1">
        <f t="array" ref="U58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5" spans="1:21" x14ac:dyDescent="0.35">
      <c r="A585" s="28">
        <v>9</v>
      </c>
      <c r="B585" s="13" t="s">
        <v>1159</v>
      </c>
      <c r="C585" s="13">
        <v>4</v>
      </c>
      <c r="D585" s="14">
        <v>45022.149305555555</v>
      </c>
      <c r="E585" s="14">
        <v>45022.290972222225</v>
      </c>
      <c r="F585" s="13" t="s">
        <v>170</v>
      </c>
      <c r="G585" s="13" t="s">
        <v>86</v>
      </c>
      <c r="H585" s="13" t="s">
        <v>109</v>
      </c>
      <c r="I585" s="17">
        <v>36.979999999999997</v>
      </c>
      <c r="J585" s="13" t="s">
        <v>94</v>
      </c>
      <c r="K585" s="13">
        <v>584</v>
      </c>
      <c r="L585" s="13" t="s">
        <v>101</v>
      </c>
      <c r="M585" s="13" t="s">
        <v>1666</v>
      </c>
      <c r="N585">
        <f>_xlfn.XLOOKUP(spaces_3iWczBNnn5rbfoUlE0Jd_uploads_git_blob_9864c7f811c613c3faab876659c6423__25[[#This Row],[Número de Orden]],Cocinadinamica!B586:B1354,Cocinadinamica!C586:C1354)</f>
        <v>56</v>
      </c>
      <c r="O585" s="7">
        <f>spaces_3iWczBNnn5rbfoUlE0Jd_uploads_git_blob_9864c7f811c613c3faab876659c6423__25[[#This Row],[Hora de Llegada]]</f>
        <v>45022.149305555555</v>
      </c>
      <c r="P585" s="9">
        <f>spaces_3iWczBNnn5rbfoUlE0Jd_uploads_git_blob_9864c7f811c613c3faab876659c6423__25[[#This Row],[Hora de Llegada]]</f>
        <v>45022.149305555555</v>
      </c>
      <c r="Q585" s="9">
        <f>spaces_3iWczBNnn5rbfoUlE0Jd_uploads_git_blob_9864c7f811c613c3faab876659c6423__25[[#This Row],[Hora de Salida]]</f>
        <v>45022.290972222225</v>
      </c>
      <c r="R585" s="9" cm="1">
        <f t="array" ref="R58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0.14166666667006211</v>
      </c>
      <c r="S585" s="9">
        <f>_xlfn.XLOOKUP(spaces_3iWczBNnn5rbfoUlE0Jd_uploads_git_blob_9864c7f811c613c3faab876659c6423__25[[#This Row],[Número de Orden]],Cocinadinamica!E586:E1354,Cocinadinamica!F586:F1354)/1440</f>
        <v>7.9166666666666663E-2</v>
      </c>
      <c r="T585" s="9" cm="1">
        <f t="array" ref="T58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6.2500000003395451E-2</v>
      </c>
      <c r="U585" s="9" t="str" cm="1">
        <f t="array" ref="U58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6" spans="1:21" x14ac:dyDescent="0.35">
      <c r="A586" s="27">
        <v>3</v>
      </c>
      <c r="B586" s="11" t="s">
        <v>1108</v>
      </c>
      <c r="C586" s="11">
        <v>5</v>
      </c>
      <c r="D586" s="12">
        <v>45022.057638888888</v>
      </c>
      <c r="E586" s="12">
        <v>45022.109027777777</v>
      </c>
      <c r="F586" s="11" t="s">
        <v>170</v>
      </c>
      <c r="G586" s="11" t="s">
        <v>163</v>
      </c>
      <c r="H586" s="11" t="s">
        <v>74</v>
      </c>
      <c r="I586" s="16">
        <v>10.07</v>
      </c>
      <c r="J586" s="11" t="s">
        <v>75</v>
      </c>
      <c r="K586" s="11">
        <v>585</v>
      </c>
      <c r="L586" s="11" t="s">
        <v>187</v>
      </c>
      <c r="M586" s="11" t="s">
        <v>1667</v>
      </c>
      <c r="N586">
        <f>_xlfn.XLOOKUP(spaces_3iWczBNnn5rbfoUlE0Jd_uploads_git_blob_9864c7f811c613c3faab876659c6423__25[[#This Row],[Número de Orden]],Cocinadinamica!B587:B1355,Cocinadinamica!C587:C1355)</f>
        <v>53</v>
      </c>
      <c r="O586" s="7">
        <f>spaces_3iWczBNnn5rbfoUlE0Jd_uploads_git_blob_9864c7f811c613c3faab876659c6423__25[[#This Row],[Hora de Llegada]]</f>
        <v>45022.057638888888</v>
      </c>
      <c r="P586" s="9">
        <f>spaces_3iWczBNnn5rbfoUlE0Jd_uploads_git_blob_9864c7f811c613c3faab876659c6423__25[[#This Row],[Hora de Llegada]]</f>
        <v>45022.057638888888</v>
      </c>
      <c r="Q586" s="9">
        <f>spaces_3iWczBNnn5rbfoUlE0Jd_uploads_git_blob_9864c7f811c613c3faab876659c6423__25[[#This Row],[Hora de Salida]]</f>
        <v>45022.109027777777</v>
      </c>
      <c r="R586" s="9" cm="1">
        <f t="array" ref="R58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5.1388888889050577E-2</v>
      </c>
      <c r="S586" s="9">
        <f>_xlfn.XLOOKUP(spaces_3iWczBNnn5rbfoUlE0Jd_uploads_git_blob_9864c7f811c613c3faab876659c6423__25[[#This Row],[Número de Orden]],Cocinadinamica!E587:E1355,Cocinadinamica!F587:F1355)/1440</f>
        <v>6.5972222222222224E-2</v>
      </c>
      <c r="T586" s="9" cm="1">
        <f t="array" ref="T58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86" s="9" t="str" cm="1">
        <f t="array" ref="U58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87" spans="1:21" x14ac:dyDescent="0.35">
      <c r="A587" s="28">
        <v>17</v>
      </c>
      <c r="B587" s="13" t="s">
        <v>1160</v>
      </c>
      <c r="C587" s="13">
        <v>5</v>
      </c>
      <c r="D587" s="14">
        <v>45022.030555555553</v>
      </c>
      <c r="E587" s="14">
        <v>45022.163194444445</v>
      </c>
      <c r="F587" s="13" t="s">
        <v>170</v>
      </c>
      <c r="G587" s="13" t="s">
        <v>73</v>
      </c>
      <c r="H587" s="13" t="s">
        <v>87</v>
      </c>
      <c r="I587" s="17">
        <v>32.79</v>
      </c>
      <c r="J587" s="13" t="s">
        <v>88</v>
      </c>
      <c r="K587" s="13">
        <v>586</v>
      </c>
      <c r="L587" s="13" t="s">
        <v>275</v>
      </c>
      <c r="M587" s="13" t="s">
        <v>1530</v>
      </c>
      <c r="N587">
        <f>_xlfn.XLOOKUP(spaces_3iWczBNnn5rbfoUlE0Jd_uploads_git_blob_9864c7f811c613c3faab876659c6423__25[[#This Row],[Número de Orden]],Cocinadinamica!B588:B1356,Cocinadinamica!C588:C1356)</f>
        <v>69</v>
      </c>
      <c r="O587" s="7">
        <f>spaces_3iWczBNnn5rbfoUlE0Jd_uploads_git_blob_9864c7f811c613c3faab876659c6423__25[[#This Row],[Hora de Llegada]]</f>
        <v>45022.030555555553</v>
      </c>
      <c r="P587" s="9">
        <f>spaces_3iWczBNnn5rbfoUlE0Jd_uploads_git_blob_9864c7f811c613c3faab876659c6423__25[[#This Row],[Hora de Llegada]]</f>
        <v>45022.030555555553</v>
      </c>
      <c r="Q587" s="9">
        <f>spaces_3iWczBNnn5rbfoUlE0Jd_uploads_git_blob_9864c7f811c613c3faab876659c6423__25[[#This Row],[Hora de Salida]]</f>
        <v>45022.163194444445</v>
      </c>
      <c r="R587" s="9" cm="1">
        <f t="array" ref="R58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0.14305555555620231</v>
      </c>
      <c r="S587" s="9">
        <f>_xlfn.XLOOKUP(spaces_3iWczBNnn5rbfoUlE0Jd_uploads_git_blob_9864c7f811c613c3faab876659c6423__25[[#This Row],[Número de Orden]],Cocinadinamica!E588:E1356,Cocinadinamica!F588:F1356)/1440</f>
        <v>6.3888888888888884E-2</v>
      </c>
      <c r="T587" s="9" cm="1">
        <f t="array" ref="T58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7.9166666667313423E-2</v>
      </c>
      <c r="U587" s="9" t="str" cm="1">
        <f t="array" ref="U58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8" spans="1:21" x14ac:dyDescent="0.35">
      <c r="A588" s="27" t="s">
        <v>70</v>
      </c>
      <c r="B588" s="11" t="s">
        <v>687</v>
      </c>
      <c r="C588" s="11">
        <v>4</v>
      </c>
      <c r="D588" s="12">
        <v>45022.151388888888</v>
      </c>
      <c r="E588" s="12">
        <v>45022.195833333331</v>
      </c>
      <c r="F588" s="11" t="s">
        <v>170</v>
      </c>
      <c r="G588" s="11" t="s">
        <v>163</v>
      </c>
      <c r="H588" s="11" t="s">
        <v>74</v>
      </c>
      <c r="I588" s="16">
        <v>35.03</v>
      </c>
      <c r="J588" s="11" t="s">
        <v>88</v>
      </c>
      <c r="K588" s="11">
        <v>587</v>
      </c>
      <c r="L588" s="11" t="s">
        <v>174</v>
      </c>
      <c r="M588" s="11" t="s">
        <v>9</v>
      </c>
      <c r="N588">
        <f>_xlfn.XLOOKUP(spaces_3iWczBNnn5rbfoUlE0Jd_uploads_git_blob_9864c7f811c613c3faab876659c6423__25[[#This Row],[Número de Orden]],Cocinadinamica!B589:B1357,Cocinadinamica!C589:C1357)</f>
        <v>20</v>
      </c>
      <c r="O588" s="7">
        <f>spaces_3iWczBNnn5rbfoUlE0Jd_uploads_git_blob_9864c7f811c613c3faab876659c6423__25[[#This Row],[Hora de Llegada]]</f>
        <v>45022.151388888888</v>
      </c>
      <c r="P588" s="9">
        <f>spaces_3iWczBNnn5rbfoUlE0Jd_uploads_git_blob_9864c7f811c613c3faab876659c6423__25[[#This Row],[Hora de Llegada]]</f>
        <v>45022.151388888888</v>
      </c>
      <c r="Q588" s="9">
        <f>spaces_3iWczBNnn5rbfoUlE0Jd_uploads_git_blob_9864c7f811c613c3faab876659c6423__25[[#This Row],[Hora de Salida]]</f>
        <v>45022.195833333331</v>
      </c>
      <c r="R588" s="9" cm="1">
        <f t="array" ref="R58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5.486111110803904E-2</v>
      </c>
      <c r="S588" s="9">
        <f>_xlfn.XLOOKUP(spaces_3iWczBNnn5rbfoUlE0Jd_uploads_git_blob_9864c7f811c613c3faab876659c6423__25[[#This Row],[Número de Orden]],Cocinadinamica!E589:E1357,Cocinadinamica!F589:F1357)/1440</f>
        <v>2.9861111111111113E-2</v>
      </c>
      <c r="T588" s="9" cm="1">
        <f t="array" ref="T58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2.4999999996927928E-2</v>
      </c>
      <c r="U588" s="9" t="str" cm="1">
        <f t="array" ref="U58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89" spans="1:21" x14ac:dyDescent="0.35">
      <c r="A589" s="28">
        <v>15</v>
      </c>
      <c r="B589" s="13" t="s">
        <v>1149</v>
      </c>
      <c r="C589" s="13">
        <v>2</v>
      </c>
      <c r="D589" s="14">
        <v>45022.097222222219</v>
      </c>
      <c r="E589" s="14">
        <v>45022.248611111114</v>
      </c>
      <c r="F589" s="13" t="s">
        <v>170</v>
      </c>
      <c r="G589" s="13" t="s">
        <v>73</v>
      </c>
      <c r="H589" s="13" t="s">
        <v>87</v>
      </c>
      <c r="I589" s="17">
        <v>33.93</v>
      </c>
      <c r="J589" s="13" t="s">
        <v>75</v>
      </c>
      <c r="K589" s="13">
        <v>588</v>
      </c>
      <c r="L589" s="13" t="s">
        <v>221</v>
      </c>
      <c r="M589" s="13" t="s">
        <v>1668</v>
      </c>
      <c r="N589">
        <f>_xlfn.XLOOKUP(spaces_3iWczBNnn5rbfoUlE0Jd_uploads_git_blob_9864c7f811c613c3faab876659c6423__25[[#This Row],[Número de Orden]],Cocinadinamica!B590:B1358,Cocinadinamica!C590:C1358)</f>
        <v>41</v>
      </c>
      <c r="O589" s="7">
        <f>spaces_3iWczBNnn5rbfoUlE0Jd_uploads_git_blob_9864c7f811c613c3faab876659c6423__25[[#This Row],[Hora de Llegada]]</f>
        <v>45022.097222222219</v>
      </c>
      <c r="P589" s="9">
        <f>spaces_3iWczBNnn5rbfoUlE0Jd_uploads_git_blob_9864c7f811c613c3faab876659c6423__25[[#This Row],[Hora de Llegada]]</f>
        <v>45022.097222222219</v>
      </c>
      <c r="Q589" s="9">
        <f>spaces_3iWczBNnn5rbfoUlE0Jd_uploads_git_blob_9864c7f811c613c3faab876659c6423__25[[#This Row],[Hora de Salida]]</f>
        <v>45022.248611111114</v>
      </c>
      <c r="R589" s="9" cm="1">
        <f t="array" ref="R58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0.15138888889487134</v>
      </c>
      <c r="S589" s="9">
        <f>_xlfn.XLOOKUP(spaces_3iWczBNnn5rbfoUlE0Jd_uploads_git_blob_9864c7f811c613c3faab876659c6423__25[[#This Row],[Número de Orden]],Cocinadinamica!E590:E1358,Cocinadinamica!F590:F1358)/1440</f>
        <v>2.5694444444444443E-2</v>
      </c>
      <c r="T589" s="9" cm="1">
        <f t="array" ref="T58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0.12569444445042691</v>
      </c>
      <c r="U589" s="9" t="str" cm="1">
        <f t="array" ref="U58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90" spans="1:21" x14ac:dyDescent="0.35">
      <c r="A590" s="27">
        <v>10</v>
      </c>
      <c r="B590" s="11" t="s">
        <v>1161</v>
      </c>
      <c r="C590" s="11">
        <v>4</v>
      </c>
      <c r="D590" s="12">
        <v>45022.134722222225</v>
      </c>
      <c r="E590" s="12">
        <v>45022.247916666667</v>
      </c>
      <c r="F590" s="11" t="s">
        <v>72</v>
      </c>
      <c r="G590" s="11" t="s">
        <v>86</v>
      </c>
      <c r="H590" s="11" t="s">
        <v>109</v>
      </c>
      <c r="I590" s="16">
        <v>28.96</v>
      </c>
      <c r="J590" s="11" t="s">
        <v>75</v>
      </c>
      <c r="K590" s="11">
        <v>589</v>
      </c>
      <c r="L590" s="11" t="s">
        <v>174</v>
      </c>
      <c r="M590" s="11" t="s">
        <v>1669</v>
      </c>
      <c r="N590">
        <f>_xlfn.XLOOKUP(spaces_3iWczBNnn5rbfoUlE0Jd_uploads_git_blob_9864c7f811c613c3faab876659c6423__25[[#This Row],[Número de Orden]],Cocinadinamica!B591:B1359,Cocinadinamica!C591:C1359)</f>
        <v>114</v>
      </c>
      <c r="O590" s="7">
        <f>spaces_3iWczBNnn5rbfoUlE0Jd_uploads_git_blob_9864c7f811c613c3faab876659c6423__25[[#This Row],[Hora de Llegada]]</f>
        <v>45022.134722222225</v>
      </c>
      <c r="P590" s="9">
        <f>spaces_3iWczBNnn5rbfoUlE0Jd_uploads_git_blob_9864c7f811c613c3faab876659c6423__25[[#This Row],[Hora de Llegada]]</f>
        <v>45022.134722222225</v>
      </c>
      <c r="Q590" s="9">
        <f>spaces_3iWczBNnn5rbfoUlE0Jd_uploads_git_blob_9864c7f811c613c3faab876659c6423__25[[#This Row],[Hora de Salida]]</f>
        <v>45022.247916666667</v>
      </c>
      <c r="R590" s="9" cm="1">
        <f t="array" ref="R59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0.1131944444423425</v>
      </c>
      <c r="S590" s="9">
        <f>_xlfn.XLOOKUP(spaces_3iWczBNnn5rbfoUlE0Jd_uploads_git_blob_9864c7f811c613c3faab876659c6423__25[[#This Row],[Número de Orden]],Cocinadinamica!E591:E1359,Cocinadinamica!F591:F1359)/1440</f>
        <v>8.3333333333333329E-2</v>
      </c>
      <c r="T590" s="9" cm="1">
        <f t="array" ref="T59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2.9861111109009172E-2</v>
      </c>
      <c r="U590" s="9" t="str" cm="1">
        <f t="array" ref="U59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91" spans="1:21" x14ac:dyDescent="0.35">
      <c r="A591" s="28">
        <v>3</v>
      </c>
      <c r="B591" s="13" t="s">
        <v>984</v>
      </c>
      <c r="C591" s="13">
        <v>6</v>
      </c>
      <c r="D591" s="14">
        <v>45022.114583333336</v>
      </c>
      <c r="E591" s="14">
        <v>45022.185416666667</v>
      </c>
      <c r="F591" s="13" t="s">
        <v>100</v>
      </c>
      <c r="G591" s="13" t="s">
        <v>163</v>
      </c>
      <c r="H591" s="13" t="s">
        <v>74</v>
      </c>
      <c r="I591" s="17">
        <v>40.94</v>
      </c>
      <c r="J591" s="13" t="s">
        <v>88</v>
      </c>
      <c r="K591" s="13">
        <v>590</v>
      </c>
      <c r="L591" s="13" t="s">
        <v>275</v>
      </c>
      <c r="M591" s="13" t="s">
        <v>1670</v>
      </c>
      <c r="N591">
        <f>_xlfn.XLOOKUP(spaces_3iWczBNnn5rbfoUlE0Jd_uploads_git_blob_9864c7f811c613c3faab876659c6423__25[[#This Row],[Número de Orden]],Cocinadinamica!B592:B1360,Cocinadinamica!C592:C1360)</f>
        <v>50</v>
      </c>
      <c r="O591" s="7">
        <f>spaces_3iWczBNnn5rbfoUlE0Jd_uploads_git_blob_9864c7f811c613c3faab876659c6423__25[[#This Row],[Hora de Llegada]]</f>
        <v>45022.114583333336</v>
      </c>
      <c r="P591" s="9">
        <f>spaces_3iWczBNnn5rbfoUlE0Jd_uploads_git_blob_9864c7f811c613c3faab876659c6423__25[[#This Row],[Hora de Llegada]]</f>
        <v>45022.114583333336</v>
      </c>
      <c r="Q591" s="9">
        <f>spaces_3iWczBNnn5rbfoUlE0Jd_uploads_git_blob_9864c7f811c613c3faab876659c6423__25[[#This Row],[Hora de Salida]]</f>
        <v>45022.185416666667</v>
      </c>
      <c r="R591" s="9" cm="1">
        <f t="array" ref="R59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8.1249999995634425E-2</v>
      </c>
      <c r="S591" s="9">
        <f>_xlfn.XLOOKUP(spaces_3iWczBNnn5rbfoUlE0Jd_uploads_git_blob_9864c7f811c613c3faab876659c6423__25[[#This Row],[Número de Orden]],Cocinadinamica!E592:E1360,Cocinadinamica!F592:F1360)/1440</f>
        <v>4.4444444444444446E-2</v>
      </c>
      <c r="T591" s="9" cm="1">
        <f t="array" ref="T59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3.6805555551189979E-2</v>
      </c>
      <c r="U591" s="9" t="str" cm="1">
        <f t="array" ref="U59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92" spans="1:21" x14ac:dyDescent="0.35">
      <c r="A592" s="27" t="s">
        <v>354</v>
      </c>
      <c r="B592" s="11" t="s">
        <v>691</v>
      </c>
      <c r="C592" s="11">
        <v>6</v>
      </c>
      <c r="D592" s="12">
        <v>45022.155555555553</v>
      </c>
      <c r="E592" s="12">
        <v>45022.263194444444</v>
      </c>
      <c r="F592" s="11" t="s">
        <v>170</v>
      </c>
      <c r="G592" s="11" t="s">
        <v>163</v>
      </c>
      <c r="H592" s="11" t="s">
        <v>74</v>
      </c>
      <c r="I592" s="16">
        <v>44.33</v>
      </c>
      <c r="J592" s="11" t="s">
        <v>75</v>
      </c>
      <c r="K592" s="11">
        <v>591</v>
      </c>
      <c r="L592" s="11" t="s">
        <v>95</v>
      </c>
      <c r="M592" s="11" t="s">
        <v>19</v>
      </c>
      <c r="N592">
        <f>_xlfn.XLOOKUP(spaces_3iWczBNnn5rbfoUlE0Jd_uploads_git_blob_9864c7f811c613c3faab876659c6423__25[[#This Row],[Número de Orden]],Cocinadinamica!B593:B1361,Cocinadinamica!C593:C1361)</f>
        <v>45</v>
      </c>
      <c r="O592" s="7">
        <f>spaces_3iWczBNnn5rbfoUlE0Jd_uploads_git_blob_9864c7f811c613c3faab876659c6423__25[[#This Row],[Hora de Llegada]]</f>
        <v>45022.155555555553</v>
      </c>
      <c r="P592" s="9">
        <f>spaces_3iWczBNnn5rbfoUlE0Jd_uploads_git_blob_9864c7f811c613c3faab876659c6423__25[[#This Row],[Hora de Llegada]]</f>
        <v>45022.155555555553</v>
      </c>
      <c r="Q592" s="9">
        <f>spaces_3iWczBNnn5rbfoUlE0Jd_uploads_git_blob_9864c7f811c613c3faab876659c6423__25[[#This Row],[Hora de Salida]]</f>
        <v>45022.263194444444</v>
      </c>
      <c r="R592" s="9" cm="1">
        <f t="array" ref="R59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0.10763888889050577</v>
      </c>
      <c r="S592" s="9">
        <f>_xlfn.XLOOKUP(spaces_3iWczBNnn5rbfoUlE0Jd_uploads_git_blob_9864c7f811c613c3faab876659c6423__25[[#This Row],[Número de Orden]],Cocinadinamica!E593:E1361,Cocinadinamica!F593:F1361)/1440</f>
        <v>3.5416666666666666E-2</v>
      </c>
      <c r="T592" s="9" cm="1">
        <f t="array" ref="T59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7.2222222223839103E-2</v>
      </c>
      <c r="U592" s="9" t="str" cm="1">
        <f t="array" ref="U59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93" spans="1:21" x14ac:dyDescent="0.35">
      <c r="A593" s="28">
        <v>5</v>
      </c>
      <c r="B593" s="13" t="s">
        <v>1162</v>
      </c>
      <c r="C593" s="13">
        <v>1</v>
      </c>
      <c r="D593" s="14">
        <v>45022.033333333333</v>
      </c>
      <c r="E593" s="14">
        <v>45022.111111111109</v>
      </c>
      <c r="F593" s="13" t="s">
        <v>100</v>
      </c>
      <c r="G593" s="13" t="s">
        <v>86</v>
      </c>
      <c r="H593" s="13" t="s">
        <v>74</v>
      </c>
      <c r="I593" s="17">
        <v>35.67</v>
      </c>
      <c r="J593" s="13" t="s">
        <v>94</v>
      </c>
      <c r="K593" s="13">
        <v>592</v>
      </c>
      <c r="L593" s="13" t="s">
        <v>187</v>
      </c>
      <c r="M593" s="13" t="s">
        <v>1671</v>
      </c>
      <c r="N593">
        <f>_xlfn.XLOOKUP(spaces_3iWczBNnn5rbfoUlE0Jd_uploads_git_blob_9864c7f811c613c3faab876659c6423__25[[#This Row],[Número de Orden]],Cocinadinamica!B594:B1362,Cocinadinamica!C594:C1362)</f>
        <v>38</v>
      </c>
      <c r="O593" s="7">
        <f>spaces_3iWczBNnn5rbfoUlE0Jd_uploads_git_blob_9864c7f811c613c3faab876659c6423__25[[#This Row],[Hora de Llegada]]</f>
        <v>45022.033333333333</v>
      </c>
      <c r="P593" s="9">
        <f>spaces_3iWczBNnn5rbfoUlE0Jd_uploads_git_blob_9864c7f811c613c3faab876659c6423__25[[#This Row],[Hora de Llegada]]</f>
        <v>45022.033333333333</v>
      </c>
      <c r="Q593" s="9">
        <f>spaces_3iWczBNnn5rbfoUlE0Jd_uploads_git_blob_9864c7f811c613c3faab876659c6423__25[[#This Row],[Hora de Salida]]</f>
        <v>45022.111111111109</v>
      </c>
      <c r="R593" s="9" cm="1">
        <f t="array" ref="R59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7.7777777776645962E-2</v>
      </c>
      <c r="S593" s="9">
        <f>_xlfn.XLOOKUP(spaces_3iWczBNnn5rbfoUlE0Jd_uploads_git_blob_9864c7f811c613c3faab876659c6423__25[[#This Row],[Número de Orden]],Cocinadinamica!E594:E1362,Cocinadinamica!F594:F1362)/1440</f>
        <v>7.013888888888889E-2</v>
      </c>
      <c r="T593" s="9" cm="1">
        <f t="array" ref="T59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7.6388888877570726E-3</v>
      </c>
      <c r="U593" s="9" t="str" cm="1">
        <f t="array" ref="U59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94" spans="1:21" x14ac:dyDescent="0.35">
      <c r="A594" s="27">
        <v>17</v>
      </c>
      <c r="B594" s="11" t="s">
        <v>1163</v>
      </c>
      <c r="C594" s="11">
        <v>5</v>
      </c>
      <c r="D594" s="12">
        <v>45022.017361111109</v>
      </c>
      <c r="E594" s="12">
        <v>45022.095138888886</v>
      </c>
      <c r="F594" s="11" t="s">
        <v>72</v>
      </c>
      <c r="G594" s="11" t="s">
        <v>86</v>
      </c>
      <c r="H594" s="11" t="s">
        <v>109</v>
      </c>
      <c r="I594" s="16">
        <v>48.8</v>
      </c>
      <c r="J594" s="11" t="s">
        <v>94</v>
      </c>
      <c r="K594" s="11">
        <v>593</v>
      </c>
      <c r="L594" s="11" t="s">
        <v>181</v>
      </c>
      <c r="M594" s="11" t="s">
        <v>1672</v>
      </c>
      <c r="N594">
        <f>_xlfn.XLOOKUP(spaces_3iWczBNnn5rbfoUlE0Jd_uploads_git_blob_9864c7f811c613c3faab876659c6423__25[[#This Row],[Número de Orden]],Cocinadinamica!B595:B1363,Cocinadinamica!C595:C1363)</f>
        <v>81</v>
      </c>
      <c r="O594" s="7">
        <f>spaces_3iWczBNnn5rbfoUlE0Jd_uploads_git_blob_9864c7f811c613c3faab876659c6423__25[[#This Row],[Hora de Llegada]]</f>
        <v>45022.017361111109</v>
      </c>
      <c r="P594" s="9">
        <f>spaces_3iWczBNnn5rbfoUlE0Jd_uploads_git_blob_9864c7f811c613c3faab876659c6423__25[[#This Row],[Hora de Llegada]]</f>
        <v>45022.017361111109</v>
      </c>
      <c r="Q594" s="9">
        <f>spaces_3iWczBNnn5rbfoUlE0Jd_uploads_git_blob_9864c7f811c613c3faab876659c6423__25[[#This Row],[Hora de Salida]]</f>
        <v>45022.095138888886</v>
      </c>
      <c r="R594" s="9" cm="1">
        <f t="array" ref="R59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7.7777777776645962E-2</v>
      </c>
      <c r="S594" s="9">
        <f>_xlfn.XLOOKUP(spaces_3iWczBNnn5rbfoUlE0Jd_uploads_git_blob_9864c7f811c613c3faab876659c6423__25[[#This Row],[Número de Orden]],Cocinadinamica!E595:E1363,Cocinadinamica!F595:F1363)/1440</f>
        <v>3.3333333333333333E-2</v>
      </c>
      <c r="T594" s="9" cm="1">
        <f t="array" ref="T59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4.4444444443312629E-2</v>
      </c>
      <c r="U594" s="9" t="str" cm="1">
        <f t="array" ref="U59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95" spans="1:21" x14ac:dyDescent="0.35">
      <c r="A595" s="28">
        <v>17</v>
      </c>
      <c r="B595" s="13" t="s">
        <v>1164</v>
      </c>
      <c r="C595" s="13">
        <v>1</v>
      </c>
      <c r="D595" s="14">
        <v>45022.138888888891</v>
      </c>
      <c r="E595" s="14">
        <v>45022.200694444444</v>
      </c>
      <c r="F595" s="13" t="s">
        <v>170</v>
      </c>
      <c r="G595" s="13" t="s">
        <v>86</v>
      </c>
      <c r="H595" s="13" t="s">
        <v>109</v>
      </c>
      <c r="I595" s="17">
        <v>46.01</v>
      </c>
      <c r="J595" s="13" t="s">
        <v>75</v>
      </c>
      <c r="K595" s="13">
        <v>594</v>
      </c>
      <c r="L595" s="13" t="s">
        <v>95</v>
      </c>
      <c r="M595" s="13" t="s">
        <v>1673</v>
      </c>
      <c r="N595">
        <f>_xlfn.XLOOKUP(spaces_3iWczBNnn5rbfoUlE0Jd_uploads_git_blob_9864c7f811c613c3faab876659c6423__25[[#This Row],[Número de Orden]],Cocinadinamica!B596:B1364,Cocinadinamica!C596:C1364)</f>
        <v>56</v>
      </c>
      <c r="O595" s="7">
        <f>spaces_3iWczBNnn5rbfoUlE0Jd_uploads_git_blob_9864c7f811c613c3faab876659c6423__25[[#This Row],[Hora de Llegada]]</f>
        <v>45022.138888888891</v>
      </c>
      <c r="P595" s="9">
        <f>spaces_3iWczBNnn5rbfoUlE0Jd_uploads_git_blob_9864c7f811c613c3faab876659c6423__25[[#This Row],[Hora de Llegada]]</f>
        <v>45022.138888888891</v>
      </c>
      <c r="Q595" s="9">
        <f>spaces_3iWczBNnn5rbfoUlE0Jd_uploads_git_blob_9864c7f811c613c3faab876659c6423__25[[#This Row],[Hora de Salida]]</f>
        <v>45022.200694444444</v>
      </c>
      <c r="R595" s="9" cm="1">
        <f t="array" ref="R59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6.1805555553291924E-2</v>
      </c>
      <c r="S595" s="9">
        <f>_xlfn.XLOOKUP(spaces_3iWczBNnn5rbfoUlE0Jd_uploads_git_blob_9864c7f811c613c3faab876659c6423__25[[#This Row],[Número de Orden]],Cocinadinamica!E596:E1364,Cocinadinamica!F596:F1364)/1440</f>
        <v>6.805555555555555E-2</v>
      </c>
      <c r="T595" s="9" cm="1">
        <f t="array" ref="T59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95" s="9" t="str" cm="1">
        <f t="array" ref="U59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96" spans="1:21" x14ac:dyDescent="0.35">
      <c r="A596" s="27">
        <v>9</v>
      </c>
      <c r="B596" s="11" t="s">
        <v>99</v>
      </c>
      <c r="C596" s="11">
        <v>5</v>
      </c>
      <c r="D596" s="12">
        <v>45022.127083333333</v>
      </c>
      <c r="E596" s="12">
        <v>45022.227083333331</v>
      </c>
      <c r="F596" s="11" t="s">
        <v>100</v>
      </c>
      <c r="G596" s="11" t="s">
        <v>86</v>
      </c>
      <c r="H596" s="11" t="s">
        <v>74</v>
      </c>
      <c r="I596" s="16">
        <v>40.33</v>
      </c>
      <c r="J596" s="11" t="s">
        <v>88</v>
      </c>
      <c r="K596" s="11">
        <v>595</v>
      </c>
      <c r="L596" s="11" t="s">
        <v>221</v>
      </c>
      <c r="M596" s="11" t="s">
        <v>1674</v>
      </c>
      <c r="N596">
        <f>_xlfn.XLOOKUP(spaces_3iWczBNnn5rbfoUlE0Jd_uploads_git_blob_9864c7f811c613c3faab876659c6423__25[[#This Row],[Número de Orden]],Cocinadinamica!B597:B1365,Cocinadinamica!C597:C1365)</f>
        <v>28</v>
      </c>
      <c r="O596" s="7">
        <f>spaces_3iWczBNnn5rbfoUlE0Jd_uploads_git_blob_9864c7f811c613c3faab876659c6423__25[[#This Row],[Hora de Llegada]]</f>
        <v>45022.127083333333</v>
      </c>
      <c r="P596" s="9">
        <f>spaces_3iWczBNnn5rbfoUlE0Jd_uploads_git_blob_9864c7f811c613c3faab876659c6423__25[[#This Row],[Hora de Llegada]]</f>
        <v>45022.127083333333</v>
      </c>
      <c r="Q596" s="9">
        <f>spaces_3iWczBNnn5rbfoUlE0Jd_uploads_git_blob_9864c7f811c613c3faab876659c6423__25[[#This Row],[Hora de Salida]]</f>
        <v>45022.227083333331</v>
      </c>
      <c r="R596" s="9" cm="1">
        <f t="array" ref="R59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0.11041666666278616</v>
      </c>
      <c r="S596" s="9">
        <f>_xlfn.XLOOKUP(spaces_3iWczBNnn5rbfoUlE0Jd_uploads_git_blob_9864c7f811c613c3faab876659c6423__25[[#This Row],[Número de Orden]],Cocinadinamica!E597:E1365,Cocinadinamica!F597:F1365)/1440</f>
        <v>3.4027777777777775E-2</v>
      </c>
      <c r="T596" s="9" cm="1">
        <f t="array" ref="T59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7.6388888885008388E-2</v>
      </c>
      <c r="U596" s="9" t="str" cm="1">
        <f t="array" ref="U59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97" spans="1:21" x14ac:dyDescent="0.35">
      <c r="A597" s="28">
        <v>18</v>
      </c>
      <c r="B597" s="13" t="s">
        <v>1165</v>
      </c>
      <c r="C597" s="13">
        <v>2</v>
      </c>
      <c r="D597" s="14">
        <v>45022.056250000001</v>
      </c>
      <c r="E597" s="14">
        <v>45022.152083333334</v>
      </c>
      <c r="F597" s="13" t="s">
        <v>100</v>
      </c>
      <c r="G597" s="13" t="s">
        <v>86</v>
      </c>
      <c r="H597" s="13" t="s">
        <v>109</v>
      </c>
      <c r="I597" s="17">
        <v>23.7</v>
      </c>
      <c r="J597" s="13" t="s">
        <v>88</v>
      </c>
      <c r="K597" s="13">
        <v>596</v>
      </c>
      <c r="L597" s="13" t="s">
        <v>187</v>
      </c>
      <c r="M597" s="13" t="s">
        <v>1675</v>
      </c>
      <c r="N597">
        <f>_xlfn.XLOOKUP(spaces_3iWczBNnn5rbfoUlE0Jd_uploads_git_blob_9864c7f811c613c3faab876659c6423__25[[#This Row],[Número de Orden]],Cocinadinamica!B598:B1366,Cocinadinamica!C598:C1366)</f>
        <v>97</v>
      </c>
      <c r="O597" s="7">
        <f>spaces_3iWczBNnn5rbfoUlE0Jd_uploads_git_blob_9864c7f811c613c3faab876659c6423__25[[#This Row],[Hora de Llegada]]</f>
        <v>45022.056250000001</v>
      </c>
      <c r="P597" s="9">
        <f>spaces_3iWczBNnn5rbfoUlE0Jd_uploads_git_blob_9864c7f811c613c3faab876659c6423__25[[#This Row],[Hora de Llegada]]</f>
        <v>45022.056250000001</v>
      </c>
      <c r="Q597" s="9">
        <f>spaces_3iWczBNnn5rbfoUlE0Jd_uploads_git_blob_9864c7f811c613c3faab876659c6423__25[[#This Row],[Hora de Salida]]</f>
        <v>45022.152083333334</v>
      </c>
      <c r="R597" s="9" cm="1">
        <f t="array" ref="R59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0.10624999999708962</v>
      </c>
      <c r="S597" s="9">
        <f>_xlfn.XLOOKUP(spaces_3iWczBNnn5rbfoUlE0Jd_uploads_git_blob_9864c7f811c613c3faab876659c6423__25[[#This Row],[Número de Orden]],Cocinadinamica!E598:E1366,Cocinadinamica!F598:F1366)/1440</f>
        <v>0.10972222222222222</v>
      </c>
      <c r="T597" s="9" cm="1">
        <f t="array" ref="T59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597" s="9" t="str" cm="1">
        <f t="array" ref="U59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598" spans="1:21" x14ac:dyDescent="0.35">
      <c r="A598" s="27">
        <v>16</v>
      </c>
      <c r="B598" s="11" t="s">
        <v>1122</v>
      </c>
      <c r="C598" s="11">
        <v>1</v>
      </c>
      <c r="D598" s="12">
        <v>45022.035416666666</v>
      </c>
      <c r="E598" s="12">
        <v>45022.160416666666</v>
      </c>
      <c r="F598" s="11" t="s">
        <v>223</v>
      </c>
      <c r="G598" s="11" t="s">
        <v>86</v>
      </c>
      <c r="H598" s="11" t="s">
        <v>74</v>
      </c>
      <c r="I598" s="16">
        <v>45.46</v>
      </c>
      <c r="J598" s="11" t="s">
        <v>88</v>
      </c>
      <c r="K598" s="11">
        <v>597</v>
      </c>
      <c r="L598" s="11" t="s">
        <v>95</v>
      </c>
      <c r="M598" s="11" t="s">
        <v>1676</v>
      </c>
      <c r="N598">
        <f>_xlfn.XLOOKUP(spaces_3iWczBNnn5rbfoUlE0Jd_uploads_git_blob_9864c7f811c613c3faab876659c6423__25[[#This Row],[Número de Orden]],Cocinadinamica!B599:B1367,Cocinadinamica!C599:C1367)</f>
        <v>60</v>
      </c>
      <c r="O598" s="7">
        <f>spaces_3iWczBNnn5rbfoUlE0Jd_uploads_git_blob_9864c7f811c613c3faab876659c6423__25[[#This Row],[Hora de Llegada]]</f>
        <v>45022.035416666666</v>
      </c>
      <c r="P598" s="9">
        <f>spaces_3iWczBNnn5rbfoUlE0Jd_uploads_git_blob_9864c7f811c613c3faab876659c6423__25[[#This Row],[Hora de Llegada]]</f>
        <v>45022.035416666666</v>
      </c>
      <c r="Q598" s="9">
        <f>spaces_3iWczBNnn5rbfoUlE0Jd_uploads_git_blob_9864c7f811c613c3faab876659c6423__25[[#This Row],[Hora de Salida]]</f>
        <v>45022.160416666666</v>
      </c>
      <c r="R598" s="9" cm="1">
        <f t="array" ref="R59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0.13541666666424135</v>
      </c>
      <c r="S598" s="9">
        <f>_xlfn.XLOOKUP(spaces_3iWczBNnn5rbfoUlE0Jd_uploads_git_blob_9864c7f811c613c3faab876659c6423__25[[#This Row],[Número de Orden]],Cocinadinamica!E599:E1367,Cocinadinamica!F599:F1367)/1440</f>
        <v>9.7916666666666666E-2</v>
      </c>
      <c r="T598" s="9" cm="1">
        <f t="array" ref="T59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3.7499999997574682E-2</v>
      </c>
      <c r="U598" s="9" t="str" cm="1">
        <f t="array" ref="U59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599" spans="1:21" x14ac:dyDescent="0.35">
      <c r="A599" s="28">
        <v>9</v>
      </c>
      <c r="B599" s="13" t="s">
        <v>1166</v>
      </c>
      <c r="C599" s="13">
        <v>6</v>
      </c>
      <c r="D599" s="14">
        <v>45022.136111111111</v>
      </c>
      <c r="E599" s="14">
        <v>45022.290972222225</v>
      </c>
      <c r="F599" s="13" t="s">
        <v>85</v>
      </c>
      <c r="G599" s="13" t="s">
        <v>86</v>
      </c>
      <c r="H599" s="13" t="s">
        <v>74</v>
      </c>
      <c r="I599" s="17">
        <v>11.31</v>
      </c>
      <c r="J599" s="13" t="s">
        <v>94</v>
      </c>
      <c r="K599" s="13">
        <v>598</v>
      </c>
      <c r="L599" s="13" t="s">
        <v>181</v>
      </c>
      <c r="M599" s="13" t="s">
        <v>1677</v>
      </c>
      <c r="N599">
        <f>_xlfn.XLOOKUP(spaces_3iWczBNnn5rbfoUlE0Jd_uploads_git_blob_9864c7f811c613c3faab876659c6423__25[[#This Row],[Número de Orden]],Cocinadinamica!B600:B1368,Cocinadinamica!C600:C1368)</f>
        <v>84</v>
      </c>
      <c r="O599" s="7">
        <f>spaces_3iWczBNnn5rbfoUlE0Jd_uploads_git_blob_9864c7f811c613c3faab876659c6423__25[[#This Row],[Hora de Llegada]]</f>
        <v>45022.136111111111</v>
      </c>
      <c r="P599" s="9">
        <f>spaces_3iWczBNnn5rbfoUlE0Jd_uploads_git_blob_9864c7f811c613c3faab876659c6423__25[[#This Row],[Hora de Llegada]]</f>
        <v>45022.136111111111</v>
      </c>
      <c r="Q599" s="9">
        <f>spaces_3iWczBNnn5rbfoUlE0Jd_uploads_git_blob_9864c7f811c613c3faab876659c6423__25[[#This Row],[Hora de Salida]]</f>
        <v>45022.290972222225</v>
      </c>
      <c r="R599" s="9" cm="1">
        <f t="array" ref="R59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0.15486111111385981</v>
      </c>
      <c r="S599" s="9">
        <f>_xlfn.XLOOKUP(spaces_3iWczBNnn5rbfoUlE0Jd_uploads_git_blob_9864c7f811c613c3faab876659c6423__25[[#This Row],[Número de Orden]],Cocinadinamica!E600:E1368,Cocinadinamica!F600:F1368)/1440</f>
        <v>5.6250000000000001E-2</v>
      </c>
      <c r="T599" s="9" cm="1">
        <f t="array" ref="T59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9.8611111113859812E-2</v>
      </c>
      <c r="U599" s="9" t="str" cm="1">
        <f t="array" ref="U59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0" spans="1:21" x14ac:dyDescent="0.35">
      <c r="A600" s="27">
        <v>11</v>
      </c>
      <c r="B600" s="11" t="s">
        <v>1167</v>
      </c>
      <c r="C600" s="11">
        <v>3</v>
      </c>
      <c r="D600" s="12">
        <v>45022.023611111108</v>
      </c>
      <c r="E600" s="12">
        <v>45022.181250000001</v>
      </c>
      <c r="F600" s="11" t="s">
        <v>100</v>
      </c>
      <c r="G600" s="11" t="s">
        <v>86</v>
      </c>
      <c r="H600" s="11" t="s">
        <v>74</v>
      </c>
      <c r="I600" s="16">
        <v>30.97</v>
      </c>
      <c r="J600" s="11" t="s">
        <v>75</v>
      </c>
      <c r="K600" s="11">
        <v>599</v>
      </c>
      <c r="L600" s="11" t="s">
        <v>221</v>
      </c>
      <c r="M600" s="11" t="s">
        <v>1678</v>
      </c>
      <c r="N600">
        <f>_xlfn.XLOOKUP(spaces_3iWczBNnn5rbfoUlE0Jd_uploads_git_blob_9864c7f811c613c3faab876659c6423__25[[#This Row],[Número de Orden]],Cocinadinamica!B601:B1369,Cocinadinamica!C601:C1369)</f>
        <v>68</v>
      </c>
      <c r="O600" s="7">
        <f>spaces_3iWczBNnn5rbfoUlE0Jd_uploads_git_blob_9864c7f811c613c3faab876659c6423__25[[#This Row],[Hora de Llegada]]</f>
        <v>45022.023611111108</v>
      </c>
      <c r="P600" s="9">
        <f>spaces_3iWczBNnn5rbfoUlE0Jd_uploads_git_blob_9864c7f811c613c3faab876659c6423__25[[#This Row],[Hora de Llegada]]</f>
        <v>45022.023611111108</v>
      </c>
      <c r="Q600" s="9">
        <f>spaces_3iWczBNnn5rbfoUlE0Jd_uploads_git_blob_9864c7f811c613c3faab876659c6423__25[[#This Row],[Hora de Salida]]</f>
        <v>45022.181250000001</v>
      </c>
      <c r="R600" s="9" cm="1">
        <f t="array" ref="R60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0.15763888889341615</v>
      </c>
      <c r="S600" s="9">
        <f>_xlfn.XLOOKUP(spaces_3iWczBNnn5rbfoUlE0Jd_uploads_git_blob_9864c7f811c613c3faab876659c6423__25[[#This Row],[Número de Orden]],Cocinadinamica!E601:E1369,Cocinadinamica!F601:F1369)/1440</f>
        <v>7.4999999999999997E-2</v>
      </c>
      <c r="T600" s="9" cm="1">
        <f t="array" ref="T60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8.2638888893416154E-2</v>
      </c>
      <c r="U600" s="9" t="str" cm="1">
        <f t="array" ref="U60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1" spans="1:21" x14ac:dyDescent="0.35">
      <c r="A601" s="28">
        <v>14</v>
      </c>
      <c r="B601" s="13" t="s">
        <v>1168</v>
      </c>
      <c r="C601" s="13">
        <v>4</v>
      </c>
      <c r="D601" s="14">
        <v>45022.165277777778</v>
      </c>
      <c r="E601" s="14">
        <v>45022.209027777775</v>
      </c>
      <c r="F601" s="13" t="s">
        <v>170</v>
      </c>
      <c r="G601" s="13" t="s">
        <v>86</v>
      </c>
      <c r="H601" s="13" t="s">
        <v>109</v>
      </c>
      <c r="I601" s="17">
        <v>41.35</v>
      </c>
      <c r="J601" s="13" t="s">
        <v>88</v>
      </c>
      <c r="K601" s="13">
        <v>600</v>
      </c>
      <c r="L601" s="13" t="s">
        <v>101</v>
      </c>
      <c r="M601" s="13" t="s">
        <v>1271</v>
      </c>
      <c r="N601">
        <f>_xlfn.XLOOKUP(spaces_3iWczBNnn5rbfoUlE0Jd_uploads_git_blob_9864c7f811c613c3faab876659c6423__25[[#This Row],[Número de Orden]],Cocinadinamica!B602:B1370,Cocinadinamica!C602:C1370)</f>
        <v>60</v>
      </c>
      <c r="O601" s="7">
        <f>spaces_3iWczBNnn5rbfoUlE0Jd_uploads_git_blob_9864c7f811c613c3faab876659c6423__25[[#This Row],[Hora de Llegada]]</f>
        <v>45022.165277777778</v>
      </c>
      <c r="P601" s="9">
        <f>spaces_3iWczBNnn5rbfoUlE0Jd_uploads_git_blob_9864c7f811c613c3faab876659c6423__25[[#This Row],[Hora de Llegada]]</f>
        <v>45022.165277777778</v>
      </c>
      <c r="Q601" s="9">
        <f>spaces_3iWczBNnn5rbfoUlE0Jd_uploads_git_blob_9864c7f811c613c3faab876659c6423__25[[#This Row],[Hora de Salida]]</f>
        <v>45022.209027777775</v>
      </c>
      <c r="R601" s="9" cm="1">
        <f t="array" ref="R60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5.4166666661330964E-2</v>
      </c>
      <c r="S601" s="9">
        <f>_xlfn.XLOOKUP(spaces_3iWczBNnn5rbfoUlE0Jd_uploads_git_blob_9864c7f811c613c3faab876659c6423__25[[#This Row],[Número de Orden]],Cocinadinamica!E602:E1370,Cocinadinamica!F602:F1370)/1440</f>
        <v>4.5138888888888888E-2</v>
      </c>
      <c r="T601" s="9" cm="1">
        <f t="array" ref="T60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9.0277777724420763E-3</v>
      </c>
      <c r="U601" s="9" t="str" cm="1">
        <f t="array" ref="U60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2" spans="1:21" x14ac:dyDescent="0.35">
      <c r="A602" s="27">
        <v>13</v>
      </c>
      <c r="B602" s="11" t="s">
        <v>667</v>
      </c>
      <c r="C602" s="11">
        <v>1</v>
      </c>
      <c r="D602" s="12">
        <v>45022.113194444442</v>
      </c>
      <c r="E602" s="12">
        <v>45022.260416666664</v>
      </c>
      <c r="F602" s="11" t="s">
        <v>72</v>
      </c>
      <c r="G602" s="11" t="s">
        <v>73</v>
      </c>
      <c r="H602" s="11" t="s">
        <v>74</v>
      </c>
      <c r="I602" s="16">
        <v>16.809999999999999</v>
      </c>
      <c r="J602" s="11" t="s">
        <v>75</v>
      </c>
      <c r="K602" s="11">
        <v>601</v>
      </c>
      <c r="L602" s="11" t="s">
        <v>76</v>
      </c>
      <c r="M602" s="11" t="s">
        <v>1679</v>
      </c>
      <c r="N602">
        <f>_xlfn.XLOOKUP(spaces_3iWczBNnn5rbfoUlE0Jd_uploads_git_blob_9864c7f811c613c3faab876659c6423__25[[#This Row],[Número de Orden]],Cocinadinamica!B603:B1371,Cocinadinamica!C603:C1371)</f>
        <v>117</v>
      </c>
      <c r="O602" s="7">
        <f>spaces_3iWczBNnn5rbfoUlE0Jd_uploads_git_blob_9864c7f811c613c3faab876659c6423__25[[#This Row],[Hora de Llegada]]</f>
        <v>45022.113194444442</v>
      </c>
      <c r="P602" s="9">
        <f>spaces_3iWczBNnn5rbfoUlE0Jd_uploads_git_blob_9864c7f811c613c3faab876659c6423__25[[#This Row],[Hora de Llegada]]</f>
        <v>45022.113194444442</v>
      </c>
      <c r="Q602" s="9">
        <f>spaces_3iWczBNnn5rbfoUlE0Jd_uploads_git_blob_9864c7f811c613c3faab876659c6423__25[[#This Row],[Hora de Salida]]</f>
        <v>45022.260416666664</v>
      </c>
      <c r="R602" s="9" cm="1">
        <f t="array" ref="R60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0.14722222222189885</v>
      </c>
      <c r="S602" s="9">
        <f>_xlfn.XLOOKUP(spaces_3iWczBNnn5rbfoUlE0Jd_uploads_git_blob_9864c7f811c613c3faab876659c6423__25[[#This Row],[Número de Orden]],Cocinadinamica!E603:E1371,Cocinadinamica!F603:F1371)/1440</f>
        <v>7.9861111111111105E-2</v>
      </c>
      <c r="T602" s="9" cm="1">
        <f t="array" ref="T60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6.7361111110787741E-2</v>
      </c>
      <c r="U602" s="9" t="str" cm="1">
        <f t="array" ref="U60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3" spans="1:21" x14ac:dyDescent="0.35">
      <c r="A603" s="28">
        <v>12</v>
      </c>
      <c r="B603" s="13" t="s">
        <v>1169</v>
      </c>
      <c r="C603" s="13">
        <v>3</v>
      </c>
      <c r="D603" s="14">
        <v>45022.161111111112</v>
      </c>
      <c r="E603" s="14">
        <v>45022.291666666664</v>
      </c>
      <c r="F603" s="13" t="s">
        <v>100</v>
      </c>
      <c r="G603" s="13" t="s">
        <v>86</v>
      </c>
      <c r="H603" s="13" t="s">
        <v>87</v>
      </c>
      <c r="I603" s="17">
        <v>16.5</v>
      </c>
      <c r="J603" s="13" t="s">
        <v>94</v>
      </c>
      <c r="K603" s="13">
        <v>602</v>
      </c>
      <c r="L603" s="13" t="s">
        <v>181</v>
      </c>
      <c r="M603" s="13" t="s">
        <v>1680</v>
      </c>
      <c r="N603">
        <f>_xlfn.XLOOKUP(spaces_3iWczBNnn5rbfoUlE0Jd_uploads_git_blob_9864c7f811c613c3faab876659c6423__25[[#This Row],[Número de Orden]],Cocinadinamica!B604:B1372,Cocinadinamica!C604:C1372)</f>
        <v>106</v>
      </c>
      <c r="O603" s="7">
        <f>spaces_3iWczBNnn5rbfoUlE0Jd_uploads_git_blob_9864c7f811c613c3faab876659c6423__25[[#This Row],[Hora de Llegada]]</f>
        <v>45022.161111111112</v>
      </c>
      <c r="P603" s="9">
        <f>spaces_3iWczBNnn5rbfoUlE0Jd_uploads_git_blob_9864c7f811c613c3faab876659c6423__25[[#This Row],[Hora de Llegada]]</f>
        <v>45022.161111111112</v>
      </c>
      <c r="Q603" s="9">
        <f>spaces_3iWczBNnn5rbfoUlE0Jd_uploads_git_blob_9864c7f811c613c3faab876659c6423__25[[#This Row],[Hora de Salida]]</f>
        <v>45022.291666666664</v>
      </c>
      <c r="R603" s="9" cm="1">
        <f t="array" ref="R60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0.13055555555183673</v>
      </c>
      <c r="S603" s="9">
        <f>_xlfn.XLOOKUP(spaces_3iWczBNnn5rbfoUlE0Jd_uploads_git_blob_9864c7f811c613c3faab876659c6423__25[[#This Row],[Número de Orden]],Cocinadinamica!E604:E1372,Cocinadinamica!F604:F1372)/1440</f>
        <v>0.1125</v>
      </c>
      <c r="T603" s="9" cm="1">
        <f t="array" ref="T60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1.805555555183673E-2</v>
      </c>
      <c r="U603" s="9" t="str" cm="1">
        <f t="array" ref="U60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4" spans="1:21" x14ac:dyDescent="0.35">
      <c r="A604" s="27" t="s">
        <v>177</v>
      </c>
      <c r="B604" s="11" t="s">
        <v>703</v>
      </c>
      <c r="C604" s="11">
        <v>6</v>
      </c>
      <c r="D604" s="12">
        <v>45022.035416666666</v>
      </c>
      <c r="E604" s="12">
        <v>45022.181250000001</v>
      </c>
      <c r="F604" s="11" t="s">
        <v>223</v>
      </c>
      <c r="G604" s="11" t="s">
        <v>86</v>
      </c>
      <c r="H604" s="11" t="s">
        <v>74</v>
      </c>
      <c r="I604" s="16">
        <v>2.42</v>
      </c>
      <c r="J604" s="11" t="s">
        <v>75</v>
      </c>
      <c r="K604" s="11">
        <v>603</v>
      </c>
      <c r="L604" s="11" t="s">
        <v>174</v>
      </c>
      <c r="M604" s="11" t="s">
        <v>15</v>
      </c>
      <c r="N604">
        <f>_xlfn.XLOOKUP(spaces_3iWczBNnn5rbfoUlE0Jd_uploads_git_blob_9864c7f811c613c3faab876659c6423__25[[#This Row],[Número de Orden]],Cocinadinamica!B605:B1373,Cocinadinamica!C605:C1373)</f>
        <v>24</v>
      </c>
      <c r="O604" s="7">
        <f>spaces_3iWczBNnn5rbfoUlE0Jd_uploads_git_blob_9864c7f811c613c3faab876659c6423__25[[#This Row],[Hora de Llegada]]</f>
        <v>45022.035416666666</v>
      </c>
      <c r="P604" s="9">
        <f>spaces_3iWczBNnn5rbfoUlE0Jd_uploads_git_blob_9864c7f811c613c3faab876659c6423__25[[#This Row],[Hora de Llegada]]</f>
        <v>45022.035416666666</v>
      </c>
      <c r="Q604" s="9">
        <f>spaces_3iWczBNnn5rbfoUlE0Jd_uploads_git_blob_9864c7f811c613c3faab876659c6423__25[[#This Row],[Hora de Salida]]</f>
        <v>45022.181250000001</v>
      </c>
      <c r="R604" s="9" cm="1">
        <f t="array" ref="R60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0.14583333333575865</v>
      </c>
      <c r="S604" s="9">
        <f>_xlfn.XLOOKUP(spaces_3iWczBNnn5rbfoUlE0Jd_uploads_git_blob_9864c7f811c613c3faab876659c6423__25[[#This Row],[Número de Orden]],Cocinadinamica!E605:E1373,Cocinadinamica!F605:F1373)/1440</f>
        <v>1.1805555555555555E-2</v>
      </c>
      <c r="T604" s="9" cm="1">
        <f t="array" ref="T60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0.13402777778020308</v>
      </c>
      <c r="U604" s="9" t="str" cm="1">
        <f t="array" ref="U60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5" spans="1:21" x14ac:dyDescent="0.35">
      <c r="A605" s="28" t="s">
        <v>267</v>
      </c>
      <c r="B605" s="13" t="s">
        <v>704</v>
      </c>
      <c r="C605" s="13">
        <v>5</v>
      </c>
      <c r="D605" s="14">
        <v>45022.054166666669</v>
      </c>
      <c r="E605" s="14">
        <v>45022.219444444447</v>
      </c>
      <c r="F605" s="13" t="s">
        <v>100</v>
      </c>
      <c r="G605" s="13" t="s">
        <v>86</v>
      </c>
      <c r="H605" s="13" t="s">
        <v>74</v>
      </c>
      <c r="I605" s="17">
        <v>4.26</v>
      </c>
      <c r="J605" s="13" t="s">
        <v>88</v>
      </c>
      <c r="K605" s="13">
        <v>604</v>
      </c>
      <c r="L605" s="13" t="s">
        <v>187</v>
      </c>
      <c r="M605" s="13" t="s">
        <v>31</v>
      </c>
      <c r="N605">
        <f>_xlfn.XLOOKUP(spaces_3iWczBNnn5rbfoUlE0Jd_uploads_git_blob_9864c7f811c613c3faab876659c6423__25[[#This Row],[Número de Orden]],Cocinadinamica!B606:B1374,Cocinadinamica!C606:C1374)</f>
        <v>42</v>
      </c>
      <c r="O605" s="7">
        <f>spaces_3iWczBNnn5rbfoUlE0Jd_uploads_git_blob_9864c7f811c613c3faab876659c6423__25[[#This Row],[Hora de Llegada]]</f>
        <v>45022.054166666669</v>
      </c>
      <c r="P605" s="9">
        <f>spaces_3iWczBNnn5rbfoUlE0Jd_uploads_git_blob_9864c7f811c613c3faab876659c6423__25[[#This Row],[Hora de Llegada]]</f>
        <v>45022.054166666669</v>
      </c>
      <c r="Q605" s="9">
        <f>spaces_3iWczBNnn5rbfoUlE0Jd_uploads_git_blob_9864c7f811c613c3faab876659c6423__25[[#This Row],[Hora de Salida]]</f>
        <v>45022.219444444447</v>
      </c>
      <c r="R605" s="9" cm="1">
        <f t="array" ref="R60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0.1756944444423425</v>
      </c>
      <c r="S605" s="9">
        <f>_xlfn.XLOOKUP(spaces_3iWczBNnn5rbfoUlE0Jd_uploads_git_blob_9864c7f811c613c3faab876659c6423__25[[#This Row],[Número de Orden]],Cocinadinamica!E606:E1374,Cocinadinamica!F606:F1374)/1440</f>
        <v>2.9166666666666667E-2</v>
      </c>
      <c r="T605" s="9" cm="1">
        <f t="array" ref="T60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0.14652777777567583</v>
      </c>
      <c r="U605" s="9" t="str" cm="1">
        <f t="array" ref="U60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6" spans="1:21" x14ac:dyDescent="0.35">
      <c r="A606" s="27">
        <v>19</v>
      </c>
      <c r="B606" s="11" t="s">
        <v>1170</v>
      </c>
      <c r="C606" s="11">
        <v>2</v>
      </c>
      <c r="D606" s="12">
        <v>45022.117361111108</v>
      </c>
      <c r="E606" s="12">
        <v>45022.26666666667</v>
      </c>
      <c r="F606" s="11" t="s">
        <v>170</v>
      </c>
      <c r="G606" s="11" t="s">
        <v>86</v>
      </c>
      <c r="H606" s="11" t="s">
        <v>87</v>
      </c>
      <c r="I606" s="16">
        <v>24.38</v>
      </c>
      <c r="J606" s="11" t="s">
        <v>88</v>
      </c>
      <c r="K606" s="11">
        <v>605</v>
      </c>
      <c r="L606" s="11" t="s">
        <v>174</v>
      </c>
      <c r="M606" s="11" t="s">
        <v>1681</v>
      </c>
      <c r="N606">
        <f>_xlfn.XLOOKUP(spaces_3iWczBNnn5rbfoUlE0Jd_uploads_git_blob_9864c7f811c613c3faab876659c6423__25[[#This Row],[Número de Orden]],Cocinadinamica!B607:B1375,Cocinadinamica!C607:C1375)</f>
        <v>87</v>
      </c>
      <c r="O606" s="7">
        <f>spaces_3iWczBNnn5rbfoUlE0Jd_uploads_git_blob_9864c7f811c613c3faab876659c6423__25[[#This Row],[Hora de Llegada]]</f>
        <v>45022.117361111108</v>
      </c>
      <c r="P606" s="9">
        <f>spaces_3iWczBNnn5rbfoUlE0Jd_uploads_git_blob_9864c7f811c613c3faab876659c6423__25[[#This Row],[Hora de Llegada]]</f>
        <v>45022.117361111108</v>
      </c>
      <c r="Q606" s="9">
        <f>spaces_3iWczBNnn5rbfoUlE0Jd_uploads_git_blob_9864c7f811c613c3faab876659c6423__25[[#This Row],[Hora de Salida]]</f>
        <v>45022.26666666667</v>
      </c>
      <c r="R606" s="9" cm="1">
        <f t="array" ref="R60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0.15972222222626442</v>
      </c>
      <c r="S606" s="9">
        <f>_xlfn.XLOOKUP(spaces_3iWczBNnn5rbfoUlE0Jd_uploads_git_blob_9864c7f811c613c3faab876659c6423__25[[#This Row],[Número de Orden]],Cocinadinamica!E607:E1375,Cocinadinamica!F607:F1375)/1440</f>
        <v>0.12222222222222222</v>
      </c>
      <c r="T606" s="9" cm="1">
        <f t="array" ref="T60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3.7500000004042203E-2</v>
      </c>
      <c r="U606" s="9" t="str" cm="1">
        <f t="array" ref="U60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7" spans="1:21" x14ac:dyDescent="0.35">
      <c r="A607" s="28">
        <v>1</v>
      </c>
      <c r="B607" s="13" t="s">
        <v>1117</v>
      </c>
      <c r="C607" s="13">
        <v>2</v>
      </c>
      <c r="D607" s="14">
        <v>45022.134722222225</v>
      </c>
      <c r="E607" s="14">
        <v>45022.254166666666</v>
      </c>
      <c r="F607" s="13" t="s">
        <v>85</v>
      </c>
      <c r="G607" s="13" t="s">
        <v>86</v>
      </c>
      <c r="H607" s="13" t="s">
        <v>74</v>
      </c>
      <c r="I607" s="17">
        <v>31.58</v>
      </c>
      <c r="J607" s="13" t="s">
        <v>88</v>
      </c>
      <c r="K607" s="13">
        <v>606</v>
      </c>
      <c r="L607" s="13" t="s">
        <v>275</v>
      </c>
      <c r="M607" s="13" t="s">
        <v>1682</v>
      </c>
      <c r="N607">
        <f>_xlfn.XLOOKUP(spaces_3iWczBNnn5rbfoUlE0Jd_uploads_git_blob_9864c7f811c613c3faab876659c6423__25[[#This Row],[Número de Orden]],Cocinadinamica!B608:B1376,Cocinadinamica!C608:C1376)</f>
        <v>75</v>
      </c>
      <c r="O607" s="7">
        <f>spaces_3iWczBNnn5rbfoUlE0Jd_uploads_git_blob_9864c7f811c613c3faab876659c6423__25[[#This Row],[Hora de Llegada]]</f>
        <v>45022.134722222225</v>
      </c>
      <c r="P607" s="9">
        <f>spaces_3iWczBNnn5rbfoUlE0Jd_uploads_git_blob_9864c7f811c613c3faab876659c6423__25[[#This Row],[Hora de Llegada]]</f>
        <v>45022.134722222225</v>
      </c>
      <c r="Q607" s="9">
        <f>spaces_3iWczBNnn5rbfoUlE0Jd_uploads_git_blob_9864c7f811c613c3faab876659c6423__25[[#This Row],[Hora de Salida]]</f>
        <v>45022.254166666666</v>
      </c>
      <c r="R607" s="9" cm="1">
        <f t="array" ref="R60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0.12986111110512866</v>
      </c>
      <c r="S607" s="9">
        <f>_xlfn.XLOOKUP(spaces_3iWczBNnn5rbfoUlE0Jd_uploads_git_blob_9864c7f811c613c3faab876659c6423__25[[#This Row],[Número de Orden]],Cocinadinamica!E608:E1376,Cocinadinamica!F608:F1376)/1440</f>
        <v>0.10069444444444445</v>
      </c>
      <c r="T607" s="9" cm="1">
        <f t="array" ref="T60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2.916666666068421E-2</v>
      </c>
      <c r="U607" s="9" t="str" cm="1">
        <f t="array" ref="U60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8" spans="1:21" x14ac:dyDescent="0.35">
      <c r="A608" s="27">
        <v>10</v>
      </c>
      <c r="B608" s="11" t="s">
        <v>879</v>
      </c>
      <c r="C608" s="11">
        <v>1</v>
      </c>
      <c r="D608" s="12">
        <v>45022.058333333334</v>
      </c>
      <c r="E608" s="12">
        <v>45022.145138888889</v>
      </c>
      <c r="F608" s="11" t="s">
        <v>85</v>
      </c>
      <c r="G608" s="11" t="s">
        <v>86</v>
      </c>
      <c r="H608" s="11" t="s">
        <v>74</v>
      </c>
      <c r="I608" s="16">
        <v>28.9</v>
      </c>
      <c r="J608" s="11" t="s">
        <v>88</v>
      </c>
      <c r="K608" s="11">
        <v>607</v>
      </c>
      <c r="L608" s="11" t="s">
        <v>221</v>
      </c>
      <c r="M608" s="11" t="s">
        <v>1514</v>
      </c>
      <c r="N608">
        <f>_xlfn.XLOOKUP(spaces_3iWczBNnn5rbfoUlE0Jd_uploads_git_blob_9864c7f811c613c3faab876659c6423__25[[#This Row],[Número de Orden]],Cocinadinamica!B609:B1377,Cocinadinamica!C609:C1377)</f>
        <v>27</v>
      </c>
      <c r="O608" s="7">
        <f>spaces_3iWczBNnn5rbfoUlE0Jd_uploads_git_blob_9864c7f811c613c3faab876659c6423__25[[#This Row],[Hora de Llegada]]</f>
        <v>45022.058333333334</v>
      </c>
      <c r="P608" s="9">
        <f>spaces_3iWczBNnn5rbfoUlE0Jd_uploads_git_blob_9864c7f811c613c3faab876659c6423__25[[#This Row],[Hora de Llegada]]</f>
        <v>45022.058333333334</v>
      </c>
      <c r="Q608" s="9">
        <f>spaces_3iWczBNnn5rbfoUlE0Jd_uploads_git_blob_9864c7f811c613c3faab876659c6423__25[[#This Row],[Hora de Salida]]</f>
        <v>45022.145138888889</v>
      </c>
      <c r="R608" s="9" cm="1">
        <f t="array" ref="R60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9.7222222218988463E-2</v>
      </c>
      <c r="S608" s="9">
        <f>_xlfn.XLOOKUP(spaces_3iWczBNnn5rbfoUlE0Jd_uploads_git_blob_9864c7f811c613c3faab876659c6423__25[[#This Row],[Número de Orden]],Cocinadinamica!E609:E1377,Cocinadinamica!F609:F1377)/1440</f>
        <v>4.791666666666667E-2</v>
      </c>
      <c r="T608" s="9" cm="1">
        <f t="array" ref="T60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4.9305555552321793E-2</v>
      </c>
      <c r="U608" s="9" t="str" cm="1">
        <f t="array" ref="U60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09" spans="1:21" x14ac:dyDescent="0.35">
      <c r="A609" s="28" t="s">
        <v>70</v>
      </c>
      <c r="B609" s="13" t="s">
        <v>708</v>
      </c>
      <c r="C609" s="13">
        <v>6</v>
      </c>
      <c r="D609" s="14">
        <v>45022.165277777778</v>
      </c>
      <c r="E609" s="14">
        <v>45022.305555555555</v>
      </c>
      <c r="F609" s="13" t="s">
        <v>170</v>
      </c>
      <c r="G609" s="13" t="s">
        <v>86</v>
      </c>
      <c r="H609" s="13" t="s">
        <v>74</v>
      </c>
      <c r="I609" s="17">
        <v>36.549999999999997</v>
      </c>
      <c r="J609" s="13" t="s">
        <v>94</v>
      </c>
      <c r="K609" s="13">
        <v>608</v>
      </c>
      <c r="L609" s="13" t="s">
        <v>181</v>
      </c>
      <c r="M609" s="13" t="s">
        <v>23</v>
      </c>
      <c r="N609">
        <f>_xlfn.XLOOKUP(spaces_3iWczBNnn5rbfoUlE0Jd_uploads_git_blob_9864c7f811c613c3faab876659c6423__25[[#This Row],[Número de Orden]],Cocinadinamica!B610:B1378,Cocinadinamica!C610:C1378)</f>
        <v>12</v>
      </c>
      <c r="O609" s="7">
        <f>spaces_3iWczBNnn5rbfoUlE0Jd_uploads_git_blob_9864c7f811c613c3faab876659c6423__25[[#This Row],[Hora de Llegada]]</f>
        <v>45022.165277777778</v>
      </c>
      <c r="P609" s="9">
        <f>spaces_3iWczBNnn5rbfoUlE0Jd_uploads_git_blob_9864c7f811c613c3faab876659c6423__25[[#This Row],[Hora de Llegada]]</f>
        <v>45022.165277777778</v>
      </c>
      <c r="Q609" s="9">
        <f>spaces_3iWczBNnn5rbfoUlE0Jd_uploads_git_blob_9864c7f811c613c3faab876659c6423__25[[#This Row],[Hora de Salida]]</f>
        <v>45022.305555555555</v>
      </c>
      <c r="R609" s="9" cm="1">
        <f t="array" ref="R60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0.14027777777664596</v>
      </c>
      <c r="S609" s="9">
        <f>_xlfn.XLOOKUP(spaces_3iWczBNnn5rbfoUlE0Jd_uploads_git_blob_9864c7f811c613c3faab876659c6423__25[[#This Row],[Número de Orden]],Cocinadinamica!E610:E1378,Cocinadinamica!F610:F1378)/1440</f>
        <v>3.125E-2</v>
      </c>
      <c r="T609" s="9" cm="1">
        <f t="array" ref="T60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0.10902777777664596</v>
      </c>
      <c r="U609" s="9" t="str" cm="1">
        <f t="array" ref="U60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10" spans="1:21" x14ac:dyDescent="0.35">
      <c r="A610" s="27" t="s">
        <v>161</v>
      </c>
      <c r="B610" s="11" t="s">
        <v>312</v>
      </c>
      <c r="C610" s="11">
        <v>4</v>
      </c>
      <c r="D610" s="12">
        <v>45022.140972222223</v>
      </c>
      <c r="E610" s="12">
        <v>45022.293055555558</v>
      </c>
      <c r="F610" s="11" t="s">
        <v>223</v>
      </c>
      <c r="G610" s="11" t="s">
        <v>86</v>
      </c>
      <c r="H610" s="11" t="s">
        <v>74</v>
      </c>
      <c r="I610" s="16">
        <v>23.29</v>
      </c>
      <c r="J610" s="11" t="s">
        <v>94</v>
      </c>
      <c r="K610" s="11">
        <v>609</v>
      </c>
      <c r="L610" s="11" t="s">
        <v>187</v>
      </c>
      <c r="M610" s="11" t="s">
        <v>33</v>
      </c>
      <c r="N610">
        <f>_xlfn.XLOOKUP(spaces_3iWczBNnn5rbfoUlE0Jd_uploads_git_blob_9864c7f811c613c3faab876659c6423__25[[#This Row],[Número de Orden]],Cocinadinamica!B611:B1379,Cocinadinamica!C611:C1379)</f>
        <v>13</v>
      </c>
      <c r="O610" s="7">
        <f>spaces_3iWczBNnn5rbfoUlE0Jd_uploads_git_blob_9864c7f811c613c3faab876659c6423__25[[#This Row],[Hora de Llegada]]</f>
        <v>45022.140972222223</v>
      </c>
      <c r="P610" s="9">
        <f>spaces_3iWczBNnn5rbfoUlE0Jd_uploads_git_blob_9864c7f811c613c3faab876659c6423__25[[#This Row],[Hora de Llegada]]</f>
        <v>45022.140972222223</v>
      </c>
      <c r="Q610" s="9">
        <f>spaces_3iWczBNnn5rbfoUlE0Jd_uploads_git_blob_9864c7f811c613c3faab876659c6423__25[[#This Row],[Hora de Salida]]</f>
        <v>45022.293055555558</v>
      </c>
      <c r="R610" s="9" cm="1">
        <f t="array" ref="R61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0.15208333333430346</v>
      </c>
      <c r="S610" s="9">
        <f>_xlfn.XLOOKUP(spaces_3iWczBNnn5rbfoUlE0Jd_uploads_git_blob_9864c7f811c613c3faab876659c6423__25[[#This Row],[Número de Orden]],Cocinadinamica!E611:E1379,Cocinadinamica!F611:F1379)/1440</f>
        <v>1.8749999999999999E-2</v>
      </c>
      <c r="T610" s="9" cm="1">
        <f t="array" ref="T61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0.13333333333430347</v>
      </c>
      <c r="U610" s="9" t="str" cm="1">
        <f t="array" ref="U61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11" spans="1:21" x14ac:dyDescent="0.35">
      <c r="A611" s="28">
        <v>19</v>
      </c>
      <c r="B611" s="13" t="s">
        <v>660</v>
      </c>
      <c r="C611" s="13">
        <v>4</v>
      </c>
      <c r="D611" s="14">
        <v>45022.091666666667</v>
      </c>
      <c r="E611" s="14">
        <v>45022.174305555556</v>
      </c>
      <c r="F611" s="13" t="s">
        <v>85</v>
      </c>
      <c r="G611" s="13" t="s">
        <v>73</v>
      </c>
      <c r="H611" s="13" t="s">
        <v>74</v>
      </c>
      <c r="I611" s="17">
        <v>37.9</v>
      </c>
      <c r="J611" s="13" t="s">
        <v>88</v>
      </c>
      <c r="K611" s="13">
        <v>610</v>
      </c>
      <c r="L611" s="13" t="s">
        <v>221</v>
      </c>
      <c r="M611" s="13" t="s">
        <v>1683</v>
      </c>
      <c r="N611">
        <f>_xlfn.XLOOKUP(spaces_3iWczBNnn5rbfoUlE0Jd_uploads_git_blob_9864c7f811c613c3faab876659c6423__25[[#This Row],[Número de Orden]],Cocinadinamica!B612:B1380,Cocinadinamica!C612:C1380)</f>
        <v>19</v>
      </c>
      <c r="O611" s="7">
        <f>spaces_3iWczBNnn5rbfoUlE0Jd_uploads_git_blob_9864c7f811c613c3faab876659c6423__25[[#This Row],[Hora de Llegada]]</f>
        <v>45022.091666666667</v>
      </c>
      <c r="P611" s="9">
        <f>spaces_3iWczBNnn5rbfoUlE0Jd_uploads_git_blob_9864c7f811c613c3faab876659c6423__25[[#This Row],[Hora de Llegada]]</f>
        <v>45022.091666666667</v>
      </c>
      <c r="Q611" s="9">
        <f>spaces_3iWczBNnn5rbfoUlE0Jd_uploads_git_blob_9864c7f811c613c3faab876659c6423__25[[#This Row],[Hora de Salida]]</f>
        <v>45022.174305555556</v>
      </c>
      <c r="R611" s="9" cm="1">
        <f t="array" ref="R61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9.3055555553291924E-2</v>
      </c>
      <c r="S611" s="9">
        <f>_xlfn.XLOOKUP(spaces_3iWczBNnn5rbfoUlE0Jd_uploads_git_blob_9864c7f811c613c3faab876659c6423__25[[#This Row],[Número de Orden]],Cocinadinamica!E612:E1380,Cocinadinamica!F612:F1380)/1440</f>
        <v>3.2638888888888891E-2</v>
      </c>
      <c r="T611" s="9" cm="1">
        <f t="array" ref="T61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6.0416666664403033E-2</v>
      </c>
      <c r="U611" s="9" t="str" cm="1">
        <f t="array" ref="U61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12" spans="1:21" x14ac:dyDescent="0.35">
      <c r="A612" s="27">
        <v>13</v>
      </c>
      <c r="B612" s="11" t="s">
        <v>1171</v>
      </c>
      <c r="C612" s="11">
        <v>1</v>
      </c>
      <c r="D612" s="12">
        <v>45022.163194444445</v>
      </c>
      <c r="E612" s="12">
        <v>45022.321527777778</v>
      </c>
      <c r="F612" s="11" t="s">
        <v>223</v>
      </c>
      <c r="G612" s="11" t="s">
        <v>86</v>
      </c>
      <c r="H612" s="11" t="s">
        <v>74</v>
      </c>
      <c r="I612" s="16">
        <v>44.28</v>
      </c>
      <c r="J612" s="11" t="s">
        <v>88</v>
      </c>
      <c r="K612" s="11">
        <v>611</v>
      </c>
      <c r="L612" s="11" t="s">
        <v>89</v>
      </c>
      <c r="M612" s="11" t="s">
        <v>1684</v>
      </c>
      <c r="N612">
        <f>_xlfn.XLOOKUP(spaces_3iWczBNnn5rbfoUlE0Jd_uploads_git_blob_9864c7f811c613c3faab876659c6423__25[[#This Row],[Número de Orden]],Cocinadinamica!B613:B1381,Cocinadinamica!C613:C1381)</f>
        <v>30</v>
      </c>
      <c r="O612" s="7">
        <f>spaces_3iWczBNnn5rbfoUlE0Jd_uploads_git_blob_9864c7f811c613c3faab876659c6423__25[[#This Row],[Hora de Llegada]]</f>
        <v>45022.163194444445</v>
      </c>
      <c r="P612" s="9">
        <f>spaces_3iWczBNnn5rbfoUlE0Jd_uploads_git_blob_9864c7f811c613c3faab876659c6423__25[[#This Row],[Hora de Llegada]]</f>
        <v>45022.163194444445</v>
      </c>
      <c r="Q612" s="9">
        <f>spaces_3iWczBNnn5rbfoUlE0Jd_uploads_git_blob_9864c7f811c613c3faab876659c6423__25[[#This Row],[Hora de Salida]]</f>
        <v>45022.321527777778</v>
      </c>
      <c r="R612" s="9" cm="1">
        <f t="array" ref="R61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0.16874999999708962</v>
      </c>
      <c r="S612" s="9">
        <f>_xlfn.XLOOKUP(spaces_3iWczBNnn5rbfoUlE0Jd_uploads_git_blob_9864c7f811c613c3faab876659c6423__25[[#This Row],[Número de Orden]],Cocinadinamica!E613:E1381,Cocinadinamica!F613:F1381)/1440</f>
        <v>5.7638888888888892E-2</v>
      </c>
      <c r="T612" s="9" cm="1">
        <f t="array" ref="T61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0.11111111110820072</v>
      </c>
      <c r="U612" s="9" t="str" cm="1">
        <f t="array" ref="U61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13" spans="1:21" x14ac:dyDescent="0.35">
      <c r="A613" s="28">
        <v>11</v>
      </c>
      <c r="B613" s="13" t="s">
        <v>1172</v>
      </c>
      <c r="C613" s="13">
        <v>4</v>
      </c>
      <c r="D613" s="14">
        <v>45022.05</v>
      </c>
      <c r="E613" s="14">
        <v>45022.208333333336</v>
      </c>
      <c r="F613" s="13" t="s">
        <v>85</v>
      </c>
      <c r="G613" s="13" t="s">
        <v>86</v>
      </c>
      <c r="H613" s="13" t="s">
        <v>74</v>
      </c>
      <c r="I613" s="17">
        <v>23.54</v>
      </c>
      <c r="J613" s="13" t="s">
        <v>94</v>
      </c>
      <c r="K613" s="13">
        <v>612</v>
      </c>
      <c r="L613" s="13" t="s">
        <v>221</v>
      </c>
      <c r="M613" s="13" t="s">
        <v>1685</v>
      </c>
      <c r="N613">
        <f>_xlfn.XLOOKUP(spaces_3iWczBNnn5rbfoUlE0Jd_uploads_git_blob_9864c7f811c613c3faab876659c6423__25[[#This Row],[Número de Orden]],Cocinadinamica!B614:B1382,Cocinadinamica!C614:C1382)</f>
        <v>93</v>
      </c>
      <c r="O613" s="7">
        <f>spaces_3iWczBNnn5rbfoUlE0Jd_uploads_git_blob_9864c7f811c613c3faab876659c6423__25[[#This Row],[Hora de Llegada]]</f>
        <v>45022.05</v>
      </c>
      <c r="P613" s="9">
        <f>spaces_3iWczBNnn5rbfoUlE0Jd_uploads_git_blob_9864c7f811c613c3faab876659c6423__25[[#This Row],[Hora de Llegada]]</f>
        <v>45022.05</v>
      </c>
      <c r="Q613" s="9">
        <f>spaces_3iWczBNnn5rbfoUlE0Jd_uploads_git_blob_9864c7f811c613c3faab876659c6423__25[[#This Row],[Hora de Salida]]</f>
        <v>45022.208333333336</v>
      </c>
      <c r="R613" s="9" cm="1">
        <f t="array" ref="R61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0.15833333333284827</v>
      </c>
      <c r="S613" s="9">
        <f>_xlfn.XLOOKUP(spaces_3iWczBNnn5rbfoUlE0Jd_uploads_git_blob_9864c7f811c613c3faab876659c6423__25[[#This Row],[Número de Orden]],Cocinadinamica!E614:E1382,Cocinadinamica!F614:F1382)/1440</f>
        <v>8.9583333333333334E-2</v>
      </c>
      <c r="T613" s="9" cm="1">
        <f t="array" ref="T61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6.8749999999514935E-2</v>
      </c>
      <c r="U613" s="9" t="str" cm="1">
        <f t="array" ref="U61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14" spans="1:21" x14ac:dyDescent="0.35">
      <c r="A614" s="27">
        <v>1</v>
      </c>
      <c r="B614" s="11" t="s">
        <v>342</v>
      </c>
      <c r="C614" s="11">
        <v>5</v>
      </c>
      <c r="D614" s="12">
        <v>45022.081250000003</v>
      </c>
      <c r="E614" s="12">
        <v>45022.149305555555</v>
      </c>
      <c r="F614" s="11" t="s">
        <v>100</v>
      </c>
      <c r="G614" s="11" t="s">
        <v>163</v>
      </c>
      <c r="H614" s="11" t="s">
        <v>87</v>
      </c>
      <c r="I614" s="16">
        <v>23.56</v>
      </c>
      <c r="J614" s="11" t="s">
        <v>94</v>
      </c>
      <c r="K614" s="11">
        <v>613</v>
      </c>
      <c r="L614" s="11" t="s">
        <v>181</v>
      </c>
      <c r="M614" s="11" t="s">
        <v>1686</v>
      </c>
      <c r="N614">
        <f>_xlfn.XLOOKUP(spaces_3iWczBNnn5rbfoUlE0Jd_uploads_git_blob_9864c7f811c613c3faab876659c6423__25[[#This Row],[Número de Orden]],Cocinadinamica!B615:B1383,Cocinadinamica!C615:C1383)</f>
        <v>117</v>
      </c>
      <c r="O614" s="7">
        <f>spaces_3iWczBNnn5rbfoUlE0Jd_uploads_git_blob_9864c7f811c613c3faab876659c6423__25[[#This Row],[Hora de Llegada]]</f>
        <v>45022.081250000003</v>
      </c>
      <c r="P614" s="9">
        <f>spaces_3iWczBNnn5rbfoUlE0Jd_uploads_git_blob_9864c7f811c613c3faab876659c6423__25[[#This Row],[Hora de Llegada]]</f>
        <v>45022.081250000003</v>
      </c>
      <c r="Q614" s="9">
        <f>spaces_3iWczBNnn5rbfoUlE0Jd_uploads_git_blob_9864c7f811c613c3faab876659c6423__25[[#This Row],[Hora de Salida]]</f>
        <v>45022.149305555555</v>
      </c>
      <c r="R614" s="9" cm="1">
        <f t="array" ref="R61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6.8055555551836733E-2</v>
      </c>
      <c r="S614" s="9">
        <f>_xlfn.XLOOKUP(spaces_3iWczBNnn5rbfoUlE0Jd_uploads_git_blob_9864c7f811c613c3faab876659c6423__25[[#This Row],[Número de Orden]],Cocinadinamica!E615:E1383,Cocinadinamica!F615:F1383)/1440</f>
        <v>0.10555555555555556</v>
      </c>
      <c r="T614" s="9" cm="1">
        <f t="array" ref="T61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14" s="9" t="str" cm="1">
        <f t="array" ref="U61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15" spans="1:21" x14ac:dyDescent="0.35">
      <c r="A615" s="28" t="s">
        <v>177</v>
      </c>
      <c r="B615" s="13" t="s">
        <v>439</v>
      </c>
      <c r="C615" s="13">
        <v>6</v>
      </c>
      <c r="D615" s="14">
        <v>45022.105555555558</v>
      </c>
      <c r="E615" s="14">
        <v>45022.192361111112</v>
      </c>
      <c r="F615" s="13" t="s">
        <v>223</v>
      </c>
      <c r="G615" s="13" t="s">
        <v>163</v>
      </c>
      <c r="H615" s="13" t="s">
        <v>109</v>
      </c>
      <c r="I615" s="17">
        <v>26.48</v>
      </c>
      <c r="J615" s="13" t="s">
        <v>94</v>
      </c>
      <c r="K615" s="13">
        <v>614</v>
      </c>
      <c r="L615" s="13" t="s">
        <v>275</v>
      </c>
      <c r="M615" s="13" t="s">
        <v>9</v>
      </c>
      <c r="N615">
        <f>_xlfn.XLOOKUP(spaces_3iWczBNnn5rbfoUlE0Jd_uploads_git_blob_9864c7f811c613c3faab876659c6423__25[[#This Row],[Número de Orden]],Cocinadinamica!B616:B1384,Cocinadinamica!C616:C1384)</f>
        <v>30</v>
      </c>
      <c r="O615" s="7">
        <f>spaces_3iWczBNnn5rbfoUlE0Jd_uploads_git_blob_9864c7f811c613c3faab876659c6423__25[[#This Row],[Hora de Llegada]]</f>
        <v>45022.105555555558</v>
      </c>
      <c r="P615" s="9">
        <f>spaces_3iWczBNnn5rbfoUlE0Jd_uploads_git_blob_9864c7f811c613c3faab876659c6423__25[[#This Row],[Hora de Llegada]]</f>
        <v>45022.105555555558</v>
      </c>
      <c r="Q615" s="9">
        <f>spaces_3iWczBNnn5rbfoUlE0Jd_uploads_git_blob_9864c7f811c613c3faab876659c6423__25[[#This Row],[Hora de Salida]]</f>
        <v>45022.192361111112</v>
      </c>
      <c r="R615" s="9" cm="1">
        <f t="array" ref="R61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8.6805555554747116E-2</v>
      </c>
      <c r="S615" s="9">
        <f>_xlfn.XLOOKUP(spaces_3iWczBNnn5rbfoUlE0Jd_uploads_git_blob_9864c7f811c613c3faab876659c6423__25[[#This Row],[Número de Orden]],Cocinadinamica!E616:E1384,Cocinadinamica!F616:F1384)/1440</f>
        <v>3.4722222222222224E-2</v>
      </c>
      <c r="T615" s="9" cm="1">
        <f t="array" ref="T61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5.2083333332524892E-2</v>
      </c>
      <c r="U615" s="9" t="str" cm="1">
        <f t="array" ref="U61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16" spans="1:21" x14ac:dyDescent="0.35">
      <c r="A616" s="27">
        <v>7</v>
      </c>
      <c r="B616" s="11" t="s">
        <v>1173</v>
      </c>
      <c r="C616" s="11">
        <v>1</v>
      </c>
      <c r="D616" s="12">
        <v>45022.031944444447</v>
      </c>
      <c r="E616" s="12">
        <v>45022.078472222223</v>
      </c>
      <c r="F616" s="11" t="s">
        <v>85</v>
      </c>
      <c r="G616" s="11" t="s">
        <v>73</v>
      </c>
      <c r="H616" s="11" t="s">
        <v>74</v>
      </c>
      <c r="I616" s="16">
        <v>18.420000000000002</v>
      </c>
      <c r="J616" s="11" t="s">
        <v>88</v>
      </c>
      <c r="K616" s="11">
        <v>615</v>
      </c>
      <c r="L616" s="11" t="s">
        <v>187</v>
      </c>
      <c r="M616" s="11" t="s">
        <v>1687</v>
      </c>
      <c r="N616">
        <f>_xlfn.XLOOKUP(spaces_3iWczBNnn5rbfoUlE0Jd_uploads_git_blob_9864c7f811c613c3faab876659c6423__25[[#This Row],[Número de Orden]],Cocinadinamica!B617:B1385,Cocinadinamica!C617:C1385)</f>
        <v>132</v>
      </c>
      <c r="O616" s="7">
        <f>spaces_3iWczBNnn5rbfoUlE0Jd_uploads_git_blob_9864c7f811c613c3faab876659c6423__25[[#This Row],[Hora de Llegada]]</f>
        <v>45022.031944444447</v>
      </c>
      <c r="P616" s="9">
        <f>spaces_3iWczBNnn5rbfoUlE0Jd_uploads_git_blob_9864c7f811c613c3faab876659c6423__25[[#This Row],[Hora de Llegada]]</f>
        <v>45022.031944444447</v>
      </c>
      <c r="Q616" s="9">
        <f>spaces_3iWczBNnn5rbfoUlE0Jd_uploads_git_blob_9864c7f811c613c3faab876659c6423__25[[#This Row],[Hora de Salida]]</f>
        <v>45022.078472222223</v>
      </c>
      <c r="R616" s="9" cm="1">
        <f t="array" ref="R61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5.694444444088731E-2</v>
      </c>
      <c r="S616" s="9">
        <f>_xlfn.XLOOKUP(spaces_3iWczBNnn5rbfoUlE0Jd_uploads_git_blob_9864c7f811c613c3faab876659c6423__25[[#This Row],[Número de Orden]],Cocinadinamica!E617:E1385,Cocinadinamica!F617:F1385)/1440</f>
        <v>0.10833333333333334</v>
      </c>
      <c r="T616" s="9" cm="1">
        <f t="array" ref="T61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16" s="9" t="str" cm="1">
        <f t="array" ref="U61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17" spans="1:21" x14ac:dyDescent="0.35">
      <c r="A617" s="28">
        <v>4</v>
      </c>
      <c r="B617" s="13" t="s">
        <v>1170</v>
      </c>
      <c r="C617" s="13">
        <v>4</v>
      </c>
      <c r="D617" s="14">
        <v>45022.009722222225</v>
      </c>
      <c r="E617" s="14">
        <v>45022.15</v>
      </c>
      <c r="F617" s="13" t="s">
        <v>85</v>
      </c>
      <c r="G617" s="13" t="s">
        <v>73</v>
      </c>
      <c r="H617" s="13" t="s">
        <v>74</v>
      </c>
      <c r="I617" s="17">
        <v>23.89</v>
      </c>
      <c r="J617" s="13" t="s">
        <v>88</v>
      </c>
      <c r="K617" s="13">
        <v>616</v>
      </c>
      <c r="L617" s="13" t="s">
        <v>275</v>
      </c>
      <c r="M617" s="13" t="s">
        <v>1262</v>
      </c>
      <c r="N617">
        <f>_xlfn.XLOOKUP(spaces_3iWczBNnn5rbfoUlE0Jd_uploads_git_blob_9864c7f811c613c3faab876659c6423__25[[#This Row],[Número de Orden]],Cocinadinamica!B618:B1386,Cocinadinamica!C618:C1386)</f>
        <v>54</v>
      </c>
      <c r="O617" s="7">
        <f>spaces_3iWczBNnn5rbfoUlE0Jd_uploads_git_blob_9864c7f811c613c3faab876659c6423__25[[#This Row],[Hora de Llegada]]</f>
        <v>45022.009722222225</v>
      </c>
      <c r="P617" s="9">
        <f>spaces_3iWczBNnn5rbfoUlE0Jd_uploads_git_blob_9864c7f811c613c3faab876659c6423__25[[#This Row],[Hora de Llegada]]</f>
        <v>45022.009722222225</v>
      </c>
      <c r="Q617" s="9">
        <f>spaces_3iWczBNnn5rbfoUlE0Jd_uploads_git_blob_9864c7f811c613c3faab876659c6423__25[[#This Row],[Hora de Salida]]</f>
        <v>45022.15</v>
      </c>
      <c r="R617" s="9" cm="1">
        <f t="array" ref="R61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0.15069444444088731</v>
      </c>
      <c r="S617" s="9">
        <f>_xlfn.XLOOKUP(spaces_3iWczBNnn5rbfoUlE0Jd_uploads_git_blob_9864c7f811c613c3faab876659c6423__25[[#This Row],[Número de Orden]],Cocinadinamica!E618:E1386,Cocinadinamica!F618:F1386)/1440</f>
        <v>3.2638888888888891E-2</v>
      </c>
      <c r="T617" s="9" cm="1">
        <f t="array" ref="T61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0.11805555555199843</v>
      </c>
      <c r="U617" s="9" t="str" cm="1">
        <f t="array" ref="U61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18" spans="1:21" x14ac:dyDescent="0.35">
      <c r="A618" s="27">
        <v>13</v>
      </c>
      <c r="B618" s="11" t="s">
        <v>566</v>
      </c>
      <c r="C618" s="11">
        <v>5</v>
      </c>
      <c r="D618" s="12">
        <v>45022.055555555555</v>
      </c>
      <c r="E618" s="12">
        <v>45022.220138888886</v>
      </c>
      <c r="F618" s="11" t="s">
        <v>100</v>
      </c>
      <c r="G618" s="11" t="s">
        <v>86</v>
      </c>
      <c r="H618" s="11" t="s">
        <v>74</v>
      </c>
      <c r="I618" s="16">
        <v>38.18</v>
      </c>
      <c r="J618" s="11" t="s">
        <v>75</v>
      </c>
      <c r="K618" s="11">
        <v>617</v>
      </c>
      <c r="L618" s="11" t="s">
        <v>174</v>
      </c>
      <c r="M618" s="11" t="s">
        <v>1489</v>
      </c>
      <c r="N618">
        <f>_xlfn.XLOOKUP(spaces_3iWczBNnn5rbfoUlE0Jd_uploads_git_blob_9864c7f811c613c3faab876659c6423__25[[#This Row],[Número de Orden]],Cocinadinamica!B619:B1387,Cocinadinamica!C619:C1387)</f>
        <v>58</v>
      </c>
      <c r="O618" s="7">
        <f>spaces_3iWczBNnn5rbfoUlE0Jd_uploads_git_blob_9864c7f811c613c3faab876659c6423__25[[#This Row],[Hora de Llegada]]</f>
        <v>45022.055555555555</v>
      </c>
      <c r="P618" s="9">
        <f>spaces_3iWczBNnn5rbfoUlE0Jd_uploads_git_blob_9864c7f811c613c3faab876659c6423__25[[#This Row],[Hora de Llegada]]</f>
        <v>45022.055555555555</v>
      </c>
      <c r="Q618" s="9">
        <f>spaces_3iWczBNnn5rbfoUlE0Jd_uploads_git_blob_9864c7f811c613c3faab876659c6423__25[[#This Row],[Hora de Salida]]</f>
        <v>45022.220138888886</v>
      </c>
      <c r="R618" s="9" cm="1">
        <f t="array" ref="R61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0.16458333333139308</v>
      </c>
      <c r="S618" s="9">
        <f>_xlfn.XLOOKUP(spaces_3iWczBNnn5rbfoUlE0Jd_uploads_git_blob_9864c7f811c613c3faab876659c6423__25[[#This Row],[Número de Orden]],Cocinadinamica!E619:E1387,Cocinadinamica!F619:F1387)/1440</f>
        <v>3.5416666666666666E-2</v>
      </c>
      <c r="T618" s="9" cm="1">
        <f t="array" ref="T61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0.12916666666472643</v>
      </c>
      <c r="U618" s="9" t="str" cm="1">
        <f t="array" ref="U61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19" spans="1:21" x14ac:dyDescent="0.35">
      <c r="A619" s="28">
        <v>3</v>
      </c>
      <c r="B619" s="13" t="s">
        <v>1174</v>
      </c>
      <c r="C619" s="13">
        <v>5</v>
      </c>
      <c r="D619" s="14">
        <v>45022.038888888892</v>
      </c>
      <c r="E619" s="14">
        <v>45022.133333333331</v>
      </c>
      <c r="F619" s="13" t="s">
        <v>72</v>
      </c>
      <c r="G619" s="13" t="s">
        <v>163</v>
      </c>
      <c r="H619" s="13" t="s">
        <v>74</v>
      </c>
      <c r="I619" s="17">
        <v>25.93</v>
      </c>
      <c r="J619" s="13" t="s">
        <v>75</v>
      </c>
      <c r="K619" s="13">
        <v>618</v>
      </c>
      <c r="L619" s="13" t="s">
        <v>101</v>
      </c>
      <c r="M619" s="13" t="s">
        <v>1688</v>
      </c>
      <c r="N619">
        <f>_xlfn.XLOOKUP(spaces_3iWczBNnn5rbfoUlE0Jd_uploads_git_blob_9864c7f811c613c3faab876659c6423__25[[#This Row],[Número de Orden]],Cocinadinamica!B620:B1388,Cocinadinamica!C620:C1388)</f>
        <v>128</v>
      </c>
      <c r="O619" s="7">
        <f>spaces_3iWczBNnn5rbfoUlE0Jd_uploads_git_blob_9864c7f811c613c3faab876659c6423__25[[#This Row],[Hora de Llegada]]</f>
        <v>45022.038888888892</v>
      </c>
      <c r="P619" s="9">
        <f>spaces_3iWczBNnn5rbfoUlE0Jd_uploads_git_blob_9864c7f811c613c3faab876659c6423__25[[#This Row],[Hora de Llegada]]</f>
        <v>45022.038888888892</v>
      </c>
      <c r="Q619" s="9">
        <f>spaces_3iWczBNnn5rbfoUlE0Jd_uploads_git_blob_9864c7f811c613c3faab876659c6423__25[[#This Row],[Hora de Salida]]</f>
        <v>45022.133333333331</v>
      </c>
      <c r="R619" s="9" cm="1">
        <f t="array" ref="R61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9.4444444439432118E-2</v>
      </c>
      <c r="S619" s="9">
        <f>_xlfn.XLOOKUP(spaces_3iWczBNnn5rbfoUlE0Jd_uploads_git_blob_9864c7f811c613c3faab876659c6423__25[[#This Row],[Número de Orden]],Cocinadinamica!E620:E1388,Cocinadinamica!F620:F1388)/1440</f>
        <v>8.1944444444444445E-2</v>
      </c>
      <c r="T619" s="9" cm="1">
        <f t="array" ref="T61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1.2499999994987673E-2</v>
      </c>
      <c r="U619" s="9" t="str" cm="1">
        <f t="array" ref="U61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0" spans="1:21" x14ac:dyDescent="0.35">
      <c r="A620" s="27">
        <v>6</v>
      </c>
      <c r="B620" s="11" t="s">
        <v>1058</v>
      </c>
      <c r="C620" s="11">
        <v>4</v>
      </c>
      <c r="D620" s="12">
        <v>45022.011111111111</v>
      </c>
      <c r="E620" s="12">
        <v>45022.111805555556</v>
      </c>
      <c r="F620" s="11" t="s">
        <v>85</v>
      </c>
      <c r="G620" s="11" t="s">
        <v>73</v>
      </c>
      <c r="H620" s="11" t="s">
        <v>74</v>
      </c>
      <c r="I620" s="16">
        <v>16.440000000000001</v>
      </c>
      <c r="J620" s="11" t="s">
        <v>94</v>
      </c>
      <c r="K620" s="11">
        <v>619</v>
      </c>
      <c r="L620" s="11" t="s">
        <v>187</v>
      </c>
      <c r="M620" s="11" t="s">
        <v>1689</v>
      </c>
      <c r="N620">
        <f>_xlfn.XLOOKUP(spaces_3iWczBNnn5rbfoUlE0Jd_uploads_git_blob_9864c7f811c613c3faab876659c6423__25[[#This Row],[Número de Orden]],Cocinadinamica!B621:B1389,Cocinadinamica!C621:C1389)</f>
        <v>55</v>
      </c>
      <c r="O620" s="7">
        <f>spaces_3iWczBNnn5rbfoUlE0Jd_uploads_git_blob_9864c7f811c613c3faab876659c6423__25[[#This Row],[Hora de Llegada]]</f>
        <v>45022.011111111111</v>
      </c>
      <c r="P620" s="9">
        <f>spaces_3iWczBNnn5rbfoUlE0Jd_uploads_git_blob_9864c7f811c613c3faab876659c6423__25[[#This Row],[Hora de Llegada]]</f>
        <v>45022.011111111111</v>
      </c>
      <c r="Q620" s="9">
        <f>spaces_3iWczBNnn5rbfoUlE0Jd_uploads_git_blob_9864c7f811c613c3faab876659c6423__25[[#This Row],[Hora de Salida]]</f>
        <v>45022.111805555556</v>
      </c>
      <c r="R620" s="9" cm="1">
        <f t="array" ref="R62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0.10069444444525288</v>
      </c>
      <c r="S620" s="9">
        <f>_xlfn.XLOOKUP(spaces_3iWczBNnn5rbfoUlE0Jd_uploads_git_blob_9864c7f811c613c3faab876659c6423__25[[#This Row],[Número de Orden]],Cocinadinamica!E621:E1389,Cocinadinamica!F621:F1389)/1440</f>
        <v>6.6666666666666666E-2</v>
      </c>
      <c r="T620" s="9" cm="1">
        <f t="array" ref="T62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3.4027777778586218E-2</v>
      </c>
      <c r="U620" s="9" t="str" cm="1">
        <f t="array" ref="U62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1" spans="1:21" x14ac:dyDescent="0.35">
      <c r="A621" s="28" t="s">
        <v>224</v>
      </c>
      <c r="B621" s="13" t="s">
        <v>718</v>
      </c>
      <c r="C621" s="13">
        <v>3</v>
      </c>
      <c r="D621" s="14">
        <v>45022.117361111108</v>
      </c>
      <c r="E621" s="14">
        <v>45022.254861111112</v>
      </c>
      <c r="F621" s="13" t="s">
        <v>72</v>
      </c>
      <c r="G621" s="13" t="s">
        <v>86</v>
      </c>
      <c r="H621" s="13" t="s">
        <v>74</v>
      </c>
      <c r="I621" s="17">
        <v>26.64</v>
      </c>
      <c r="J621" s="13" t="s">
        <v>94</v>
      </c>
      <c r="K621" s="13">
        <v>620</v>
      </c>
      <c r="L621" s="13" t="s">
        <v>221</v>
      </c>
      <c r="M621" s="13" t="s">
        <v>29</v>
      </c>
      <c r="N621">
        <f>_xlfn.XLOOKUP(spaces_3iWczBNnn5rbfoUlE0Jd_uploads_git_blob_9864c7f811c613c3faab876659c6423__25[[#This Row],[Número de Orden]],Cocinadinamica!B622:B1390,Cocinadinamica!C622:C1390)</f>
        <v>24</v>
      </c>
      <c r="O621" s="7">
        <f>spaces_3iWczBNnn5rbfoUlE0Jd_uploads_git_blob_9864c7f811c613c3faab876659c6423__25[[#This Row],[Hora de Llegada]]</f>
        <v>45022.117361111108</v>
      </c>
      <c r="P621" s="9">
        <f>spaces_3iWczBNnn5rbfoUlE0Jd_uploads_git_blob_9864c7f811c613c3faab876659c6423__25[[#This Row],[Hora de Llegada]]</f>
        <v>45022.117361111108</v>
      </c>
      <c r="Q621" s="9">
        <f>spaces_3iWczBNnn5rbfoUlE0Jd_uploads_git_blob_9864c7f811c613c3faab876659c6423__25[[#This Row],[Hora de Salida]]</f>
        <v>45022.254861111112</v>
      </c>
      <c r="R621" s="9" cm="1">
        <f t="array" ref="R62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0.13750000000436557</v>
      </c>
      <c r="S621" s="9">
        <f>_xlfn.XLOOKUP(spaces_3iWczBNnn5rbfoUlE0Jd_uploads_git_blob_9864c7f811c613c3faab876659c6423__25[[#This Row],[Número de Orden]],Cocinadinamica!E622:E1390,Cocinadinamica!F622:F1390)/1440</f>
        <v>2.7777777777777776E-2</v>
      </c>
      <c r="T621" s="9" cm="1">
        <f t="array" ref="T62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0.1097222222265878</v>
      </c>
      <c r="U621" s="9" t="str" cm="1">
        <f t="array" ref="U62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2" spans="1:21" x14ac:dyDescent="0.35">
      <c r="A622" s="27" t="s">
        <v>121</v>
      </c>
      <c r="B622" s="11" t="s">
        <v>719</v>
      </c>
      <c r="C622" s="11">
        <v>2</v>
      </c>
      <c r="D622" s="12">
        <v>45022.047222222223</v>
      </c>
      <c r="E622" s="12">
        <v>45022.102083333331</v>
      </c>
      <c r="F622" s="11" t="s">
        <v>100</v>
      </c>
      <c r="G622" s="11" t="s">
        <v>86</v>
      </c>
      <c r="H622" s="11" t="s">
        <v>74</v>
      </c>
      <c r="I622" s="16">
        <v>42.27</v>
      </c>
      <c r="J622" s="11" t="s">
        <v>88</v>
      </c>
      <c r="K622" s="11">
        <v>621</v>
      </c>
      <c r="L622" s="11" t="s">
        <v>187</v>
      </c>
      <c r="M622" s="11" t="s">
        <v>31</v>
      </c>
      <c r="N622">
        <f>_xlfn.XLOOKUP(spaces_3iWczBNnn5rbfoUlE0Jd_uploads_git_blob_9864c7f811c613c3faab876659c6423__25[[#This Row],[Número de Orden]],Cocinadinamica!B623:B1391,Cocinadinamica!C623:C1391)</f>
        <v>42</v>
      </c>
      <c r="O622" s="7">
        <f>spaces_3iWczBNnn5rbfoUlE0Jd_uploads_git_blob_9864c7f811c613c3faab876659c6423__25[[#This Row],[Hora de Llegada]]</f>
        <v>45022.047222222223</v>
      </c>
      <c r="P622" s="9">
        <f>spaces_3iWczBNnn5rbfoUlE0Jd_uploads_git_blob_9864c7f811c613c3faab876659c6423__25[[#This Row],[Hora de Llegada]]</f>
        <v>45022.047222222223</v>
      </c>
      <c r="Q622" s="9">
        <f>spaces_3iWczBNnn5rbfoUlE0Jd_uploads_git_blob_9864c7f811c613c3faab876659c6423__25[[#This Row],[Hora de Salida]]</f>
        <v>45022.102083333331</v>
      </c>
      <c r="R622" s="9" cm="1">
        <f t="array" ref="R62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6.5277777772280388E-2</v>
      </c>
      <c r="S622" s="9">
        <f>_xlfn.XLOOKUP(spaces_3iWczBNnn5rbfoUlE0Jd_uploads_git_blob_9864c7f811c613c3faab876659c6423__25[[#This Row],[Número de Orden]],Cocinadinamica!E623:E1391,Cocinadinamica!F623:F1391)/1440</f>
        <v>5.5555555555555558E-3</v>
      </c>
      <c r="T622" s="9" cm="1">
        <f t="array" ref="T62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5.9722222216724831E-2</v>
      </c>
      <c r="U622" s="9" t="str" cm="1">
        <f t="array" ref="U62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3" spans="1:21" x14ac:dyDescent="0.35">
      <c r="A623" s="28">
        <v>7</v>
      </c>
      <c r="B623" s="13" t="s">
        <v>822</v>
      </c>
      <c r="C623" s="13">
        <v>5</v>
      </c>
      <c r="D623" s="14">
        <v>45022.088194444441</v>
      </c>
      <c r="E623" s="14">
        <v>45022.229861111111</v>
      </c>
      <c r="F623" s="13" t="s">
        <v>170</v>
      </c>
      <c r="G623" s="13" t="s">
        <v>73</v>
      </c>
      <c r="H623" s="13" t="s">
        <v>74</v>
      </c>
      <c r="I623" s="17">
        <v>11.47</v>
      </c>
      <c r="J623" s="13" t="s">
        <v>94</v>
      </c>
      <c r="K623" s="13">
        <v>622</v>
      </c>
      <c r="L623" s="13" t="s">
        <v>164</v>
      </c>
      <c r="M623" s="13" t="s">
        <v>1690</v>
      </c>
      <c r="N623">
        <f>_xlfn.XLOOKUP(spaces_3iWczBNnn5rbfoUlE0Jd_uploads_git_blob_9864c7f811c613c3faab876659c6423__25[[#This Row],[Número de Orden]],Cocinadinamica!B624:B1392,Cocinadinamica!C624:C1392)</f>
        <v>48</v>
      </c>
      <c r="O623" s="7">
        <f>spaces_3iWczBNnn5rbfoUlE0Jd_uploads_git_blob_9864c7f811c613c3faab876659c6423__25[[#This Row],[Hora de Llegada]]</f>
        <v>45022.088194444441</v>
      </c>
      <c r="P623" s="9">
        <f>spaces_3iWczBNnn5rbfoUlE0Jd_uploads_git_blob_9864c7f811c613c3faab876659c6423__25[[#This Row],[Hora de Llegada]]</f>
        <v>45022.088194444441</v>
      </c>
      <c r="Q623" s="9">
        <f>spaces_3iWczBNnn5rbfoUlE0Jd_uploads_git_blob_9864c7f811c613c3faab876659c6423__25[[#This Row],[Hora de Salida]]</f>
        <v>45022.229861111111</v>
      </c>
      <c r="R623" s="9" cm="1">
        <f t="array" ref="R62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0.14166666667006211</v>
      </c>
      <c r="S623" s="9">
        <f>_xlfn.XLOOKUP(spaces_3iWczBNnn5rbfoUlE0Jd_uploads_git_blob_9864c7f811c613c3faab876659c6423__25[[#This Row],[Número de Orden]],Cocinadinamica!E624:E1392,Cocinadinamica!F624:F1392)/1440</f>
        <v>5.4166666666666669E-2</v>
      </c>
      <c r="T623" s="9" cm="1">
        <f t="array" ref="T62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8.7500000003395445E-2</v>
      </c>
      <c r="U623" s="9" t="str" cm="1">
        <f t="array" ref="U62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4" spans="1:21" x14ac:dyDescent="0.35">
      <c r="A624" s="27">
        <v>13</v>
      </c>
      <c r="B624" s="11" t="s">
        <v>1086</v>
      </c>
      <c r="C624" s="11">
        <v>1</v>
      </c>
      <c r="D624" s="12">
        <v>45022.03125</v>
      </c>
      <c r="E624" s="12">
        <v>45022.131944444445</v>
      </c>
      <c r="F624" s="11" t="s">
        <v>170</v>
      </c>
      <c r="G624" s="11" t="s">
        <v>86</v>
      </c>
      <c r="H624" s="11" t="s">
        <v>87</v>
      </c>
      <c r="I624" s="16">
        <v>22.05</v>
      </c>
      <c r="J624" s="11" t="s">
        <v>75</v>
      </c>
      <c r="K624" s="11">
        <v>623</v>
      </c>
      <c r="L624" s="11" t="s">
        <v>174</v>
      </c>
      <c r="M624" s="11" t="s">
        <v>1691</v>
      </c>
      <c r="N624">
        <f>_xlfn.XLOOKUP(spaces_3iWczBNnn5rbfoUlE0Jd_uploads_git_blob_9864c7f811c613c3faab876659c6423__25[[#This Row],[Número de Orden]],Cocinadinamica!B625:B1393,Cocinadinamica!C625:C1393)</f>
        <v>95</v>
      </c>
      <c r="O624" s="7">
        <f>spaces_3iWczBNnn5rbfoUlE0Jd_uploads_git_blob_9864c7f811c613c3faab876659c6423__25[[#This Row],[Hora de Llegada]]</f>
        <v>45022.03125</v>
      </c>
      <c r="P624" s="9">
        <f>spaces_3iWczBNnn5rbfoUlE0Jd_uploads_git_blob_9864c7f811c613c3faab876659c6423__25[[#This Row],[Hora de Llegada]]</f>
        <v>45022.03125</v>
      </c>
      <c r="Q624" s="9">
        <f>spaces_3iWczBNnn5rbfoUlE0Jd_uploads_git_blob_9864c7f811c613c3faab876659c6423__25[[#This Row],[Hora de Salida]]</f>
        <v>45022.131944444445</v>
      </c>
      <c r="R624" s="9" cm="1">
        <f t="array" ref="R62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0.10069444444525288</v>
      </c>
      <c r="S624" s="9">
        <f>_xlfn.XLOOKUP(spaces_3iWczBNnn5rbfoUlE0Jd_uploads_git_blob_9864c7f811c613c3faab876659c6423__25[[#This Row],[Número de Orden]],Cocinadinamica!E625:E1393,Cocinadinamica!F625:F1393)/1440</f>
        <v>0.10069444444444445</v>
      </c>
      <c r="T624" s="9" cm="1">
        <f t="array" ref="T62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8.0843665095642336E-13</v>
      </c>
      <c r="U624" s="9" t="str" cm="1">
        <f t="array" ref="U62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5" spans="1:21" x14ac:dyDescent="0.35">
      <c r="A625" s="28">
        <v>1</v>
      </c>
      <c r="B625" s="13" t="s">
        <v>1059</v>
      </c>
      <c r="C625" s="13">
        <v>4</v>
      </c>
      <c r="D625" s="14">
        <v>45022.080555555556</v>
      </c>
      <c r="E625" s="14">
        <v>45022.143055555556</v>
      </c>
      <c r="F625" s="13" t="s">
        <v>223</v>
      </c>
      <c r="G625" s="13" t="s">
        <v>73</v>
      </c>
      <c r="H625" s="13" t="s">
        <v>74</v>
      </c>
      <c r="I625" s="17">
        <v>38</v>
      </c>
      <c r="J625" s="13" t="s">
        <v>94</v>
      </c>
      <c r="K625" s="13">
        <v>624</v>
      </c>
      <c r="L625" s="13" t="s">
        <v>164</v>
      </c>
      <c r="M625" s="13" t="s">
        <v>1692</v>
      </c>
      <c r="N625">
        <f>_xlfn.XLOOKUP(spaces_3iWczBNnn5rbfoUlE0Jd_uploads_git_blob_9864c7f811c613c3faab876659c6423__25[[#This Row],[Número de Orden]],Cocinadinamica!B626:B1394,Cocinadinamica!C626:C1394)</f>
        <v>40</v>
      </c>
      <c r="O625" s="7">
        <f>spaces_3iWczBNnn5rbfoUlE0Jd_uploads_git_blob_9864c7f811c613c3faab876659c6423__25[[#This Row],[Hora de Llegada]]</f>
        <v>45022.080555555556</v>
      </c>
      <c r="P625" s="9">
        <f>spaces_3iWczBNnn5rbfoUlE0Jd_uploads_git_blob_9864c7f811c613c3faab876659c6423__25[[#This Row],[Hora de Llegada]]</f>
        <v>45022.080555555556</v>
      </c>
      <c r="Q625" s="9">
        <f>spaces_3iWczBNnn5rbfoUlE0Jd_uploads_git_blob_9864c7f811c613c3faab876659c6423__25[[#This Row],[Hora de Salida]]</f>
        <v>45022.143055555556</v>
      </c>
      <c r="R625" s="9" cm="1">
        <f t="array" ref="R62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6.25E-2</v>
      </c>
      <c r="S625" s="9">
        <f>_xlfn.XLOOKUP(spaces_3iWczBNnn5rbfoUlE0Jd_uploads_git_blob_9864c7f811c613c3faab876659c6423__25[[#This Row],[Número de Orden]],Cocinadinamica!E626:E1394,Cocinadinamica!F626:F1394)/1440</f>
        <v>5.486111111111111E-2</v>
      </c>
      <c r="T625" s="9" cm="1">
        <f t="array" ref="T62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7.6388888888888895E-3</v>
      </c>
      <c r="U625" s="9" t="str" cm="1">
        <f t="array" ref="U62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6" spans="1:21" x14ac:dyDescent="0.35">
      <c r="A626" s="27">
        <v>5</v>
      </c>
      <c r="B626" s="11" t="s">
        <v>1175</v>
      </c>
      <c r="C626" s="11">
        <v>4</v>
      </c>
      <c r="D626" s="12">
        <v>45022.006249999999</v>
      </c>
      <c r="E626" s="12">
        <v>45022.140277777777</v>
      </c>
      <c r="F626" s="11" t="s">
        <v>72</v>
      </c>
      <c r="G626" s="11" t="s">
        <v>73</v>
      </c>
      <c r="H626" s="11" t="s">
        <v>74</v>
      </c>
      <c r="I626" s="16">
        <v>41.73</v>
      </c>
      <c r="J626" s="11" t="s">
        <v>88</v>
      </c>
      <c r="K626" s="11">
        <v>625</v>
      </c>
      <c r="L626" s="11" t="s">
        <v>101</v>
      </c>
      <c r="M626" s="11" t="s">
        <v>1693</v>
      </c>
      <c r="N626">
        <f>_xlfn.XLOOKUP(spaces_3iWczBNnn5rbfoUlE0Jd_uploads_git_blob_9864c7f811c613c3faab876659c6423__25[[#This Row],[Número de Orden]],Cocinadinamica!B627:B1395,Cocinadinamica!C627:C1395)</f>
        <v>55</v>
      </c>
      <c r="O626" s="7">
        <f>spaces_3iWczBNnn5rbfoUlE0Jd_uploads_git_blob_9864c7f811c613c3faab876659c6423__25[[#This Row],[Hora de Llegada]]</f>
        <v>45022.006249999999</v>
      </c>
      <c r="P626" s="9">
        <f>spaces_3iWczBNnn5rbfoUlE0Jd_uploads_git_blob_9864c7f811c613c3faab876659c6423__25[[#This Row],[Hora de Llegada]]</f>
        <v>45022.006249999999</v>
      </c>
      <c r="Q626" s="9">
        <f>spaces_3iWczBNnn5rbfoUlE0Jd_uploads_git_blob_9864c7f811c613c3faab876659c6423__25[[#This Row],[Hora de Salida]]</f>
        <v>45022.140277777777</v>
      </c>
      <c r="R626" s="9" cm="1">
        <f t="array" ref="R62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0.1444444444423425</v>
      </c>
      <c r="S626" s="9">
        <f>_xlfn.XLOOKUP(spaces_3iWczBNnn5rbfoUlE0Jd_uploads_git_blob_9864c7f811c613c3faab876659c6423__25[[#This Row],[Número de Orden]],Cocinadinamica!E627:E1395,Cocinadinamica!F627:F1395)/1440</f>
        <v>6.7361111111111108E-2</v>
      </c>
      <c r="T626" s="9" cm="1">
        <f t="array" ref="T62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7.7083333331231393E-2</v>
      </c>
      <c r="U626" s="9" t="str" cm="1">
        <f t="array" ref="U62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7" spans="1:21" x14ac:dyDescent="0.35">
      <c r="A627" s="28">
        <v>14</v>
      </c>
      <c r="B627" s="13" t="s">
        <v>1176</v>
      </c>
      <c r="C627" s="13">
        <v>4</v>
      </c>
      <c r="D627" s="14">
        <v>45022.114583333336</v>
      </c>
      <c r="E627" s="14">
        <v>45022.173611111109</v>
      </c>
      <c r="F627" s="13" t="s">
        <v>72</v>
      </c>
      <c r="G627" s="13" t="s">
        <v>163</v>
      </c>
      <c r="H627" s="13" t="s">
        <v>74</v>
      </c>
      <c r="I627" s="17">
        <v>19.239999999999998</v>
      </c>
      <c r="J627" s="13" t="s">
        <v>75</v>
      </c>
      <c r="K627" s="13">
        <v>626</v>
      </c>
      <c r="L627" s="13" t="s">
        <v>164</v>
      </c>
      <c r="M627" s="13" t="s">
        <v>1694</v>
      </c>
      <c r="N627">
        <f>_xlfn.XLOOKUP(spaces_3iWczBNnn5rbfoUlE0Jd_uploads_git_blob_9864c7f811c613c3faab876659c6423__25[[#This Row],[Número de Orden]],Cocinadinamica!B628:B1396,Cocinadinamica!C628:C1396)</f>
        <v>56</v>
      </c>
      <c r="O627" s="7">
        <f>spaces_3iWczBNnn5rbfoUlE0Jd_uploads_git_blob_9864c7f811c613c3faab876659c6423__25[[#This Row],[Hora de Llegada]]</f>
        <v>45022.114583333336</v>
      </c>
      <c r="P627" s="9">
        <f>spaces_3iWczBNnn5rbfoUlE0Jd_uploads_git_blob_9864c7f811c613c3faab876659c6423__25[[#This Row],[Hora de Llegada]]</f>
        <v>45022.114583333336</v>
      </c>
      <c r="Q627" s="9">
        <f>spaces_3iWczBNnn5rbfoUlE0Jd_uploads_git_blob_9864c7f811c613c3faab876659c6423__25[[#This Row],[Hora de Salida]]</f>
        <v>45022.173611111109</v>
      </c>
      <c r="R627" s="9" cm="1">
        <f t="array" ref="R62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5.9027777773735579E-2</v>
      </c>
      <c r="S627" s="9">
        <f>_xlfn.XLOOKUP(spaces_3iWczBNnn5rbfoUlE0Jd_uploads_git_blob_9864c7f811c613c3faab876659c6423__25[[#This Row],[Número de Orden]],Cocinadinamica!E628:E1396,Cocinadinamica!F628:F1396)/1440</f>
        <v>4.027777777777778E-2</v>
      </c>
      <c r="T627" s="9" cm="1">
        <f t="array" ref="T62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1.8749999995957799E-2</v>
      </c>
      <c r="U627" s="9" t="str" cm="1">
        <f t="array" ref="U62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8" spans="1:21" x14ac:dyDescent="0.35">
      <c r="A628" s="27" t="s">
        <v>210</v>
      </c>
      <c r="B628" s="11" t="s">
        <v>725</v>
      </c>
      <c r="C628" s="11">
        <v>3</v>
      </c>
      <c r="D628" s="12">
        <v>45022.099305555559</v>
      </c>
      <c r="E628" s="12">
        <v>45022.175694444442</v>
      </c>
      <c r="F628" s="11" t="s">
        <v>170</v>
      </c>
      <c r="G628" s="11" t="s">
        <v>86</v>
      </c>
      <c r="H628" s="11" t="s">
        <v>74</v>
      </c>
      <c r="I628" s="16">
        <v>44.24</v>
      </c>
      <c r="J628" s="11" t="s">
        <v>88</v>
      </c>
      <c r="K628" s="11">
        <v>627</v>
      </c>
      <c r="L628" s="11" t="s">
        <v>187</v>
      </c>
      <c r="M628" s="11" t="s">
        <v>43</v>
      </c>
      <c r="N628">
        <f>_xlfn.XLOOKUP(spaces_3iWczBNnn5rbfoUlE0Jd_uploads_git_blob_9864c7f811c613c3faab876659c6423__25[[#This Row],[Número de Orden]],Cocinadinamica!B629:B1397,Cocinadinamica!C629:C1397)</f>
        <v>8</v>
      </c>
      <c r="O628" s="7">
        <f>spaces_3iWczBNnn5rbfoUlE0Jd_uploads_git_blob_9864c7f811c613c3faab876659c6423__25[[#This Row],[Hora de Llegada]]</f>
        <v>45022.099305555559</v>
      </c>
      <c r="P628" s="9">
        <f>spaces_3iWczBNnn5rbfoUlE0Jd_uploads_git_blob_9864c7f811c613c3faab876659c6423__25[[#This Row],[Hora de Llegada]]</f>
        <v>45022.099305555559</v>
      </c>
      <c r="Q628" s="9">
        <f>spaces_3iWczBNnn5rbfoUlE0Jd_uploads_git_blob_9864c7f811c613c3faab876659c6423__25[[#This Row],[Hora de Salida]]</f>
        <v>45022.175694444442</v>
      </c>
      <c r="R628" s="9" cm="1">
        <f t="array" ref="R62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8.6805555547471158E-2</v>
      </c>
      <c r="S628" s="9">
        <f>_xlfn.XLOOKUP(spaces_3iWczBNnn5rbfoUlE0Jd_uploads_git_blob_9864c7f811c613c3faab876659c6423__25[[#This Row],[Número de Orden]],Cocinadinamica!E629:E1397,Cocinadinamica!F629:F1397)/1440</f>
        <v>2.5694444444444443E-2</v>
      </c>
      <c r="T628" s="9" cm="1">
        <f t="array" ref="T62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6.1111111103026715E-2</v>
      </c>
      <c r="U628" s="9" t="str" cm="1">
        <f t="array" ref="U62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29" spans="1:21" x14ac:dyDescent="0.35">
      <c r="A629" s="28">
        <v>2</v>
      </c>
      <c r="B629" s="13" t="s">
        <v>281</v>
      </c>
      <c r="C629" s="13">
        <v>1</v>
      </c>
      <c r="D629" s="14">
        <v>45022.006249999999</v>
      </c>
      <c r="E629" s="14">
        <v>45022.067361111112</v>
      </c>
      <c r="F629" s="13" t="s">
        <v>170</v>
      </c>
      <c r="G629" s="13" t="s">
        <v>163</v>
      </c>
      <c r="H629" s="13" t="s">
        <v>74</v>
      </c>
      <c r="I629" s="17">
        <v>15.03</v>
      </c>
      <c r="J629" s="13" t="s">
        <v>94</v>
      </c>
      <c r="K629" s="13">
        <v>628</v>
      </c>
      <c r="L629" s="13" t="s">
        <v>101</v>
      </c>
      <c r="M629" s="13" t="s">
        <v>1695</v>
      </c>
      <c r="N629">
        <f>_xlfn.XLOOKUP(spaces_3iWczBNnn5rbfoUlE0Jd_uploads_git_blob_9864c7f811c613c3faab876659c6423__25[[#This Row],[Número de Orden]],Cocinadinamica!B630:B1398,Cocinadinamica!C630:C1398)</f>
        <v>65</v>
      </c>
      <c r="O629" s="7">
        <f>spaces_3iWczBNnn5rbfoUlE0Jd_uploads_git_blob_9864c7f811c613c3faab876659c6423__25[[#This Row],[Hora de Llegada]]</f>
        <v>45022.006249999999</v>
      </c>
      <c r="P629" s="9">
        <f>spaces_3iWczBNnn5rbfoUlE0Jd_uploads_git_blob_9864c7f811c613c3faab876659c6423__25[[#This Row],[Hora de Llegada]]</f>
        <v>45022.006249999999</v>
      </c>
      <c r="Q629" s="9">
        <f>spaces_3iWczBNnn5rbfoUlE0Jd_uploads_git_blob_9864c7f811c613c3faab876659c6423__25[[#This Row],[Hora de Salida]]</f>
        <v>45022.067361111112</v>
      </c>
      <c r="R629" s="9" cm="1">
        <f t="array" ref="R62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6.1111111113859806E-2</v>
      </c>
      <c r="S629" s="9">
        <f>_xlfn.XLOOKUP(spaces_3iWczBNnn5rbfoUlE0Jd_uploads_git_blob_9864c7f811c613c3faab876659c6423__25[[#This Row],[Número de Orden]],Cocinadinamica!E630:E1398,Cocinadinamica!F630:F1398)/1440</f>
        <v>2.9861111111111113E-2</v>
      </c>
      <c r="T629" s="9" cm="1">
        <f t="array" ref="T62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3.125000000274869E-2</v>
      </c>
      <c r="U629" s="9" t="str" cm="1">
        <f t="array" ref="U62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30" spans="1:21" x14ac:dyDescent="0.35">
      <c r="A630" s="27">
        <v>17</v>
      </c>
      <c r="B630" s="11" t="s">
        <v>883</v>
      </c>
      <c r="C630" s="11">
        <v>2</v>
      </c>
      <c r="D630" s="12">
        <v>45022.088194444441</v>
      </c>
      <c r="E630" s="12">
        <v>45022.246527777781</v>
      </c>
      <c r="F630" s="11" t="s">
        <v>72</v>
      </c>
      <c r="G630" s="11" t="s">
        <v>73</v>
      </c>
      <c r="H630" s="11" t="s">
        <v>109</v>
      </c>
      <c r="I630" s="16">
        <v>26.07</v>
      </c>
      <c r="J630" s="11" t="s">
        <v>88</v>
      </c>
      <c r="K630" s="11">
        <v>629</v>
      </c>
      <c r="L630" s="11" t="s">
        <v>164</v>
      </c>
      <c r="M630" s="11" t="s">
        <v>1696</v>
      </c>
      <c r="N630">
        <f>_xlfn.XLOOKUP(spaces_3iWczBNnn5rbfoUlE0Jd_uploads_git_blob_9864c7f811c613c3faab876659c6423__25[[#This Row],[Número de Orden]],Cocinadinamica!B631:B1399,Cocinadinamica!C631:C1399)</f>
        <v>54</v>
      </c>
      <c r="O630" s="7">
        <f>spaces_3iWczBNnn5rbfoUlE0Jd_uploads_git_blob_9864c7f811c613c3faab876659c6423__25[[#This Row],[Hora de Llegada]]</f>
        <v>45022.088194444441</v>
      </c>
      <c r="P630" s="9">
        <f>spaces_3iWczBNnn5rbfoUlE0Jd_uploads_git_blob_9864c7f811c613c3faab876659c6423__25[[#This Row],[Hora de Llegada]]</f>
        <v>45022.088194444441</v>
      </c>
      <c r="Q630" s="9">
        <f>spaces_3iWczBNnn5rbfoUlE0Jd_uploads_git_blob_9864c7f811c613c3faab876659c6423__25[[#This Row],[Hora de Salida]]</f>
        <v>45022.246527777781</v>
      </c>
      <c r="R630" s="9" cm="1">
        <f t="array" ref="R63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0.16875000000436557</v>
      </c>
      <c r="S630" s="9">
        <f>_xlfn.XLOOKUP(spaces_3iWczBNnn5rbfoUlE0Jd_uploads_git_blob_9864c7f811c613c3faab876659c6423__25[[#This Row],[Número de Orden]],Cocinadinamica!E631:E1399,Cocinadinamica!F631:F1399)/1440</f>
        <v>5.8333333333333334E-2</v>
      </c>
      <c r="T630" s="9" cm="1">
        <f t="array" ref="T63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0.11041666667103224</v>
      </c>
      <c r="U630" s="9" t="str" cm="1">
        <f t="array" ref="U63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31" spans="1:21" x14ac:dyDescent="0.35">
      <c r="A631" s="28">
        <v>2</v>
      </c>
      <c r="B631" s="13" t="s">
        <v>1027</v>
      </c>
      <c r="C631" s="13">
        <v>2</v>
      </c>
      <c r="D631" s="14">
        <v>45022.001388888886</v>
      </c>
      <c r="E631" s="14">
        <v>45022.117361111108</v>
      </c>
      <c r="F631" s="13" t="s">
        <v>85</v>
      </c>
      <c r="G631" s="13" t="s">
        <v>86</v>
      </c>
      <c r="H631" s="13" t="s">
        <v>109</v>
      </c>
      <c r="I631" s="17">
        <v>36.619999999999997</v>
      </c>
      <c r="J631" s="13" t="s">
        <v>75</v>
      </c>
      <c r="K631" s="13">
        <v>630</v>
      </c>
      <c r="L631" s="13" t="s">
        <v>95</v>
      </c>
      <c r="M631" s="13" t="s">
        <v>1697</v>
      </c>
      <c r="N631">
        <f>_xlfn.XLOOKUP(spaces_3iWczBNnn5rbfoUlE0Jd_uploads_git_blob_9864c7f811c613c3faab876659c6423__25[[#This Row],[Número de Orden]],Cocinadinamica!B632:B1400,Cocinadinamica!C632:C1400)</f>
        <v>69</v>
      </c>
      <c r="O631" s="7">
        <f>spaces_3iWczBNnn5rbfoUlE0Jd_uploads_git_blob_9864c7f811c613c3faab876659c6423__25[[#This Row],[Hora de Llegada]]</f>
        <v>45022.001388888886</v>
      </c>
      <c r="P631" s="9">
        <f>spaces_3iWczBNnn5rbfoUlE0Jd_uploads_git_blob_9864c7f811c613c3faab876659c6423__25[[#This Row],[Hora de Llegada]]</f>
        <v>45022.001388888886</v>
      </c>
      <c r="Q631" s="9">
        <f>spaces_3iWczBNnn5rbfoUlE0Jd_uploads_git_blob_9864c7f811c613c3faab876659c6423__25[[#This Row],[Hora de Salida]]</f>
        <v>45022.117361111108</v>
      </c>
      <c r="R631" s="9" cm="1">
        <f t="array" ref="R63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0.11597222222189885</v>
      </c>
      <c r="S631" s="9">
        <f>_xlfn.XLOOKUP(spaces_3iWczBNnn5rbfoUlE0Jd_uploads_git_blob_9864c7f811c613c3faab876659c6423__25[[#This Row],[Número de Orden]],Cocinadinamica!E632:E1400,Cocinadinamica!F632:F1400)/1440</f>
        <v>5.2083333333333336E-2</v>
      </c>
      <c r="T631" s="9" cm="1">
        <f t="array" ref="T63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6.3888888888565504E-2</v>
      </c>
      <c r="U631" s="9" t="str" cm="1">
        <f t="array" ref="U63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32" spans="1:21" x14ac:dyDescent="0.35">
      <c r="A632" s="27" t="s">
        <v>185</v>
      </c>
      <c r="B632" s="11" t="s">
        <v>729</v>
      </c>
      <c r="C632" s="11">
        <v>1</v>
      </c>
      <c r="D632" s="12">
        <v>45022.01458333333</v>
      </c>
      <c r="E632" s="12">
        <v>45022.118750000001</v>
      </c>
      <c r="F632" s="11" t="s">
        <v>85</v>
      </c>
      <c r="G632" s="11" t="s">
        <v>73</v>
      </c>
      <c r="H632" s="11" t="s">
        <v>74</v>
      </c>
      <c r="I632" s="16">
        <v>39.71</v>
      </c>
      <c r="J632" s="11" t="s">
        <v>94</v>
      </c>
      <c r="K632" s="11">
        <v>631</v>
      </c>
      <c r="L632" s="11" t="s">
        <v>110</v>
      </c>
      <c r="M632" s="11" t="s">
        <v>35</v>
      </c>
      <c r="N632">
        <f>_xlfn.XLOOKUP(spaces_3iWczBNnn5rbfoUlE0Jd_uploads_git_blob_9864c7f811c613c3faab876659c6423__25[[#This Row],[Número de Orden]],Cocinadinamica!B633:B1401,Cocinadinamica!C633:C1401)</f>
        <v>27</v>
      </c>
      <c r="O632" s="7">
        <f>spaces_3iWczBNnn5rbfoUlE0Jd_uploads_git_blob_9864c7f811c613c3faab876659c6423__25[[#This Row],[Hora de Llegada]]</f>
        <v>45022.01458333333</v>
      </c>
      <c r="P632" s="9">
        <f>spaces_3iWczBNnn5rbfoUlE0Jd_uploads_git_blob_9864c7f811c613c3faab876659c6423__25[[#This Row],[Hora de Llegada]]</f>
        <v>45022.01458333333</v>
      </c>
      <c r="Q632" s="9">
        <f>spaces_3iWczBNnn5rbfoUlE0Jd_uploads_git_blob_9864c7f811c613c3faab876659c6423__25[[#This Row],[Hora de Salida]]</f>
        <v>45022.118750000001</v>
      </c>
      <c r="R632" s="9" cm="1">
        <f t="array" ref="R63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0.10416666667151731</v>
      </c>
      <c r="S632" s="9">
        <f>_xlfn.XLOOKUP(spaces_3iWczBNnn5rbfoUlE0Jd_uploads_git_blob_9864c7f811c613c3faab876659c6423__25[[#This Row],[Número de Orden]],Cocinadinamica!E633:E1401,Cocinadinamica!F633:F1401)/1440</f>
        <v>3.1944444444444442E-2</v>
      </c>
      <c r="T632" s="9" cm="1">
        <f t="array" ref="T63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7.2222222227072863E-2</v>
      </c>
      <c r="U632" s="9" t="str" cm="1">
        <f t="array" ref="U63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33" spans="1:21" x14ac:dyDescent="0.35">
      <c r="A633" s="28">
        <v>16</v>
      </c>
      <c r="B633" s="13" t="s">
        <v>1177</v>
      </c>
      <c r="C633" s="13">
        <v>2</v>
      </c>
      <c r="D633" s="14">
        <v>45022.010416666664</v>
      </c>
      <c r="E633" s="14">
        <v>45022.121527777781</v>
      </c>
      <c r="F633" s="13" t="s">
        <v>170</v>
      </c>
      <c r="G633" s="13" t="s">
        <v>163</v>
      </c>
      <c r="H633" s="13" t="s">
        <v>74</v>
      </c>
      <c r="I633" s="17">
        <v>22.41</v>
      </c>
      <c r="J633" s="13" t="s">
        <v>75</v>
      </c>
      <c r="K633" s="13">
        <v>632</v>
      </c>
      <c r="L633" s="13" t="s">
        <v>187</v>
      </c>
      <c r="M633" s="13" t="s">
        <v>1698</v>
      </c>
      <c r="N633">
        <f>_xlfn.XLOOKUP(spaces_3iWczBNnn5rbfoUlE0Jd_uploads_git_blob_9864c7f811c613c3faab876659c6423__25[[#This Row],[Número de Orden]],Cocinadinamica!B634:B1402,Cocinadinamica!C634:C1402)</f>
        <v>52</v>
      </c>
      <c r="O633" s="7">
        <f>spaces_3iWczBNnn5rbfoUlE0Jd_uploads_git_blob_9864c7f811c613c3faab876659c6423__25[[#This Row],[Hora de Llegada]]</f>
        <v>45022.010416666664</v>
      </c>
      <c r="P633" s="9">
        <f>spaces_3iWczBNnn5rbfoUlE0Jd_uploads_git_blob_9864c7f811c613c3faab876659c6423__25[[#This Row],[Hora de Llegada]]</f>
        <v>45022.010416666664</v>
      </c>
      <c r="Q633" s="9">
        <f>spaces_3iWczBNnn5rbfoUlE0Jd_uploads_git_blob_9864c7f811c613c3faab876659c6423__25[[#This Row],[Hora de Salida]]</f>
        <v>45022.121527777781</v>
      </c>
      <c r="R633" s="9" cm="1">
        <f t="array" ref="R63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0.11111111111677019</v>
      </c>
      <c r="S633" s="9">
        <f>_xlfn.XLOOKUP(spaces_3iWczBNnn5rbfoUlE0Jd_uploads_git_blob_9864c7f811c613c3faab876659c6423__25[[#This Row],[Número de Orden]],Cocinadinamica!E634:E1402,Cocinadinamica!F634:F1402)/1440</f>
        <v>6.1111111111111109E-2</v>
      </c>
      <c r="T633" s="9" cm="1">
        <f t="array" ref="T63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5.000000000565908E-2</v>
      </c>
      <c r="U633" s="9" t="str" cm="1">
        <f t="array" ref="U63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34" spans="1:21" x14ac:dyDescent="0.35">
      <c r="A634" s="27">
        <v>16</v>
      </c>
      <c r="B634" s="11" t="s">
        <v>1178</v>
      </c>
      <c r="C634" s="11">
        <v>5</v>
      </c>
      <c r="D634" s="12">
        <v>45022.154861111114</v>
      </c>
      <c r="E634" s="12">
        <v>45022.227777777778</v>
      </c>
      <c r="F634" s="11" t="s">
        <v>170</v>
      </c>
      <c r="G634" s="11" t="s">
        <v>86</v>
      </c>
      <c r="H634" s="11" t="s">
        <v>74</v>
      </c>
      <c r="I634" s="16">
        <v>11.19</v>
      </c>
      <c r="J634" s="11" t="s">
        <v>94</v>
      </c>
      <c r="K634" s="11">
        <v>633</v>
      </c>
      <c r="L634" s="11" t="s">
        <v>95</v>
      </c>
      <c r="M634" s="11" t="s">
        <v>1699</v>
      </c>
      <c r="N634">
        <f>_xlfn.XLOOKUP(spaces_3iWczBNnn5rbfoUlE0Jd_uploads_git_blob_9864c7f811c613c3faab876659c6423__25[[#This Row],[Número de Orden]],Cocinadinamica!B635:B1403,Cocinadinamica!C635:C1403)</f>
        <v>98</v>
      </c>
      <c r="O634" s="7">
        <f>spaces_3iWczBNnn5rbfoUlE0Jd_uploads_git_blob_9864c7f811c613c3faab876659c6423__25[[#This Row],[Hora de Llegada]]</f>
        <v>45022.154861111114</v>
      </c>
      <c r="P634" s="9">
        <f>spaces_3iWczBNnn5rbfoUlE0Jd_uploads_git_blob_9864c7f811c613c3faab876659c6423__25[[#This Row],[Hora de Llegada]]</f>
        <v>45022.154861111114</v>
      </c>
      <c r="Q634" s="9">
        <f>spaces_3iWczBNnn5rbfoUlE0Jd_uploads_git_blob_9864c7f811c613c3faab876659c6423__25[[#This Row],[Hora de Salida]]</f>
        <v>45022.227777777778</v>
      </c>
      <c r="R634" s="9" cm="1">
        <f t="array" ref="R63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7.2916666664241347E-2</v>
      </c>
      <c r="S634" s="9">
        <f>_xlfn.XLOOKUP(spaces_3iWczBNnn5rbfoUlE0Jd_uploads_git_blob_9864c7f811c613c3faab876659c6423__25[[#This Row],[Número de Orden]],Cocinadinamica!E635:E1403,Cocinadinamica!F635:F1403)/1440</f>
        <v>0.10347222222222222</v>
      </c>
      <c r="T634" s="9" cm="1">
        <f t="array" ref="T63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34" s="9" t="str" cm="1">
        <f t="array" ref="U63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35" spans="1:21" x14ac:dyDescent="0.35">
      <c r="A635" s="28">
        <v>2</v>
      </c>
      <c r="B635" s="13" t="s">
        <v>1079</v>
      </c>
      <c r="C635" s="13">
        <v>1</v>
      </c>
      <c r="D635" s="14">
        <v>45022.002083333333</v>
      </c>
      <c r="E635" s="14">
        <v>45022.15</v>
      </c>
      <c r="F635" s="13" t="s">
        <v>223</v>
      </c>
      <c r="G635" s="13" t="s">
        <v>163</v>
      </c>
      <c r="H635" s="13" t="s">
        <v>74</v>
      </c>
      <c r="I635" s="17">
        <v>29.25</v>
      </c>
      <c r="J635" s="13" t="s">
        <v>94</v>
      </c>
      <c r="K635" s="13">
        <v>634</v>
      </c>
      <c r="L635" s="13" t="s">
        <v>275</v>
      </c>
      <c r="M635" s="13" t="s">
        <v>1700</v>
      </c>
      <c r="N635">
        <f>_xlfn.XLOOKUP(spaces_3iWczBNnn5rbfoUlE0Jd_uploads_git_blob_9864c7f811c613c3faab876659c6423__25[[#This Row],[Número de Orden]],Cocinadinamica!B636:B1404,Cocinadinamica!C636:C1404)</f>
        <v>135</v>
      </c>
      <c r="O635" s="7">
        <f>spaces_3iWczBNnn5rbfoUlE0Jd_uploads_git_blob_9864c7f811c613c3faab876659c6423__25[[#This Row],[Hora de Llegada]]</f>
        <v>45022.002083333333</v>
      </c>
      <c r="P635" s="9">
        <f>spaces_3iWczBNnn5rbfoUlE0Jd_uploads_git_blob_9864c7f811c613c3faab876659c6423__25[[#This Row],[Hora de Llegada]]</f>
        <v>45022.002083333333</v>
      </c>
      <c r="Q635" s="9">
        <f>spaces_3iWczBNnn5rbfoUlE0Jd_uploads_git_blob_9864c7f811c613c3faab876659c6423__25[[#This Row],[Hora de Salida]]</f>
        <v>45022.15</v>
      </c>
      <c r="R635" s="9" cm="1">
        <f t="array" ref="R63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0.14791666666860692</v>
      </c>
      <c r="S635" s="9">
        <f>_xlfn.XLOOKUP(spaces_3iWczBNnn5rbfoUlE0Jd_uploads_git_blob_9864c7f811c613c3faab876659c6423__25[[#This Row],[Número de Orden]],Cocinadinamica!E636:E1404,Cocinadinamica!F636:F1404)/1440</f>
        <v>0.10902777777777778</v>
      </c>
      <c r="T635" s="9" cm="1">
        <f t="array" ref="T63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3.8888888890829143E-2</v>
      </c>
      <c r="U635" s="9" t="str" cm="1">
        <f t="array" ref="U63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36" spans="1:21" x14ac:dyDescent="0.35">
      <c r="A636" s="27" t="s">
        <v>121</v>
      </c>
      <c r="B636" s="11" t="s">
        <v>733</v>
      </c>
      <c r="C636" s="11">
        <v>2</v>
      </c>
      <c r="D636" s="12">
        <v>45022.011805555558</v>
      </c>
      <c r="E636" s="12">
        <v>45022.12777777778</v>
      </c>
      <c r="F636" s="11" t="s">
        <v>100</v>
      </c>
      <c r="G636" s="11" t="s">
        <v>86</v>
      </c>
      <c r="H636" s="11" t="s">
        <v>74</v>
      </c>
      <c r="I636" s="16">
        <v>22.15</v>
      </c>
      <c r="J636" s="11" t="s">
        <v>75</v>
      </c>
      <c r="K636" s="11">
        <v>635</v>
      </c>
      <c r="L636" s="11" t="s">
        <v>76</v>
      </c>
      <c r="M636" s="11" t="s">
        <v>23</v>
      </c>
      <c r="N636">
        <f>_xlfn.XLOOKUP(spaces_3iWczBNnn5rbfoUlE0Jd_uploads_git_blob_9864c7f811c613c3faab876659c6423__25[[#This Row],[Número de Orden]],Cocinadinamica!B637:B1405,Cocinadinamica!C637:C1405)</f>
        <v>24</v>
      </c>
      <c r="O636" s="7">
        <f>spaces_3iWczBNnn5rbfoUlE0Jd_uploads_git_blob_9864c7f811c613c3faab876659c6423__25[[#This Row],[Hora de Llegada]]</f>
        <v>45022.011805555558</v>
      </c>
      <c r="P636" s="9">
        <f>spaces_3iWczBNnn5rbfoUlE0Jd_uploads_git_blob_9864c7f811c613c3faab876659c6423__25[[#This Row],[Hora de Llegada]]</f>
        <v>45022.011805555558</v>
      </c>
      <c r="Q636" s="9">
        <f>spaces_3iWczBNnn5rbfoUlE0Jd_uploads_git_blob_9864c7f811c613c3faab876659c6423__25[[#This Row],[Hora de Salida]]</f>
        <v>45022.12777777778</v>
      </c>
      <c r="R636" s="9" cm="1">
        <f t="array" ref="R63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0.11597222222189885</v>
      </c>
      <c r="S636" s="9">
        <f>_xlfn.XLOOKUP(spaces_3iWczBNnn5rbfoUlE0Jd_uploads_git_blob_9864c7f811c613c3faab876659c6423__25[[#This Row],[Número de Orden]],Cocinadinamica!E637:E1405,Cocinadinamica!F637:F1405)/1440</f>
        <v>1.7361111111111112E-2</v>
      </c>
      <c r="T636" s="9" cm="1">
        <f t="array" ref="T63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9.8611111110787741E-2</v>
      </c>
      <c r="U636" s="9" t="str" cm="1">
        <f t="array" ref="U63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37" spans="1:21" x14ac:dyDescent="0.35">
      <c r="A637" s="28">
        <v>14</v>
      </c>
      <c r="B637" s="13" t="s">
        <v>1179</v>
      </c>
      <c r="C637" s="13">
        <v>3</v>
      </c>
      <c r="D637" s="14">
        <v>45022.149305555555</v>
      </c>
      <c r="E637" s="14">
        <v>45022.241666666669</v>
      </c>
      <c r="F637" s="13" t="s">
        <v>85</v>
      </c>
      <c r="G637" s="13" t="s">
        <v>73</v>
      </c>
      <c r="H637" s="13" t="s">
        <v>109</v>
      </c>
      <c r="I637" s="17">
        <v>32.86</v>
      </c>
      <c r="J637" s="13" t="s">
        <v>75</v>
      </c>
      <c r="K637" s="13">
        <v>636</v>
      </c>
      <c r="L637" s="13" t="s">
        <v>187</v>
      </c>
      <c r="M637" s="13" t="s">
        <v>1701</v>
      </c>
      <c r="N637">
        <f>_xlfn.XLOOKUP(spaces_3iWczBNnn5rbfoUlE0Jd_uploads_git_blob_9864c7f811c613c3faab876659c6423__25[[#This Row],[Número de Orden]],Cocinadinamica!B638:B1406,Cocinadinamica!C638:C1406)</f>
        <v>52</v>
      </c>
      <c r="O637" s="7">
        <f>spaces_3iWczBNnn5rbfoUlE0Jd_uploads_git_blob_9864c7f811c613c3faab876659c6423__25[[#This Row],[Hora de Llegada]]</f>
        <v>45022.149305555555</v>
      </c>
      <c r="P637" s="9">
        <f>spaces_3iWczBNnn5rbfoUlE0Jd_uploads_git_blob_9864c7f811c613c3faab876659c6423__25[[#This Row],[Hora de Llegada]]</f>
        <v>45022.149305555555</v>
      </c>
      <c r="Q637" s="9">
        <f>spaces_3iWczBNnn5rbfoUlE0Jd_uploads_git_blob_9864c7f811c613c3faab876659c6423__25[[#This Row],[Hora de Salida]]</f>
        <v>45022.241666666669</v>
      </c>
      <c r="R637" s="9" cm="1">
        <f t="array" ref="R63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9.2361111113859806E-2</v>
      </c>
      <c r="S637" s="9">
        <f>_xlfn.XLOOKUP(spaces_3iWczBNnn5rbfoUlE0Jd_uploads_git_blob_9864c7f811c613c3faab876659c6423__25[[#This Row],[Número de Orden]],Cocinadinamica!E638:E1406,Cocinadinamica!F638:F1406)/1440</f>
        <v>0.10486111111111111</v>
      </c>
      <c r="T637" s="9" cm="1">
        <f t="array" ref="T63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37" s="9" t="str" cm="1">
        <f t="array" ref="U63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38" spans="1:21" x14ac:dyDescent="0.35">
      <c r="A638" s="27">
        <v>6</v>
      </c>
      <c r="B638" s="11" t="s">
        <v>1180</v>
      </c>
      <c r="C638" s="11">
        <v>3</v>
      </c>
      <c r="D638" s="12">
        <v>45022.079861111109</v>
      </c>
      <c r="E638" s="12">
        <v>45022.188888888886</v>
      </c>
      <c r="F638" s="11" t="s">
        <v>72</v>
      </c>
      <c r="G638" s="11" t="s">
        <v>86</v>
      </c>
      <c r="H638" s="11" t="s">
        <v>74</v>
      </c>
      <c r="I638" s="16">
        <v>36.58</v>
      </c>
      <c r="J638" s="11" t="s">
        <v>94</v>
      </c>
      <c r="K638" s="11">
        <v>637</v>
      </c>
      <c r="L638" s="11" t="s">
        <v>187</v>
      </c>
      <c r="M638" s="11" t="s">
        <v>1702</v>
      </c>
      <c r="N638">
        <f>_xlfn.XLOOKUP(spaces_3iWczBNnn5rbfoUlE0Jd_uploads_git_blob_9864c7f811c613c3faab876659c6423__25[[#This Row],[Número de Orden]],Cocinadinamica!B639:B1407,Cocinadinamica!C639:C1407)</f>
        <v>47</v>
      </c>
      <c r="O638" s="7">
        <f>spaces_3iWczBNnn5rbfoUlE0Jd_uploads_git_blob_9864c7f811c613c3faab876659c6423__25[[#This Row],[Hora de Llegada]]</f>
        <v>45022.079861111109</v>
      </c>
      <c r="P638" s="9">
        <f>spaces_3iWczBNnn5rbfoUlE0Jd_uploads_git_blob_9864c7f811c613c3faab876659c6423__25[[#This Row],[Hora de Llegada]]</f>
        <v>45022.079861111109</v>
      </c>
      <c r="Q638" s="9">
        <f>spaces_3iWczBNnn5rbfoUlE0Jd_uploads_git_blob_9864c7f811c613c3faab876659c6423__25[[#This Row],[Hora de Salida]]</f>
        <v>45022.188888888886</v>
      </c>
      <c r="R638" s="9" cm="1">
        <f t="array" ref="R63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0.10902777777664596</v>
      </c>
      <c r="S638" s="9">
        <f>_xlfn.XLOOKUP(spaces_3iWczBNnn5rbfoUlE0Jd_uploads_git_blob_9864c7f811c613c3faab876659c6423__25[[#This Row],[Número de Orden]],Cocinadinamica!E639:E1407,Cocinadinamica!F639:F1407)/1440</f>
        <v>4.2361111111111113E-2</v>
      </c>
      <c r="T638" s="9" cm="1">
        <f t="array" ref="T63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6.6666666665534849E-2</v>
      </c>
      <c r="U638" s="9" t="str" cm="1">
        <f t="array" ref="U63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39" spans="1:21" x14ac:dyDescent="0.35">
      <c r="A639" s="28" t="s">
        <v>224</v>
      </c>
      <c r="B639" s="13" t="s">
        <v>268</v>
      </c>
      <c r="C639" s="13">
        <v>6</v>
      </c>
      <c r="D639" s="14">
        <v>45022.037499999999</v>
      </c>
      <c r="E639" s="14">
        <v>45022.094444444447</v>
      </c>
      <c r="F639" s="13" t="s">
        <v>170</v>
      </c>
      <c r="G639" s="13" t="s">
        <v>73</v>
      </c>
      <c r="H639" s="13" t="s">
        <v>74</v>
      </c>
      <c r="I639" s="17">
        <v>30.71</v>
      </c>
      <c r="J639" s="13" t="s">
        <v>88</v>
      </c>
      <c r="K639" s="13">
        <v>638</v>
      </c>
      <c r="L639" s="13" t="s">
        <v>164</v>
      </c>
      <c r="M639" s="13" t="s">
        <v>12</v>
      </c>
      <c r="N639">
        <f>_xlfn.XLOOKUP(spaces_3iWczBNnn5rbfoUlE0Jd_uploads_git_blob_9864c7f811c613c3faab876659c6423__25[[#This Row],[Número de Orden]],Cocinadinamica!B640:B1408,Cocinadinamica!C640:C1408)</f>
        <v>36</v>
      </c>
      <c r="O639" s="7">
        <f>spaces_3iWczBNnn5rbfoUlE0Jd_uploads_git_blob_9864c7f811c613c3faab876659c6423__25[[#This Row],[Hora de Llegada]]</f>
        <v>45022.037499999999</v>
      </c>
      <c r="P639" s="9">
        <f>spaces_3iWczBNnn5rbfoUlE0Jd_uploads_git_blob_9864c7f811c613c3faab876659c6423__25[[#This Row],[Hora de Llegada]]</f>
        <v>45022.037499999999</v>
      </c>
      <c r="Q639" s="9">
        <f>spaces_3iWczBNnn5rbfoUlE0Jd_uploads_git_blob_9864c7f811c613c3faab876659c6423__25[[#This Row],[Hora de Salida]]</f>
        <v>45022.094444444447</v>
      </c>
      <c r="R639" s="9" cm="1">
        <f t="array" ref="R63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6.7361111112404615E-2</v>
      </c>
      <c r="S639" s="9">
        <f>_xlfn.XLOOKUP(spaces_3iWczBNnn5rbfoUlE0Jd_uploads_git_blob_9864c7f811c613c3faab876659c6423__25[[#This Row],[Número de Orden]],Cocinadinamica!E640:E1408,Cocinadinamica!F640:F1408)/1440</f>
        <v>3.0555555555555555E-2</v>
      </c>
      <c r="T639" s="9" cm="1">
        <f t="array" ref="T63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3.6805555556849057E-2</v>
      </c>
      <c r="U639" s="9" t="str" cm="1">
        <f t="array" ref="U63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0" spans="1:21" x14ac:dyDescent="0.35">
      <c r="A640" s="27">
        <v>8</v>
      </c>
      <c r="B640" s="11" t="s">
        <v>1181</v>
      </c>
      <c r="C640" s="11">
        <v>4</v>
      </c>
      <c r="D640" s="12">
        <v>45022.095138888886</v>
      </c>
      <c r="E640" s="12">
        <v>45022.22152777778</v>
      </c>
      <c r="F640" s="11" t="s">
        <v>100</v>
      </c>
      <c r="G640" s="11" t="s">
        <v>73</v>
      </c>
      <c r="H640" s="11" t="s">
        <v>74</v>
      </c>
      <c r="I640" s="16">
        <v>18.97</v>
      </c>
      <c r="J640" s="11" t="s">
        <v>94</v>
      </c>
      <c r="K640" s="11">
        <v>639</v>
      </c>
      <c r="L640" s="11" t="s">
        <v>181</v>
      </c>
      <c r="M640" s="11" t="s">
        <v>1703</v>
      </c>
      <c r="N640">
        <f>_xlfn.XLOOKUP(spaces_3iWczBNnn5rbfoUlE0Jd_uploads_git_blob_9864c7f811c613c3faab876659c6423__25[[#This Row],[Número de Orden]],Cocinadinamica!B641:B1409,Cocinadinamica!C641:C1409)</f>
        <v>62</v>
      </c>
      <c r="O640" s="7">
        <f>spaces_3iWczBNnn5rbfoUlE0Jd_uploads_git_blob_9864c7f811c613c3faab876659c6423__25[[#This Row],[Hora de Llegada]]</f>
        <v>45022.095138888886</v>
      </c>
      <c r="P640" s="9">
        <f>spaces_3iWczBNnn5rbfoUlE0Jd_uploads_git_blob_9864c7f811c613c3faab876659c6423__25[[#This Row],[Hora de Llegada]]</f>
        <v>45022.095138888886</v>
      </c>
      <c r="Q640" s="9">
        <f>spaces_3iWczBNnn5rbfoUlE0Jd_uploads_git_blob_9864c7f811c613c3faab876659c6423__25[[#This Row],[Hora de Salida]]</f>
        <v>45022.22152777778</v>
      </c>
      <c r="R640" s="9" cm="1">
        <f t="array" ref="R64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0.12638888889341615</v>
      </c>
      <c r="S640" s="9">
        <f>_xlfn.XLOOKUP(spaces_3iWczBNnn5rbfoUlE0Jd_uploads_git_blob_9864c7f811c613c3faab876659c6423__25[[#This Row],[Número de Orden]],Cocinadinamica!E641:E1409,Cocinadinamica!F641:F1409)/1440</f>
        <v>9.4444444444444442E-2</v>
      </c>
      <c r="T640" s="9" cm="1">
        <f t="array" ref="T64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3.1944444448971709E-2</v>
      </c>
      <c r="U640" s="9" t="str" cm="1">
        <f t="array" ref="U64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1" spans="1:21" x14ac:dyDescent="0.35">
      <c r="A641" s="28">
        <v>14</v>
      </c>
      <c r="B641" s="13" t="s">
        <v>1182</v>
      </c>
      <c r="C641" s="13">
        <v>3</v>
      </c>
      <c r="D641" s="14">
        <v>45022.02847222222</v>
      </c>
      <c r="E641" s="14">
        <v>45022.076388888891</v>
      </c>
      <c r="F641" s="13" t="s">
        <v>170</v>
      </c>
      <c r="G641" s="13" t="s">
        <v>86</v>
      </c>
      <c r="H641" s="13" t="s">
        <v>109</v>
      </c>
      <c r="I641" s="17">
        <v>49.29</v>
      </c>
      <c r="J641" s="13" t="s">
        <v>75</v>
      </c>
      <c r="K641" s="13">
        <v>640</v>
      </c>
      <c r="L641" s="13" t="s">
        <v>275</v>
      </c>
      <c r="M641" s="13" t="s">
        <v>1704</v>
      </c>
      <c r="N641">
        <f>_xlfn.XLOOKUP(spaces_3iWczBNnn5rbfoUlE0Jd_uploads_git_blob_9864c7f811c613c3faab876659c6423__25[[#This Row],[Número de Orden]],Cocinadinamica!B642:B1410,Cocinadinamica!C642:C1410)</f>
        <v>88</v>
      </c>
      <c r="O641" s="7">
        <f>spaces_3iWczBNnn5rbfoUlE0Jd_uploads_git_blob_9864c7f811c613c3faab876659c6423__25[[#This Row],[Hora de Llegada]]</f>
        <v>45022.02847222222</v>
      </c>
      <c r="P641" s="9">
        <f>spaces_3iWczBNnn5rbfoUlE0Jd_uploads_git_blob_9864c7f811c613c3faab876659c6423__25[[#This Row],[Hora de Llegada]]</f>
        <v>45022.02847222222</v>
      </c>
      <c r="Q641" s="9">
        <f>spaces_3iWczBNnn5rbfoUlE0Jd_uploads_git_blob_9864c7f811c613c3faab876659c6423__25[[#This Row],[Hora de Salida]]</f>
        <v>45022.076388888891</v>
      </c>
      <c r="R641" s="9" cm="1">
        <f t="array" ref="R64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4.7916666670062114E-2</v>
      </c>
      <c r="S641" s="9">
        <f>_xlfn.XLOOKUP(spaces_3iWczBNnn5rbfoUlE0Jd_uploads_git_blob_9864c7f811c613c3faab876659c6423__25[[#This Row],[Número de Orden]],Cocinadinamica!E642:E1410,Cocinadinamica!F642:F1410)/1440</f>
        <v>5.2083333333333336E-2</v>
      </c>
      <c r="T641" s="9" cm="1">
        <f t="array" ref="T64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41" s="9" t="str" cm="1">
        <f t="array" ref="U64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42" spans="1:21" x14ac:dyDescent="0.35">
      <c r="A642" s="27">
        <v>2</v>
      </c>
      <c r="B642" s="11" t="s">
        <v>1183</v>
      </c>
      <c r="C642" s="11">
        <v>4</v>
      </c>
      <c r="D642" s="12">
        <v>45022.047222222223</v>
      </c>
      <c r="E642" s="12">
        <v>45022.161111111112</v>
      </c>
      <c r="F642" s="11" t="s">
        <v>223</v>
      </c>
      <c r="G642" s="11" t="s">
        <v>86</v>
      </c>
      <c r="H642" s="11" t="s">
        <v>109</v>
      </c>
      <c r="I642" s="16">
        <v>39.68</v>
      </c>
      <c r="J642" s="11" t="s">
        <v>94</v>
      </c>
      <c r="K642" s="11">
        <v>641</v>
      </c>
      <c r="L642" s="11" t="s">
        <v>187</v>
      </c>
      <c r="M642" s="11" t="s">
        <v>1705</v>
      </c>
      <c r="N642">
        <f>_xlfn.XLOOKUP(spaces_3iWczBNnn5rbfoUlE0Jd_uploads_git_blob_9864c7f811c613c3faab876659c6423__25[[#This Row],[Número de Orden]],Cocinadinamica!B643:B1411,Cocinadinamica!C643:C1411)</f>
        <v>84</v>
      </c>
      <c r="O642" s="7">
        <f>spaces_3iWczBNnn5rbfoUlE0Jd_uploads_git_blob_9864c7f811c613c3faab876659c6423__25[[#This Row],[Hora de Llegada]]</f>
        <v>45022.047222222223</v>
      </c>
      <c r="P642" s="9">
        <f>spaces_3iWczBNnn5rbfoUlE0Jd_uploads_git_blob_9864c7f811c613c3faab876659c6423__25[[#This Row],[Hora de Llegada]]</f>
        <v>45022.047222222223</v>
      </c>
      <c r="Q642" s="9">
        <f>spaces_3iWczBNnn5rbfoUlE0Jd_uploads_git_blob_9864c7f811c613c3faab876659c6423__25[[#This Row],[Hora de Salida]]</f>
        <v>45022.161111111112</v>
      </c>
      <c r="R642" s="9" cm="1">
        <f t="array" ref="R64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0.11388888888905058</v>
      </c>
      <c r="S642" s="9">
        <f>_xlfn.XLOOKUP(spaces_3iWczBNnn5rbfoUlE0Jd_uploads_git_blob_9864c7f811c613c3faab876659c6423__25[[#This Row],[Número de Orden]],Cocinadinamica!E643:E1411,Cocinadinamica!F643:F1411)/1440</f>
        <v>5.1388888888888887E-2</v>
      </c>
      <c r="T642" s="9" cm="1">
        <f t="array" ref="T64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6.250000000016169E-2</v>
      </c>
      <c r="U642" s="9" t="str" cm="1">
        <f t="array" ref="U64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3" spans="1:21" x14ac:dyDescent="0.35">
      <c r="A643" s="28">
        <v>15</v>
      </c>
      <c r="B643" s="13" t="s">
        <v>1184</v>
      </c>
      <c r="C643" s="13">
        <v>1</v>
      </c>
      <c r="D643" s="14">
        <v>45022.10833333333</v>
      </c>
      <c r="E643" s="14">
        <v>45022.224999999999</v>
      </c>
      <c r="F643" s="13" t="s">
        <v>100</v>
      </c>
      <c r="G643" s="13" t="s">
        <v>86</v>
      </c>
      <c r="H643" s="13" t="s">
        <v>74</v>
      </c>
      <c r="I643" s="17">
        <v>11.11</v>
      </c>
      <c r="J643" s="13" t="s">
        <v>88</v>
      </c>
      <c r="K643" s="13">
        <v>642</v>
      </c>
      <c r="L643" s="13" t="s">
        <v>164</v>
      </c>
      <c r="M643" s="13" t="s">
        <v>1706</v>
      </c>
      <c r="N643">
        <f>_xlfn.XLOOKUP(spaces_3iWczBNnn5rbfoUlE0Jd_uploads_git_blob_9864c7f811c613c3faab876659c6423__25[[#This Row],[Número de Orden]],Cocinadinamica!B644:B1412,Cocinadinamica!C644:C1412)</f>
        <v>71</v>
      </c>
      <c r="O643" s="7">
        <f>spaces_3iWczBNnn5rbfoUlE0Jd_uploads_git_blob_9864c7f811c613c3faab876659c6423__25[[#This Row],[Hora de Llegada]]</f>
        <v>45022.10833333333</v>
      </c>
      <c r="P643" s="9">
        <f>spaces_3iWczBNnn5rbfoUlE0Jd_uploads_git_blob_9864c7f811c613c3faab876659c6423__25[[#This Row],[Hora de Llegada]]</f>
        <v>45022.10833333333</v>
      </c>
      <c r="Q643" s="9">
        <f>spaces_3iWczBNnn5rbfoUlE0Jd_uploads_git_blob_9864c7f811c613c3faab876659c6423__25[[#This Row],[Hora de Salida]]</f>
        <v>45022.224999999999</v>
      </c>
      <c r="R643" s="9" cm="1">
        <f t="array" ref="R64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0.12708333333284827</v>
      </c>
      <c r="S643" s="9">
        <f>_xlfn.XLOOKUP(spaces_3iWczBNnn5rbfoUlE0Jd_uploads_git_blob_9864c7f811c613c3faab876659c6423__25[[#This Row],[Número de Orden]],Cocinadinamica!E644:E1412,Cocinadinamica!F644:F1412)/1440</f>
        <v>5.6250000000000001E-2</v>
      </c>
      <c r="T643" s="9" cm="1">
        <f t="array" ref="T64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7.0833333332848275E-2</v>
      </c>
      <c r="U643" s="9" t="str" cm="1">
        <f t="array" ref="U64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4" spans="1:21" x14ac:dyDescent="0.35">
      <c r="A644" s="27" t="s">
        <v>132</v>
      </c>
      <c r="B644" s="11" t="s">
        <v>740</v>
      </c>
      <c r="C644" s="11">
        <v>2</v>
      </c>
      <c r="D644" s="12">
        <v>45022.011805555558</v>
      </c>
      <c r="E644" s="12">
        <v>45022.080555555556</v>
      </c>
      <c r="F644" s="11" t="s">
        <v>100</v>
      </c>
      <c r="G644" s="11" t="s">
        <v>163</v>
      </c>
      <c r="H644" s="11" t="s">
        <v>109</v>
      </c>
      <c r="I644" s="16">
        <v>28.81</v>
      </c>
      <c r="J644" s="11" t="s">
        <v>88</v>
      </c>
      <c r="K644" s="11">
        <v>643</v>
      </c>
      <c r="L644" s="11" t="s">
        <v>174</v>
      </c>
      <c r="M644" s="11" t="s">
        <v>25</v>
      </c>
      <c r="N644">
        <f>_xlfn.XLOOKUP(spaces_3iWczBNnn5rbfoUlE0Jd_uploads_git_blob_9864c7f811c613c3faab876659c6423__25[[#This Row],[Número de Orden]],Cocinadinamica!B645:B1413,Cocinadinamica!C645:C1413)</f>
        <v>13</v>
      </c>
      <c r="O644" s="7">
        <f>spaces_3iWczBNnn5rbfoUlE0Jd_uploads_git_blob_9864c7f811c613c3faab876659c6423__25[[#This Row],[Hora de Llegada]]</f>
        <v>45022.011805555558</v>
      </c>
      <c r="P644" s="9">
        <f>spaces_3iWczBNnn5rbfoUlE0Jd_uploads_git_blob_9864c7f811c613c3faab876659c6423__25[[#This Row],[Hora de Llegada]]</f>
        <v>45022.011805555558</v>
      </c>
      <c r="Q644" s="9">
        <f>spaces_3iWczBNnn5rbfoUlE0Jd_uploads_git_blob_9864c7f811c613c3faab876659c6423__25[[#This Row],[Hora de Salida]]</f>
        <v>45022.080555555556</v>
      </c>
      <c r="R644" s="9" cm="1">
        <f t="array" ref="R64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7.9166666662786156E-2</v>
      </c>
      <c r="S644" s="9">
        <f>_xlfn.XLOOKUP(spaces_3iWczBNnn5rbfoUlE0Jd_uploads_git_blob_9864c7f811c613c3faab876659c6423__25[[#This Row],[Número de Orden]],Cocinadinamica!E645:E1413,Cocinadinamica!F645:F1413)/1440</f>
        <v>1.2500000000000001E-2</v>
      </c>
      <c r="T644" s="9" cm="1">
        <f t="array" ref="T64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6.6666666662786159E-2</v>
      </c>
      <c r="U644" s="9" t="str" cm="1">
        <f t="array" ref="U64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5" spans="1:21" x14ac:dyDescent="0.35">
      <c r="A645" s="28" t="s">
        <v>247</v>
      </c>
      <c r="B645" s="13" t="s">
        <v>741</v>
      </c>
      <c r="C645" s="13">
        <v>6</v>
      </c>
      <c r="D645" s="14">
        <v>45022.155555555553</v>
      </c>
      <c r="E645" s="14">
        <v>45022.298611111109</v>
      </c>
      <c r="F645" s="13" t="s">
        <v>223</v>
      </c>
      <c r="G645" s="13" t="s">
        <v>86</v>
      </c>
      <c r="H645" s="13" t="s">
        <v>109</v>
      </c>
      <c r="I645" s="17">
        <v>13.86</v>
      </c>
      <c r="J645" s="13" t="s">
        <v>94</v>
      </c>
      <c r="K645" s="13">
        <v>644</v>
      </c>
      <c r="L645" s="13" t="s">
        <v>187</v>
      </c>
      <c r="M645" s="13" t="s">
        <v>15</v>
      </c>
      <c r="N645">
        <f>_xlfn.XLOOKUP(spaces_3iWczBNnn5rbfoUlE0Jd_uploads_git_blob_9864c7f811c613c3faab876659c6423__25[[#This Row],[Número de Orden]],Cocinadinamica!B646:B1414,Cocinadinamica!C646:C1414)</f>
        <v>36</v>
      </c>
      <c r="O645" s="7">
        <f>spaces_3iWczBNnn5rbfoUlE0Jd_uploads_git_blob_9864c7f811c613c3faab876659c6423__25[[#This Row],[Hora de Llegada]]</f>
        <v>45022.155555555553</v>
      </c>
      <c r="P645" s="9">
        <f>spaces_3iWczBNnn5rbfoUlE0Jd_uploads_git_blob_9864c7f811c613c3faab876659c6423__25[[#This Row],[Hora de Llegada]]</f>
        <v>45022.155555555553</v>
      </c>
      <c r="Q645" s="9">
        <f>spaces_3iWczBNnn5rbfoUlE0Jd_uploads_git_blob_9864c7f811c613c3faab876659c6423__25[[#This Row],[Hora de Salida]]</f>
        <v>45022.298611111109</v>
      </c>
      <c r="R645" s="9" cm="1">
        <f t="array" ref="R64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0.14305555555620231</v>
      </c>
      <c r="S645" s="9">
        <f>_xlfn.XLOOKUP(spaces_3iWczBNnn5rbfoUlE0Jd_uploads_git_blob_9864c7f811c613c3faab876659c6423__25[[#This Row],[Número de Orden]],Cocinadinamica!E646:E1414,Cocinadinamica!F646:F1414)/1440</f>
        <v>3.5416666666666666E-2</v>
      </c>
      <c r="T645" s="9" cm="1">
        <f t="array" ref="T64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0.10763888888953564</v>
      </c>
      <c r="U645" s="9" t="str" cm="1">
        <f t="array" ref="U64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6" spans="1:21" x14ac:dyDescent="0.35">
      <c r="A646" s="27">
        <v>6</v>
      </c>
      <c r="B646" s="11" t="s">
        <v>1075</v>
      </c>
      <c r="C646" s="11">
        <v>6</v>
      </c>
      <c r="D646" s="12">
        <v>45022.118055555555</v>
      </c>
      <c r="E646" s="12">
        <v>45022.267361111109</v>
      </c>
      <c r="F646" s="11" t="s">
        <v>170</v>
      </c>
      <c r="G646" s="11" t="s">
        <v>73</v>
      </c>
      <c r="H646" s="11" t="s">
        <v>87</v>
      </c>
      <c r="I646" s="16">
        <v>40.03</v>
      </c>
      <c r="J646" s="11" t="s">
        <v>75</v>
      </c>
      <c r="K646" s="11">
        <v>645</v>
      </c>
      <c r="L646" s="11" t="s">
        <v>95</v>
      </c>
      <c r="M646" s="11" t="s">
        <v>1707</v>
      </c>
      <c r="N646">
        <f>_xlfn.XLOOKUP(spaces_3iWczBNnn5rbfoUlE0Jd_uploads_git_blob_9864c7f811c613c3faab876659c6423__25[[#This Row],[Número de Orden]],Cocinadinamica!B647:B1415,Cocinadinamica!C647:C1415)</f>
        <v>72</v>
      </c>
      <c r="O646" s="7">
        <f>spaces_3iWczBNnn5rbfoUlE0Jd_uploads_git_blob_9864c7f811c613c3faab876659c6423__25[[#This Row],[Hora de Llegada]]</f>
        <v>45022.118055555555</v>
      </c>
      <c r="P646" s="9">
        <f>spaces_3iWczBNnn5rbfoUlE0Jd_uploads_git_blob_9864c7f811c613c3faab876659c6423__25[[#This Row],[Hora de Llegada]]</f>
        <v>45022.118055555555</v>
      </c>
      <c r="Q646" s="9">
        <f>spaces_3iWczBNnn5rbfoUlE0Jd_uploads_git_blob_9864c7f811c613c3faab876659c6423__25[[#This Row],[Hora de Salida]]</f>
        <v>45022.267361111109</v>
      </c>
      <c r="R646" s="9" cm="1">
        <f t="array" ref="R64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0.14930555555474712</v>
      </c>
      <c r="S646" s="9">
        <f>_xlfn.XLOOKUP(spaces_3iWczBNnn5rbfoUlE0Jd_uploads_git_blob_9864c7f811c613c3faab876659c6423__25[[#This Row],[Número de Orden]],Cocinadinamica!E647:E1415,Cocinadinamica!F647:F1415)/1440</f>
        <v>6.7361111111111108E-2</v>
      </c>
      <c r="T646" s="9" cm="1">
        <f t="array" ref="T64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8.1944444443636008E-2</v>
      </c>
      <c r="U646" s="9" t="str" cm="1">
        <f t="array" ref="U64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7" spans="1:21" x14ac:dyDescent="0.35">
      <c r="A647" s="28" t="s">
        <v>107</v>
      </c>
      <c r="B647" s="13" t="s">
        <v>743</v>
      </c>
      <c r="C647" s="13">
        <v>2</v>
      </c>
      <c r="D647" s="14">
        <v>45022.165972222225</v>
      </c>
      <c r="E647" s="14">
        <v>45022.276388888888</v>
      </c>
      <c r="F647" s="13" t="s">
        <v>100</v>
      </c>
      <c r="G647" s="13" t="s">
        <v>86</v>
      </c>
      <c r="H647" s="13" t="s">
        <v>109</v>
      </c>
      <c r="I647" s="17">
        <v>12.59</v>
      </c>
      <c r="J647" s="13" t="s">
        <v>75</v>
      </c>
      <c r="K647" s="13">
        <v>646</v>
      </c>
      <c r="L647" s="13" t="s">
        <v>95</v>
      </c>
      <c r="M647" s="13" t="s">
        <v>31</v>
      </c>
      <c r="N647">
        <f>_xlfn.XLOOKUP(spaces_3iWczBNnn5rbfoUlE0Jd_uploads_git_blob_9864c7f811c613c3faab876659c6423__25[[#This Row],[Número de Orden]],Cocinadinamica!B648:B1416,Cocinadinamica!C648:C1416)</f>
        <v>28</v>
      </c>
      <c r="O647" s="7">
        <f>spaces_3iWczBNnn5rbfoUlE0Jd_uploads_git_blob_9864c7f811c613c3faab876659c6423__25[[#This Row],[Hora de Llegada]]</f>
        <v>45022.165972222225</v>
      </c>
      <c r="P647" s="9">
        <f>spaces_3iWczBNnn5rbfoUlE0Jd_uploads_git_blob_9864c7f811c613c3faab876659c6423__25[[#This Row],[Hora de Llegada]]</f>
        <v>45022.165972222225</v>
      </c>
      <c r="Q647" s="9">
        <f>spaces_3iWczBNnn5rbfoUlE0Jd_uploads_git_blob_9864c7f811c613c3faab876659c6423__25[[#This Row],[Hora de Salida]]</f>
        <v>45022.276388888888</v>
      </c>
      <c r="R647" s="9" cm="1">
        <f t="array" ref="R64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0.11041666666278616</v>
      </c>
      <c r="S647" s="9">
        <f>_xlfn.XLOOKUP(spaces_3iWczBNnn5rbfoUlE0Jd_uploads_git_blob_9864c7f811c613c3faab876659c6423__25[[#This Row],[Número de Orden]],Cocinadinamica!E648:E1416,Cocinadinamica!F648:F1416)/1440</f>
        <v>2.5000000000000001E-2</v>
      </c>
      <c r="T647" s="9" cm="1">
        <f t="array" ref="T64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8.5416666662786161E-2</v>
      </c>
      <c r="U647" s="9" t="str" cm="1">
        <f t="array" ref="U64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8" spans="1:21" x14ac:dyDescent="0.35">
      <c r="A648" s="27">
        <v>12</v>
      </c>
      <c r="B648" s="11" t="s">
        <v>1185</v>
      </c>
      <c r="C648" s="11">
        <v>2</v>
      </c>
      <c r="D648" s="12">
        <v>45022.121527777781</v>
      </c>
      <c r="E648" s="12">
        <v>45022.267361111109</v>
      </c>
      <c r="F648" s="11" t="s">
        <v>100</v>
      </c>
      <c r="G648" s="11" t="s">
        <v>86</v>
      </c>
      <c r="H648" s="11" t="s">
        <v>74</v>
      </c>
      <c r="I648" s="16">
        <v>42.79</v>
      </c>
      <c r="J648" s="11" t="s">
        <v>94</v>
      </c>
      <c r="K648" s="11">
        <v>647</v>
      </c>
      <c r="L648" s="11" t="s">
        <v>95</v>
      </c>
      <c r="M648" s="11" t="s">
        <v>1708</v>
      </c>
      <c r="N648">
        <f>_xlfn.XLOOKUP(spaces_3iWczBNnn5rbfoUlE0Jd_uploads_git_blob_9864c7f811c613c3faab876659c6423__25[[#This Row],[Número de Orden]],Cocinadinamica!B649:B1417,Cocinadinamica!C649:C1417)</f>
        <v>40</v>
      </c>
      <c r="O648" s="7">
        <f>spaces_3iWczBNnn5rbfoUlE0Jd_uploads_git_blob_9864c7f811c613c3faab876659c6423__25[[#This Row],[Hora de Llegada]]</f>
        <v>45022.121527777781</v>
      </c>
      <c r="P648" s="9">
        <f>spaces_3iWczBNnn5rbfoUlE0Jd_uploads_git_blob_9864c7f811c613c3faab876659c6423__25[[#This Row],[Hora de Llegada]]</f>
        <v>45022.121527777781</v>
      </c>
      <c r="Q648" s="9">
        <f>spaces_3iWczBNnn5rbfoUlE0Jd_uploads_git_blob_9864c7f811c613c3faab876659c6423__25[[#This Row],[Hora de Salida]]</f>
        <v>45022.267361111109</v>
      </c>
      <c r="R648" s="9" cm="1">
        <f t="array" ref="R64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0.14583333332848269</v>
      </c>
      <c r="S648" s="9">
        <f>_xlfn.XLOOKUP(spaces_3iWczBNnn5rbfoUlE0Jd_uploads_git_blob_9864c7f811c613c3faab876659c6423__25[[#This Row],[Número de Orden]],Cocinadinamica!E649:E1417,Cocinadinamica!F649:F1417)/1440</f>
        <v>2.7083333333333334E-2</v>
      </c>
      <c r="T648" s="9" cm="1">
        <f t="array" ref="T64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0.11874999999514936</v>
      </c>
      <c r="U648" s="9" t="str" cm="1">
        <f t="array" ref="U64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49" spans="1:21" x14ac:dyDescent="0.35">
      <c r="A649" s="28" t="s">
        <v>247</v>
      </c>
      <c r="B649" s="13" t="s">
        <v>745</v>
      </c>
      <c r="C649" s="13">
        <v>1</v>
      </c>
      <c r="D649" s="14">
        <v>45022.124305555553</v>
      </c>
      <c r="E649" s="14">
        <v>45022.204861111109</v>
      </c>
      <c r="F649" s="13" t="s">
        <v>100</v>
      </c>
      <c r="G649" s="13" t="s">
        <v>73</v>
      </c>
      <c r="H649" s="13" t="s">
        <v>74</v>
      </c>
      <c r="I649" s="17">
        <v>17.43</v>
      </c>
      <c r="J649" s="13" t="s">
        <v>75</v>
      </c>
      <c r="K649" s="13">
        <v>648</v>
      </c>
      <c r="L649" s="13" t="s">
        <v>89</v>
      </c>
      <c r="M649" s="13" t="s">
        <v>27</v>
      </c>
      <c r="N649">
        <f>_xlfn.XLOOKUP(spaces_3iWczBNnn5rbfoUlE0Jd_uploads_git_blob_9864c7f811c613c3faab876659c6423__25[[#This Row],[Número de Orden]],Cocinadinamica!B650:B1418,Cocinadinamica!C650:C1418)</f>
        <v>24</v>
      </c>
      <c r="O649" s="7">
        <f>spaces_3iWczBNnn5rbfoUlE0Jd_uploads_git_blob_9864c7f811c613c3faab876659c6423__25[[#This Row],[Hora de Llegada]]</f>
        <v>45022.124305555553</v>
      </c>
      <c r="P649" s="9">
        <f>spaces_3iWczBNnn5rbfoUlE0Jd_uploads_git_blob_9864c7f811c613c3faab876659c6423__25[[#This Row],[Hora de Llegada]]</f>
        <v>45022.124305555553</v>
      </c>
      <c r="Q649" s="9">
        <f>spaces_3iWczBNnn5rbfoUlE0Jd_uploads_git_blob_9864c7f811c613c3faab876659c6423__25[[#This Row],[Hora de Salida]]</f>
        <v>45022.204861111109</v>
      </c>
      <c r="R649" s="9" cm="1">
        <f t="array" ref="R64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8.0555555556202307E-2</v>
      </c>
      <c r="S649" s="9">
        <f>_xlfn.XLOOKUP(spaces_3iWczBNnn5rbfoUlE0Jd_uploads_git_blob_9864c7f811c613c3faab876659c6423__25[[#This Row],[Número de Orden]],Cocinadinamica!E650:E1418,Cocinadinamica!F650:F1418)/1440</f>
        <v>3.2638888888888891E-2</v>
      </c>
      <c r="T649" s="9" cm="1">
        <f t="array" ref="T64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4.7916666667313416E-2</v>
      </c>
      <c r="U649" s="9" t="str" cm="1">
        <f t="array" ref="U64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0" spans="1:21" x14ac:dyDescent="0.35">
      <c r="A650" s="27">
        <v>9</v>
      </c>
      <c r="B650" s="11" t="s">
        <v>1186</v>
      </c>
      <c r="C650" s="11">
        <v>1</v>
      </c>
      <c r="D650" s="12">
        <v>45022.038194444445</v>
      </c>
      <c r="E650" s="12">
        <v>45022.15625</v>
      </c>
      <c r="F650" s="11" t="s">
        <v>85</v>
      </c>
      <c r="G650" s="11" t="s">
        <v>86</v>
      </c>
      <c r="H650" s="11" t="s">
        <v>87</v>
      </c>
      <c r="I650" s="16">
        <v>15.98</v>
      </c>
      <c r="J650" s="11" t="s">
        <v>88</v>
      </c>
      <c r="K650" s="11">
        <v>649</v>
      </c>
      <c r="L650" s="11" t="s">
        <v>221</v>
      </c>
      <c r="M650" s="11" t="s">
        <v>1709</v>
      </c>
      <c r="N650">
        <f>_xlfn.XLOOKUP(spaces_3iWczBNnn5rbfoUlE0Jd_uploads_git_blob_9864c7f811c613c3faab876659c6423__25[[#This Row],[Número de Orden]],Cocinadinamica!B651:B1419,Cocinadinamica!C651:C1419)</f>
        <v>106</v>
      </c>
      <c r="O650" s="7">
        <f>spaces_3iWczBNnn5rbfoUlE0Jd_uploads_git_blob_9864c7f811c613c3faab876659c6423__25[[#This Row],[Hora de Llegada]]</f>
        <v>45022.038194444445</v>
      </c>
      <c r="P650" s="9">
        <f>spaces_3iWczBNnn5rbfoUlE0Jd_uploads_git_blob_9864c7f811c613c3faab876659c6423__25[[#This Row],[Hora de Llegada]]</f>
        <v>45022.038194444445</v>
      </c>
      <c r="Q650" s="9">
        <f>spaces_3iWczBNnn5rbfoUlE0Jd_uploads_git_blob_9864c7f811c613c3faab876659c6423__25[[#This Row],[Hora de Salida]]</f>
        <v>45022.15625</v>
      </c>
      <c r="R650" s="9" cm="1">
        <f t="array" ref="R65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0.12847222221898846</v>
      </c>
      <c r="S650" s="9">
        <f>_xlfn.XLOOKUP(spaces_3iWczBNnn5rbfoUlE0Jd_uploads_git_blob_9864c7f811c613c3faab876659c6423__25[[#This Row],[Número de Orden]],Cocinadinamica!E651:E1419,Cocinadinamica!F651:F1419)/1440</f>
        <v>7.5694444444444439E-2</v>
      </c>
      <c r="T650" s="9" cm="1">
        <f t="array" ref="T65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5.2777777774544024E-2</v>
      </c>
      <c r="U650" s="9" t="str" cm="1">
        <f t="array" ref="U65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1" spans="1:21" x14ac:dyDescent="0.35">
      <c r="A651" s="28">
        <v>11</v>
      </c>
      <c r="B651" s="13" t="s">
        <v>1136</v>
      </c>
      <c r="C651" s="13">
        <v>3</v>
      </c>
      <c r="D651" s="14">
        <v>45023.147916666669</v>
      </c>
      <c r="E651" s="14">
        <v>45023.209722222222</v>
      </c>
      <c r="F651" s="13" t="s">
        <v>170</v>
      </c>
      <c r="G651" s="13" t="s">
        <v>86</v>
      </c>
      <c r="H651" s="13" t="s">
        <v>109</v>
      </c>
      <c r="I651" s="17">
        <v>38.21</v>
      </c>
      <c r="J651" s="13" t="s">
        <v>75</v>
      </c>
      <c r="K651" s="13">
        <v>650</v>
      </c>
      <c r="L651" s="13" t="s">
        <v>164</v>
      </c>
      <c r="M651" s="13" t="s">
        <v>1710</v>
      </c>
      <c r="N651">
        <f>_xlfn.XLOOKUP(spaces_3iWczBNnn5rbfoUlE0Jd_uploads_git_blob_9864c7f811c613c3faab876659c6423__25[[#This Row],[Número de Orden]],Cocinadinamica!B652:B1420,Cocinadinamica!C652:C1420)</f>
        <v>95</v>
      </c>
      <c r="O651" s="7">
        <f>spaces_3iWczBNnn5rbfoUlE0Jd_uploads_git_blob_9864c7f811c613c3faab876659c6423__25[[#This Row],[Hora de Llegada]]</f>
        <v>45023.147916666669</v>
      </c>
      <c r="P651" s="9">
        <f>spaces_3iWczBNnn5rbfoUlE0Jd_uploads_git_blob_9864c7f811c613c3faab876659c6423__25[[#This Row],[Hora de Llegada]]</f>
        <v>45023.147916666669</v>
      </c>
      <c r="Q651" s="9">
        <f>spaces_3iWczBNnn5rbfoUlE0Jd_uploads_git_blob_9864c7f811c613c3faab876659c6423__25[[#This Row],[Hora de Salida]]</f>
        <v>45023.209722222222</v>
      </c>
      <c r="R651" s="9" cm="1">
        <f t="array" ref="R65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6.1805555553291924E-2</v>
      </c>
      <c r="S651" s="9">
        <f>_xlfn.XLOOKUP(spaces_3iWczBNnn5rbfoUlE0Jd_uploads_git_blob_9864c7f811c613c3faab876659c6423__25[[#This Row],[Número de Orden]],Cocinadinamica!E652:E1420,Cocinadinamica!F652:F1420)/1440</f>
        <v>5.2777777777777778E-2</v>
      </c>
      <c r="T651" s="9" cm="1">
        <f t="array" ref="T65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9.0277777755141467E-3</v>
      </c>
      <c r="U651" s="9" t="str" cm="1">
        <f t="array" ref="U65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2" spans="1:21" x14ac:dyDescent="0.35">
      <c r="A652" s="27">
        <v>16</v>
      </c>
      <c r="B652" s="11" t="s">
        <v>1187</v>
      </c>
      <c r="C652" s="11">
        <v>4</v>
      </c>
      <c r="D652" s="12">
        <v>45023.086111111108</v>
      </c>
      <c r="E652" s="12">
        <v>45023.238888888889</v>
      </c>
      <c r="F652" s="11" t="s">
        <v>72</v>
      </c>
      <c r="G652" s="11" t="s">
        <v>73</v>
      </c>
      <c r="H652" s="11" t="s">
        <v>74</v>
      </c>
      <c r="I652" s="16">
        <v>20.27</v>
      </c>
      <c r="J652" s="11" t="s">
        <v>75</v>
      </c>
      <c r="K652" s="11">
        <v>651</v>
      </c>
      <c r="L652" s="11" t="s">
        <v>164</v>
      </c>
      <c r="M652" s="11" t="s">
        <v>1711</v>
      </c>
      <c r="N652">
        <f>_xlfn.XLOOKUP(spaces_3iWczBNnn5rbfoUlE0Jd_uploads_git_blob_9864c7f811c613c3faab876659c6423__25[[#This Row],[Número de Orden]],Cocinadinamica!B653:B1421,Cocinadinamica!C653:C1421)</f>
        <v>80</v>
      </c>
      <c r="O652" s="7">
        <f>spaces_3iWczBNnn5rbfoUlE0Jd_uploads_git_blob_9864c7f811c613c3faab876659c6423__25[[#This Row],[Hora de Llegada]]</f>
        <v>45023.086111111108</v>
      </c>
      <c r="P652" s="9">
        <f>spaces_3iWczBNnn5rbfoUlE0Jd_uploads_git_blob_9864c7f811c613c3faab876659c6423__25[[#This Row],[Hora de Llegada]]</f>
        <v>45023.086111111108</v>
      </c>
      <c r="Q652" s="9">
        <f>spaces_3iWczBNnn5rbfoUlE0Jd_uploads_git_blob_9864c7f811c613c3faab876659c6423__25[[#This Row],[Hora de Salida]]</f>
        <v>45023.238888888889</v>
      </c>
      <c r="R652" s="9" cm="1">
        <f t="array" ref="R65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0.15277777778101154</v>
      </c>
      <c r="S652" s="9">
        <f>_xlfn.XLOOKUP(spaces_3iWczBNnn5rbfoUlE0Jd_uploads_git_blob_9864c7f811c613c3faab876659c6423__25[[#This Row],[Número de Orden]],Cocinadinamica!E653:E1421,Cocinadinamica!F653:F1421)/1440</f>
        <v>6.1111111111111109E-2</v>
      </c>
      <c r="T652" s="9" cm="1">
        <f t="array" ref="T65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9.1666666669900421E-2</v>
      </c>
      <c r="U652" s="9" t="str" cm="1">
        <f t="array" ref="U65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3" spans="1:21" x14ac:dyDescent="0.35">
      <c r="A653" s="28">
        <v>14</v>
      </c>
      <c r="B653" s="13" t="s">
        <v>1143</v>
      </c>
      <c r="C653" s="13">
        <v>5</v>
      </c>
      <c r="D653" s="14">
        <v>45023.004166666666</v>
      </c>
      <c r="E653" s="14">
        <v>45023.101388888892</v>
      </c>
      <c r="F653" s="13" t="s">
        <v>100</v>
      </c>
      <c r="G653" s="13" t="s">
        <v>86</v>
      </c>
      <c r="H653" s="13" t="s">
        <v>109</v>
      </c>
      <c r="I653" s="17">
        <v>23.26</v>
      </c>
      <c r="J653" s="13" t="s">
        <v>88</v>
      </c>
      <c r="K653" s="13">
        <v>652</v>
      </c>
      <c r="L653" s="13" t="s">
        <v>174</v>
      </c>
      <c r="M653" s="13" t="s">
        <v>1712</v>
      </c>
      <c r="N653">
        <f>_xlfn.XLOOKUP(spaces_3iWczBNnn5rbfoUlE0Jd_uploads_git_blob_9864c7f811c613c3faab876659c6423__25[[#This Row],[Número de Orden]],Cocinadinamica!B654:B1422,Cocinadinamica!C654:C1422)</f>
        <v>66</v>
      </c>
      <c r="O653" s="7">
        <f>spaces_3iWczBNnn5rbfoUlE0Jd_uploads_git_blob_9864c7f811c613c3faab876659c6423__25[[#This Row],[Hora de Llegada]]</f>
        <v>45023.004166666666</v>
      </c>
      <c r="P653" s="9">
        <f>spaces_3iWczBNnn5rbfoUlE0Jd_uploads_git_blob_9864c7f811c613c3faab876659c6423__25[[#This Row],[Hora de Llegada]]</f>
        <v>45023.004166666666</v>
      </c>
      <c r="Q653" s="9">
        <f>spaces_3iWczBNnn5rbfoUlE0Jd_uploads_git_blob_9864c7f811c613c3faab876659c6423__25[[#This Row],[Hora de Salida]]</f>
        <v>45023.101388888892</v>
      </c>
      <c r="R653" s="9" cm="1">
        <f t="array" ref="R65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0.10763888889050577</v>
      </c>
      <c r="S653" s="9">
        <f>_xlfn.XLOOKUP(spaces_3iWczBNnn5rbfoUlE0Jd_uploads_git_blob_9864c7f811c613c3faab876659c6423__25[[#This Row],[Número de Orden]],Cocinadinamica!E654:E1422,Cocinadinamica!F654:F1422)/1440</f>
        <v>3.4722222222222224E-2</v>
      </c>
      <c r="T653" s="9" cm="1">
        <f t="array" ref="T65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7.2916666668283545E-2</v>
      </c>
      <c r="U653" s="9" t="str" cm="1">
        <f t="array" ref="U65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4" spans="1:21" x14ac:dyDescent="0.35">
      <c r="A654" s="27">
        <v>13</v>
      </c>
      <c r="B654" s="11" t="s">
        <v>1188</v>
      </c>
      <c r="C654" s="11">
        <v>5</v>
      </c>
      <c r="D654" s="12">
        <v>45023.104861111111</v>
      </c>
      <c r="E654" s="12">
        <v>45023.180555555555</v>
      </c>
      <c r="F654" s="11" t="s">
        <v>223</v>
      </c>
      <c r="G654" s="11" t="s">
        <v>86</v>
      </c>
      <c r="H654" s="11" t="s">
        <v>74</v>
      </c>
      <c r="I654" s="16">
        <v>34.33</v>
      </c>
      <c r="J654" s="11" t="s">
        <v>75</v>
      </c>
      <c r="K654" s="11">
        <v>653</v>
      </c>
      <c r="L654" s="11" t="s">
        <v>275</v>
      </c>
      <c r="M654" s="11" t="s">
        <v>1713</v>
      </c>
      <c r="N654">
        <f>_xlfn.XLOOKUP(spaces_3iWczBNnn5rbfoUlE0Jd_uploads_git_blob_9864c7f811c613c3faab876659c6423__25[[#This Row],[Número de Orden]],Cocinadinamica!B655:B1423,Cocinadinamica!C655:C1423)</f>
        <v>100</v>
      </c>
      <c r="O654" s="7">
        <f>spaces_3iWczBNnn5rbfoUlE0Jd_uploads_git_blob_9864c7f811c613c3faab876659c6423__25[[#This Row],[Hora de Llegada]]</f>
        <v>45023.104861111111</v>
      </c>
      <c r="P654" s="9">
        <f>spaces_3iWczBNnn5rbfoUlE0Jd_uploads_git_blob_9864c7f811c613c3faab876659c6423__25[[#This Row],[Hora de Llegada]]</f>
        <v>45023.104861111111</v>
      </c>
      <c r="Q654" s="9">
        <f>spaces_3iWczBNnn5rbfoUlE0Jd_uploads_git_blob_9864c7f811c613c3faab876659c6423__25[[#This Row],[Hora de Salida]]</f>
        <v>45023.180555555555</v>
      </c>
      <c r="R654" s="9" cm="1">
        <f t="array" ref="R65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7.5694444443797693E-2</v>
      </c>
      <c r="S654" s="9">
        <f>_xlfn.XLOOKUP(spaces_3iWczBNnn5rbfoUlE0Jd_uploads_git_blob_9864c7f811c613c3faab876659c6423__25[[#This Row],[Número de Orden]],Cocinadinamica!E655:E1423,Cocinadinamica!F655:F1423)/1440</f>
        <v>0.10416666666666667</v>
      </c>
      <c r="T654" s="9" cm="1">
        <f t="array" ref="T65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54" s="9" t="str" cm="1">
        <f t="array" ref="U65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55" spans="1:21" x14ac:dyDescent="0.35">
      <c r="A655" s="28">
        <v>12</v>
      </c>
      <c r="B655" s="13" t="s">
        <v>1189</v>
      </c>
      <c r="C655" s="13">
        <v>5</v>
      </c>
      <c r="D655" s="14">
        <v>45023.001388888886</v>
      </c>
      <c r="E655" s="14">
        <v>45023.072222222225</v>
      </c>
      <c r="F655" s="13" t="s">
        <v>85</v>
      </c>
      <c r="G655" s="13" t="s">
        <v>73</v>
      </c>
      <c r="H655" s="13" t="s">
        <v>74</v>
      </c>
      <c r="I655" s="17">
        <v>23.98</v>
      </c>
      <c r="J655" s="13" t="s">
        <v>88</v>
      </c>
      <c r="K655" s="13">
        <v>654</v>
      </c>
      <c r="L655" s="13" t="s">
        <v>174</v>
      </c>
      <c r="M655" s="13" t="s">
        <v>1309</v>
      </c>
      <c r="N655">
        <f>_xlfn.XLOOKUP(spaces_3iWczBNnn5rbfoUlE0Jd_uploads_git_blob_9864c7f811c613c3faab876659c6423__25[[#This Row],[Número de Orden]],Cocinadinamica!B656:B1424,Cocinadinamica!C656:C1424)</f>
        <v>17</v>
      </c>
      <c r="O655" s="7">
        <f>spaces_3iWczBNnn5rbfoUlE0Jd_uploads_git_blob_9864c7f811c613c3faab876659c6423__25[[#This Row],[Hora de Llegada]]</f>
        <v>45023.001388888886</v>
      </c>
      <c r="P655" s="9">
        <f>spaces_3iWczBNnn5rbfoUlE0Jd_uploads_git_blob_9864c7f811c613c3faab876659c6423__25[[#This Row],[Hora de Llegada]]</f>
        <v>45023.001388888886</v>
      </c>
      <c r="Q655" s="9">
        <f>spaces_3iWczBNnn5rbfoUlE0Jd_uploads_git_blob_9864c7f811c613c3faab876659c6423__25[[#This Row],[Hora de Salida]]</f>
        <v>45023.072222222225</v>
      </c>
      <c r="R655" s="9" cm="1">
        <f t="array" ref="R65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8.1250000002910383E-2</v>
      </c>
      <c r="S655" s="9">
        <f>_xlfn.XLOOKUP(spaces_3iWczBNnn5rbfoUlE0Jd_uploads_git_blob_9864c7f811c613c3faab876659c6423__25[[#This Row],[Número de Orden]],Cocinadinamica!E656:E1424,Cocinadinamica!F656:F1424)/1440</f>
        <v>3.0555555555555555E-2</v>
      </c>
      <c r="T655" s="9" cm="1">
        <f t="array" ref="T65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5.0694444447354825E-2</v>
      </c>
      <c r="U655" s="9" t="str" cm="1">
        <f t="array" ref="U65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6" spans="1:21" x14ac:dyDescent="0.35">
      <c r="A656" s="27" t="s">
        <v>121</v>
      </c>
      <c r="B656" s="11" t="s">
        <v>752</v>
      </c>
      <c r="C656" s="11">
        <v>4</v>
      </c>
      <c r="D656" s="12">
        <v>45023.052083333336</v>
      </c>
      <c r="E656" s="12">
        <v>45023.200694444444</v>
      </c>
      <c r="F656" s="11" t="s">
        <v>85</v>
      </c>
      <c r="G656" s="11" t="s">
        <v>86</v>
      </c>
      <c r="H656" s="11" t="s">
        <v>87</v>
      </c>
      <c r="I656" s="16">
        <v>2.17</v>
      </c>
      <c r="J656" s="11" t="s">
        <v>94</v>
      </c>
      <c r="K656" s="11">
        <v>655</v>
      </c>
      <c r="L656" s="11" t="s">
        <v>89</v>
      </c>
      <c r="M656" s="11" t="s">
        <v>15</v>
      </c>
      <c r="N656">
        <f>_xlfn.XLOOKUP(spaces_3iWczBNnn5rbfoUlE0Jd_uploads_git_blob_9864c7f811c613c3faab876659c6423__25[[#This Row],[Número de Orden]],Cocinadinamica!B657:B1425,Cocinadinamica!C657:C1425)</f>
        <v>36</v>
      </c>
      <c r="O656" s="7">
        <f>spaces_3iWczBNnn5rbfoUlE0Jd_uploads_git_blob_9864c7f811c613c3faab876659c6423__25[[#This Row],[Hora de Llegada]]</f>
        <v>45023.052083333336</v>
      </c>
      <c r="P656" s="9">
        <f>spaces_3iWczBNnn5rbfoUlE0Jd_uploads_git_blob_9864c7f811c613c3faab876659c6423__25[[#This Row],[Hora de Llegada]]</f>
        <v>45023.052083333336</v>
      </c>
      <c r="Q656" s="9">
        <f>spaces_3iWczBNnn5rbfoUlE0Jd_uploads_git_blob_9864c7f811c613c3faab876659c6423__25[[#This Row],[Hora de Salida]]</f>
        <v>45023.200694444444</v>
      </c>
      <c r="R656" s="9" cm="1">
        <f t="array" ref="R65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0.14861111110803904</v>
      </c>
      <c r="S656" s="9">
        <f>_xlfn.XLOOKUP(spaces_3iWczBNnn5rbfoUlE0Jd_uploads_git_blob_9864c7f811c613c3faab876659c6423__25[[#This Row],[Número de Orden]],Cocinadinamica!E657:E1425,Cocinadinamica!F657:F1425)/1440</f>
        <v>2.5000000000000001E-2</v>
      </c>
      <c r="T656" s="9" cm="1">
        <f t="array" ref="T65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0.12361111110803905</v>
      </c>
      <c r="U656" s="9" t="str" cm="1">
        <f t="array" ref="U65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7" spans="1:21" x14ac:dyDescent="0.35">
      <c r="A657" s="28">
        <v>19</v>
      </c>
      <c r="B657" s="13" t="s">
        <v>1190</v>
      </c>
      <c r="C657" s="13">
        <v>6</v>
      </c>
      <c r="D657" s="14">
        <v>45023.15</v>
      </c>
      <c r="E657" s="14">
        <v>45023.277777777781</v>
      </c>
      <c r="F657" s="13" t="s">
        <v>223</v>
      </c>
      <c r="G657" s="13" t="s">
        <v>73</v>
      </c>
      <c r="H657" s="13" t="s">
        <v>74</v>
      </c>
      <c r="I657" s="17">
        <v>31.23</v>
      </c>
      <c r="J657" s="13" t="s">
        <v>94</v>
      </c>
      <c r="K657" s="13">
        <v>656</v>
      </c>
      <c r="L657" s="13" t="s">
        <v>164</v>
      </c>
      <c r="M657" s="13" t="s">
        <v>1714</v>
      </c>
      <c r="N657">
        <f>_xlfn.XLOOKUP(spaces_3iWczBNnn5rbfoUlE0Jd_uploads_git_blob_9864c7f811c613c3faab876659c6423__25[[#This Row],[Número de Orden]],Cocinadinamica!B658:B1426,Cocinadinamica!C658:C1426)</f>
        <v>63</v>
      </c>
      <c r="O657" s="7">
        <f>spaces_3iWczBNnn5rbfoUlE0Jd_uploads_git_blob_9864c7f811c613c3faab876659c6423__25[[#This Row],[Hora de Llegada]]</f>
        <v>45023.15</v>
      </c>
      <c r="P657" s="9">
        <f>spaces_3iWczBNnn5rbfoUlE0Jd_uploads_git_blob_9864c7f811c613c3faab876659c6423__25[[#This Row],[Hora de Llegada]]</f>
        <v>45023.15</v>
      </c>
      <c r="Q657" s="9">
        <f>spaces_3iWczBNnn5rbfoUlE0Jd_uploads_git_blob_9864c7f811c613c3faab876659c6423__25[[#This Row],[Hora de Salida]]</f>
        <v>45023.277777777781</v>
      </c>
      <c r="R657" s="9" cm="1">
        <f t="array" ref="R65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0.12777777777955635</v>
      </c>
      <c r="S657" s="9">
        <f>_xlfn.XLOOKUP(spaces_3iWczBNnn5rbfoUlE0Jd_uploads_git_blob_9864c7f811c613c3faab876659c6423__25[[#This Row],[Número de Orden]],Cocinadinamica!E658:E1426,Cocinadinamica!F658:F1426)/1440</f>
        <v>7.6388888888888895E-2</v>
      </c>
      <c r="T657" s="9" cm="1">
        <f t="array" ref="T65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5.138888889066745E-2</v>
      </c>
      <c r="U657" s="9" t="str" cm="1">
        <f t="array" ref="U65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8" spans="1:21" x14ac:dyDescent="0.35">
      <c r="A658" s="27">
        <v>1</v>
      </c>
      <c r="B658" s="11" t="s">
        <v>1191</v>
      </c>
      <c r="C658" s="11">
        <v>2</v>
      </c>
      <c r="D658" s="12">
        <v>45023.035416666666</v>
      </c>
      <c r="E658" s="12">
        <v>45023.171527777777</v>
      </c>
      <c r="F658" s="11" t="s">
        <v>223</v>
      </c>
      <c r="G658" s="11" t="s">
        <v>86</v>
      </c>
      <c r="H658" s="11" t="s">
        <v>87</v>
      </c>
      <c r="I658" s="16">
        <v>44.2</v>
      </c>
      <c r="J658" s="11" t="s">
        <v>94</v>
      </c>
      <c r="K658" s="11">
        <v>657</v>
      </c>
      <c r="L658" s="11" t="s">
        <v>101</v>
      </c>
      <c r="M658" s="11" t="s">
        <v>1715</v>
      </c>
      <c r="N658">
        <f>_xlfn.XLOOKUP(spaces_3iWczBNnn5rbfoUlE0Jd_uploads_git_blob_9864c7f811c613c3faab876659c6423__25[[#This Row],[Número de Orden]],Cocinadinamica!B659:B1427,Cocinadinamica!C659:C1427)</f>
        <v>76</v>
      </c>
      <c r="O658" s="7">
        <f>spaces_3iWczBNnn5rbfoUlE0Jd_uploads_git_blob_9864c7f811c613c3faab876659c6423__25[[#This Row],[Hora de Llegada]]</f>
        <v>45023.035416666666</v>
      </c>
      <c r="P658" s="9">
        <f>spaces_3iWczBNnn5rbfoUlE0Jd_uploads_git_blob_9864c7f811c613c3faab876659c6423__25[[#This Row],[Hora de Llegada]]</f>
        <v>45023.035416666666</v>
      </c>
      <c r="Q658" s="9">
        <f>spaces_3iWczBNnn5rbfoUlE0Jd_uploads_git_blob_9864c7f811c613c3faab876659c6423__25[[#This Row],[Hora de Salida]]</f>
        <v>45023.171527777777</v>
      </c>
      <c r="R658" s="9" cm="1">
        <f t="array" ref="R65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0.13611111111094942</v>
      </c>
      <c r="S658" s="9">
        <f>_xlfn.XLOOKUP(spaces_3iWczBNnn5rbfoUlE0Jd_uploads_git_blob_9864c7f811c613c3faab876659c6423__25[[#This Row],[Número de Orden]],Cocinadinamica!E659:E1427,Cocinadinamica!F659:F1427)/1440</f>
        <v>9.3055555555555558E-2</v>
      </c>
      <c r="T658" s="9" cm="1">
        <f t="array" ref="T65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4.3055555555393865E-2</v>
      </c>
      <c r="U658" s="9" t="str" cm="1">
        <f t="array" ref="U65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59" spans="1:21" x14ac:dyDescent="0.35">
      <c r="A659" s="28">
        <v>19</v>
      </c>
      <c r="B659" s="13" t="s">
        <v>1192</v>
      </c>
      <c r="C659" s="13">
        <v>5</v>
      </c>
      <c r="D659" s="14">
        <v>45023.071527777778</v>
      </c>
      <c r="E659" s="14">
        <v>45023.209722222222</v>
      </c>
      <c r="F659" s="13" t="s">
        <v>85</v>
      </c>
      <c r="G659" s="13" t="s">
        <v>163</v>
      </c>
      <c r="H659" s="13" t="s">
        <v>87</v>
      </c>
      <c r="I659" s="17">
        <v>31.27</v>
      </c>
      <c r="J659" s="13" t="s">
        <v>94</v>
      </c>
      <c r="K659" s="13">
        <v>658</v>
      </c>
      <c r="L659" s="13" t="s">
        <v>89</v>
      </c>
      <c r="M659" s="13" t="s">
        <v>1716</v>
      </c>
      <c r="N659">
        <f>_xlfn.XLOOKUP(spaces_3iWczBNnn5rbfoUlE0Jd_uploads_git_blob_9864c7f811c613c3faab876659c6423__25[[#This Row],[Número de Orden]],Cocinadinamica!B660:B1428,Cocinadinamica!C660:C1428)</f>
        <v>35</v>
      </c>
      <c r="O659" s="7">
        <f>spaces_3iWczBNnn5rbfoUlE0Jd_uploads_git_blob_9864c7f811c613c3faab876659c6423__25[[#This Row],[Hora de Llegada]]</f>
        <v>45023.071527777778</v>
      </c>
      <c r="P659" s="9">
        <f>spaces_3iWczBNnn5rbfoUlE0Jd_uploads_git_blob_9864c7f811c613c3faab876659c6423__25[[#This Row],[Hora de Llegada]]</f>
        <v>45023.071527777778</v>
      </c>
      <c r="Q659" s="9">
        <f>spaces_3iWczBNnn5rbfoUlE0Jd_uploads_git_blob_9864c7f811c613c3faab876659c6423__25[[#This Row],[Hora de Salida]]</f>
        <v>45023.209722222222</v>
      </c>
      <c r="R659" s="9" cm="1">
        <f t="array" ref="R65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0.13819444444379769</v>
      </c>
      <c r="S659" s="9">
        <f>_xlfn.XLOOKUP(spaces_3iWczBNnn5rbfoUlE0Jd_uploads_git_blob_9864c7f811c613c3faab876659c6423__25[[#This Row],[Número de Orden]],Cocinadinamica!E660:E1428,Cocinadinamica!F660:F1428)/1440</f>
        <v>3.3333333333333333E-2</v>
      </c>
      <c r="T659" s="9" cm="1">
        <f t="array" ref="T65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0.10486111111046437</v>
      </c>
      <c r="U659" s="9" t="str" cm="1">
        <f t="array" ref="U65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0" spans="1:21" x14ac:dyDescent="0.35">
      <c r="A660" s="27" t="s">
        <v>247</v>
      </c>
      <c r="B660" s="11" t="s">
        <v>358</v>
      </c>
      <c r="C660" s="11">
        <v>4</v>
      </c>
      <c r="D660" s="12">
        <v>45023.118055555555</v>
      </c>
      <c r="E660" s="12">
        <v>45023.168749999997</v>
      </c>
      <c r="F660" s="11" t="s">
        <v>72</v>
      </c>
      <c r="G660" s="11" t="s">
        <v>86</v>
      </c>
      <c r="H660" s="11" t="s">
        <v>74</v>
      </c>
      <c r="I660" s="16">
        <v>35.24</v>
      </c>
      <c r="J660" s="11" t="s">
        <v>88</v>
      </c>
      <c r="K660" s="11">
        <v>659</v>
      </c>
      <c r="L660" s="11" t="s">
        <v>76</v>
      </c>
      <c r="M660" s="11" t="s">
        <v>23</v>
      </c>
      <c r="N660">
        <f>_xlfn.XLOOKUP(spaces_3iWczBNnn5rbfoUlE0Jd_uploads_git_blob_9864c7f811c613c3faab876659c6423__25[[#This Row],[Número de Orden]],Cocinadinamica!B661:B1429,Cocinadinamica!C661:C1429)</f>
        <v>36</v>
      </c>
      <c r="O660" s="7">
        <f>spaces_3iWczBNnn5rbfoUlE0Jd_uploads_git_blob_9864c7f811c613c3faab876659c6423__25[[#This Row],[Hora de Llegada]]</f>
        <v>45023.118055555555</v>
      </c>
      <c r="P660" s="9">
        <f>spaces_3iWczBNnn5rbfoUlE0Jd_uploads_git_blob_9864c7f811c613c3faab876659c6423__25[[#This Row],[Hora de Llegada]]</f>
        <v>45023.118055555555</v>
      </c>
      <c r="Q660" s="9">
        <f>spaces_3iWczBNnn5rbfoUlE0Jd_uploads_git_blob_9864c7f811c613c3faab876659c6423__25[[#This Row],[Hora de Salida]]</f>
        <v>45023.168749999997</v>
      </c>
      <c r="R660" s="9" cm="1">
        <f t="array" ref="R66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6.1111111106583849E-2</v>
      </c>
      <c r="S660" s="9">
        <f>_xlfn.XLOOKUP(spaces_3iWczBNnn5rbfoUlE0Jd_uploads_git_blob_9864c7f811c613c3faab876659c6423__25[[#This Row],[Número de Orden]],Cocinadinamica!E661:E1429,Cocinadinamica!F661:F1429)/1440</f>
        <v>2.1527777777777778E-2</v>
      </c>
      <c r="T660" s="9" cm="1">
        <f t="array" ref="T66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3.9583333328806071E-2</v>
      </c>
      <c r="U660" s="9" t="str" cm="1">
        <f t="array" ref="U66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1" spans="1:21" x14ac:dyDescent="0.35">
      <c r="A661" s="28">
        <v>19</v>
      </c>
      <c r="B661" s="13" t="s">
        <v>1193</v>
      </c>
      <c r="C661" s="13">
        <v>4</v>
      </c>
      <c r="D661" s="14">
        <v>45023.080555555556</v>
      </c>
      <c r="E661" s="14">
        <v>45023.243750000001</v>
      </c>
      <c r="F661" s="13" t="s">
        <v>100</v>
      </c>
      <c r="G661" s="13" t="s">
        <v>163</v>
      </c>
      <c r="H661" s="13" t="s">
        <v>74</v>
      </c>
      <c r="I661" s="17">
        <v>15.91</v>
      </c>
      <c r="J661" s="13" t="s">
        <v>94</v>
      </c>
      <c r="K661" s="13">
        <v>660</v>
      </c>
      <c r="L661" s="13" t="s">
        <v>89</v>
      </c>
      <c r="M661" s="13" t="s">
        <v>1717</v>
      </c>
      <c r="N661">
        <f>_xlfn.XLOOKUP(spaces_3iWczBNnn5rbfoUlE0Jd_uploads_git_blob_9864c7f811c613c3faab876659c6423__25[[#This Row],[Número de Orden]],Cocinadinamica!B662:B1430,Cocinadinamica!C662:C1430)</f>
        <v>82</v>
      </c>
      <c r="O661" s="7">
        <f>spaces_3iWczBNnn5rbfoUlE0Jd_uploads_git_blob_9864c7f811c613c3faab876659c6423__25[[#This Row],[Hora de Llegada]]</f>
        <v>45023.080555555556</v>
      </c>
      <c r="P661" s="9">
        <f>spaces_3iWczBNnn5rbfoUlE0Jd_uploads_git_blob_9864c7f811c613c3faab876659c6423__25[[#This Row],[Hora de Llegada]]</f>
        <v>45023.080555555556</v>
      </c>
      <c r="Q661" s="9">
        <f>spaces_3iWczBNnn5rbfoUlE0Jd_uploads_git_blob_9864c7f811c613c3faab876659c6423__25[[#This Row],[Hora de Salida]]</f>
        <v>45023.243750000001</v>
      </c>
      <c r="R661" s="9" cm="1">
        <f t="array" ref="R66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0.16319444444525288</v>
      </c>
      <c r="S661" s="9">
        <f>_xlfn.XLOOKUP(spaces_3iWczBNnn5rbfoUlE0Jd_uploads_git_blob_9864c7f811c613c3faab876659c6423__25[[#This Row],[Número de Orden]],Cocinadinamica!E662:E1430,Cocinadinamica!F662:F1430)/1440</f>
        <v>3.125E-2</v>
      </c>
      <c r="T661" s="9" cm="1">
        <f t="array" ref="T66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0.13194444444525288</v>
      </c>
      <c r="U661" s="9" t="str" cm="1">
        <f t="array" ref="U66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2" spans="1:21" x14ac:dyDescent="0.35">
      <c r="A662" s="27">
        <v>16</v>
      </c>
      <c r="B662" s="11" t="s">
        <v>933</v>
      </c>
      <c r="C662" s="11">
        <v>4</v>
      </c>
      <c r="D662" s="12">
        <v>45023.140277777777</v>
      </c>
      <c r="E662" s="12">
        <v>45023.286111111112</v>
      </c>
      <c r="F662" s="11" t="s">
        <v>72</v>
      </c>
      <c r="G662" s="11" t="s">
        <v>73</v>
      </c>
      <c r="H662" s="11" t="s">
        <v>74</v>
      </c>
      <c r="I662" s="16">
        <v>32.54</v>
      </c>
      <c r="J662" s="11" t="s">
        <v>88</v>
      </c>
      <c r="K662" s="11">
        <v>661</v>
      </c>
      <c r="L662" s="11" t="s">
        <v>164</v>
      </c>
      <c r="M662" s="11" t="s">
        <v>1718</v>
      </c>
      <c r="N662">
        <f>_xlfn.XLOOKUP(spaces_3iWczBNnn5rbfoUlE0Jd_uploads_git_blob_9864c7f811c613c3faab876659c6423__25[[#This Row],[Número de Orden]],Cocinadinamica!B663:B1431,Cocinadinamica!C663:C1431)</f>
        <v>83</v>
      </c>
      <c r="O662" s="7">
        <f>spaces_3iWczBNnn5rbfoUlE0Jd_uploads_git_blob_9864c7f811c613c3faab876659c6423__25[[#This Row],[Hora de Llegada]]</f>
        <v>45023.140277777777</v>
      </c>
      <c r="P662" s="9">
        <f>spaces_3iWczBNnn5rbfoUlE0Jd_uploads_git_blob_9864c7f811c613c3faab876659c6423__25[[#This Row],[Hora de Llegada]]</f>
        <v>45023.140277777777</v>
      </c>
      <c r="Q662" s="9">
        <f>spaces_3iWczBNnn5rbfoUlE0Jd_uploads_git_blob_9864c7f811c613c3faab876659c6423__25[[#This Row],[Hora de Salida]]</f>
        <v>45023.286111111112</v>
      </c>
      <c r="R662" s="9" cm="1">
        <f t="array" ref="R66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662" s="9">
        <f>_xlfn.XLOOKUP(spaces_3iWczBNnn5rbfoUlE0Jd_uploads_git_blob_9864c7f811c613c3faab876659c6423__25[[#This Row],[Número de Orden]],Cocinadinamica!E663:E1431,Cocinadinamica!F663:F1431)/1440</f>
        <v>9.375E-2</v>
      </c>
      <c r="T662" s="9" cm="1">
        <f t="array" ref="T66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6.25E-2</v>
      </c>
      <c r="U662" s="9" t="str" cm="1">
        <f t="array" ref="U66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3" spans="1:21" x14ac:dyDescent="0.35">
      <c r="A663" s="28">
        <v>15</v>
      </c>
      <c r="B663" s="13" t="s">
        <v>1194</v>
      </c>
      <c r="C663" s="13">
        <v>4</v>
      </c>
      <c r="D663" s="14">
        <v>45023.084027777775</v>
      </c>
      <c r="E663" s="14">
        <v>45023.209722222222</v>
      </c>
      <c r="F663" s="13" t="s">
        <v>223</v>
      </c>
      <c r="G663" s="13" t="s">
        <v>86</v>
      </c>
      <c r="H663" s="13" t="s">
        <v>74</v>
      </c>
      <c r="I663" s="17">
        <v>11.64</v>
      </c>
      <c r="J663" s="13" t="s">
        <v>75</v>
      </c>
      <c r="K663" s="13">
        <v>662</v>
      </c>
      <c r="L663" s="13" t="s">
        <v>95</v>
      </c>
      <c r="M663" s="13" t="s">
        <v>1719</v>
      </c>
      <c r="N663">
        <f>_xlfn.XLOOKUP(spaces_3iWczBNnn5rbfoUlE0Jd_uploads_git_blob_9864c7f811c613c3faab876659c6423__25[[#This Row],[Número de Orden]],Cocinadinamica!B664:B1432,Cocinadinamica!C664:C1432)</f>
        <v>54</v>
      </c>
      <c r="O663" s="7">
        <f>spaces_3iWczBNnn5rbfoUlE0Jd_uploads_git_blob_9864c7f811c613c3faab876659c6423__25[[#This Row],[Hora de Llegada]]</f>
        <v>45023.084027777775</v>
      </c>
      <c r="P663" s="9">
        <f>spaces_3iWczBNnn5rbfoUlE0Jd_uploads_git_blob_9864c7f811c613c3faab876659c6423__25[[#This Row],[Hora de Llegada]]</f>
        <v>45023.084027777775</v>
      </c>
      <c r="Q663" s="9">
        <f>spaces_3iWczBNnn5rbfoUlE0Jd_uploads_git_blob_9864c7f811c613c3faab876659c6423__25[[#This Row],[Hora de Salida]]</f>
        <v>45023.209722222222</v>
      </c>
      <c r="R663" s="9" cm="1">
        <f t="array" ref="R66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0.12569444444670808</v>
      </c>
      <c r="S663" s="9">
        <f>_xlfn.XLOOKUP(spaces_3iWczBNnn5rbfoUlE0Jd_uploads_git_blob_9864c7f811c613c3faab876659c6423__25[[#This Row],[Número de Orden]],Cocinadinamica!E664:E1432,Cocinadinamica!F664:F1432)/1440</f>
        <v>5.9027777777777776E-2</v>
      </c>
      <c r="T663" s="9" cm="1">
        <f t="array" ref="T66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6.6666666668930299E-2</v>
      </c>
      <c r="U663" s="9" t="str" cm="1">
        <f t="array" ref="U66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4" spans="1:21" x14ac:dyDescent="0.35">
      <c r="A664" s="27">
        <v>3</v>
      </c>
      <c r="B664" s="11" t="s">
        <v>1195</v>
      </c>
      <c r="C664" s="11">
        <v>1</v>
      </c>
      <c r="D664" s="12">
        <v>45023.04791666667</v>
      </c>
      <c r="E664" s="12">
        <v>45023.157638888886</v>
      </c>
      <c r="F664" s="11" t="s">
        <v>223</v>
      </c>
      <c r="G664" s="11" t="s">
        <v>86</v>
      </c>
      <c r="H664" s="11" t="s">
        <v>87</v>
      </c>
      <c r="I664" s="16">
        <v>41.8</v>
      </c>
      <c r="J664" s="11" t="s">
        <v>88</v>
      </c>
      <c r="K664" s="11">
        <v>663</v>
      </c>
      <c r="L664" s="11" t="s">
        <v>181</v>
      </c>
      <c r="M664" s="11" t="s">
        <v>1720</v>
      </c>
      <c r="N664">
        <f>_xlfn.XLOOKUP(spaces_3iWczBNnn5rbfoUlE0Jd_uploads_git_blob_9864c7f811c613c3faab876659c6423__25[[#This Row],[Número de Orden]],Cocinadinamica!B665:B1433,Cocinadinamica!C665:C1433)</f>
        <v>48</v>
      </c>
      <c r="O664" s="7">
        <f>spaces_3iWczBNnn5rbfoUlE0Jd_uploads_git_blob_9864c7f811c613c3faab876659c6423__25[[#This Row],[Hora de Llegada]]</f>
        <v>45023.04791666667</v>
      </c>
      <c r="P664" s="9">
        <f>spaces_3iWczBNnn5rbfoUlE0Jd_uploads_git_blob_9864c7f811c613c3faab876659c6423__25[[#This Row],[Hora de Llegada]]</f>
        <v>45023.04791666667</v>
      </c>
      <c r="Q664" s="9">
        <f>spaces_3iWczBNnn5rbfoUlE0Jd_uploads_git_blob_9864c7f811c613c3faab876659c6423__25[[#This Row],[Hora de Salida]]</f>
        <v>45023.157638888886</v>
      </c>
      <c r="R664" s="9" cm="1">
        <f t="array" ref="R66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0.12013888888031943</v>
      </c>
      <c r="S664" s="9">
        <f>_xlfn.XLOOKUP(spaces_3iWczBNnn5rbfoUlE0Jd_uploads_git_blob_9864c7f811c613c3faab876659c6423__25[[#This Row],[Número de Orden]],Cocinadinamica!E665:E1433,Cocinadinamica!F665:F1433)/1440</f>
        <v>6.0416666666666667E-2</v>
      </c>
      <c r="T664" s="9" cm="1">
        <f t="array" ref="T66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5.9722222213652761E-2</v>
      </c>
      <c r="U664" s="9" t="str" cm="1">
        <f t="array" ref="U66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5" spans="1:21" x14ac:dyDescent="0.35">
      <c r="A665" s="28">
        <v>20</v>
      </c>
      <c r="B665" s="13" t="s">
        <v>1196</v>
      </c>
      <c r="C665" s="13">
        <v>6</v>
      </c>
      <c r="D665" s="14">
        <v>45023.065972222219</v>
      </c>
      <c r="E665" s="14">
        <v>45023.161805555559</v>
      </c>
      <c r="F665" s="13" t="s">
        <v>72</v>
      </c>
      <c r="G665" s="13" t="s">
        <v>163</v>
      </c>
      <c r="H665" s="13" t="s">
        <v>109</v>
      </c>
      <c r="I665" s="17">
        <v>31.27</v>
      </c>
      <c r="J665" s="13" t="s">
        <v>94</v>
      </c>
      <c r="K665" s="13">
        <v>664</v>
      </c>
      <c r="L665" s="13" t="s">
        <v>110</v>
      </c>
      <c r="M665" s="13" t="s">
        <v>1721</v>
      </c>
      <c r="N665">
        <f>_xlfn.XLOOKUP(spaces_3iWczBNnn5rbfoUlE0Jd_uploads_git_blob_9864c7f811c613c3faab876659c6423__25[[#This Row],[Número de Orden]],Cocinadinamica!B666:B1434,Cocinadinamica!C666:C1434)</f>
        <v>51</v>
      </c>
      <c r="O665" s="7">
        <f>spaces_3iWczBNnn5rbfoUlE0Jd_uploads_git_blob_9864c7f811c613c3faab876659c6423__25[[#This Row],[Hora de Llegada]]</f>
        <v>45023.065972222219</v>
      </c>
      <c r="P665" s="9">
        <f>spaces_3iWczBNnn5rbfoUlE0Jd_uploads_git_blob_9864c7f811c613c3faab876659c6423__25[[#This Row],[Hora de Llegada]]</f>
        <v>45023.065972222219</v>
      </c>
      <c r="Q665" s="9">
        <f>spaces_3iWczBNnn5rbfoUlE0Jd_uploads_git_blob_9864c7f811c613c3faab876659c6423__25[[#This Row],[Hora de Salida]]</f>
        <v>45023.161805555559</v>
      </c>
      <c r="R665" s="9" cm="1">
        <f t="array" ref="R66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9.5833333340124227E-2</v>
      </c>
      <c r="S665" s="9">
        <f>_xlfn.XLOOKUP(spaces_3iWczBNnn5rbfoUlE0Jd_uploads_git_blob_9864c7f811c613c3faab876659c6423__25[[#This Row],[Número de Orden]],Cocinadinamica!E666:E1434,Cocinadinamica!F666:F1434)/1440</f>
        <v>6.8750000000000006E-2</v>
      </c>
      <c r="T665" s="9" cm="1">
        <f t="array" ref="T66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2.7083333340124222E-2</v>
      </c>
      <c r="U665" s="9" t="str" cm="1">
        <f t="array" ref="U66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6" spans="1:21" x14ac:dyDescent="0.35">
      <c r="A666" s="27">
        <v>6</v>
      </c>
      <c r="B666" s="11" t="s">
        <v>1002</v>
      </c>
      <c r="C666" s="11">
        <v>1</v>
      </c>
      <c r="D666" s="12">
        <v>45023.086805555555</v>
      </c>
      <c r="E666" s="12">
        <v>45023.24722222222</v>
      </c>
      <c r="F666" s="11" t="s">
        <v>85</v>
      </c>
      <c r="G666" s="11" t="s">
        <v>86</v>
      </c>
      <c r="H666" s="11" t="s">
        <v>74</v>
      </c>
      <c r="I666" s="16">
        <v>25.32</v>
      </c>
      <c r="J666" s="11" t="s">
        <v>88</v>
      </c>
      <c r="K666" s="11">
        <v>665</v>
      </c>
      <c r="L666" s="11" t="s">
        <v>95</v>
      </c>
      <c r="M666" s="11" t="s">
        <v>1722</v>
      </c>
      <c r="N666">
        <f>_xlfn.XLOOKUP(spaces_3iWczBNnn5rbfoUlE0Jd_uploads_git_blob_9864c7f811c613c3faab876659c6423__25[[#This Row],[Número de Orden]],Cocinadinamica!B667:B1435,Cocinadinamica!C667:C1435)</f>
        <v>52</v>
      </c>
      <c r="O666" s="7">
        <f>spaces_3iWczBNnn5rbfoUlE0Jd_uploads_git_blob_9864c7f811c613c3faab876659c6423__25[[#This Row],[Hora de Llegada]]</f>
        <v>45023.086805555555</v>
      </c>
      <c r="P666" s="9">
        <f>spaces_3iWczBNnn5rbfoUlE0Jd_uploads_git_blob_9864c7f811c613c3faab876659c6423__25[[#This Row],[Hora de Llegada]]</f>
        <v>45023.086805555555</v>
      </c>
      <c r="Q666" s="9">
        <f>spaces_3iWczBNnn5rbfoUlE0Jd_uploads_git_blob_9864c7f811c613c3faab876659c6423__25[[#This Row],[Hora de Salida]]</f>
        <v>45023.24722222222</v>
      </c>
      <c r="R666" s="9" cm="1">
        <f t="array" ref="R66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0.17083333332993789</v>
      </c>
      <c r="S666" s="9">
        <f>_xlfn.XLOOKUP(spaces_3iWczBNnn5rbfoUlE0Jd_uploads_git_blob_9864c7f811c613c3faab876659c6423__25[[#This Row],[Número de Orden]],Cocinadinamica!E667:E1435,Cocinadinamica!F667:F1435)/1440</f>
        <v>2.7777777777777776E-2</v>
      </c>
      <c r="T666" s="9" cm="1">
        <f t="array" ref="T66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0.1430555555521601</v>
      </c>
      <c r="U666" s="9" t="str" cm="1">
        <f t="array" ref="U66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7" spans="1:21" x14ac:dyDescent="0.35">
      <c r="A667" s="28" t="s">
        <v>215</v>
      </c>
      <c r="B667" s="13" t="s">
        <v>762</v>
      </c>
      <c r="C667" s="13">
        <v>4</v>
      </c>
      <c r="D667" s="14">
        <v>45023.044444444444</v>
      </c>
      <c r="E667" s="14">
        <v>45023.206250000003</v>
      </c>
      <c r="F667" s="13" t="s">
        <v>100</v>
      </c>
      <c r="G667" s="13" t="s">
        <v>86</v>
      </c>
      <c r="H667" s="13" t="s">
        <v>74</v>
      </c>
      <c r="I667" s="17">
        <v>11.86</v>
      </c>
      <c r="J667" s="13" t="s">
        <v>75</v>
      </c>
      <c r="K667" s="13">
        <v>666</v>
      </c>
      <c r="L667" s="13" t="s">
        <v>221</v>
      </c>
      <c r="M667" s="13" t="s">
        <v>39</v>
      </c>
      <c r="N667">
        <f>_xlfn.XLOOKUP(spaces_3iWczBNnn5rbfoUlE0Jd_uploads_git_blob_9864c7f811c613c3faab876659c6423__25[[#This Row],[Número de Orden]],Cocinadinamica!B668:B1436,Cocinadinamica!C668:C1436)</f>
        <v>16</v>
      </c>
      <c r="O667" s="7">
        <f>spaces_3iWczBNnn5rbfoUlE0Jd_uploads_git_blob_9864c7f811c613c3faab876659c6423__25[[#This Row],[Hora de Llegada]]</f>
        <v>45023.044444444444</v>
      </c>
      <c r="P667" s="9">
        <f>spaces_3iWczBNnn5rbfoUlE0Jd_uploads_git_blob_9864c7f811c613c3faab876659c6423__25[[#This Row],[Hora de Llegada]]</f>
        <v>45023.044444444444</v>
      </c>
      <c r="Q667" s="9">
        <f>spaces_3iWczBNnn5rbfoUlE0Jd_uploads_git_blob_9864c7f811c613c3faab876659c6423__25[[#This Row],[Hora de Salida]]</f>
        <v>45023.206250000003</v>
      </c>
      <c r="R667" s="9" cm="1">
        <f t="array" ref="R66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0.16180555555911269</v>
      </c>
      <c r="S667" s="9">
        <f>_xlfn.XLOOKUP(spaces_3iWczBNnn5rbfoUlE0Jd_uploads_git_blob_9864c7f811c613c3faab876659c6423__25[[#This Row],[Número de Orden]],Cocinadinamica!E668:E1436,Cocinadinamica!F668:F1436)/1440</f>
        <v>1.8749999999999999E-2</v>
      </c>
      <c r="T667" s="9" cm="1">
        <f t="array" ref="T66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0.1430555555591127</v>
      </c>
      <c r="U667" s="9" t="str" cm="1">
        <f t="array" ref="U66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8" spans="1:21" x14ac:dyDescent="0.35">
      <c r="A668" s="27" t="s">
        <v>185</v>
      </c>
      <c r="B668" s="11" t="s">
        <v>763</v>
      </c>
      <c r="C668" s="11">
        <v>5</v>
      </c>
      <c r="D668" s="12">
        <v>45023.152083333334</v>
      </c>
      <c r="E668" s="12">
        <v>45023.296527777777</v>
      </c>
      <c r="F668" s="11" t="s">
        <v>170</v>
      </c>
      <c r="G668" s="11" t="s">
        <v>86</v>
      </c>
      <c r="H668" s="11" t="s">
        <v>74</v>
      </c>
      <c r="I668" s="16">
        <v>20.49</v>
      </c>
      <c r="J668" s="11" t="s">
        <v>94</v>
      </c>
      <c r="K668" s="11">
        <v>667</v>
      </c>
      <c r="L668" s="11" t="s">
        <v>76</v>
      </c>
      <c r="M668" s="11" t="s">
        <v>21</v>
      </c>
      <c r="N668">
        <f>_xlfn.XLOOKUP(spaces_3iWczBNnn5rbfoUlE0Jd_uploads_git_blob_9864c7f811c613c3faab876659c6423__25[[#This Row],[Número de Orden]],Cocinadinamica!B669:B1437,Cocinadinamica!C669:C1437)</f>
        <v>14</v>
      </c>
      <c r="O668" s="7">
        <f>spaces_3iWczBNnn5rbfoUlE0Jd_uploads_git_blob_9864c7f811c613c3faab876659c6423__25[[#This Row],[Hora de Llegada]]</f>
        <v>45023.152083333334</v>
      </c>
      <c r="P668" s="9">
        <f>spaces_3iWczBNnn5rbfoUlE0Jd_uploads_git_blob_9864c7f811c613c3faab876659c6423__25[[#This Row],[Hora de Llegada]]</f>
        <v>45023.152083333334</v>
      </c>
      <c r="Q668" s="9">
        <f>spaces_3iWczBNnn5rbfoUlE0Jd_uploads_git_blob_9864c7f811c613c3faab876659c6423__25[[#This Row],[Hora de Salida]]</f>
        <v>45023.296527777777</v>
      </c>
      <c r="R668" s="9" cm="1">
        <f t="array" ref="R66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0.1444444444423425</v>
      </c>
      <c r="S668" s="9">
        <f>_xlfn.XLOOKUP(spaces_3iWczBNnn5rbfoUlE0Jd_uploads_git_blob_9864c7f811c613c3faab876659c6423__25[[#This Row],[Número de Orden]],Cocinadinamica!E669:E1437,Cocinadinamica!F669:F1437)/1440</f>
        <v>8.3333333333333332E-3</v>
      </c>
      <c r="T668" s="9" cm="1">
        <f t="array" ref="T66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0.13611111110900917</v>
      </c>
      <c r="U668" s="9" t="str" cm="1">
        <f t="array" ref="U66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69" spans="1:21" x14ac:dyDescent="0.35">
      <c r="A669" s="28">
        <v>12</v>
      </c>
      <c r="B669" s="13" t="s">
        <v>1009</v>
      </c>
      <c r="C669" s="13">
        <v>4</v>
      </c>
      <c r="D669" s="14">
        <v>45023.071527777778</v>
      </c>
      <c r="E669" s="14">
        <v>45023.195138888892</v>
      </c>
      <c r="F669" s="13" t="s">
        <v>223</v>
      </c>
      <c r="G669" s="13" t="s">
        <v>163</v>
      </c>
      <c r="H669" s="13" t="s">
        <v>74</v>
      </c>
      <c r="I669" s="17">
        <v>18.61</v>
      </c>
      <c r="J669" s="13" t="s">
        <v>94</v>
      </c>
      <c r="K669" s="13">
        <v>668</v>
      </c>
      <c r="L669" s="13" t="s">
        <v>95</v>
      </c>
      <c r="M669" s="13" t="s">
        <v>1723</v>
      </c>
      <c r="N669">
        <f>_xlfn.XLOOKUP(spaces_3iWczBNnn5rbfoUlE0Jd_uploads_git_blob_9864c7f811c613c3faab876659c6423__25[[#This Row],[Número de Orden]],Cocinadinamica!B670:B1438,Cocinadinamica!C670:C1438)</f>
        <v>83</v>
      </c>
      <c r="O669" s="7">
        <f>spaces_3iWczBNnn5rbfoUlE0Jd_uploads_git_blob_9864c7f811c613c3faab876659c6423__25[[#This Row],[Hora de Llegada]]</f>
        <v>45023.071527777778</v>
      </c>
      <c r="P669" s="9">
        <f>spaces_3iWczBNnn5rbfoUlE0Jd_uploads_git_blob_9864c7f811c613c3faab876659c6423__25[[#This Row],[Hora de Llegada]]</f>
        <v>45023.071527777778</v>
      </c>
      <c r="Q669" s="9">
        <f>spaces_3iWczBNnn5rbfoUlE0Jd_uploads_git_blob_9864c7f811c613c3faab876659c6423__25[[#This Row],[Hora de Salida]]</f>
        <v>45023.195138888892</v>
      </c>
      <c r="R669" s="9" cm="1">
        <f t="array" ref="R66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0.12361111111385981</v>
      </c>
      <c r="S669" s="9">
        <f>_xlfn.XLOOKUP(spaces_3iWczBNnn5rbfoUlE0Jd_uploads_git_blob_9864c7f811c613c3faab876659c6423__25[[#This Row],[Número de Orden]],Cocinadinamica!E670:E1438,Cocinadinamica!F670:F1438)/1440</f>
        <v>7.9861111111111105E-2</v>
      </c>
      <c r="T669" s="9" cm="1">
        <f t="array" ref="T66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4.3750000002748701E-2</v>
      </c>
      <c r="U669" s="9" t="str" cm="1">
        <f t="array" ref="U66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70" spans="1:21" x14ac:dyDescent="0.35">
      <c r="A670" s="27">
        <v>10</v>
      </c>
      <c r="B670" s="11" t="s">
        <v>1197</v>
      </c>
      <c r="C670" s="11">
        <v>4</v>
      </c>
      <c r="D670" s="12">
        <v>45023.042361111111</v>
      </c>
      <c r="E670" s="12">
        <v>45023.19027777778</v>
      </c>
      <c r="F670" s="11" t="s">
        <v>170</v>
      </c>
      <c r="G670" s="11" t="s">
        <v>86</v>
      </c>
      <c r="H670" s="11" t="s">
        <v>74</v>
      </c>
      <c r="I670" s="16">
        <v>10.68</v>
      </c>
      <c r="J670" s="11" t="s">
        <v>75</v>
      </c>
      <c r="K670" s="11">
        <v>669</v>
      </c>
      <c r="L670" s="11" t="s">
        <v>275</v>
      </c>
      <c r="M670" s="11" t="s">
        <v>1724</v>
      </c>
      <c r="N670">
        <f>_xlfn.XLOOKUP(spaces_3iWczBNnn5rbfoUlE0Jd_uploads_git_blob_9864c7f811c613c3faab876659c6423__25[[#This Row],[Número de Orden]],Cocinadinamica!B671:B1439,Cocinadinamica!C671:C1439)</f>
        <v>73</v>
      </c>
      <c r="O670" s="7">
        <f>spaces_3iWczBNnn5rbfoUlE0Jd_uploads_git_blob_9864c7f811c613c3faab876659c6423__25[[#This Row],[Hora de Llegada]]</f>
        <v>45023.042361111111</v>
      </c>
      <c r="P670" s="9">
        <f>spaces_3iWczBNnn5rbfoUlE0Jd_uploads_git_blob_9864c7f811c613c3faab876659c6423__25[[#This Row],[Hora de Llegada]]</f>
        <v>45023.042361111111</v>
      </c>
      <c r="Q670" s="9">
        <f>spaces_3iWczBNnn5rbfoUlE0Jd_uploads_git_blob_9864c7f811c613c3faab876659c6423__25[[#This Row],[Hora de Salida]]</f>
        <v>45023.19027777778</v>
      </c>
      <c r="R670" s="9" cm="1">
        <f t="array" ref="R67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0.14791666666860692</v>
      </c>
      <c r="S670" s="9">
        <f>_xlfn.XLOOKUP(spaces_3iWczBNnn5rbfoUlE0Jd_uploads_git_blob_9864c7f811c613c3faab876659c6423__25[[#This Row],[Número de Orden]],Cocinadinamica!E671:E1439,Cocinadinamica!F671:F1439)/1440</f>
        <v>4.791666666666667E-2</v>
      </c>
      <c r="T670" s="9" cm="1">
        <f t="array" ref="T67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0.10000000000194026</v>
      </c>
      <c r="U670" s="9" t="str" cm="1">
        <f t="array" ref="U67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71" spans="1:21" x14ac:dyDescent="0.35">
      <c r="A671" s="28">
        <v>16</v>
      </c>
      <c r="B671" s="13" t="s">
        <v>1198</v>
      </c>
      <c r="C671" s="13">
        <v>6</v>
      </c>
      <c r="D671" s="14">
        <v>45023.077777777777</v>
      </c>
      <c r="E671" s="14">
        <v>45023.133333333331</v>
      </c>
      <c r="F671" s="13" t="s">
        <v>100</v>
      </c>
      <c r="G671" s="13" t="s">
        <v>86</v>
      </c>
      <c r="H671" s="13" t="s">
        <v>87</v>
      </c>
      <c r="I671" s="17">
        <v>37.93</v>
      </c>
      <c r="J671" s="13" t="s">
        <v>88</v>
      </c>
      <c r="K671" s="13">
        <v>670</v>
      </c>
      <c r="L671" s="13" t="s">
        <v>95</v>
      </c>
      <c r="M671" s="13" t="s">
        <v>1725</v>
      </c>
      <c r="N671">
        <f>_xlfn.XLOOKUP(spaces_3iWczBNnn5rbfoUlE0Jd_uploads_git_blob_9864c7f811c613c3faab876659c6423__25[[#This Row],[Número de Orden]],Cocinadinamica!B672:B1440,Cocinadinamica!C672:C1440)</f>
        <v>37</v>
      </c>
      <c r="O671" s="7">
        <f>spaces_3iWczBNnn5rbfoUlE0Jd_uploads_git_blob_9864c7f811c613c3faab876659c6423__25[[#This Row],[Hora de Llegada]]</f>
        <v>45023.077777777777</v>
      </c>
      <c r="P671" s="9">
        <f>spaces_3iWczBNnn5rbfoUlE0Jd_uploads_git_blob_9864c7f811c613c3faab876659c6423__25[[#This Row],[Hora de Llegada]]</f>
        <v>45023.077777777777</v>
      </c>
      <c r="Q671" s="9">
        <f>spaces_3iWczBNnn5rbfoUlE0Jd_uploads_git_blob_9864c7f811c613c3faab876659c6423__25[[#This Row],[Hora de Salida]]</f>
        <v>45023.133333333331</v>
      </c>
      <c r="R671" s="9" cm="1">
        <f t="array" ref="R67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6.5972222218988463E-2</v>
      </c>
      <c r="S671" s="9">
        <f>_xlfn.XLOOKUP(spaces_3iWczBNnn5rbfoUlE0Jd_uploads_git_blob_9864c7f811c613c3faab876659c6423__25[[#This Row],[Número de Orden]],Cocinadinamica!E672:E1440,Cocinadinamica!F672:F1440)/1440</f>
        <v>5.2083333333333336E-2</v>
      </c>
      <c r="T671" s="9" cm="1">
        <f t="array" ref="T67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1.3888888885655128E-2</v>
      </c>
      <c r="U671" s="9" t="str" cm="1">
        <f t="array" ref="U67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72" spans="1:21" x14ac:dyDescent="0.35">
      <c r="A672" s="27">
        <v>17</v>
      </c>
      <c r="B672" s="11" t="s">
        <v>985</v>
      </c>
      <c r="C672" s="11">
        <v>3</v>
      </c>
      <c r="D672" s="12">
        <v>45023.095833333333</v>
      </c>
      <c r="E672" s="12">
        <v>45023.145833333336</v>
      </c>
      <c r="F672" s="11" t="s">
        <v>170</v>
      </c>
      <c r="G672" s="11" t="s">
        <v>86</v>
      </c>
      <c r="H672" s="11" t="s">
        <v>87</v>
      </c>
      <c r="I672" s="16">
        <v>32.200000000000003</v>
      </c>
      <c r="J672" s="11" t="s">
        <v>94</v>
      </c>
      <c r="K672" s="11">
        <v>671</v>
      </c>
      <c r="L672" s="11" t="s">
        <v>95</v>
      </c>
      <c r="M672" s="11" t="s">
        <v>1726</v>
      </c>
      <c r="N672">
        <f>_xlfn.XLOOKUP(spaces_3iWczBNnn5rbfoUlE0Jd_uploads_git_blob_9864c7f811c613c3faab876659c6423__25[[#This Row],[Número de Orden]],Cocinadinamica!B673:B1441,Cocinadinamica!C673:C1441)</f>
        <v>74</v>
      </c>
      <c r="O672" s="7">
        <f>spaces_3iWczBNnn5rbfoUlE0Jd_uploads_git_blob_9864c7f811c613c3faab876659c6423__25[[#This Row],[Hora de Llegada]]</f>
        <v>45023.095833333333</v>
      </c>
      <c r="P672" s="9">
        <f>spaces_3iWczBNnn5rbfoUlE0Jd_uploads_git_blob_9864c7f811c613c3faab876659c6423__25[[#This Row],[Hora de Llegada]]</f>
        <v>45023.095833333333</v>
      </c>
      <c r="Q672" s="9">
        <f>spaces_3iWczBNnn5rbfoUlE0Jd_uploads_git_blob_9864c7f811c613c3faab876659c6423__25[[#This Row],[Hora de Salida]]</f>
        <v>45023.145833333336</v>
      </c>
      <c r="R672" s="9" cm="1">
        <f t="array" ref="R67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5.0000000002910383E-2</v>
      </c>
      <c r="S672" s="9">
        <f>_xlfn.XLOOKUP(spaces_3iWczBNnn5rbfoUlE0Jd_uploads_git_blob_9864c7f811c613c3faab876659c6423__25[[#This Row],[Número de Orden]],Cocinadinamica!E673:E1441,Cocinadinamica!F673:F1441)/1440</f>
        <v>6.5972222222222224E-2</v>
      </c>
      <c r="T672" s="9" cm="1">
        <f t="array" ref="T67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72" s="9" t="str" cm="1">
        <f t="array" ref="U67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73" spans="1:21" x14ac:dyDescent="0.35">
      <c r="A673" s="28">
        <v>12</v>
      </c>
      <c r="B673" s="13" t="s">
        <v>926</v>
      </c>
      <c r="C673" s="13">
        <v>6</v>
      </c>
      <c r="D673" s="14">
        <v>45023.058333333334</v>
      </c>
      <c r="E673" s="14">
        <v>45023.160416666666</v>
      </c>
      <c r="F673" s="13" t="s">
        <v>72</v>
      </c>
      <c r="G673" s="13" t="s">
        <v>73</v>
      </c>
      <c r="H673" s="13" t="s">
        <v>74</v>
      </c>
      <c r="I673" s="17">
        <v>29.19</v>
      </c>
      <c r="J673" s="13" t="s">
        <v>94</v>
      </c>
      <c r="K673" s="13">
        <v>672</v>
      </c>
      <c r="L673" s="13" t="s">
        <v>101</v>
      </c>
      <c r="M673" s="13" t="s">
        <v>1727</v>
      </c>
      <c r="N673">
        <f>_xlfn.XLOOKUP(spaces_3iWczBNnn5rbfoUlE0Jd_uploads_git_blob_9864c7f811c613c3faab876659c6423__25[[#This Row],[Número de Orden]],Cocinadinamica!B674:B1442,Cocinadinamica!C674:C1442)</f>
        <v>63</v>
      </c>
      <c r="O673" s="7">
        <f>spaces_3iWczBNnn5rbfoUlE0Jd_uploads_git_blob_9864c7f811c613c3faab876659c6423__25[[#This Row],[Hora de Llegada]]</f>
        <v>45023.058333333334</v>
      </c>
      <c r="P673" s="9">
        <f>spaces_3iWczBNnn5rbfoUlE0Jd_uploads_git_blob_9864c7f811c613c3faab876659c6423__25[[#This Row],[Hora de Llegada]]</f>
        <v>45023.058333333334</v>
      </c>
      <c r="Q673" s="9">
        <f>spaces_3iWczBNnn5rbfoUlE0Jd_uploads_git_blob_9864c7f811c613c3faab876659c6423__25[[#This Row],[Hora de Salida]]</f>
        <v>45023.160416666666</v>
      </c>
      <c r="R673" s="9" cm="1">
        <f t="array" ref="R67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673" s="9">
        <f>_xlfn.XLOOKUP(spaces_3iWczBNnn5rbfoUlE0Jd_uploads_git_blob_9864c7f811c613c3faab876659c6423__25[[#This Row],[Número de Orden]],Cocinadinamica!E674:E1442,Cocinadinamica!F674:F1442)/1440</f>
        <v>5.4166666666666669E-2</v>
      </c>
      <c r="T673" s="9" cm="1">
        <f t="array" ref="T67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4.7916666664726409E-2</v>
      </c>
      <c r="U673" s="9" t="str" cm="1">
        <f t="array" ref="U67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74" spans="1:21" x14ac:dyDescent="0.35">
      <c r="A674" s="27">
        <v>20</v>
      </c>
      <c r="B674" s="11" t="s">
        <v>781</v>
      </c>
      <c r="C674" s="11">
        <v>6</v>
      </c>
      <c r="D674" s="12">
        <v>45023.025694444441</v>
      </c>
      <c r="E674" s="12">
        <v>45023.119444444441</v>
      </c>
      <c r="F674" s="11" t="s">
        <v>85</v>
      </c>
      <c r="G674" s="11" t="s">
        <v>86</v>
      </c>
      <c r="H674" s="11" t="s">
        <v>74</v>
      </c>
      <c r="I674" s="16">
        <v>36.5</v>
      </c>
      <c r="J674" s="11" t="s">
        <v>94</v>
      </c>
      <c r="K674" s="11">
        <v>673</v>
      </c>
      <c r="L674" s="11" t="s">
        <v>275</v>
      </c>
      <c r="M674" s="11" t="s">
        <v>1728</v>
      </c>
      <c r="N674">
        <f>_xlfn.XLOOKUP(spaces_3iWczBNnn5rbfoUlE0Jd_uploads_git_blob_9864c7f811c613c3faab876659c6423__25[[#This Row],[Número de Orden]],Cocinadinamica!B675:B1443,Cocinadinamica!C675:C1443)</f>
        <v>104</v>
      </c>
      <c r="O674" s="7">
        <f>spaces_3iWczBNnn5rbfoUlE0Jd_uploads_git_blob_9864c7f811c613c3faab876659c6423__25[[#This Row],[Hora de Llegada]]</f>
        <v>45023.025694444441</v>
      </c>
      <c r="P674" s="9">
        <f>spaces_3iWczBNnn5rbfoUlE0Jd_uploads_git_blob_9864c7f811c613c3faab876659c6423__25[[#This Row],[Hora de Llegada]]</f>
        <v>45023.025694444441</v>
      </c>
      <c r="Q674" s="9">
        <f>spaces_3iWczBNnn5rbfoUlE0Jd_uploads_git_blob_9864c7f811c613c3faab876659c6423__25[[#This Row],[Hora de Salida]]</f>
        <v>45023.119444444441</v>
      </c>
      <c r="R674" s="9" cm="1">
        <f t="array" ref="R67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9.375E-2</v>
      </c>
      <c r="S674" s="9">
        <f>_xlfn.XLOOKUP(spaces_3iWczBNnn5rbfoUlE0Jd_uploads_git_blob_9864c7f811c613c3faab876659c6423__25[[#This Row],[Número de Orden]],Cocinadinamica!E675:E1443,Cocinadinamica!F675:F1443)/1440</f>
        <v>6.458333333333334E-2</v>
      </c>
      <c r="T674" s="9" cm="1">
        <f t="array" ref="T67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2.916666666666666E-2</v>
      </c>
      <c r="U674" s="9" t="str" cm="1">
        <f t="array" ref="U67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75" spans="1:21" x14ac:dyDescent="0.35">
      <c r="A675" s="28">
        <v>1</v>
      </c>
      <c r="B675" s="13" t="s">
        <v>1199</v>
      </c>
      <c r="C675" s="13">
        <v>3</v>
      </c>
      <c r="D675" s="14">
        <v>45023.002083333333</v>
      </c>
      <c r="E675" s="14">
        <v>45023.0625</v>
      </c>
      <c r="F675" s="13" t="s">
        <v>85</v>
      </c>
      <c r="G675" s="13" t="s">
        <v>73</v>
      </c>
      <c r="H675" s="13" t="s">
        <v>74</v>
      </c>
      <c r="I675" s="17">
        <v>41.29</v>
      </c>
      <c r="J675" s="13" t="s">
        <v>75</v>
      </c>
      <c r="K675" s="13">
        <v>674</v>
      </c>
      <c r="L675" s="13" t="s">
        <v>221</v>
      </c>
      <c r="M675" s="13" t="s">
        <v>1729</v>
      </c>
      <c r="N675">
        <f>_xlfn.XLOOKUP(spaces_3iWczBNnn5rbfoUlE0Jd_uploads_git_blob_9864c7f811c613c3faab876659c6423__25[[#This Row],[Número de Orden]],Cocinadinamica!B676:B1444,Cocinadinamica!C676:C1444)</f>
        <v>84</v>
      </c>
      <c r="O675" s="7">
        <f>spaces_3iWczBNnn5rbfoUlE0Jd_uploads_git_blob_9864c7f811c613c3faab876659c6423__25[[#This Row],[Hora de Llegada]]</f>
        <v>45023.002083333333</v>
      </c>
      <c r="P675" s="9">
        <f>spaces_3iWczBNnn5rbfoUlE0Jd_uploads_git_blob_9864c7f811c613c3faab876659c6423__25[[#This Row],[Hora de Llegada]]</f>
        <v>45023.002083333333</v>
      </c>
      <c r="Q675" s="9">
        <f>spaces_3iWczBNnn5rbfoUlE0Jd_uploads_git_blob_9864c7f811c613c3faab876659c6423__25[[#This Row],[Hora de Salida]]</f>
        <v>45023.0625</v>
      </c>
      <c r="R675" s="9" cm="1">
        <f t="array" ref="R67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6.0416666667151731E-2</v>
      </c>
      <c r="S675" s="9">
        <f>_xlfn.XLOOKUP(spaces_3iWczBNnn5rbfoUlE0Jd_uploads_git_blob_9864c7f811c613c3faab876659c6423__25[[#This Row],[Número de Orden]],Cocinadinamica!E676:E1444,Cocinadinamica!F676:F1444)/1440</f>
        <v>4.5138888888888888E-2</v>
      </c>
      <c r="T675" s="9" cm="1">
        <f t="array" ref="T67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1.5277777778262842E-2</v>
      </c>
      <c r="U675" s="9" t="str" cm="1">
        <f t="array" ref="U67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76" spans="1:21" x14ac:dyDescent="0.35">
      <c r="A676" s="27">
        <v>5</v>
      </c>
      <c r="B676" s="11" t="s">
        <v>1200</v>
      </c>
      <c r="C676" s="11">
        <v>2</v>
      </c>
      <c r="D676" s="12">
        <v>45023.037499999999</v>
      </c>
      <c r="E676" s="12">
        <v>45023.189583333333</v>
      </c>
      <c r="F676" s="11" t="s">
        <v>100</v>
      </c>
      <c r="G676" s="11" t="s">
        <v>73</v>
      </c>
      <c r="H676" s="11" t="s">
        <v>87</v>
      </c>
      <c r="I676" s="16">
        <v>30.74</v>
      </c>
      <c r="J676" s="11" t="s">
        <v>94</v>
      </c>
      <c r="K676" s="11">
        <v>675</v>
      </c>
      <c r="L676" s="11" t="s">
        <v>187</v>
      </c>
      <c r="M676" s="11" t="s">
        <v>1730</v>
      </c>
      <c r="N676">
        <f>_xlfn.XLOOKUP(spaces_3iWczBNnn5rbfoUlE0Jd_uploads_git_blob_9864c7f811c613c3faab876659c6423__25[[#This Row],[Número de Orden]],Cocinadinamica!B677:B1445,Cocinadinamica!C677:C1445)</f>
        <v>76</v>
      </c>
      <c r="O676" s="7">
        <f>spaces_3iWczBNnn5rbfoUlE0Jd_uploads_git_blob_9864c7f811c613c3faab876659c6423__25[[#This Row],[Hora de Llegada]]</f>
        <v>45023.037499999999</v>
      </c>
      <c r="P676" s="9">
        <f>spaces_3iWczBNnn5rbfoUlE0Jd_uploads_git_blob_9864c7f811c613c3faab876659c6423__25[[#This Row],[Hora de Llegada]]</f>
        <v>45023.037499999999</v>
      </c>
      <c r="Q676" s="9">
        <f>spaces_3iWczBNnn5rbfoUlE0Jd_uploads_git_blob_9864c7f811c613c3faab876659c6423__25[[#This Row],[Hora de Salida]]</f>
        <v>45023.189583333333</v>
      </c>
      <c r="R676" s="9" cm="1">
        <f t="array" ref="R67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0.15208333333430346</v>
      </c>
      <c r="S676" s="9">
        <f>_xlfn.XLOOKUP(spaces_3iWczBNnn5rbfoUlE0Jd_uploads_git_blob_9864c7f811c613c3faab876659c6423__25[[#This Row],[Número de Orden]],Cocinadinamica!E677:E1445,Cocinadinamica!F677:F1445)/1440</f>
        <v>8.4027777777777785E-2</v>
      </c>
      <c r="T676" s="9" cm="1">
        <f t="array" ref="T67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6.8055555556525676E-2</v>
      </c>
      <c r="U676" s="9" t="str" cm="1">
        <f t="array" ref="U67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77" spans="1:21" x14ac:dyDescent="0.35">
      <c r="A677" s="28">
        <v>7</v>
      </c>
      <c r="B677" s="13" t="s">
        <v>992</v>
      </c>
      <c r="C677" s="13">
        <v>6</v>
      </c>
      <c r="D677" s="14">
        <v>45023.019444444442</v>
      </c>
      <c r="E677" s="14">
        <v>45023.15625</v>
      </c>
      <c r="F677" s="13" t="s">
        <v>170</v>
      </c>
      <c r="G677" s="13" t="s">
        <v>86</v>
      </c>
      <c r="H677" s="13" t="s">
        <v>74</v>
      </c>
      <c r="I677" s="17">
        <v>41.6</v>
      </c>
      <c r="J677" s="13" t="s">
        <v>88</v>
      </c>
      <c r="K677" s="13">
        <v>676</v>
      </c>
      <c r="L677" s="13" t="s">
        <v>187</v>
      </c>
      <c r="M677" s="13" t="s">
        <v>1731</v>
      </c>
      <c r="N677">
        <f>_xlfn.XLOOKUP(spaces_3iWczBNnn5rbfoUlE0Jd_uploads_git_blob_9864c7f811c613c3faab876659c6423__25[[#This Row],[Número de Orden]],Cocinadinamica!B678:B1446,Cocinadinamica!C678:C1446)</f>
        <v>49</v>
      </c>
      <c r="O677" s="7">
        <f>spaces_3iWczBNnn5rbfoUlE0Jd_uploads_git_blob_9864c7f811c613c3faab876659c6423__25[[#This Row],[Hora de Llegada]]</f>
        <v>45023.019444444442</v>
      </c>
      <c r="P677" s="9">
        <f>spaces_3iWczBNnn5rbfoUlE0Jd_uploads_git_blob_9864c7f811c613c3faab876659c6423__25[[#This Row],[Hora de Llegada]]</f>
        <v>45023.019444444442</v>
      </c>
      <c r="Q677" s="9">
        <f>spaces_3iWczBNnn5rbfoUlE0Jd_uploads_git_blob_9864c7f811c613c3faab876659c6423__25[[#This Row],[Hora de Salida]]</f>
        <v>45023.15625</v>
      </c>
      <c r="R677" s="9" cm="1">
        <f t="array" ref="R67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0.14722222222189885</v>
      </c>
      <c r="S677" s="9">
        <f>_xlfn.XLOOKUP(spaces_3iWczBNnn5rbfoUlE0Jd_uploads_git_blob_9864c7f811c613c3faab876659c6423__25[[#This Row],[Número de Orden]],Cocinadinamica!E678:E1446,Cocinadinamica!F678:F1446)/1440</f>
        <v>8.4027777777777785E-2</v>
      </c>
      <c r="T677" s="9" cm="1">
        <f t="array" ref="T67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6.3194444444121062E-2</v>
      </c>
      <c r="U677" s="9" t="str" cm="1">
        <f t="array" ref="U67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78" spans="1:21" x14ac:dyDescent="0.35">
      <c r="A678" s="27">
        <v>14</v>
      </c>
      <c r="B678" s="11" t="s">
        <v>312</v>
      </c>
      <c r="C678" s="11">
        <v>6</v>
      </c>
      <c r="D678" s="12">
        <v>45023.023611111108</v>
      </c>
      <c r="E678" s="12">
        <v>45023.109027777777</v>
      </c>
      <c r="F678" s="11" t="s">
        <v>100</v>
      </c>
      <c r="G678" s="11" t="s">
        <v>86</v>
      </c>
      <c r="H678" s="11" t="s">
        <v>74</v>
      </c>
      <c r="I678" s="16">
        <v>12.57</v>
      </c>
      <c r="J678" s="11" t="s">
        <v>88</v>
      </c>
      <c r="K678" s="11">
        <v>677</v>
      </c>
      <c r="L678" s="11" t="s">
        <v>95</v>
      </c>
      <c r="M678" s="11" t="s">
        <v>1732</v>
      </c>
      <c r="N678">
        <f>_xlfn.XLOOKUP(spaces_3iWczBNnn5rbfoUlE0Jd_uploads_git_blob_9864c7f811c613c3faab876659c6423__25[[#This Row],[Número de Orden]],Cocinadinamica!B679:B1447,Cocinadinamica!C679:C1447)</f>
        <v>58</v>
      </c>
      <c r="O678" s="7">
        <f>spaces_3iWczBNnn5rbfoUlE0Jd_uploads_git_blob_9864c7f811c613c3faab876659c6423__25[[#This Row],[Hora de Llegada]]</f>
        <v>45023.023611111108</v>
      </c>
      <c r="P678" s="9">
        <f>spaces_3iWczBNnn5rbfoUlE0Jd_uploads_git_blob_9864c7f811c613c3faab876659c6423__25[[#This Row],[Hora de Llegada]]</f>
        <v>45023.023611111108</v>
      </c>
      <c r="Q678" s="9">
        <f>spaces_3iWczBNnn5rbfoUlE0Jd_uploads_git_blob_9864c7f811c613c3faab876659c6423__25[[#This Row],[Hora de Salida]]</f>
        <v>45023.109027777777</v>
      </c>
      <c r="R678" s="9" cm="1">
        <f t="array" ref="R67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9.5833333332848269E-2</v>
      </c>
      <c r="S678" s="9">
        <f>_xlfn.XLOOKUP(spaces_3iWczBNnn5rbfoUlE0Jd_uploads_git_blob_9864c7f811c613c3faab876659c6423__25[[#This Row],[Número de Orden]],Cocinadinamica!E679:E1447,Cocinadinamica!F679:F1447)/1440</f>
        <v>0.10277777777777777</v>
      </c>
      <c r="T678" s="9" cm="1">
        <f t="array" ref="T67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78" s="9" t="str" cm="1">
        <f t="array" ref="U67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79" spans="1:21" x14ac:dyDescent="0.35">
      <c r="A679" s="28">
        <v>19</v>
      </c>
      <c r="B679" s="13" t="s">
        <v>1193</v>
      </c>
      <c r="C679" s="13">
        <v>1</v>
      </c>
      <c r="D679" s="14">
        <v>45023.125694444447</v>
      </c>
      <c r="E679" s="14">
        <v>45023.223611111112</v>
      </c>
      <c r="F679" s="13" t="s">
        <v>170</v>
      </c>
      <c r="G679" s="13" t="s">
        <v>86</v>
      </c>
      <c r="H679" s="13" t="s">
        <v>74</v>
      </c>
      <c r="I679" s="17">
        <v>26.76</v>
      </c>
      <c r="J679" s="13" t="s">
        <v>88</v>
      </c>
      <c r="K679" s="13">
        <v>678</v>
      </c>
      <c r="L679" s="13" t="s">
        <v>101</v>
      </c>
      <c r="M679" s="13" t="s">
        <v>1733</v>
      </c>
      <c r="N679">
        <f>_xlfn.XLOOKUP(spaces_3iWczBNnn5rbfoUlE0Jd_uploads_git_blob_9864c7f811c613c3faab876659c6423__25[[#This Row],[Número de Orden]],Cocinadinamica!B680:B1448,Cocinadinamica!C680:C1448)</f>
        <v>84</v>
      </c>
      <c r="O679" s="7">
        <f>spaces_3iWczBNnn5rbfoUlE0Jd_uploads_git_blob_9864c7f811c613c3faab876659c6423__25[[#This Row],[Hora de Llegada]]</f>
        <v>45023.125694444447</v>
      </c>
      <c r="P679" s="9">
        <f>spaces_3iWczBNnn5rbfoUlE0Jd_uploads_git_blob_9864c7f811c613c3faab876659c6423__25[[#This Row],[Hora de Llegada]]</f>
        <v>45023.125694444447</v>
      </c>
      <c r="Q679" s="9">
        <f>spaces_3iWczBNnn5rbfoUlE0Jd_uploads_git_blob_9864c7f811c613c3faab876659c6423__25[[#This Row],[Hora de Salida]]</f>
        <v>45023.223611111112</v>
      </c>
      <c r="R679" s="9" cm="1">
        <f t="array" ref="R67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0.10833333332993789</v>
      </c>
      <c r="S679" s="9">
        <f>_xlfn.XLOOKUP(spaces_3iWczBNnn5rbfoUlE0Jd_uploads_git_blob_9864c7f811c613c3faab876659c6423__25[[#This Row],[Número de Orden]],Cocinadinamica!E680:E1448,Cocinadinamica!F680:F1448)/1440</f>
        <v>8.4027777777777785E-2</v>
      </c>
      <c r="T679" s="9" cm="1">
        <f t="array" ref="T67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2.4305555552160102E-2</v>
      </c>
      <c r="U679" s="9" t="str" cm="1">
        <f t="array" ref="U67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0" spans="1:21" x14ac:dyDescent="0.35">
      <c r="A680" s="27">
        <v>9</v>
      </c>
      <c r="B680" s="11" t="s">
        <v>398</v>
      </c>
      <c r="C680" s="11">
        <v>4</v>
      </c>
      <c r="D680" s="12">
        <v>45023.001388888886</v>
      </c>
      <c r="E680" s="12">
        <v>45023.127083333333</v>
      </c>
      <c r="F680" s="11" t="s">
        <v>100</v>
      </c>
      <c r="G680" s="11" t="s">
        <v>86</v>
      </c>
      <c r="H680" s="11" t="s">
        <v>74</v>
      </c>
      <c r="I680" s="16">
        <v>36.43</v>
      </c>
      <c r="J680" s="11" t="s">
        <v>88</v>
      </c>
      <c r="K680" s="11">
        <v>679</v>
      </c>
      <c r="L680" s="11" t="s">
        <v>101</v>
      </c>
      <c r="M680" s="11" t="s">
        <v>1734</v>
      </c>
      <c r="N680">
        <f>_xlfn.XLOOKUP(spaces_3iWczBNnn5rbfoUlE0Jd_uploads_git_blob_9864c7f811c613c3faab876659c6423__25[[#This Row],[Número de Orden]],Cocinadinamica!B681:B1449,Cocinadinamica!C681:C1449)</f>
        <v>81</v>
      </c>
      <c r="O680" s="7">
        <f>spaces_3iWczBNnn5rbfoUlE0Jd_uploads_git_blob_9864c7f811c613c3faab876659c6423__25[[#This Row],[Hora de Llegada]]</f>
        <v>45023.001388888886</v>
      </c>
      <c r="P680" s="9">
        <f>spaces_3iWczBNnn5rbfoUlE0Jd_uploads_git_blob_9864c7f811c613c3faab876659c6423__25[[#This Row],[Hora de Llegada]]</f>
        <v>45023.001388888886</v>
      </c>
      <c r="Q680" s="9">
        <f>spaces_3iWczBNnn5rbfoUlE0Jd_uploads_git_blob_9864c7f811c613c3faab876659c6423__25[[#This Row],[Hora de Salida]]</f>
        <v>45023.127083333333</v>
      </c>
      <c r="R680" s="9" cm="1">
        <f t="array" ref="R68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0.13611111111094942</v>
      </c>
      <c r="S680" s="9">
        <f>_xlfn.XLOOKUP(spaces_3iWczBNnn5rbfoUlE0Jd_uploads_git_blob_9864c7f811c613c3faab876659c6423__25[[#This Row],[Número de Orden]],Cocinadinamica!E681:E1449,Cocinadinamica!F681:F1449)/1440</f>
        <v>7.3611111111111113E-2</v>
      </c>
      <c r="T680" s="9" cm="1">
        <f t="array" ref="T68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6.249999999983831E-2</v>
      </c>
      <c r="U680" s="9" t="str" cm="1">
        <f t="array" ref="U68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1" spans="1:21" x14ac:dyDescent="0.35">
      <c r="A681" s="28">
        <v>5</v>
      </c>
      <c r="B681" s="13" t="s">
        <v>1201</v>
      </c>
      <c r="C681" s="13">
        <v>4</v>
      </c>
      <c r="D681" s="14">
        <v>45023.057638888888</v>
      </c>
      <c r="E681" s="14">
        <v>45023.222222222219</v>
      </c>
      <c r="F681" s="13" t="s">
        <v>170</v>
      </c>
      <c r="G681" s="13" t="s">
        <v>86</v>
      </c>
      <c r="H681" s="13" t="s">
        <v>87</v>
      </c>
      <c r="I681" s="17">
        <v>12.06</v>
      </c>
      <c r="J681" s="13" t="s">
        <v>94</v>
      </c>
      <c r="K681" s="13">
        <v>680</v>
      </c>
      <c r="L681" s="13" t="s">
        <v>221</v>
      </c>
      <c r="M681" s="13" t="s">
        <v>1735</v>
      </c>
      <c r="N681">
        <f>_xlfn.XLOOKUP(spaces_3iWczBNnn5rbfoUlE0Jd_uploads_git_blob_9864c7f811c613c3faab876659c6423__25[[#This Row],[Número de Orden]],Cocinadinamica!B682:B1450,Cocinadinamica!C682:C1450)</f>
        <v>66</v>
      </c>
      <c r="O681" s="7">
        <f>spaces_3iWczBNnn5rbfoUlE0Jd_uploads_git_blob_9864c7f811c613c3faab876659c6423__25[[#This Row],[Hora de Llegada]]</f>
        <v>45023.057638888888</v>
      </c>
      <c r="P681" s="9">
        <f>spaces_3iWczBNnn5rbfoUlE0Jd_uploads_git_blob_9864c7f811c613c3faab876659c6423__25[[#This Row],[Hora de Llegada]]</f>
        <v>45023.057638888888</v>
      </c>
      <c r="Q681" s="9">
        <f>spaces_3iWczBNnn5rbfoUlE0Jd_uploads_git_blob_9864c7f811c613c3faab876659c6423__25[[#This Row],[Hora de Salida]]</f>
        <v>45023.222222222219</v>
      </c>
      <c r="R681" s="9" cm="1">
        <f t="array" ref="R68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0.16458333333139308</v>
      </c>
      <c r="S681" s="9">
        <f>_xlfn.XLOOKUP(spaces_3iWczBNnn5rbfoUlE0Jd_uploads_git_blob_9864c7f811c613c3faab876659c6423__25[[#This Row],[Número de Orden]],Cocinadinamica!E682:E1450,Cocinadinamica!F682:F1450)/1440</f>
        <v>7.7083333333333337E-2</v>
      </c>
      <c r="T681" s="9" cm="1">
        <f t="array" ref="T68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8.7499999998059741E-2</v>
      </c>
      <c r="U681" s="9" t="str" cm="1">
        <f t="array" ref="U68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2" spans="1:21" x14ac:dyDescent="0.35">
      <c r="A682" s="27">
        <v>2</v>
      </c>
      <c r="B682" s="11" t="s">
        <v>919</v>
      </c>
      <c r="C682" s="11">
        <v>4</v>
      </c>
      <c r="D682" s="12">
        <v>45023.12222222222</v>
      </c>
      <c r="E682" s="12">
        <v>45023.284722222219</v>
      </c>
      <c r="F682" s="11" t="s">
        <v>72</v>
      </c>
      <c r="G682" s="11" t="s">
        <v>86</v>
      </c>
      <c r="H682" s="11" t="s">
        <v>109</v>
      </c>
      <c r="I682" s="16">
        <v>37.07</v>
      </c>
      <c r="J682" s="11" t="s">
        <v>75</v>
      </c>
      <c r="K682" s="11">
        <v>681</v>
      </c>
      <c r="L682" s="11" t="s">
        <v>221</v>
      </c>
      <c r="M682" s="11" t="s">
        <v>1736</v>
      </c>
      <c r="N682">
        <f>_xlfn.XLOOKUP(spaces_3iWczBNnn5rbfoUlE0Jd_uploads_git_blob_9864c7f811c613c3faab876659c6423__25[[#This Row],[Número de Orden]],Cocinadinamica!B683:B1451,Cocinadinamica!C683:C1451)</f>
        <v>29</v>
      </c>
      <c r="O682" s="7">
        <f>spaces_3iWczBNnn5rbfoUlE0Jd_uploads_git_blob_9864c7f811c613c3faab876659c6423__25[[#This Row],[Hora de Llegada]]</f>
        <v>45023.12222222222</v>
      </c>
      <c r="P682" s="9">
        <f>spaces_3iWczBNnn5rbfoUlE0Jd_uploads_git_blob_9864c7f811c613c3faab876659c6423__25[[#This Row],[Hora de Llegada]]</f>
        <v>45023.12222222222</v>
      </c>
      <c r="Q682" s="9">
        <f>spaces_3iWczBNnn5rbfoUlE0Jd_uploads_git_blob_9864c7f811c613c3faab876659c6423__25[[#This Row],[Hora de Salida]]</f>
        <v>45023.284722222219</v>
      </c>
      <c r="R682" s="9" cm="1">
        <f t="array" ref="R68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0.16249999999854481</v>
      </c>
      <c r="S682" s="9">
        <f>_xlfn.XLOOKUP(spaces_3iWczBNnn5rbfoUlE0Jd_uploads_git_blob_9864c7f811c613c3faab876659c6423__25[[#This Row],[Número de Orden]],Cocinadinamica!E683:E1451,Cocinadinamica!F683:F1451)/1440</f>
        <v>4.5138888888888888E-2</v>
      </c>
      <c r="T682" s="9" cm="1">
        <f t="array" ref="T68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0.11736111110965591</v>
      </c>
      <c r="U682" s="9" t="str" cm="1">
        <f t="array" ref="U68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3" spans="1:21" x14ac:dyDescent="0.35">
      <c r="A683" s="28" t="s">
        <v>161</v>
      </c>
      <c r="B683" s="13" t="s">
        <v>778</v>
      </c>
      <c r="C683" s="13">
        <v>5</v>
      </c>
      <c r="D683" s="14">
        <v>45023.05972222222</v>
      </c>
      <c r="E683" s="14">
        <v>45023.170138888891</v>
      </c>
      <c r="F683" s="13" t="s">
        <v>85</v>
      </c>
      <c r="G683" s="13" t="s">
        <v>163</v>
      </c>
      <c r="H683" s="13" t="s">
        <v>74</v>
      </c>
      <c r="I683" s="17">
        <v>21.04</v>
      </c>
      <c r="J683" s="13" t="s">
        <v>88</v>
      </c>
      <c r="K683" s="13">
        <v>682</v>
      </c>
      <c r="L683" s="13" t="s">
        <v>275</v>
      </c>
      <c r="M683" s="13" t="s">
        <v>41</v>
      </c>
      <c r="N683">
        <f>_xlfn.XLOOKUP(spaces_3iWczBNnn5rbfoUlE0Jd_uploads_git_blob_9864c7f811c613c3faab876659c6423__25[[#This Row],[Número de Orden]],Cocinadinamica!B684:B1452,Cocinadinamica!C684:C1452)</f>
        <v>9</v>
      </c>
      <c r="O683" s="7">
        <f>spaces_3iWczBNnn5rbfoUlE0Jd_uploads_git_blob_9864c7f811c613c3faab876659c6423__25[[#This Row],[Hora de Llegada]]</f>
        <v>45023.05972222222</v>
      </c>
      <c r="P683" s="9">
        <f>spaces_3iWczBNnn5rbfoUlE0Jd_uploads_git_blob_9864c7f811c613c3faab876659c6423__25[[#This Row],[Hora de Llegada]]</f>
        <v>45023.05972222222</v>
      </c>
      <c r="Q683" s="9">
        <f>spaces_3iWczBNnn5rbfoUlE0Jd_uploads_git_blob_9864c7f811c613c3faab876659c6423__25[[#This Row],[Hora de Salida]]</f>
        <v>45023.170138888891</v>
      </c>
      <c r="R683" s="9" cm="1">
        <f t="array" ref="R68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0.12083333333430346</v>
      </c>
      <c r="S683" s="9">
        <f>_xlfn.XLOOKUP(spaces_3iWczBNnn5rbfoUlE0Jd_uploads_git_blob_9864c7f811c613c3faab876659c6423__25[[#This Row],[Número de Orden]],Cocinadinamica!E684:E1452,Cocinadinamica!F684:F1452)/1440</f>
        <v>2.9861111111111113E-2</v>
      </c>
      <c r="T683" s="9" cm="1">
        <f t="array" ref="T68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9.0972222223192345E-2</v>
      </c>
      <c r="U683" s="9" t="str" cm="1">
        <f t="array" ref="U68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4" spans="1:21" x14ac:dyDescent="0.35">
      <c r="A684" s="27">
        <v>2</v>
      </c>
      <c r="B684" s="11" t="s">
        <v>1202</v>
      </c>
      <c r="C684" s="11">
        <v>6</v>
      </c>
      <c r="D684" s="12">
        <v>45023.163888888892</v>
      </c>
      <c r="E684" s="12">
        <v>45023.265277777777</v>
      </c>
      <c r="F684" s="11" t="s">
        <v>85</v>
      </c>
      <c r="G684" s="11" t="s">
        <v>86</v>
      </c>
      <c r="H684" s="11" t="s">
        <v>74</v>
      </c>
      <c r="I684" s="16">
        <v>40.42</v>
      </c>
      <c r="J684" s="11" t="s">
        <v>88</v>
      </c>
      <c r="K684" s="11">
        <v>683</v>
      </c>
      <c r="L684" s="11" t="s">
        <v>110</v>
      </c>
      <c r="M684" s="11" t="s">
        <v>1737</v>
      </c>
      <c r="N684">
        <f>_xlfn.XLOOKUP(spaces_3iWczBNnn5rbfoUlE0Jd_uploads_git_blob_9864c7f811c613c3faab876659c6423__25[[#This Row],[Número de Orden]],Cocinadinamica!B685:B1453,Cocinadinamica!C685:C1453)</f>
        <v>64</v>
      </c>
      <c r="O684" s="7">
        <f>spaces_3iWczBNnn5rbfoUlE0Jd_uploads_git_blob_9864c7f811c613c3faab876659c6423__25[[#This Row],[Hora de Llegada]]</f>
        <v>45023.163888888892</v>
      </c>
      <c r="P684" s="9">
        <f>spaces_3iWczBNnn5rbfoUlE0Jd_uploads_git_blob_9864c7f811c613c3faab876659c6423__25[[#This Row],[Hora de Llegada]]</f>
        <v>45023.163888888892</v>
      </c>
      <c r="Q684" s="9">
        <f>spaces_3iWczBNnn5rbfoUlE0Jd_uploads_git_blob_9864c7f811c613c3faab876659c6423__25[[#This Row],[Hora de Salida]]</f>
        <v>45023.265277777777</v>
      </c>
      <c r="R684" s="9" cm="1">
        <f t="array" ref="R68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0.11180555554892635</v>
      </c>
      <c r="S684" s="9">
        <f>_xlfn.XLOOKUP(spaces_3iWczBNnn5rbfoUlE0Jd_uploads_git_blob_9864c7f811c613c3faab876659c6423__25[[#This Row],[Número de Orden]],Cocinadinamica!E685:E1453,Cocinadinamica!F685:F1453)/1440</f>
        <v>5.6944444444444443E-2</v>
      </c>
      <c r="T684" s="9" cm="1">
        <f t="array" ref="T68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5.4861111104481906E-2</v>
      </c>
      <c r="U684" s="9" t="str" cm="1">
        <f t="array" ref="U68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5" spans="1:21" x14ac:dyDescent="0.35">
      <c r="A685" s="28">
        <v>10</v>
      </c>
      <c r="B685" s="13" t="s">
        <v>1203</v>
      </c>
      <c r="C685" s="13">
        <v>6</v>
      </c>
      <c r="D685" s="14">
        <v>45023.145138888889</v>
      </c>
      <c r="E685" s="14">
        <v>45023.194444444445</v>
      </c>
      <c r="F685" s="13" t="s">
        <v>72</v>
      </c>
      <c r="G685" s="13" t="s">
        <v>73</v>
      </c>
      <c r="H685" s="13" t="s">
        <v>74</v>
      </c>
      <c r="I685" s="17">
        <v>48.15</v>
      </c>
      <c r="J685" s="13" t="s">
        <v>88</v>
      </c>
      <c r="K685" s="13">
        <v>684</v>
      </c>
      <c r="L685" s="13" t="s">
        <v>101</v>
      </c>
      <c r="M685" s="13" t="s">
        <v>1738</v>
      </c>
      <c r="N685">
        <f>_xlfn.XLOOKUP(spaces_3iWczBNnn5rbfoUlE0Jd_uploads_git_blob_9864c7f811c613c3faab876659c6423__25[[#This Row],[Número de Orden]],Cocinadinamica!B686:B1454,Cocinadinamica!C686:C1454)</f>
        <v>73</v>
      </c>
      <c r="O685" s="7">
        <f>spaces_3iWczBNnn5rbfoUlE0Jd_uploads_git_blob_9864c7f811c613c3faab876659c6423__25[[#This Row],[Hora de Llegada]]</f>
        <v>45023.145138888889</v>
      </c>
      <c r="P685" s="9">
        <f>spaces_3iWczBNnn5rbfoUlE0Jd_uploads_git_blob_9864c7f811c613c3faab876659c6423__25[[#This Row],[Hora de Llegada]]</f>
        <v>45023.145138888889</v>
      </c>
      <c r="Q685" s="9">
        <f>spaces_3iWczBNnn5rbfoUlE0Jd_uploads_git_blob_9864c7f811c613c3faab876659c6423__25[[#This Row],[Hora de Salida]]</f>
        <v>45023.194444444445</v>
      </c>
      <c r="R685" s="9" cm="1">
        <f t="array" ref="R68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5.9722222220443655E-2</v>
      </c>
      <c r="S685" s="9">
        <f>_xlfn.XLOOKUP(spaces_3iWczBNnn5rbfoUlE0Jd_uploads_git_blob_9864c7f811c613c3faab876659c6423__25[[#This Row],[Número de Orden]],Cocinadinamica!E686:E1454,Cocinadinamica!F686:F1454)/1440</f>
        <v>7.6388888888888895E-2</v>
      </c>
      <c r="T685" s="9" cm="1">
        <f t="array" ref="T68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685" s="9" t="str" cm="1">
        <f t="array" ref="U68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686" spans="1:21" x14ac:dyDescent="0.35">
      <c r="A686" s="27" t="s">
        <v>121</v>
      </c>
      <c r="B686" s="11" t="s">
        <v>781</v>
      </c>
      <c r="C686" s="11">
        <v>5</v>
      </c>
      <c r="D686" s="12">
        <v>45023.019444444442</v>
      </c>
      <c r="E686" s="12">
        <v>45023.071527777778</v>
      </c>
      <c r="F686" s="11" t="s">
        <v>100</v>
      </c>
      <c r="G686" s="11" t="s">
        <v>86</v>
      </c>
      <c r="H686" s="11" t="s">
        <v>109</v>
      </c>
      <c r="I686" s="16">
        <v>19.89</v>
      </c>
      <c r="J686" s="11" t="s">
        <v>75</v>
      </c>
      <c r="K686" s="11">
        <v>685</v>
      </c>
      <c r="L686" s="11" t="s">
        <v>181</v>
      </c>
      <c r="M686" s="11" t="s">
        <v>17</v>
      </c>
      <c r="N686">
        <f>_xlfn.XLOOKUP(spaces_3iWczBNnn5rbfoUlE0Jd_uploads_git_blob_9864c7f811c613c3faab876659c6423__25[[#This Row],[Número de Orden]],Cocinadinamica!B687:B1455,Cocinadinamica!C687:C1455)</f>
        <v>22</v>
      </c>
      <c r="O686" s="7">
        <f>spaces_3iWczBNnn5rbfoUlE0Jd_uploads_git_blob_9864c7f811c613c3faab876659c6423__25[[#This Row],[Hora de Llegada]]</f>
        <v>45023.019444444442</v>
      </c>
      <c r="P686" s="9">
        <f>spaces_3iWczBNnn5rbfoUlE0Jd_uploads_git_blob_9864c7f811c613c3faab876659c6423__25[[#This Row],[Hora de Llegada]]</f>
        <v>45023.019444444442</v>
      </c>
      <c r="Q686" s="9">
        <f>spaces_3iWczBNnn5rbfoUlE0Jd_uploads_git_blob_9864c7f811c613c3faab876659c6423__25[[#This Row],[Hora de Salida]]</f>
        <v>45023.071527777778</v>
      </c>
      <c r="R686" s="9" cm="1">
        <f t="array" ref="R68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5.2083333335758653E-2</v>
      </c>
      <c r="S686" s="9">
        <f>_xlfn.XLOOKUP(spaces_3iWczBNnn5rbfoUlE0Jd_uploads_git_blob_9864c7f811c613c3faab876659c6423__25[[#This Row],[Número de Orden]],Cocinadinamica!E687:E1455,Cocinadinamica!F687:F1455)/1440</f>
        <v>1.1805555555555555E-2</v>
      </c>
      <c r="T686" s="9" cm="1">
        <f t="array" ref="T68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4.0277777780203097E-2</v>
      </c>
      <c r="U686" s="9" t="str" cm="1">
        <f t="array" ref="U68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7" spans="1:21" x14ac:dyDescent="0.35">
      <c r="A687" s="28">
        <v>10</v>
      </c>
      <c r="B687" s="13" t="s">
        <v>1163</v>
      </c>
      <c r="C687" s="13">
        <v>6</v>
      </c>
      <c r="D687" s="14">
        <v>45023.05</v>
      </c>
      <c r="E687" s="14">
        <v>45023.152083333334</v>
      </c>
      <c r="F687" s="13" t="s">
        <v>223</v>
      </c>
      <c r="G687" s="13" t="s">
        <v>86</v>
      </c>
      <c r="H687" s="13" t="s">
        <v>87</v>
      </c>
      <c r="I687" s="17">
        <v>15.83</v>
      </c>
      <c r="J687" s="13" t="s">
        <v>94</v>
      </c>
      <c r="K687" s="13">
        <v>686</v>
      </c>
      <c r="L687" s="13" t="s">
        <v>221</v>
      </c>
      <c r="M687" s="13" t="s">
        <v>1739</v>
      </c>
      <c r="N687">
        <f>_xlfn.XLOOKUP(spaces_3iWczBNnn5rbfoUlE0Jd_uploads_git_blob_9864c7f811c613c3faab876659c6423__25[[#This Row],[Número de Orden]],Cocinadinamica!B688:B1456,Cocinadinamica!C688:C1456)</f>
        <v>40</v>
      </c>
      <c r="O687" s="7">
        <f>spaces_3iWczBNnn5rbfoUlE0Jd_uploads_git_blob_9864c7f811c613c3faab876659c6423__25[[#This Row],[Hora de Llegada]]</f>
        <v>45023.05</v>
      </c>
      <c r="P687" s="9">
        <f>spaces_3iWczBNnn5rbfoUlE0Jd_uploads_git_blob_9864c7f811c613c3faab876659c6423__25[[#This Row],[Hora de Llegada]]</f>
        <v>45023.05</v>
      </c>
      <c r="Q687" s="9">
        <f>spaces_3iWczBNnn5rbfoUlE0Jd_uploads_git_blob_9864c7f811c613c3faab876659c6423__25[[#This Row],[Hora de Salida]]</f>
        <v>45023.152083333334</v>
      </c>
      <c r="R687" s="9" cm="1">
        <f t="array" ref="R68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687" s="9">
        <f>_xlfn.XLOOKUP(spaces_3iWczBNnn5rbfoUlE0Jd_uploads_git_blob_9864c7f811c613c3faab876659c6423__25[[#This Row],[Número de Orden]],Cocinadinamica!E688:E1456,Cocinadinamica!F688:F1456)/1440</f>
        <v>4.027777777777778E-2</v>
      </c>
      <c r="T687" s="9" cm="1">
        <f t="array" ref="T68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6.1805555553615298E-2</v>
      </c>
      <c r="U687" s="9" t="str" cm="1">
        <f t="array" ref="U68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8" spans="1:21" x14ac:dyDescent="0.35">
      <c r="A688" s="27" t="s">
        <v>83</v>
      </c>
      <c r="B688" s="11" t="s">
        <v>783</v>
      </c>
      <c r="C688" s="11">
        <v>6</v>
      </c>
      <c r="D688" s="12">
        <v>45023.07916666667</v>
      </c>
      <c r="E688" s="12">
        <v>45023.23541666667</v>
      </c>
      <c r="F688" s="11" t="s">
        <v>72</v>
      </c>
      <c r="G688" s="11" t="s">
        <v>86</v>
      </c>
      <c r="H688" s="11" t="s">
        <v>87</v>
      </c>
      <c r="I688" s="16">
        <v>10.53</v>
      </c>
      <c r="J688" s="11" t="s">
        <v>75</v>
      </c>
      <c r="K688" s="11">
        <v>687</v>
      </c>
      <c r="L688" s="11" t="s">
        <v>181</v>
      </c>
      <c r="M688" s="11" t="s">
        <v>21</v>
      </c>
      <c r="N688">
        <f>_xlfn.XLOOKUP(spaces_3iWczBNnn5rbfoUlE0Jd_uploads_git_blob_9864c7f811c613c3faab876659c6423__25[[#This Row],[Número de Orden]],Cocinadinamica!B689:B1457,Cocinadinamica!C689:C1457)</f>
        <v>28</v>
      </c>
      <c r="O688" s="7">
        <f>spaces_3iWczBNnn5rbfoUlE0Jd_uploads_git_blob_9864c7f811c613c3faab876659c6423__25[[#This Row],[Hora de Llegada]]</f>
        <v>45023.07916666667</v>
      </c>
      <c r="P688" s="9">
        <f>spaces_3iWczBNnn5rbfoUlE0Jd_uploads_git_blob_9864c7f811c613c3faab876659c6423__25[[#This Row],[Hora de Llegada]]</f>
        <v>45023.07916666667</v>
      </c>
      <c r="Q688" s="9">
        <f>spaces_3iWczBNnn5rbfoUlE0Jd_uploads_git_blob_9864c7f811c613c3faab876659c6423__25[[#This Row],[Hora de Salida]]</f>
        <v>45023.23541666667</v>
      </c>
      <c r="R688" s="9" cm="1">
        <f t="array" ref="R68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688" s="9">
        <f>_xlfn.XLOOKUP(spaces_3iWczBNnn5rbfoUlE0Jd_uploads_git_blob_9864c7f811c613c3faab876659c6423__25[[#This Row],[Número de Orden]],Cocinadinamica!E689:E1457,Cocinadinamica!F689:F1457)/1440</f>
        <v>2.013888888888889E-2</v>
      </c>
      <c r="T688" s="9" cm="1">
        <f t="array" ref="T68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0.1361111111111111</v>
      </c>
      <c r="U688" s="9" t="str" cm="1">
        <f t="array" ref="U68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89" spans="1:21" x14ac:dyDescent="0.35">
      <c r="A689" s="28" t="s">
        <v>308</v>
      </c>
      <c r="B689" s="13" t="s">
        <v>784</v>
      </c>
      <c r="C689" s="13">
        <v>1</v>
      </c>
      <c r="D689" s="14">
        <v>45023.143055555556</v>
      </c>
      <c r="E689" s="14">
        <v>45023.210416666669</v>
      </c>
      <c r="F689" s="13" t="s">
        <v>223</v>
      </c>
      <c r="G689" s="13" t="s">
        <v>86</v>
      </c>
      <c r="H689" s="13" t="s">
        <v>74</v>
      </c>
      <c r="I689" s="17">
        <v>4.87</v>
      </c>
      <c r="J689" s="13" t="s">
        <v>88</v>
      </c>
      <c r="K689" s="13">
        <v>688</v>
      </c>
      <c r="L689" s="13" t="s">
        <v>164</v>
      </c>
      <c r="M689" s="13" t="s">
        <v>23</v>
      </c>
      <c r="N689">
        <f>_xlfn.XLOOKUP(spaces_3iWczBNnn5rbfoUlE0Jd_uploads_git_blob_9864c7f811c613c3faab876659c6423__25[[#This Row],[Número de Orden]],Cocinadinamica!B690:B1458,Cocinadinamica!C690:C1458)</f>
        <v>12</v>
      </c>
      <c r="O689" s="7">
        <f>spaces_3iWczBNnn5rbfoUlE0Jd_uploads_git_blob_9864c7f811c613c3faab876659c6423__25[[#This Row],[Hora de Llegada]]</f>
        <v>45023.143055555556</v>
      </c>
      <c r="P689" s="9">
        <f>spaces_3iWczBNnn5rbfoUlE0Jd_uploads_git_blob_9864c7f811c613c3faab876659c6423__25[[#This Row],[Hora de Llegada]]</f>
        <v>45023.143055555556</v>
      </c>
      <c r="Q689" s="9">
        <f>spaces_3iWczBNnn5rbfoUlE0Jd_uploads_git_blob_9864c7f811c613c3faab876659c6423__25[[#This Row],[Hora de Salida]]</f>
        <v>45023.210416666669</v>
      </c>
      <c r="R689" s="9" cm="1">
        <f t="array" ref="R68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7.7777777776645962E-2</v>
      </c>
      <c r="S689" s="9">
        <f>_xlfn.XLOOKUP(spaces_3iWczBNnn5rbfoUlE0Jd_uploads_git_blob_9864c7f811c613c3faab876659c6423__25[[#This Row],[Número de Orden]],Cocinadinamica!E690:E1458,Cocinadinamica!F690:F1458)/1440</f>
        <v>9.7222222222222224E-3</v>
      </c>
      <c r="T689" s="9" cm="1">
        <f t="array" ref="T68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6.8055555554423747E-2</v>
      </c>
      <c r="U689" s="9" t="str" cm="1">
        <f t="array" ref="U68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0" spans="1:21" x14ac:dyDescent="0.35">
      <c r="A690" s="27">
        <v>14</v>
      </c>
      <c r="B690" s="11" t="s">
        <v>1204</v>
      </c>
      <c r="C690" s="11">
        <v>1</v>
      </c>
      <c r="D690" s="12">
        <v>45023.025000000001</v>
      </c>
      <c r="E690" s="12">
        <v>45023.098611111112</v>
      </c>
      <c r="F690" s="11" t="s">
        <v>223</v>
      </c>
      <c r="G690" s="11" t="s">
        <v>86</v>
      </c>
      <c r="H690" s="11" t="s">
        <v>74</v>
      </c>
      <c r="I690" s="16">
        <v>10.25</v>
      </c>
      <c r="J690" s="11" t="s">
        <v>88</v>
      </c>
      <c r="K690" s="11">
        <v>689</v>
      </c>
      <c r="L690" s="11" t="s">
        <v>221</v>
      </c>
      <c r="M690" s="11" t="s">
        <v>1740</v>
      </c>
      <c r="N690">
        <f>_xlfn.XLOOKUP(spaces_3iWczBNnn5rbfoUlE0Jd_uploads_git_blob_9864c7f811c613c3faab876659c6423__25[[#This Row],[Número de Orden]],Cocinadinamica!B691:B1459,Cocinadinamica!C691:C1459)</f>
        <v>65</v>
      </c>
      <c r="O690" s="7">
        <f>spaces_3iWczBNnn5rbfoUlE0Jd_uploads_git_blob_9864c7f811c613c3faab876659c6423__25[[#This Row],[Hora de Llegada]]</f>
        <v>45023.025000000001</v>
      </c>
      <c r="P690" s="9">
        <f>spaces_3iWczBNnn5rbfoUlE0Jd_uploads_git_blob_9864c7f811c613c3faab876659c6423__25[[#This Row],[Hora de Llegada]]</f>
        <v>45023.025000000001</v>
      </c>
      <c r="Q690" s="9">
        <f>spaces_3iWczBNnn5rbfoUlE0Jd_uploads_git_blob_9864c7f811c613c3faab876659c6423__25[[#This Row],[Hora de Salida]]</f>
        <v>45023.098611111112</v>
      </c>
      <c r="R690" s="9" cm="1">
        <f t="array" ref="R69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8.4027777775190771E-2</v>
      </c>
      <c r="S690" s="9">
        <f>_xlfn.XLOOKUP(spaces_3iWczBNnn5rbfoUlE0Jd_uploads_git_blob_9864c7f811c613c3faab876659c6423__25[[#This Row],[Número de Orden]],Cocinadinamica!E691:E1459,Cocinadinamica!F691:F1459)/1440</f>
        <v>2.013888888888889E-2</v>
      </c>
      <c r="T690" s="9" cm="1">
        <f t="array" ref="T69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6.3888888886301884E-2</v>
      </c>
      <c r="U690" s="9" t="str" cm="1">
        <f t="array" ref="U69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1" spans="1:21" x14ac:dyDescent="0.35">
      <c r="A691" s="28">
        <v>15</v>
      </c>
      <c r="B691" s="13" t="s">
        <v>1134</v>
      </c>
      <c r="C691" s="13">
        <v>4</v>
      </c>
      <c r="D691" s="14">
        <v>45023.113194444442</v>
      </c>
      <c r="E691" s="14">
        <v>45023.238194444442</v>
      </c>
      <c r="F691" s="13" t="s">
        <v>85</v>
      </c>
      <c r="G691" s="13" t="s">
        <v>73</v>
      </c>
      <c r="H691" s="13" t="s">
        <v>109</v>
      </c>
      <c r="I691" s="17">
        <v>37.22</v>
      </c>
      <c r="J691" s="13" t="s">
        <v>94</v>
      </c>
      <c r="K691" s="13">
        <v>690</v>
      </c>
      <c r="L691" s="13" t="s">
        <v>181</v>
      </c>
      <c r="M691" s="13" t="s">
        <v>1741</v>
      </c>
      <c r="N691">
        <f>_xlfn.XLOOKUP(spaces_3iWczBNnn5rbfoUlE0Jd_uploads_git_blob_9864c7f811c613c3faab876659c6423__25[[#This Row],[Número de Orden]],Cocinadinamica!B692:B1460,Cocinadinamica!C692:C1460)</f>
        <v>76</v>
      </c>
      <c r="O691" s="7">
        <f>spaces_3iWczBNnn5rbfoUlE0Jd_uploads_git_blob_9864c7f811c613c3faab876659c6423__25[[#This Row],[Hora de Llegada]]</f>
        <v>45023.113194444442</v>
      </c>
      <c r="P691" s="9">
        <f>spaces_3iWczBNnn5rbfoUlE0Jd_uploads_git_blob_9864c7f811c613c3faab876659c6423__25[[#This Row],[Hora de Llegada]]</f>
        <v>45023.113194444442</v>
      </c>
      <c r="Q691" s="9">
        <f>spaces_3iWczBNnn5rbfoUlE0Jd_uploads_git_blob_9864c7f811c613c3faab876659c6423__25[[#This Row],[Hora de Salida]]</f>
        <v>45023.238194444442</v>
      </c>
      <c r="R691" s="9" cm="1">
        <f t="array" ref="R69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0.125</v>
      </c>
      <c r="S691" s="9">
        <f>_xlfn.XLOOKUP(spaces_3iWczBNnn5rbfoUlE0Jd_uploads_git_blob_9864c7f811c613c3faab876659c6423__25[[#This Row],[Número de Orden]],Cocinadinamica!E692:E1460,Cocinadinamica!F692:F1460)/1440</f>
        <v>9.930555555555555E-2</v>
      </c>
      <c r="T691" s="9" cm="1">
        <f t="array" ref="T69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2.569444444444445E-2</v>
      </c>
      <c r="U691" s="9" t="str" cm="1">
        <f t="array" ref="U69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2" spans="1:21" x14ac:dyDescent="0.35">
      <c r="A692" s="27" t="s">
        <v>177</v>
      </c>
      <c r="B692" s="11" t="s">
        <v>787</v>
      </c>
      <c r="C692" s="11">
        <v>4</v>
      </c>
      <c r="D692" s="12">
        <v>45023.071527777778</v>
      </c>
      <c r="E692" s="12">
        <v>45023.220138888886</v>
      </c>
      <c r="F692" s="11" t="s">
        <v>170</v>
      </c>
      <c r="G692" s="11" t="s">
        <v>73</v>
      </c>
      <c r="H692" s="11" t="s">
        <v>109</v>
      </c>
      <c r="I692" s="16">
        <v>1.39</v>
      </c>
      <c r="J692" s="11" t="s">
        <v>88</v>
      </c>
      <c r="K692" s="11">
        <v>691</v>
      </c>
      <c r="L692" s="11" t="s">
        <v>110</v>
      </c>
      <c r="M692" s="11" t="s">
        <v>35</v>
      </c>
      <c r="N692">
        <f>_xlfn.XLOOKUP(spaces_3iWczBNnn5rbfoUlE0Jd_uploads_git_blob_9864c7f811c613c3faab876659c6423__25[[#This Row],[Número de Orden]],Cocinadinamica!B693:B1461,Cocinadinamica!C693:C1461)</f>
        <v>27</v>
      </c>
      <c r="O692" s="7">
        <f>spaces_3iWczBNnn5rbfoUlE0Jd_uploads_git_blob_9864c7f811c613c3faab876659c6423__25[[#This Row],[Hora de Llegada]]</f>
        <v>45023.071527777778</v>
      </c>
      <c r="P692" s="9">
        <f>spaces_3iWczBNnn5rbfoUlE0Jd_uploads_git_blob_9864c7f811c613c3faab876659c6423__25[[#This Row],[Hora de Llegada]]</f>
        <v>45023.071527777778</v>
      </c>
      <c r="Q692" s="9">
        <f>spaces_3iWczBNnn5rbfoUlE0Jd_uploads_git_blob_9864c7f811c613c3faab876659c6423__25[[#This Row],[Hora de Salida]]</f>
        <v>45023.220138888886</v>
      </c>
      <c r="R692" s="9" cm="1">
        <f t="array" ref="R69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0.15902777777228039</v>
      </c>
      <c r="S692" s="9">
        <f>_xlfn.XLOOKUP(spaces_3iWczBNnn5rbfoUlE0Jd_uploads_git_blob_9864c7f811c613c3faab876659c6423__25[[#This Row],[Número de Orden]],Cocinadinamica!E693:E1461,Cocinadinamica!F693:F1461)/1440</f>
        <v>2.361111111111111E-2</v>
      </c>
      <c r="T692" s="9" cm="1">
        <f t="array" ref="T69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0.13541666666116928</v>
      </c>
      <c r="U692" s="9" t="str" cm="1">
        <f t="array" ref="U69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3" spans="1:21" x14ac:dyDescent="0.35">
      <c r="A693" s="28">
        <v>9</v>
      </c>
      <c r="B693" s="13" t="s">
        <v>970</v>
      </c>
      <c r="C693" s="13">
        <v>2</v>
      </c>
      <c r="D693" s="14">
        <v>45023.036805555559</v>
      </c>
      <c r="E693" s="14">
        <v>45023.18472222222</v>
      </c>
      <c r="F693" s="13" t="s">
        <v>223</v>
      </c>
      <c r="G693" s="13" t="s">
        <v>73</v>
      </c>
      <c r="H693" s="13" t="s">
        <v>74</v>
      </c>
      <c r="I693" s="17">
        <v>25.92</v>
      </c>
      <c r="J693" s="13" t="s">
        <v>94</v>
      </c>
      <c r="K693" s="13">
        <v>692</v>
      </c>
      <c r="L693" s="13" t="s">
        <v>164</v>
      </c>
      <c r="M693" s="13" t="s">
        <v>1742</v>
      </c>
      <c r="N693">
        <f>_xlfn.XLOOKUP(spaces_3iWczBNnn5rbfoUlE0Jd_uploads_git_blob_9864c7f811c613c3faab876659c6423__25[[#This Row],[Número de Orden]],Cocinadinamica!B694:B1462,Cocinadinamica!C694:C1462)</f>
        <v>70</v>
      </c>
      <c r="O693" s="7">
        <f>spaces_3iWczBNnn5rbfoUlE0Jd_uploads_git_blob_9864c7f811c613c3faab876659c6423__25[[#This Row],[Hora de Llegada]]</f>
        <v>45023.036805555559</v>
      </c>
      <c r="P693" s="9">
        <f>spaces_3iWczBNnn5rbfoUlE0Jd_uploads_git_blob_9864c7f811c613c3faab876659c6423__25[[#This Row],[Hora de Llegada]]</f>
        <v>45023.036805555559</v>
      </c>
      <c r="Q693" s="9">
        <f>spaces_3iWczBNnn5rbfoUlE0Jd_uploads_git_blob_9864c7f811c613c3faab876659c6423__25[[#This Row],[Hora de Salida]]</f>
        <v>45023.18472222222</v>
      </c>
      <c r="R693" s="9" cm="1">
        <f t="array" ref="R69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0.14791666666133096</v>
      </c>
      <c r="S693" s="9">
        <f>_xlfn.XLOOKUP(spaces_3iWczBNnn5rbfoUlE0Jd_uploads_git_blob_9864c7f811c613c3faab876659c6423__25[[#This Row],[Número de Orden]],Cocinadinamica!E694:E1462,Cocinadinamica!F694:F1462)/1440</f>
        <v>6.9444444444444448E-2</v>
      </c>
      <c r="T693" s="9" cm="1">
        <f t="array" ref="T69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7.8472222216886517E-2</v>
      </c>
      <c r="U693" s="9" t="str" cm="1">
        <f t="array" ref="U69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4" spans="1:21" x14ac:dyDescent="0.35">
      <c r="A694" s="27">
        <v>15</v>
      </c>
      <c r="B694" s="11" t="s">
        <v>1077</v>
      </c>
      <c r="C694" s="11">
        <v>4</v>
      </c>
      <c r="D694" s="12">
        <v>45023.155555555553</v>
      </c>
      <c r="E694" s="12">
        <v>45023.313194444447</v>
      </c>
      <c r="F694" s="11" t="s">
        <v>170</v>
      </c>
      <c r="G694" s="11" t="s">
        <v>86</v>
      </c>
      <c r="H694" s="11" t="s">
        <v>74</v>
      </c>
      <c r="I694" s="16">
        <v>28.31</v>
      </c>
      <c r="J694" s="11" t="s">
        <v>75</v>
      </c>
      <c r="K694" s="11">
        <v>693</v>
      </c>
      <c r="L694" s="11" t="s">
        <v>187</v>
      </c>
      <c r="M694" s="11" t="s">
        <v>1743</v>
      </c>
      <c r="N694">
        <f>_xlfn.XLOOKUP(spaces_3iWczBNnn5rbfoUlE0Jd_uploads_git_blob_9864c7f811c613c3faab876659c6423__25[[#This Row],[Número de Orden]],Cocinadinamica!B695:B1463,Cocinadinamica!C695:C1463)</f>
        <v>30</v>
      </c>
      <c r="O694" s="7">
        <f>spaces_3iWczBNnn5rbfoUlE0Jd_uploads_git_blob_9864c7f811c613c3faab876659c6423__25[[#This Row],[Hora de Llegada]]</f>
        <v>45023.155555555553</v>
      </c>
      <c r="P694" s="9">
        <f>spaces_3iWczBNnn5rbfoUlE0Jd_uploads_git_blob_9864c7f811c613c3faab876659c6423__25[[#This Row],[Hora de Llegada]]</f>
        <v>45023.155555555553</v>
      </c>
      <c r="Q694" s="9">
        <f>spaces_3iWczBNnn5rbfoUlE0Jd_uploads_git_blob_9864c7f811c613c3faab876659c6423__25[[#This Row],[Hora de Salida]]</f>
        <v>45023.313194444447</v>
      </c>
      <c r="R694" s="9" cm="1">
        <f t="array" ref="R69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0.15763888889341615</v>
      </c>
      <c r="S694" s="9">
        <f>_xlfn.XLOOKUP(spaces_3iWczBNnn5rbfoUlE0Jd_uploads_git_blob_9864c7f811c613c3faab876659c6423__25[[#This Row],[Número de Orden]],Cocinadinamica!E695:E1463,Cocinadinamica!F695:F1463)/1440</f>
        <v>3.0555555555555555E-2</v>
      </c>
      <c r="T694" s="9" cm="1">
        <f t="array" ref="T69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0.12708333333786059</v>
      </c>
      <c r="U694" s="9" t="str" cm="1">
        <f t="array" ref="U69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5" spans="1:21" x14ac:dyDescent="0.35">
      <c r="A695" s="28">
        <v>5</v>
      </c>
      <c r="B695" s="13" t="s">
        <v>667</v>
      </c>
      <c r="C695" s="13">
        <v>4</v>
      </c>
      <c r="D695" s="14">
        <v>45023.07708333333</v>
      </c>
      <c r="E695" s="14">
        <v>45023.217361111114</v>
      </c>
      <c r="F695" s="13" t="s">
        <v>100</v>
      </c>
      <c r="G695" s="13" t="s">
        <v>86</v>
      </c>
      <c r="H695" s="13" t="s">
        <v>74</v>
      </c>
      <c r="I695" s="17">
        <v>23.66</v>
      </c>
      <c r="J695" s="13" t="s">
        <v>75</v>
      </c>
      <c r="K695" s="13">
        <v>694</v>
      </c>
      <c r="L695" s="13" t="s">
        <v>275</v>
      </c>
      <c r="M695" s="13" t="s">
        <v>1744</v>
      </c>
      <c r="N695">
        <f>_xlfn.XLOOKUP(spaces_3iWczBNnn5rbfoUlE0Jd_uploads_git_blob_9864c7f811c613c3faab876659c6423__25[[#This Row],[Número de Orden]],Cocinadinamica!B696:B1464,Cocinadinamica!C696:C1464)</f>
        <v>63</v>
      </c>
      <c r="O695" s="7">
        <f>spaces_3iWczBNnn5rbfoUlE0Jd_uploads_git_blob_9864c7f811c613c3faab876659c6423__25[[#This Row],[Hora de Llegada]]</f>
        <v>45023.07708333333</v>
      </c>
      <c r="P695" s="9">
        <f>spaces_3iWczBNnn5rbfoUlE0Jd_uploads_git_blob_9864c7f811c613c3faab876659c6423__25[[#This Row],[Hora de Llegada]]</f>
        <v>45023.07708333333</v>
      </c>
      <c r="Q695" s="9">
        <f>spaces_3iWczBNnn5rbfoUlE0Jd_uploads_git_blob_9864c7f811c613c3faab876659c6423__25[[#This Row],[Hora de Salida]]</f>
        <v>45023.217361111114</v>
      </c>
      <c r="R695" s="9" cm="1">
        <f t="array" ref="R69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0.14027777778392192</v>
      </c>
      <c r="S695" s="9">
        <f>_xlfn.XLOOKUP(spaces_3iWczBNnn5rbfoUlE0Jd_uploads_git_blob_9864c7f811c613c3faab876659c6423__25[[#This Row],[Número de Orden]],Cocinadinamica!E696:E1464,Cocinadinamica!F696:F1464)/1440</f>
        <v>8.8888888888888892E-2</v>
      </c>
      <c r="T695" s="9" cm="1">
        <f t="array" ref="T69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5.1388888895033027E-2</v>
      </c>
      <c r="U695" s="9" t="str" cm="1">
        <f t="array" ref="U69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6" spans="1:21" x14ac:dyDescent="0.35">
      <c r="A696" s="27">
        <v>9</v>
      </c>
      <c r="B696" s="11" t="s">
        <v>1026</v>
      </c>
      <c r="C696" s="11">
        <v>1</v>
      </c>
      <c r="D696" s="12">
        <v>45023.084722222222</v>
      </c>
      <c r="E696" s="12">
        <v>45023.230555555558</v>
      </c>
      <c r="F696" s="11" t="s">
        <v>170</v>
      </c>
      <c r="G696" s="11" t="s">
        <v>86</v>
      </c>
      <c r="H696" s="11" t="s">
        <v>74</v>
      </c>
      <c r="I696" s="16">
        <v>18.23</v>
      </c>
      <c r="J696" s="11" t="s">
        <v>88</v>
      </c>
      <c r="K696" s="11">
        <v>695</v>
      </c>
      <c r="L696" s="11" t="s">
        <v>275</v>
      </c>
      <c r="M696" s="11" t="s">
        <v>1271</v>
      </c>
      <c r="N696">
        <f>_xlfn.XLOOKUP(spaces_3iWczBNnn5rbfoUlE0Jd_uploads_git_blob_9864c7f811c613c3faab876659c6423__25[[#This Row],[Número de Orden]],Cocinadinamica!B697:B1465,Cocinadinamica!C697:C1465)</f>
        <v>48</v>
      </c>
      <c r="O696" s="7">
        <f>spaces_3iWczBNnn5rbfoUlE0Jd_uploads_git_blob_9864c7f811c613c3faab876659c6423__25[[#This Row],[Hora de Llegada]]</f>
        <v>45023.084722222222</v>
      </c>
      <c r="P696" s="9">
        <f>spaces_3iWczBNnn5rbfoUlE0Jd_uploads_git_blob_9864c7f811c613c3faab876659c6423__25[[#This Row],[Hora de Llegada]]</f>
        <v>45023.084722222222</v>
      </c>
      <c r="Q696" s="9">
        <f>spaces_3iWczBNnn5rbfoUlE0Jd_uploads_git_blob_9864c7f811c613c3faab876659c6423__25[[#This Row],[Hora de Salida]]</f>
        <v>45023.230555555558</v>
      </c>
      <c r="R696" s="9" cm="1">
        <f t="array" ref="R69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0.15625</v>
      </c>
      <c r="S696" s="9">
        <f>_xlfn.XLOOKUP(spaces_3iWczBNnn5rbfoUlE0Jd_uploads_git_blob_9864c7f811c613c3faab876659c6423__25[[#This Row],[Número de Orden]],Cocinadinamica!E697:E1465,Cocinadinamica!F697:F1465)/1440</f>
        <v>2.5694444444444443E-2</v>
      </c>
      <c r="T696" s="9" cm="1">
        <f t="array" ref="T69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0.13055555555555556</v>
      </c>
      <c r="U696" s="9" t="str" cm="1">
        <f t="array" ref="U69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7" spans="1:21" x14ac:dyDescent="0.35">
      <c r="A697" s="28" t="s">
        <v>83</v>
      </c>
      <c r="B697" s="13" t="s">
        <v>792</v>
      </c>
      <c r="C697" s="13">
        <v>6</v>
      </c>
      <c r="D697" s="14">
        <v>45023.094444444447</v>
      </c>
      <c r="E697" s="14">
        <v>45023.257638888892</v>
      </c>
      <c r="F697" s="13" t="s">
        <v>223</v>
      </c>
      <c r="G697" s="13" t="s">
        <v>73</v>
      </c>
      <c r="H697" s="13" t="s">
        <v>74</v>
      </c>
      <c r="I697" s="17">
        <v>18.760000000000002</v>
      </c>
      <c r="J697" s="13" t="s">
        <v>88</v>
      </c>
      <c r="K697" s="13">
        <v>696</v>
      </c>
      <c r="L697" s="13" t="s">
        <v>76</v>
      </c>
      <c r="M697" s="13" t="s">
        <v>41</v>
      </c>
      <c r="N697">
        <f>_xlfn.XLOOKUP(spaces_3iWczBNnn5rbfoUlE0Jd_uploads_git_blob_9864c7f811c613c3faab876659c6423__25[[#This Row],[Número de Orden]],Cocinadinamica!B698:B1466,Cocinadinamica!C698:C1466)</f>
        <v>18</v>
      </c>
      <c r="O697" s="7">
        <f>spaces_3iWczBNnn5rbfoUlE0Jd_uploads_git_blob_9864c7f811c613c3faab876659c6423__25[[#This Row],[Hora de Llegada]]</f>
        <v>45023.094444444447</v>
      </c>
      <c r="P697" s="9">
        <f>spaces_3iWczBNnn5rbfoUlE0Jd_uploads_git_blob_9864c7f811c613c3faab876659c6423__25[[#This Row],[Hora de Llegada]]</f>
        <v>45023.094444444447</v>
      </c>
      <c r="Q697" s="9">
        <f>spaces_3iWczBNnn5rbfoUlE0Jd_uploads_git_blob_9864c7f811c613c3faab876659c6423__25[[#This Row],[Hora de Salida]]</f>
        <v>45023.257638888892</v>
      </c>
      <c r="R697" s="9" cm="1">
        <f t="array" ref="R69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0.17361111110949423</v>
      </c>
      <c r="S697" s="9">
        <f>_xlfn.XLOOKUP(spaces_3iWczBNnn5rbfoUlE0Jd_uploads_git_blob_9864c7f811c613c3faab876659c6423__25[[#This Row],[Número de Orden]],Cocinadinamica!E698:E1466,Cocinadinamica!F698:F1466)/1440</f>
        <v>1.5972222222222221E-2</v>
      </c>
      <c r="T697" s="9" cm="1">
        <f t="array" ref="T69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0.15763888888727201</v>
      </c>
      <c r="U697" s="9" t="str" cm="1">
        <f t="array" ref="U69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8" spans="1:21" x14ac:dyDescent="0.35">
      <c r="A698" s="27">
        <v>4</v>
      </c>
      <c r="B698" s="11" t="s">
        <v>1205</v>
      </c>
      <c r="C698" s="11">
        <v>1</v>
      </c>
      <c r="D698" s="12">
        <v>45023.158333333333</v>
      </c>
      <c r="E698" s="12">
        <v>45023.279166666667</v>
      </c>
      <c r="F698" s="11" t="s">
        <v>100</v>
      </c>
      <c r="G698" s="11" t="s">
        <v>86</v>
      </c>
      <c r="H698" s="11" t="s">
        <v>74</v>
      </c>
      <c r="I698" s="16">
        <v>34.35</v>
      </c>
      <c r="J698" s="11" t="s">
        <v>94</v>
      </c>
      <c r="K698" s="11">
        <v>697</v>
      </c>
      <c r="L698" s="11" t="s">
        <v>174</v>
      </c>
      <c r="M698" s="11" t="s">
        <v>1745</v>
      </c>
      <c r="N698">
        <f>_xlfn.XLOOKUP(spaces_3iWczBNnn5rbfoUlE0Jd_uploads_git_blob_9864c7f811c613c3faab876659c6423__25[[#This Row],[Número de Orden]],Cocinadinamica!B699:B1467,Cocinadinamica!C699:C1467)</f>
        <v>79</v>
      </c>
      <c r="O698" s="7">
        <f>spaces_3iWczBNnn5rbfoUlE0Jd_uploads_git_blob_9864c7f811c613c3faab876659c6423__25[[#This Row],[Hora de Llegada]]</f>
        <v>45023.158333333333</v>
      </c>
      <c r="P698" s="9">
        <f>spaces_3iWczBNnn5rbfoUlE0Jd_uploads_git_blob_9864c7f811c613c3faab876659c6423__25[[#This Row],[Hora de Llegada]]</f>
        <v>45023.158333333333</v>
      </c>
      <c r="Q698" s="9">
        <f>spaces_3iWczBNnn5rbfoUlE0Jd_uploads_git_blob_9864c7f811c613c3faab876659c6423__25[[#This Row],[Hora de Salida]]</f>
        <v>45023.279166666667</v>
      </c>
      <c r="R698" s="9" cm="1">
        <f t="array" ref="R69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0.12083333333430346</v>
      </c>
      <c r="S698" s="9">
        <f>_xlfn.XLOOKUP(spaces_3iWczBNnn5rbfoUlE0Jd_uploads_git_blob_9864c7f811c613c3faab876659c6423__25[[#This Row],[Número de Orden]],Cocinadinamica!E699:E1467,Cocinadinamica!F699:F1467)/1440</f>
        <v>7.4305555555555555E-2</v>
      </c>
      <c r="T698" s="9" cm="1">
        <f t="array" ref="T69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4.6527777778747906E-2</v>
      </c>
      <c r="U698" s="9" t="str" cm="1">
        <f t="array" ref="U69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699" spans="1:21" x14ac:dyDescent="0.35">
      <c r="A699" s="28">
        <v>19</v>
      </c>
      <c r="B699" s="13" t="s">
        <v>586</v>
      </c>
      <c r="C699" s="13">
        <v>4</v>
      </c>
      <c r="D699" s="14">
        <v>45023.104166666664</v>
      </c>
      <c r="E699" s="14">
        <v>45023.267361111109</v>
      </c>
      <c r="F699" s="13" t="s">
        <v>223</v>
      </c>
      <c r="G699" s="13" t="s">
        <v>73</v>
      </c>
      <c r="H699" s="13" t="s">
        <v>74</v>
      </c>
      <c r="I699" s="17">
        <v>39.89</v>
      </c>
      <c r="J699" s="13" t="s">
        <v>75</v>
      </c>
      <c r="K699" s="13">
        <v>698</v>
      </c>
      <c r="L699" s="13" t="s">
        <v>95</v>
      </c>
      <c r="M699" s="13" t="s">
        <v>1746</v>
      </c>
      <c r="N699">
        <f>_xlfn.XLOOKUP(spaces_3iWczBNnn5rbfoUlE0Jd_uploads_git_blob_9864c7f811c613c3faab876659c6423__25[[#This Row],[Número de Orden]],Cocinadinamica!B700:B1468,Cocinadinamica!C700:C1468)</f>
        <v>73</v>
      </c>
      <c r="O699" s="7">
        <f>spaces_3iWczBNnn5rbfoUlE0Jd_uploads_git_blob_9864c7f811c613c3faab876659c6423__25[[#This Row],[Hora de Llegada]]</f>
        <v>45023.104166666664</v>
      </c>
      <c r="P699" s="9">
        <f>spaces_3iWczBNnn5rbfoUlE0Jd_uploads_git_blob_9864c7f811c613c3faab876659c6423__25[[#This Row],[Hora de Llegada]]</f>
        <v>45023.104166666664</v>
      </c>
      <c r="Q699" s="9">
        <f>spaces_3iWczBNnn5rbfoUlE0Jd_uploads_git_blob_9864c7f811c613c3faab876659c6423__25[[#This Row],[Hora de Salida]]</f>
        <v>45023.267361111109</v>
      </c>
      <c r="R699" s="9" cm="1">
        <f t="array" ref="R69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0.16319444444525288</v>
      </c>
      <c r="S699" s="9">
        <f>_xlfn.XLOOKUP(spaces_3iWczBNnn5rbfoUlE0Jd_uploads_git_blob_9864c7f811c613c3faab876659c6423__25[[#This Row],[Número de Orden]],Cocinadinamica!E700:E1468,Cocinadinamica!F700:F1468)/1440</f>
        <v>7.013888888888889E-2</v>
      </c>
      <c r="T699" s="9" cm="1">
        <f t="array" ref="T69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9.3055555556363995E-2</v>
      </c>
      <c r="U699" s="9" t="str" cm="1">
        <f t="array" ref="U69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0" spans="1:21" x14ac:dyDescent="0.35">
      <c r="A700" s="27" t="s">
        <v>215</v>
      </c>
      <c r="B700" s="11" t="s">
        <v>795</v>
      </c>
      <c r="C700" s="11">
        <v>6</v>
      </c>
      <c r="D700" s="12">
        <v>45023.065972222219</v>
      </c>
      <c r="E700" s="12">
        <v>45023.12222222222</v>
      </c>
      <c r="F700" s="11" t="s">
        <v>100</v>
      </c>
      <c r="G700" s="11" t="s">
        <v>86</v>
      </c>
      <c r="H700" s="11" t="s">
        <v>74</v>
      </c>
      <c r="I700" s="16">
        <v>38.44</v>
      </c>
      <c r="J700" s="11" t="s">
        <v>94</v>
      </c>
      <c r="K700" s="11">
        <v>699</v>
      </c>
      <c r="L700" s="11" t="s">
        <v>181</v>
      </c>
      <c r="M700" s="11" t="s">
        <v>23</v>
      </c>
      <c r="N700">
        <f>_xlfn.XLOOKUP(spaces_3iWczBNnn5rbfoUlE0Jd_uploads_git_blob_9864c7f811c613c3faab876659c6423__25[[#This Row],[Número de Orden]],Cocinadinamica!B701:B1469,Cocinadinamica!C701:C1469)</f>
        <v>24</v>
      </c>
      <c r="O700" s="7">
        <f>spaces_3iWczBNnn5rbfoUlE0Jd_uploads_git_blob_9864c7f811c613c3faab876659c6423__25[[#This Row],[Hora de Llegada]]</f>
        <v>45023.065972222219</v>
      </c>
      <c r="P700" s="9">
        <f>spaces_3iWczBNnn5rbfoUlE0Jd_uploads_git_blob_9864c7f811c613c3faab876659c6423__25[[#This Row],[Hora de Llegada]]</f>
        <v>45023.065972222219</v>
      </c>
      <c r="Q700" s="9">
        <f>spaces_3iWczBNnn5rbfoUlE0Jd_uploads_git_blob_9864c7f811c613c3faab876659c6423__25[[#This Row],[Hora de Salida]]</f>
        <v>45023.12222222222</v>
      </c>
      <c r="R700" s="9" cm="1">
        <f t="array" ref="R70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5.6250000001455192E-2</v>
      </c>
      <c r="S700" s="9">
        <f>_xlfn.XLOOKUP(spaces_3iWczBNnn5rbfoUlE0Jd_uploads_git_blob_9864c7f811c613c3faab876659c6423__25[[#This Row],[Número de Orden]],Cocinadinamica!E701:E1469,Cocinadinamica!F701:F1469)/1440</f>
        <v>7.6388888888888886E-3</v>
      </c>
      <c r="T700" s="9" cm="1">
        <f t="array" ref="T70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4.8611111112566302E-2</v>
      </c>
      <c r="U700" s="9" t="str" cm="1">
        <f t="array" ref="U70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1" spans="1:21" x14ac:dyDescent="0.35">
      <c r="A701" s="28">
        <v>8</v>
      </c>
      <c r="B701" s="13" t="s">
        <v>1206</v>
      </c>
      <c r="C701" s="13">
        <v>2</v>
      </c>
      <c r="D701" s="14">
        <v>45023.015972222223</v>
      </c>
      <c r="E701" s="14">
        <v>45023.118055555555</v>
      </c>
      <c r="F701" s="13" t="s">
        <v>100</v>
      </c>
      <c r="G701" s="13" t="s">
        <v>86</v>
      </c>
      <c r="H701" s="13" t="s">
        <v>74</v>
      </c>
      <c r="I701" s="17">
        <v>21.66</v>
      </c>
      <c r="J701" s="13" t="s">
        <v>94</v>
      </c>
      <c r="K701" s="13">
        <v>700</v>
      </c>
      <c r="L701" s="13" t="s">
        <v>164</v>
      </c>
      <c r="M701" s="13" t="s">
        <v>1639</v>
      </c>
      <c r="N701">
        <f>_xlfn.XLOOKUP(spaces_3iWczBNnn5rbfoUlE0Jd_uploads_git_blob_9864c7f811c613c3faab876659c6423__25[[#This Row],[Número de Orden]],Cocinadinamica!B702:B1470,Cocinadinamica!C702:C1470)</f>
        <v>97</v>
      </c>
      <c r="O701" s="7">
        <f>spaces_3iWczBNnn5rbfoUlE0Jd_uploads_git_blob_9864c7f811c613c3faab876659c6423__25[[#This Row],[Hora de Llegada]]</f>
        <v>45023.015972222223</v>
      </c>
      <c r="P701" s="9">
        <f>spaces_3iWczBNnn5rbfoUlE0Jd_uploads_git_blob_9864c7f811c613c3faab876659c6423__25[[#This Row],[Hora de Llegada]]</f>
        <v>45023.015972222223</v>
      </c>
      <c r="Q701" s="9">
        <f>spaces_3iWczBNnn5rbfoUlE0Jd_uploads_git_blob_9864c7f811c613c3faab876659c6423__25[[#This Row],[Hora de Salida]]</f>
        <v>45023.118055555555</v>
      </c>
      <c r="R701" s="9" cm="1">
        <f t="array" ref="R70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701" s="9">
        <f>_xlfn.XLOOKUP(spaces_3iWczBNnn5rbfoUlE0Jd_uploads_git_blob_9864c7f811c613c3faab876659c6423__25[[#This Row],[Número de Orden]],Cocinadinamica!E702:E1470,Cocinadinamica!F702:F1470)/1440</f>
        <v>5.9722222222222225E-2</v>
      </c>
      <c r="T701" s="9" cm="1">
        <f t="array" ref="T70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4.2361111109170853E-2</v>
      </c>
      <c r="U701" s="9" t="str" cm="1">
        <f t="array" ref="U70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2" spans="1:21" x14ac:dyDescent="0.35">
      <c r="A702" s="27">
        <v>19</v>
      </c>
      <c r="B702" s="11" t="s">
        <v>1207</v>
      </c>
      <c r="C702" s="11">
        <v>5</v>
      </c>
      <c r="D702" s="12">
        <v>45023.138888888891</v>
      </c>
      <c r="E702" s="12">
        <v>45023.239583333336</v>
      </c>
      <c r="F702" s="11" t="s">
        <v>72</v>
      </c>
      <c r="G702" s="11" t="s">
        <v>86</v>
      </c>
      <c r="H702" s="11" t="s">
        <v>74</v>
      </c>
      <c r="I702" s="16">
        <v>39.83</v>
      </c>
      <c r="J702" s="11" t="s">
        <v>75</v>
      </c>
      <c r="K702" s="11">
        <v>701</v>
      </c>
      <c r="L702" s="11" t="s">
        <v>95</v>
      </c>
      <c r="M702" s="11" t="s">
        <v>1747</v>
      </c>
      <c r="N702">
        <f>_xlfn.XLOOKUP(spaces_3iWczBNnn5rbfoUlE0Jd_uploads_git_blob_9864c7f811c613c3faab876659c6423__25[[#This Row],[Número de Orden]],Cocinadinamica!B703:B1471,Cocinadinamica!C703:C1471)</f>
        <v>42</v>
      </c>
      <c r="O702" s="7">
        <f>spaces_3iWczBNnn5rbfoUlE0Jd_uploads_git_blob_9864c7f811c613c3faab876659c6423__25[[#This Row],[Hora de Llegada]]</f>
        <v>45023.138888888891</v>
      </c>
      <c r="P702" s="9">
        <f>spaces_3iWczBNnn5rbfoUlE0Jd_uploads_git_blob_9864c7f811c613c3faab876659c6423__25[[#This Row],[Hora de Llegada]]</f>
        <v>45023.138888888891</v>
      </c>
      <c r="Q702" s="9">
        <f>spaces_3iWczBNnn5rbfoUlE0Jd_uploads_git_blob_9864c7f811c613c3faab876659c6423__25[[#This Row],[Hora de Salida]]</f>
        <v>45023.239583333336</v>
      </c>
      <c r="R702" s="9" cm="1">
        <f t="array" ref="R70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0.10069444444525288</v>
      </c>
      <c r="S702" s="9">
        <f>_xlfn.XLOOKUP(spaces_3iWczBNnn5rbfoUlE0Jd_uploads_git_blob_9864c7f811c613c3faab876659c6423__25[[#This Row],[Número de Orden]],Cocinadinamica!E703:E1471,Cocinadinamica!F703:F1471)/1440</f>
        <v>6.7361111111111108E-2</v>
      </c>
      <c r="T702" s="9" cm="1">
        <f t="array" ref="T70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3.3333333334141776E-2</v>
      </c>
      <c r="U702" s="9" t="str" cm="1">
        <f t="array" ref="U70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3" spans="1:21" x14ac:dyDescent="0.35">
      <c r="A703" s="28">
        <v>13</v>
      </c>
      <c r="B703" s="13" t="s">
        <v>1208</v>
      </c>
      <c r="C703" s="13">
        <v>2</v>
      </c>
      <c r="D703" s="14">
        <v>45023.104166666664</v>
      </c>
      <c r="E703" s="14">
        <v>45023.21875</v>
      </c>
      <c r="F703" s="13" t="s">
        <v>170</v>
      </c>
      <c r="G703" s="13" t="s">
        <v>73</v>
      </c>
      <c r="H703" s="13" t="s">
        <v>74</v>
      </c>
      <c r="I703" s="17">
        <v>47.07</v>
      </c>
      <c r="J703" s="13" t="s">
        <v>75</v>
      </c>
      <c r="K703" s="13">
        <v>702</v>
      </c>
      <c r="L703" s="13" t="s">
        <v>89</v>
      </c>
      <c r="M703" s="13" t="s">
        <v>1748</v>
      </c>
      <c r="N703">
        <f>_xlfn.XLOOKUP(spaces_3iWczBNnn5rbfoUlE0Jd_uploads_git_blob_9864c7f811c613c3faab876659c6423__25[[#This Row],[Número de Orden]],Cocinadinamica!B704:B1472,Cocinadinamica!C704:C1472)</f>
        <v>82</v>
      </c>
      <c r="O703" s="7">
        <f>spaces_3iWczBNnn5rbfoUlE0Jd_uploads_git_blob_9864c7f811c613c3faab876659c6423__25[[#This Row],[Hora de Llegada]]</f>
        <v>45023.104166666664</v>
      </c>
      <c r="P703" s="9">
        <f>spaces_3iWczBNnn5rbfoUlE0Jd_uploads_git_blob_9864c7f811c613c3faab876659c6423__25[[#This Row],[Hora de Llegada]]</f>
        <v>45023.104166666664</v>
      </c>
      <c r="Q703" s="9">
        <f>spaces_3iWczBNnn5rbfoUlE0Jd_uploads_git_blob_9864c7f811c613c3faab876659c6423__25[[#This Row],[Hora de Salida]]</f>
        <v>45023.21875</v>
      </c>
      <c r="R703" s="9" cm="1">
        <f t="array" ref="R70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0.11458333333575865</v>
      </c>
      <c r="S703" s="9">
        <f>_xlfn.XLOOKUP(spaces_3iWczBNnn5rbfoUlE0Jd_uploads_git_blob_9864c7f811c613c3faab876659c6423__25[[#This Row],[Número de Orden]],Cocinadinamica!E704:E1472,Cocinadinamica!F704:F1472)/1440</f>
        <v>0.1076388888888889</v>
      </c>
      <c r="T703" s="9" cm="1">
        <f t="array" ref="T70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6.9444444468697575E-3</v>
      </c>
      <c r="U703" s="9" t="str" cm="1">
        <f t="array" ref="U70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4" spans="1:21" x14ac:dyDescent="0.35">
      <c r="A704" s="27" t="s">
        <v>247</v>
      </c>
      <c r="B704" s="11" t="s">
        <v>799</v>
      </c>
      <c r="C704" s="11">
        <v>5</v>
      </c>
      <c r="D704" s="12">
        <v>45023.011805555558</v>
      </c>
      <c r="E704" s="12">
        <v>45023.09652777778</v>
      </c>
      <c r="F704" s="11" t="s">
        <v>223</v>
      </c>
      <c r="G704" s="11" t="s">
        <v>86</v>
      </c>
      <c r="H704" s="11" t="s">
        <v>74</v>
      </c>
      <c r="I704" s="16">
        <v>22.24</v>
      </c>
      <c r="J704" s="11" t="s">
        <v>88</v>
      </c>
      <c r="K704" s="11">
        <v>703</v>
      </c>
      <c r="L704" s="11" t="s">
        <v>275</v>
      </c>
      <c r="M704" s="11" t="s">
        <v>43</v>
      </c>
      <c r="N704">
        <f>_xlfn.XLOOKUP(spaces_3iWczBNnn5rbfoUlE0Jd_uploads_git_blob_9864c7f811c613c3faab876659c6423__25[[#This Row],[Número de Orden]],Cocinadinamica!B705:B1473,Cocinadinamica!C705:C1473)</f>
        <v>24</v>
      </c>
      <c r="O704" s="7">
        <f>spaces_3iWczBNnn5rbfoUlE0Jd_uploads_git_blob_9864c7f811c613c3faab876659c6423__25[[#This Row],[Hora de Llegada]]</f>
        <v>45023.011805555558</v>
      </c>
      <c r="P704" s="9">
        <f>spaces_3iWczBNnn5rbfoUlE0Jd_uploads_git_blob_9864c7f811c613c3faab876659c6423__25[[#This Row],[Hora de Llegada]]</f>
        <v>45023.011805555558</v>
      </c>
      <c r="Q704" s="9">
        <f>spaces_3iWczBNnn5rbfoUlE0Jd_uploads_git_blob_9864c7f811c613c3faab876659c6423__25[[#This Row],[Hora de Salida]]</f>
        <v>45023.09652777778</v>
      </c>
      <c r="R704" s="9" cm="1">
        <f t="array" ref="R70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9.5138888886140194E-2</v>
      </c>
      <c r="S704" s="9">
        <f>_xlfn.XLOOKUP(spaces_3iWczBNnn5rbfoUlE0Jd_uploads_git_blob_9864c7f811c613c3faab876659c6423__25[[#This Row],[Número de Orden]],Cocinadinamica!E705:E1473,Cocinadinamica!F705:F1473)/1440</f>
        <v>2.013888888888889E-2</v>
      </c>
      <c r="T704" s="9" cm="1">
        <f t="array" ref="T70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7.4999999997251307E-2</v>
      </c>
      <c r="U704" s="9" t="str" cm="1">
        <f t="array" ref="U70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5" spans="1:21" x14ac:dyDescent="0.35">
      <c r="A705" s="28" t="s">
        <v>240</v>
      </c>
      <c r="B705" s="13" t="s">
        <v>800</v>
      </c>
      <c r="C705" s="13">
        <v>6</v>
      </c>
      <c r="D705" s="14">
        <v>45023.069444444445</v>
      </c>
      <c r="E705" s="14">
        <v>45023.186805555553</v>
      </c>
      <c r="F705" s="13" t="s">
        <v>100</v>
      </c>
      <c r="G705" s="13" t="s">
        <v>73</v>
      </c>
      <c r="H705" s="13" t="s">
        <v>74</v>
      </c>
      <c r="I705" s="17">
        <v>33.29</v>
      </c>
      <c r="J705" s="13" t="s">
        <v>94</v>
      </c>
      <c r="K705" s="13">
        <v>704</v>
      </c>
      <c r="L705" s="13" t="s">
        <v>95</v>
      </c>
      <c r="M705" s="13" t="s">
        <v>45</v>
      </c>
      <c r="N705">
        <f>_xlfn.XLOOKUP(spaces_3iWczBNnn5rbfoUlE0Jd_uploads_git_blob_9864c7f811c613c3faab876659c6423__25[[#This Row],[Número de Orden]],Cocinadinamica!B706:B1474,Cocinadinamica!C706:C1474)</f>
        <v>8</v>
      </c>
      <c r="O705" s="7">
        <f>spaces_3iWczBNnn5rbfoUlE0Jd_uploads_git_blob_9864c7f811c613c3faab876659c6423__25[[#This Row],[Hora de Llegada]]</f>
        <v>45023.069444444445</v>
      </c>
      <c r="P705" s="9">
        <f>spaces_3iWczBNnn5rbfoUlE0Jd_uploads_git_blob_9864c7f811c613c3faab876659c6423__25[[#This Row],[Hora de Llegada]]</f>
        <v>45023.069444444445</v>
      </c>
      <c r="Q705" s="9">
        <f>spaces_3iWczBNnn5rbfoUlE0Jd_uploads_git_blob_9864c7f811c613c3faab876659c6423__25[[#This Row],[Hora de Salida]]</f>
        <v>45023.186805555553</v>
      </c>
      <c r="R705" s="9" cm="1">
        <f t="array" ref="R70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0.11736111110803904</v>
      </c>
      <c r="S705" s="9">
        <f>_xlfn.XLOOKUP(spaces_3iWczBNnn5rbfoUlE0Jd_uploads_git_blob_9864c7f811c613c3faab876659c6423__25[[#This Row],[Número de Orden]],Cocinadinamica!E706:E1474,Cocinadinamica!F706:F1474)/1440</f>
        <v>2.6388888888888889E-2</v>
      </c>
      <c r="T705" s="9" cm="1">
        <f t="array" ref="T70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9.0972222219150148E-2</v>
      </c>
      <c r="U705" s="9" t="str" cm="1">
        <f t="array" ref="U70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6" spans="1:21" x14ac:dyDescent="0.35">
      <c r="A706" s="27">
        <v>12</v>
      </c>
      <c r="B706" s="11" t="s">
        <v>682</v>
      </c>
      <c r="C706" s="11">
        <v>3</v>
      </c>
      <c r="D706" s="12">
        <v>45023.074999999997</v>
      </c>
      <c r="E706" s="12">
        <v>45023.120138888888</v>
      </c>
      <c r="F706" s="11" t="s">
        <v>100</v>
      </c>
      <c r="G706" s="11" t="s">
        <v>86</v>
      </c>
      <c r="H706" s="11" t="s">
        <v>74</v>
      </c>
      <c r="I706" s="16">
        <v>43.07</v>
      </c>
      <c r="J706" s="11" t="s">
        <v>75</v>
      </c>
      <c r="K706" s="11">
        <v>705</v>
      </c>
      <c r="L706" s="11" t="s">
        <v>275</v>
      </c>
      <c r="M706" s="11" t="s">
        <v>1473</v>
      </c>
      <c r="N706">
        <f>_xlfn.XLOOKUP(spaces_3iWczBNnn5rbfoUlE0Jd_uploads_git_blob_9864c7f811c613c3faab876659c6423__25[[#This Row],[Número de Orden]],Cocinadinamica!B707:B1475,Cocinadinamica!C707:C1475)</f>
        <v>46</v>
      </c>
      <c r="O706" s="7">
        <f>spaces_3iWczBNnn5rbfoUlE0Jd_uploads_git_blob_9864c7f811c613c3faab876659c6423__25[[#This Row],[Hora de Llegada]]</f>
        <v>45023.074999999997</v>
      </c>
      <c r="P706" s="9">
        <f>spaces_3iWczBNnn5rbfoUlE0Jd_uploads_git_blob_9864c7f811c613c3faab876659c6423__25[[#This Row],[Hora de Llegada]]</f>
        <v>45023.074999999997</v>
      </c>
      <c r="Q706" s="9">
        <f>spaces_3iWczBNnn5rbfoUlE0Jd_uploads_git_blob_9864c7f811c613c3faab876659c6423__25[[#This Row],[Hora de Salida]]</f>
        <v>45023.120138888888</v>
      </c>
      <c r="R706" s="9" cm="1">
        <f t="array" ref="R70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4.5138888890505768E-2</v>
      </c>
      <c r="S706" s="9">
        <f>_xlfn.XLOOKUP(spaces_3iWczBNnn5rbfoUlE0Jd_uploads_git_blob_9864c7f811c613c3faab876659c6423__25[[#This Row],[Número de Orden]],Cocinadinamica!E707:E1475,Cocinadinamica!F707:F1475)/1440</f>
        <v>2.2916666666666665E-2</v>
      </c>
      <c r="T706" s="9" cm="1">
        <f t="array" ref="T70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2.2222222223839103E-2</v>
      </c>
      <c r="U706" s="9" t="str" cm="1">
        <f t="array" ref="U70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7" spans="1:21" x14ac:dyDescent="0.35">
      <c r="A707" s="28" t="s">
        <v>92</v>
      </c>
      <c r="B707" s="13" t="s">
        <v>802</v>
      </c>
      <c r="C707" s="13">
        <v>6</v>
      </c>
      <c r="D707" s="14">
        <v>45023.051388888889</v>
      </c>
      <c r="E707" s="14">
        <v>45023.20416666667</v>
      </c>
      <c r="F707" s="13" t="s">
        <v>223</v>
      </c>
      <c r="G707" s="13" t="s">
        <v>86</v>
      </c>
      <c r="H707" s="13" t="s">
        <v>74</v>
      </c>
      <c r="I707" s="17">
        <v>44.45</v>
      </c>
      <c r="J707" s="13" t="s">
        <v>88</v>
      </c>
      <c r="K707" s="13">
        <v>706</v>
      </c>
      <c r="L707" s="13" t="s">
        <v>164</v>
      </c>
      <c r="M707" s="13" t="s">
        <v>45</v>
      </c>
      <c r="N707">
        <f>_xlfn.XLOOKUP(spaces_3iWczBNnn5rbfoUlE0Jd_uploads_git_blob_9864c7f811c613c3faab876659c6423__25[[#This Row],[Número de Orden]],Cocinadinamica!B708:B1476,Cocinadinamica!C708:C1476)</f>
        <v>24</v>
      </c>
      <c r="O707" s="7">
        <f>spaces_3iWczBNnn5rbfoUlE0Jd_uploads_git_blob_9864c7f811c613c3faab876659c6423__25[[#This Row],[Hora de Llegada]]</f>
        <v>45023.051388888889</v>
      </c>
      <c r="P707" s="9">
        <f>spaces_3iWczBNnn5rbfoUlE0Jd_uploads_git_blob_9864c7f811c613c3faab876659c6423__25[[#This Row],[Hora de Llegada]]</f>
        <v>45023.051388888889</v>
      </c>
      <c r="Q707" s="9">
        <f>spaces_3iWczBNnn5rbfoUlE0Jd_uploads_git_blob_9864c7f811c613c3faab876659c6423__25[[#This Row],[Hora de Salida]]</f>
        <v>45023.20416666667</v>
      </c>
      <c r="R707" s="9" cm="1">
        <f t="array" ref="R70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0.16319444444525288</v>
      </c>
      <c r="S707" s="9">
        <f>_xlfn.XLOOKUP(spaces_3iWczBNnn5rbfoUlE0Jd_uploads_git_blob_9864c7f811c613c3faab876659c6423__25[[#This Row],[Número de Orden]],Cocinadinamica!E708:E1476,Cocinadinamica!F708:F1476)/1440</f>
        <v>2.2916666666666665E-2</v>
      </c>
      <c r="T707" s="9" cm="1">
        <f t="array" ref="T70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0.14027777777858622</v>
      </c>
      <c r="U707" s="9" t="str" cm="1">
        <f t="array" ref="U70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8" spans="1:21" x14ac:dyDescent="0.35">
      <c r="A708" s="27">
        <v>15</v>
      </c>
      <c r="B708" s="11" t="s">
        <v>1209</v>
      </c>
      <c r="C708" s="11">
        <v>1</v>
      </c>
      <c r="D708" s="12">
        <v>45023.128472222219</v>
      </c>
      <c r="E708" s="12">
        <v>45023.224305555559</v>
      </c>
      <c r="F708" s="11" t="s">
        <v>100</v>
      </c>
      <c r="G708" s="11" t="s">
        <v>163</v>
      </c>
      <c r="H708" s="11" t="s">
        <v>74</v>
      </c>
      <c r="I708" s="16">
        <v>40.39</v>
      </c>
      <c r="J708" s="11" t="s">
        <v>94</v>
      </c>
      <c r="K708" s="11">
        <v>707</v>
      </c>
      <c r="L708" s="11" t="s">
        <v>174</v>
      </c>
      <c r="M708" s="11" t="s">
        <v>1749</v>
      </c>
      <c r="N708">
        <f>_xlfn.XLOOKUP(spaces_3iWczBNnn5rbfoUlE0Jd_uploads_git_blob_9864c7f811c613c3faab876659c6423__25[[#This Row],[Número de Orden]],Cocinadinamica!B709:B1477,Cocinadinamica!C709:C1477)</f>
        <v>73</v>
      </c>
      <c r="O708" s="7">
        <f>spaces_3iWczBNnn5rbfoUlE0Jd_uploads_git_blob_9864c7f811c613c3faab876659c6423__25[[#This Row],[Hora de Llegada]]</f>
        <v>45023.128472222219</v>
      </c>
      <c r="P708" s="9">
        <f>spaces_3iWczBNnn5rbfoUlE0Jd_uploads_git_blob_9864c7f811c613c3faab876659c6423__25[[#This Row],[Hora de Llegada]]</f>
        <v>45023.128472222219</v>
      </c>
      <c r="Q708" s="9">
        <f>spaces_3iWczBNnn5rbfoUlE0Jd_uploads_git_blob_9864c7f811c613c3faab876659c6423__25[[#This Row],[Hora de Salida]]</f>
        <v>45023.224305555559</v>
      </c>
      <c r="R708" s="9" cm="1">
        <f t="array" ref="R70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9.5833333340124227E-2</v>
      </c>
      <c r="S708" s="9">
        <f>_xlfn.XLOOKUP(spaces_3iWczBNnn5rbfoUlE0Jd_uploads_git_blob_9864c7f811c613c3faab876659c6423__25[[#This Row],[Número de Orden]],Cocinadinamica!E709:E1477,Cocinadinamica!F709:F1477)/1440</f>
        <v>9.5138888888888884E-2</v>
      </c>
      <c r="T708" s="9" cm="1">
        <f t="array" ref="T70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6.9444445123534315E-4</v>
      </c>
      <c r="U708" s="9" t="str" cm="1">
        <f t="array" ref="U70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09" spans="1:21" x14ac:dyDescent="0.35">
      <c r="A709" s="28" t="s">
        <v>121</v>
      </c>
      <c r="B709" s="13" t="s">
        <v>804</v>
      </c>
      <c r="C709" s="13">
        <v>2</v>
      </c>
      <c r="D709" s="14">
        <v>45023.15</v>
      </c>
      <c r="E709" s="14">
        <v>45023.308333333334</v>
      </c>
      <c r="F709" s="13" t="s">
        <v>170</v>
      </c>
      <c r="G709" s="13" t="s">
        <v>73</v>
      </c>
      <c r="H709" s="13" t="s">
        <v>74</v>
      </c>
      <c r="I709" s="17">
        <v>4.18</v>
      </c>
      <c r="J709" s="13" t="s">
        <v>88</v>
      </c>
      <c r="K709" s="13">
        <v>708</v>
      </c>
      <c r="L709" s="13" t="s">
        <v>181</v>
      </c>
      <c r="M709" s="13" t="s">
        <v>17</v>
      </c>
      <c r="N709">
        <f>_xlfn.XLOOKUP(spaces_3iWczBNnn5rbfoUlE0Jd_uploads_git_blob_9864c7f811c613c3faab876659c6423__25[[#This Row],[Número de Orden]],Cocinadinamica!B710:B1478,Cocinadinamica!C710:C1478)</f>
        <v>22</v>
      </c>
      <c r="O709" s="7">
        <f>spaces_3iWczBNnn5rbfoUlE0Jd_uploads_git_blob_9864c7f811c613c3faab876659c6423__25[[#This Row],[Hora de Llegada]]</f>
        <v>45023.15</v>
      </c>
      <c r="P709" s="9">
        <f>spaces_3iWczBNnn5rbfoUlE0Jd_uploads_git_blob_9864c7f811c613c3faab876659c6423__25[[#This Row],[Hora de Llegada]]</f>
        <v>45023.15</v>
      </c>
      <c r="Q709" s="9">
        <f>spaces_3iWczBNnn5rbfoUlE0Jd_uploads_git_blob_9864c7f811c613c3faab876659c6423__25[[#This Row],[Hora de Salida]]</f>
        <v>45023.308333333334</v>
      </c>
      <c r="R709" s="9" cm="1">
        <f t="array" ref="R70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0.16874999999708962</v>
      </c>
      <c r="S709" s="9">
        <f>_xlfn.XLOOKUP(spaces_3iWczBNnn5rbfoUlE0Jd_uploads_git_blob_9864c7f811c613c3faab876659c6423__25[[#This Row],[Número de Orden]],Cocinadinamica!E710:E1478,Cocinadinamica!F710:F1478)/1440</f>
        <v>1.6666666666666666E-2</v>
      </c>
      <c r="T709" s="9" cm="1">
        <f t="array" ref="T70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0.15208333333042295</v>
      </c>
      <c r="U709" s="9" t="str" cm="1">
        <f t="array" ref="U70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0" spans="1:21" x14ac:dyDescent="0.35">
      <c r="A710" s="27">
        <v>8</v>
      </c>
      <c r="B710" s="11" t="s">
        <v>687</v>
      </c>
      <c r="C710" s="11">
        <v>4</v>
      </c>
      <c r="D710" s="12">
        <v>45023.079861111109</v>
      </c>
      <c r="E710" s="12">
        <v>45023.152777777781</v>
      </c>
      <c r="F710" s="11" t="s">
        <v>100</v>
      </c>
      <c r="G710" s="11" t="s">
        <v>86</v>
      </c>
      <c r="H710" s="11" t="s">
        <v>87</v>
      </c>
      <c r="I710" s="16">
        <v>26.15</v>
      </c>
      <c r="J710" s="11" t="s">
        <v>88</v>
      </c>
      <c r="K710" s="11">
        <v>709</v>
      </c>
      <c r="L710" s="11" t="s">
        <v>187</v>
      </c>
      <c r="M710" s="11" t="s">
        <v>1750</v>
      </c>
      <c r="N710">
        <f>_xlfn.XLOOKUP(spaces_3iWczBNnn5rbfoUlE0Jd_uploads_git_blob_9864c7f811c613c3faab876659c6423__25[[#This Row],[Número de Orden]],Cocinadinamica!B711:B1479,Cocinadinamica!C711:C1479)</f>
        <v>76</v>
      </c>
      <c r="O710" s="7">
        <f>spaces_3iWczBNnn5rbfoUlE0Jd_uploads_git_blob_9864c7f811c613c3faab876659c6423__25[[#This Row],[Hora de Llegada]]</f>
        <v>45023.079861111109</v>
      </c>
      <c r="P710" s="9">
        <f>spaces_3iWczBNnn5rbfoUlE0Jd_uploads_git_blob_9864c7f811c613c3faab876659c6423__25[[#This Row],[Hora de Llegada]]</f>
        <v>45023.079861111109</v>
      </c>
      <c r="Q710" s="9">
        <f>spaces_3iWczBNnn5rbfoUlE0Jd_uploads_git_blob_9864c7f811c613c3faab876659c6423__25[[#This Row],[Hora de Salida]]</f>
        <v>45023.152777777781</v>
      </c>
      <c r="R710" s="9" cm="1">
        <f t="array" ref="R71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8.3333333335758653E-2</v>
      </c>
      <c r="S710" s="9">
        <f>_xlfn.XLOOKUP(spaces_3iWczBNnn5rbfoUlE0Jd_uploads_git_blob_9864c7f811c613c3faab876659c6423__25[[#This Row],[Número de Orden]],Cocinadinamica!E711:E1479,Cocinadinamica!F711:F1479)/1440</f>
        <v>6.805555555555555E-2</v>
      </c>
      <c r="T710" s="9" cm="1">
        <f t="array" ref="T71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1.5277777780203103E-2</v>
      </c>
      <c r="U710" s="9" t="str" cm="1">
        <f t="array" ref="U71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1" spans="1:21" x14ac:dyDescent="0.35">
      <c r="A711" s="28">
        <v>18</v>
      </c>
      <c r="B711" s="13" t="s">
        <v>1210</v>
      </c>
      <c r="C711" s="13">
        <v>1</v>
      </c>
      <c r="D711" s="14">
        <v>45023.102777777778</v>
      </c>
      <c r="E711" s="14">
        <v>45023.151388888888</v>
      </c>
      <c r="F711" s="13" t="s">
        <v>85</v>
      </c>
      <c r="G711" s="13" t="s">
        <v>86</v>
      </c>
      <c r="H711" s="13" t="s">
        <v>74</v>
      </c>
      <c r="I711" s="17">
        <v>28.43</v>
      </c>
      <c r="J711" s="13" t="s">
        <v>88</v>
      </c>
      <c r="K711" s="13">
        <v>710</v>
      </c>
      <c r="L711" s="13" t="s">
        <v>181</v>
      </c>
      <c r="M711" s="13" t="s">
        <v>1751</v>
      </c>
      <c r="N711">
        <f>_xlfn.XLOOKUP(spaces_3iWczBNnn5rbfoUlE0Jd_uploads_git_blob_9864c7f811c613c3faab876659c6423__25[[#This Row],[Número de Orden]],Cocinadinamica!B712:B1480,Cocinadinamica!C712:C1480)</f>
        <v>57</v>
      </c>
      <c r="O711" s="7">
        <f>spaces_3iWczBNnn5rbfoUlE0Jd_uploads_git_blob_9864c7f811c613c3faab876659c6423__25[[#This Row],[Hora de Llegada]]</f>
        <v>45023.102777777778</v>
      </c>
      <c r="P711" s="9">
        <f>spaces_3iWczBNnn5rbfoUlE0Jd_uploads_git_blob_9864c7f811c613c3faab876659c6423__25[[#This Row],[Hora de Llegada]]</f>
        <v>45023.102777777778</v>
      </c>
      <c r="Q711" s="9">
        <f>spaces_3iWczBNnn5rbfoUlE0Jd_uploads_git_blob_9864c7f811c613c3faab876659c6423__25[[#This Row],[Hora de Salida]]</f>
        <v>45023.151388888888</v>
      </c>
      <c r="R711" s="9" cm="1">
        <f t="array" ref="R71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5.9027777773735579E-2</v>
      </c>
      <c r="S711" s="9">
        <f>_xlfn.XLOOKUP(spaces_3iWczBNnn5rbfoUlE0Jd_uploads_git_blob_9864c7f811c613c3faab876659c6423__25[[#This Row],[Número de Orden]],Cocinadinamica!E712:E1480,Cocinadinamica!F712:F1480)/1440</f>
        <v>9.7222222222222224E-2</v>
      </c>
      <c r="T711" s="9" cm="1">
        <f t="array" ref="T71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711" s="9" t="str" cm="1">
        <f t="array" ref="U71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712" spans="1:21" x14ac:dyDescent="0.35">
      <c r="A712" s="27">
        <v>20</v>
      </c>
      <c r="B712" s="11" t="s">
        <v>566</v>
      </c>
      <c r="C712" s="11">
        <v>6</v>
      </c>
      <c r="D712" s="12">
        <v>45023.07708333333</v>
      </c>
      <c r="E712" s="12">
        <v>45023.220833333333</v>
      </c>
      <c r="F712" s="11" t="s">
        <v>223</v>
      </c>
      <c r="G712" s="11" t="s">
        <v>86</v>
      </c>
      <c r="H712" s="11" t="s">
        <v>109</v>
      </c>
      <c r="I712" s="16">
        <v>49.74</v>
      </c>
      <c r="J712" s="11" t="s">
        <v>88</v>
      </c>
      <c r="K712" s="11">
        <v>711</v>
      </c>
      <c r="L712" s="11" t="s">
        <v>174</v>
      </c>
      <c r="M712" s="11" t="s">
        <v>1534</v>
      </c>
      <c r="N712">
        <f>_xlfn.XLOOKUP(spaces_3iWczBNnn5rbfoUlE0Jd_uploads_git_blob_9864c7f811c613c3faab876659c6423__25[[#This Row],[Número de Orden]],Cocinadinamica!B713:B1481,Cocinadinamica!C713:C1481)</f>
        <v>68</v>
      </c>
      <c r="O712" s="7">
        <f>spaces_3iWczBNnn5rbfoUlE0Jd_uploads_git_blob_9864c7f811c613c3faab876659c6423__25[[#This Row],[Hora de Llegada]]</f>
        <v>45023.07708333333</v>
      </c>
      <c r="P712" s="9">
        <f>spaces_3iWczBNnn5rbfoUlE0Jd_uploads_git_blob_9864c7f811c613c3faab876659c6423__25[[#This Row],[Hora de Llegada]]</f>
        <v>45023.07708333333</v>
      </c>
      <c r="Q712" s="9">
        <f>spaces_3iWczBNnn5rbfoUlE0Jd_uploads_git_blob_9864c7f811c613c3faab876659c6423__25[[#This Row],[Hora de Salida]]</f>
        <v>45023.220833333333</v>
      </c>
      <c r="R712" s="9" cm="1">
        <f t="array" ref="R71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0.15416666666715173</v>
      </c>
      <c r="S712" s="9">
        <f>_xlfn.XLOOKUP(spaces_3iWczBNnn5rbfoUlE0Jd_uploads_git_blob_9864c7f811c613c3faab876659c6423__25[[#This Row],[Número de Orden]],Cocinadinamica!E713:E1481,Cocinadinamica!F713:F1481)/1440</f>
        <v>4.0972222222222222E-2</v>
      </c>
      <c r="T712" s="9" cm="1">
        <f t="array" ref="T71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0.11319444444492952</v>
      </c>
      <c r="U712" s="9" t="str" cm="1">
        <f t="array" ref="U71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3" spans="1:21" x14ac:dyDescent="0.35">
      <c r="A713" s="28" t="s">
        <v>232</v>
      </c>
      <c r="B713" s="13" t="s">
        <v>808</v>
      </c>
      <c r="C713" s="13">
        <v>5</v>
      </c>
      <c r="D713" s="14">
        <v>45023.004166666666</v>
      </c>
      <c r="E713" s="14">
        <v>45023.102083333331</v>
      </c>
      <c r="F713" s="13" t="s">
        <v>100</v>
      </c>
      <c r="G713" s="13" t="s">
        <v>163</v>
      </c>
      <c r="H713" s="13" t="s">
        <v>87</v>
      </c>
      <c r="I713" s="17">
        <v>42.21</v>
      </c>
      <c r="J713" s="13" t="s">
        <v>94</v>
      </c>
      <c r="K713" s="13">
        <v>712</v>
      </c>
      <c r="L713" s="13" t="s">
        <v>76</v>
      </c>
      <c r="M713" s="13" t="s">
        <v>9</v>
      </c>
      <c r="N713">
        <f>_xlfn.XLOOKUP(spaces_3iWczBNnn5rbfoUlE0Jd_uploads_git_blob_9864c7f811c613c3faab876659c6423__25[[#This Row],[Número de Orden]],Cocinadinamica!B714:B1482,Cocinadinamica!C714:C1482)</f>
        <v>20</v>
      </c>
      <c r="O713" s="7">
        <f>spaces_3iWczBNnn5rbfoUlE0Jd_uploads_git_blob_9864c7f811c613c3faab876659c6423__25[[#This Row],[Hora de Llegada]]</f>
        <v>45023.004166666666</v>
      </c>
      <c r="P713" s="9">
        <f>spaces_3iWczBNnn5rbfoUlE0Jd_uploads_git_blob_9864c7f811c613c3faab876659c6423__25[[#This Row],[Hora de Llegada]]</f>
        <v>45023.004166666666</v>
      </c>
      <c r="Q713" s="9">
        <f>spaces_3iWczBNnn5rbfoUlE0Jd_uploads_git_blob_9864c7f811c613c3faab876659c6423__25[[#This Row],[Hora de Salida]]</f>
        <v>45023.102083333331</v>
      </c>
      <c r="R713" s="9" cm="1">
        <f t="array" ref="R71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9.7916666665696539E-2</v>
      </c>
      <c r="S713" s="9">
        <f>_xlfn.XLOOKUP(spaces_3iWczBNnn5rbfoUlE0Jd_uploads_git_blob_9864c7f811c613c3faab876659c6423__25[[#This Row],[Número de Orden]],Cocinadinamica!E714:E1482,Cocinadinamica!F714:F1482)/1440</f>
        <v>3.4027777777777775E-2</v>
      </c>
      <c r="T713" s="9" cm="1">
        <f t="array" ref="T71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6.3888888887918771E-2</v>
      </c>
      <c r="U713" s="9" t="str" cm="1">
        <f t="array" ref="U71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4" spans="1:21" x14ac:dyDescent="0.35">
      <c r="A714" s="27">
        <v>6</v>
      </c>
      <c r="B714" s="11" t="s">
        <v>1211</v>
      </c>
      <c r="C714" s="11">
        <v>4</v>
      </c>
      <c r="D714" s="12">
        <v>45023.010416666664</v>
      </c>
      <c r="E714" s="12">
        <v>45023.119444444441</v>
      </c>
      <c r="F714" s="11" t="s">
        <v>223</v>
      </c>
      <c r="G714" s="11" t="s">
        <v>73</v>
      </c>
      <c r="H714" s="11" t="s">
        <v>74</v>
      </c>
      <c r="I714" s="16">
        <v>35.11</v>
      </c>
      <c r="J714" s="11" t="s">
        <v>75</v>
      </c>
      <c r="K714" s="11">
        <v>713</v>
      </c>
      <c r="L714" s="11" t="s">
        <v>174</v>
      </c>
      <c r="M714" s="11" t="s">
        <v>1752</v>
      </c>
      <c r="N714">
        <f>_xlfn.XLOOKUP(spaces_3iWczBNnn5rbfoUlE0Jd_uploads_git_blob_9864c7f811c613c3faab876659c6423__25[[#This Row],[Número de Orden]],Cocinadinamica!B715:B1483,Cocinadinamica!C715:C1483)</f>
        <v>147</v>
      </c>
      <c r="O714" s="7">
        <f>spaces_3iWczBNnn5rbfoUlE0Jd_uploads_git_blob_9864c7f811c613c3faab876659c6423__25[[#This Row],[Hora de Llegada]]</f>
        <v>45023.010416666664</v>
      </c>
      <c r="P714" s="9">
        <f>spaces_3iWczBNnn5rbfoUlE0Jd_uploads_git_blob_9864c7f811c613c3faab876659c6423__25[[#This Row],[Hora de Llegada]]</f>
        <v>45023.010416666664</v>
      </c>
      <c r="Q714" s="9">
        <f>spaces_3iWczBNnn5rbfoUlE0Jd_uploads_git_blob_9864c7f811c613c3faab876659c6423__25[[#This Row],[Hora de Salida]]</f>
        <v>45023.119444444441</v>
      </c>
      <c r="R714" s="9" cm="1">
        <f t="array" ref="R71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0.10902777777664596</v>
      </c>
      <c r="S714" s="9">
        <f>_xlfn.XLOOKUP(spaces_3iWczBNnn5rbfoUlE0Jd_uploads_git_blob_9864c7f811c613c3faab876659c6423__25[[#This Row],[Número de Orden]],Cocinadinamica!E715:E1483,Cocinadinamica!F715:F1483)/1440</f>
        <v>8.6805555555555552E-2</v>
      </c>
      <c r="T714" s="9" cm="1">
        <f t="array" ref="T71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2.222222222109041E-2</v>
      </c>
      <c r="U714" s="9" t="str" cm="1">
        <f t="array" ref="U71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5" spans="1:21" x14ac:dyDescent="0.35">
      <c r="A715" s="28">
        <v>19</v>
      </c>
      <c r="B715" s="13" t="s">
        <v>1007</v>
      </c>
      <c r="C715" s="13">
        <v>2</v>
      </c>
      <c r="D715" s="14">
        <v>45023.097916666666</v>
      </c>
      <c r="E715" s="14">
        <v>45023.170138888891</v>
      </c>
      <c r="F715" s="13" t="s">
        <v>85</v>
      </c>
      <c r="G715" s="13" t="s">
        <v>86</v>
      </c>
      <c r="H715" s="13" t="s">
        <v>74</v>
      </c>
      <c r="I715" s="17">
        <v>10.69</v>
      </c>
      <c r="J715" s="13" t="s">
        <v>75</v>
      </c>
      <c r="K715" s="13">
        <v>714</v>
      </c>
      <c r="L715" s="13" t="s">
        <v>110</v>
      </c>
      <c r="M715" s="13" t="s">
        <v>1753</v>
      </c>
      <c r="N715">
        <f>_xlfn.XLOOKUP(spaces_3iWczBNnn5rbfoUlE0Jd_uploads_git_blob_9864c7f811c613c3faab876659c6423__25[[#This Row],[Número de Orden]],Cocinadinamica!B716:B1484,Cocinadinamica!C716:C1484)</f>
        <v>91</v>
      </c>
      <c r="O715" s="7">
        <f>spaces_3iWczBNnn5rbfoUlE0Jd_uploads_git_blob_9864c7f811c613c3faab876659c6423__25[[#This Row],[Hora de Llegada]]</f>
        <v>45023.097916666666</v>
      </c>
      <c r="P715" s="9">
        <f>spaces_3iWczBNnn5rbfoUlE0Jd_uploads_git_blob_9864c7f811c613c3faab876659c6423__25[[#This Row],[Hora de Llegada]]</f>
        <v>45023.097916666666</v>
      </c>
      <c r="Q715" s="9">
        <f>spaces_3iWczBNnn5rbfoUlE0Jd_uploads_git_blob_9864c7f811c613c3faab876659c6423__25[[#This Row],[Hora de Salida]]</f>
        <v>45023.170138888891</v>
      </c>
      <c r="R715" s="9" cm="1">
        <f t="array" ref="R71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7.2222222224809229E-2</v>
      </c>
      <c r="S715" s="9">
        <f>_xlfn.XLOOKUP(spaces_3iWczBNnn5rbfoUlE0Jd_uploads_git_blob_9864c7f811c613c3faab876659c6423__25[[#This Row],[Número de Orden]],Cocinadinamica!E716:E1484,Cocinadinamica!F716:F1484)/1440</f>
        <v>4.3749999999999997E-2</v>
      </c>
      <c r="T715" s="9" cm="1">
        <f t="array" ref="T71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2.8472222224809232E-2</v>
      </c>
      <c r="U715" s="9" t="str" cm="1">
        <f t="array" ref="U71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6" spans="1:21" x14ac:dyDescent="0.35">
      <c r="A716" s="27">
        <v>12</v>
      </c>
      <c r="B716" s="11" t="s">
        <v>1212</v>
      </c>
      <c r="C716" s="11">
        <v>6</v>
      </c>
      <c r="D716" s="12">
        <v>45023.072916666664</v>
      </c>
      <c r="E716" s="12">
        <v>45023.177083333336</v>
      </c>
      <c r="F716" s="11" t="s">
        <v>170</v>
      </c>
      <c r="G716" s="11" t="s">
        <v>86</v>
      </c>
      <c r="H716" s="11" t="s">
        <v>109</v>
      </c>
      <c r="I716" s="16">
        <v>39.909999999999997</v>
      </c>
      <c r="J716" s="11" t="s">
        <v>88</v>
      </c>
      <c r="K716" s="11">
        <v>715</v>
      </c>
      <c r="L716" s="11" t="s">
        <v>76</v>
      </c>
      <c r="M716" s="11" t="s">
        <v>1754</v>
      </c>
      <c r="N716">
        <f>_xlfn.XLOOKUP(spaces_3iWczBNnn5rbfoUlE0Jd_uploads_git_blob_9864c7f811c613c3faab876659c6423__25[[#This Row],[Número de Orden]],Cocinadinamica!B717:B1485,Cocinadinamica!C717:C1485)</f>
        <v>101</v>
      </c>
      <c r="O716" s="7">
        <f>spaces_3iWczBNnn5rbfoUlE0Jd_uploads_git_blob_9864c7f811c613c3faab876659c6423__25[[#This Row],[Hora de Llegada]]</f>
        <v>45023.072916666664</v>
      </c>
      <c r="P716" s="9">
        <f>spaces_3iWczBNnn5rbfoUlE0Jd_uploads_git_blob_9864c7f811c613c3faab876659c6423__25[[#This Row],[Hora de Llegada]]</f>
        <v>45023.072916666664</v>
      </c>
      <c r="Q716" s="9">
        <f>spaces_3iWczBNnn5rbfoUlE0Jd_uploads_git_blob_9864c7f811c613c3faab876659c6423__25[[#This Row],[Hora de Salida]]</f>
        <v>45023.177083333336</v>
      </c>
      <c r="R716" s="9" cm="1">
        <f t="array" ref="R71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0.11458333333575865</v>
      </c>
      <c r="S716" s="9">
        <f>_xlfn.XLOOKUP(spaces_3iWczBNnn5rbfoUlE0Jd_uploads_git_blob_9864c7f811c613c3faab876659c6423__25[[#This Row],[Número de Orden]],Cocinadinamica!E717:E1485,Cocinadinamica!F717:F1485)/1440</f>
        <v>9.4444444444444442E-2</v>
      </c>
      <c r="T716" s="9" cm="1">
        <f t="array" ref="T71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2.0138888891314211E-2</v>
      </c>
      <c r="U716" s="9" t="str" cm="1">
        <f t="array" ref="U71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7" spans="1:21" x14ac:dyDescent="0.35">
      <c r="A717" s="28">
        <v>12</v>
      </c>
      <c r="B717" s="13" t="s">
        <v>1056</v>
      </c>
      <c r="C717" s="13">
        <v>4</v>
      </c>
      <c r="D717" s="14">
        <v>45023.074305555558</v>
      </c>
      <c r="E717" s="14">
        <v>45023.197222222225</v>
      </c>
      <c r="F717" s="13" t="s">
        <v>100</v>
      </c>
      <c r="G717" s="13" t="s">
        <v>73</v>
      </c>
      <c r="H717" s="13" t="s">
        <v>74</v>
      </c>
      <c r="I717" s="17">
        <v>44.73</v>
      </c>
      <c r="J717" s="13" t="s">
        <v>88</v>
      </c>
      <c r="K717" s="13">
        <v>716</v>
      </c>
      <c r="L717" s="13" t="s">
        <v>89</v>
      </c>
      <c r="M717" s="13" t="s">
        <v>1755</v>
      </c>
      <c r="N717">
        <f>_xlfn.XLOOKUP(spaces_3iWczBNnn5rbfoUlE0Jd_uploads_git_blob_9864c7f811c613c3faab876659c6423__25[[#This Row],[Número de Orden]],Cocinadinamica!B718:B1486,Cocinadinamica!C718:C1486)</f>
        <v>90</v>
      </c>
      <c r="O717" s="7">
        <f>spaces_3iWczBNnn5rbfoUlE0Jd_uploads_git_blob_9864c7f811c613c3faab876659c6423__25[[#This Row],[Hora de Llegada]]</f>
        <v>45023.074305555558</v>
      </c>
      <c r="P717" s="9">
        <f>spaces_3iWczBNnn5rbfoUlE0Jd_uploads_git_blob_9864c7f811c613c3faab876659c6423__25[[#This Row],[Hora de Llegada]]</f>
        <v>45023.074305555558</v>
      </c>
      <c r="Q717" s="9">
        <f>spaces_3iWczBNnn5rbfoUlE0Jd_uploads_git_blob_9864c7f811c613c3faab876659c6423__25[[#This Row],[Hora de Salida]]</f>
        <v>45023.197222222225</v>
      </c>
      <c r="R717" s="9" cm="1">
        <f t="array" ref="R71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0.13333333333139308</v>
      </c>
      <c r="S717" s="9">
        <f>_xlfn.XLOOKUP(spaces_3iWczBNnn5rbfoUlE0Jd_uploads_git_blob_9864c7f811c613c3faab876659c6423__25[[#This Row],[Número de Orden]],Cocinadinamica!E718:E1486,Cocinadinamica!F718:F1486)/1440</f>
        <v>6.25E-2</v>
      </c>
      <c r="T717" s="9" cm="1">
        <f t="array" ref="T71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7.0833333331393078E-2</v>
      </c>
      <c r="U717" s="9" t="str" cm="1">
        <f t="array" ref="U71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8" spans="1:21" x14ac:dyDescent="0.35">
      <c r="A718" s="27">
        <v>8</v>
      </c>
      <c r="B718" s="11" t="s">
        <v>645</v>
      </c>
      <c r="C718" s="11">
        <v>5</v>
      </c>
      <c r="D718" s="12">
        <v>45023.163888888892</v>
      </c>
      <c r="E718" s="12">
        <v>45023.252083333333</v>
      </c>
      <c r="F718" s="11" t="s">
        <v>223</v>
      </c>
      <c r="G718" s="11" t="s">
        <v>86</v>
      </c>
      <c r="H718" s="11" t="s">
        <v>74</v>
      </c>
      <c r="I718" s="16">
        <v>23.67</v>
      </c>
      <c r="J718" s="11" t="s">
        <v>75</v>
      </c>
      <c r="K718" s="11">
        <v>717</v>
      </c>
      <c r="L718" s="11" t="s">
        <v>95</v>
      </c>
      <c r="M718" s="11" t="s">
        <v>1756</v>
      </c>
      <c r="N718">
        <f>_xlfn.XLOOKUP(spaces_3iWczBNnn5rbfoUlE0Jd_uploads_git_blob_9864c7f811c613c3faab876659c6423__25[[#This Row],[Número de Orden]],Cocinadinamica!B719:B1487,Cocinadinamica!C719:C1487)</f>
        <v>63</v>
      </c>
      <c r="O718" s="7">
        <f>spaces_3iWczBNnn5rbfoUlE0Jd_uploads_git_blob_9864c7f811c613c3faab876659c6423__25[[#This Row],[Hora de Llegada]]</f>
        <v>45023.163888888892</v>
      </c>
      <c r="P718" s="9">
        <f>spaces_3iWczBNnn5rbfoUlE0Jd_uploads_git_blob_9864c7f811c613c3faab876659c6423__25[[#This Row],[Hora de Llegada]]</f>
        <v>45023.163888888892</v>
      </c>
      <c r="Q718" s="9">
        <f>spaces_3iWczBNnn5rbfoUlE0Jd_uploads_git_blob_9864c7f811c613c3faab876659c6423__25[[#This Row],[Hora de Salida]]</f>
        <v>45023.252083333333</v>
      </c>
      <c r="R718" s="9" cm="1">
        <f t="array" ref="R71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8.819444444088731E-2</v>
      </c>
      <c r="S718" s="9">
        <f>_xlfn.XLOOKUP(spaces_3iWczBNnn5rbfoUlE0Jd_uploads_git_blob_9864c7f811c613c3faab876659c6423__25[[#This Row],[Número de Orden]],Cocinadinamica!E719:E1487,Cocinadinamica!F719:F1487)/1440</f>
        <v>0.05</v>
      </c>
      <c r="T718" s="9" cm="1">
        <f t="array" ref="T71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3.8194444440887307E-2</v>
      </c>
      <c r="U718" s="9" t="str" cm="1">
        <f t="array" ref="U71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19" spans="1:21" x14ac:dyDescent="0.35">
      <c r="A719" s="28" t="s">
        <v>70</v>
      </c>
      <c r="B719" s="13" t="s">
        <v>814</v>
      </c>
      <c r="C719" s="13">
        <v>6</v>
      </c>
      <c r="D719" s="14">
        <v>45023.137499999997</v>
      </c>
      <c r="E719" s="14">
        <v>45023.29583333333</v>
      </c>
      <c r="F719" s="13" t="s">
        <v>100</v>
      </c>
      <c r="G719" s="13" t="s">
        <v>163</v>
      </c>
      <c r="H719" s="13" t="s">
        <v>74</v>
      </c>
      <c r="I719" s="17">
        <v>37.21</v>
      </c>
      <c r="J719" s="13" t="s">
        <v>75</v>
      </c>
      <c r="K719" s="13">
        <v>718</v>
      </c>
      <c r="L719" s="13" t="s">
        <v>275</v>
      </c>
      <c r="M719" s="13" t="s">
        <v>39</v>
      </c>
      <c r="N719">
        <f>_xlfn.XLOOKUP(spaces_3iWczBNnn5rbfoUlE0Jd_uploads_git_blob_9864c7f811c613c3faab876659c6423__25[[#This Row],[Número de Orden]],Cocinadinamica!B720:B1488,Cocinadinamica!C720:C1488)</f>
        <v>8</v>
      </c>
      <c r="O719" s="7">
        <f>spaces_3iWczBNnn5rbfoUlE0Jd_uploads_git_blob_9864c7f811c613c3faab876659c6423__25[[#This Row],[Hora de Llegada]]</f>
        <v>45023.137499999997</v>
      </c>
      <c r="P719" s="9">
        <f>spaces_3iWczBNnn5rbfoUlE0Jd_uploads_git_blob_9864c7f811c613c3faab876659c6423__25[[#This Row],[Hora de Llegada]]</f>
        <v>45023.137499999997</v>
      </c>
      <c r="Q719" s="9">
        <f>spaces_3iWczBNnn5rbfoUlE0Jd_uploads_git_blob_9864c7f811c613c3faab876659c6423__25[[#This Row],[Hora de Salida]]</f>
        <v>45023.29583333333</v>
      </c>
      <c r="R719" s="9" cm="1">
        <f t="array" ref="R71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0.15833333333284827</v>
      </c>
      <c r="S719" s="9">
        <f>_xlfn.XLOOKUP(spaces_3iWczBNnn5rbfoUlE0Jd_uploads_git_blob_9864c7f811c613c3faab876659c6423__25[[#This Row],[Número de Orden]],Cocinadinamica!E720:E1488,Cocinadinamica!F720:F1488)/1440</f>
        <v>4.027777777777778E-2</v>
      </c>
      <c r="T719" s="9" cm="1">
        <f t="array" ref="T71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0.1180555555550705</v>
      </c>
      <c r="U719" s="9" t="str" cm="1">
        <f t="array" ref="U71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0" spans="1:21" x14ac:dyDescent="0.35">
      <c r="A720" s="27">
        <v>16</v>
      </c>
      <c r="B720" s="11" t="s">
        <v>1213</v>
      </c>
      <c r="C720" s="11">
        <v>3</v>
      </c>
      <c r="D720" s="12">
        <v>45023.054166666669</v>
      </c>
      <c r="E720" s="12">
        <v>45023.117361111108</v>
      </c>
      <c r="F720" s="11" t="s">
        <v>223</v>
      </c>
      <c r="G720" s="11" t="s">
        <v>86</v>
      </c>
      <c r="H720" s="11" t="s">
        <v>109</v>
      </c>
      <c r="I720" s="16">
        <v>17.23</v>
      </c>
      <c r="J720" s="11" t="s">
        <v>75</v>
      </c>
      <c r="K720" s="11">
        <v>719</v>
      </c>
      <c r="L720" s="11" t="s">
        <v>110</v>
      </c>
      <c r="M720" s="11" t="s">
        <v>1757</v>
      </c>
      <c r="N720">
        <f>_xlfn.XLOOKUP(spaces_3iWczBNnn5rbfoUlE0Jd_uploads_git_blob_9864c7f811c613c3faab876659c6423__25[[#This Row],[Número de Orden]],Cocinadinamica!B721:B1489,Cocinadinamica!C721:C1489)</f>
        <v>43</v>
      </c>
      <c r="O720" s="7">
        <f>spaces_3iWczBNnn5rbfoUlE0Jd_uploads_git_blob_9864c7f811c613c3faab876659c6423__25[[#This Row],[Hora de Llegada]]</f>
        <v>45023.054166666669</v>
      </c>
      <c r="P720" s="9">
        <f>spaces_3iWczBNnn5rbfoUlE0Jd_uploads_git_blob_9864c7f811c613c3faab876659c6423__25[[#This Row],[Hora de Llegada]]</f>
        <v>45023.054166666669</v>
      </c>
      <c r="Q720" s="9">
        <f>spaces_3iWczBNnn5rbfoUlE0Jd_uploads_git_blob_9864c7f811c613c3faab876659c6423__25[[#This Row],[Hora de Salida]]</f>
        <v>45023.117361111108</v>
      </c>
      <c r="R720" s="9" cm="1">
        <f t="array" ref="R72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6.3194444439432118E-2</v>
      </c>
      <c r="S720" s="9">
        <f>_xlfn.XLOOKUP(spaces_3iWczBNnn5rbfoUlE0Jd_uploads_git_blob_9864c7f811c613c3faab876659c6423__25[[#This Row],[Número de Orden]],Cocinadinamica!E721:E1489,Cocinadinamica!F721:F1489)/1440</f>
        <v>4.8611111111111112E-2</v>
      </c>
      <c r="T720" s="9" cm="1">
        <f t="array" ref="T72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1.4583333328321006E-2</v>
      </c>
      <c r="U720" s="9" t="str" cm="1">
        <f t="array" ref="U72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1" spans="1:21" x14ac:dyDescent="0.35">
      <c r="A721" s="28">
        <v>4</v>
      </c>
      <c r="B721" s="13" t="s">
        <v>1214</v>
      </c>
      <c r="C721" s="13">
        <v>5</v>
      </c>
      <c r="D721" s="14">
        <v>45023.092361111114</v>
      </c>
      <c r="E721" s="14">
        <v>45023.240277777775</v>
      </c>
      <c r="F721" s="13" t="s">
        <v>170</v>
      </c>
      <c r="G721" s="13" t="s">
        <v>86</v>
      </c>
      <c r="H721" s="13" t="s">
        <v>74</v>
      </c>
      <c r="I721" s="17">
        <v>40.28</v>
      </c>
      <c r="J721" s="13" t="s">
        <v>94</v>
      </c>
      <c r="K721" s="13">
        <v>720</v>
      </c>
      <c r="L721" s="13" t="s">
        <v>221</v>
      </c>
      <c r="M721" s="13" t="s">
        <v>1758</v>
      </c>
      <c r="N721">
        <f>_xlfn.XLOOKUP(spaces_3iWczBNnn5rbfoUlE0Jd_uploads_git_blob_9864c7f811c613c3faab876659c6423__25[[#This Row],[Número de Orden]],Cocinadinamica!B722:B1490,Cocinadinamica!C722:C1490)</f>
        <v>69</v>
      </c>
      <c r="O721" s="7">
        <f>spaces_3iWczBNnn5rbfoUlE0Jd_uploads_git_blob_9864c7f811c613c3faab876659c6423__25[[#This Row],[Hora de Llegada]]</f>
        <v>45023.092361111114</v>
      </c>
      <c r="P721" s="9">
        <f>spaces_3iWczBNnn5rbfoUlE0Jd_uploads_git_blob_9864c7f811c613c3faab876659c6423__25[[#This Row],[Hora de Llegada]]</f>
        <v>45023.092361111114</v>
      </c>
      <c r="Q721" s="9">
        <f>spaces_3iWczBNnn5rbfoUlE0Jd_uploads_git_blob_9864c7f811c613c3faab876659c6423__25[[#This Row],[Hora de Salida]]</f>
        <v>45023.240277777775</v>
      </c>
      <c r="R721" s="9" cm="1">
        <f t="array" ref="R72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0.14791666666133096</v>
      </c>
      <c r="S721" s="9">
        <f>_xlfn.XLOOKUP(spaces_3iWczBNnn5rbfoUlE0Jd_uploads_git_blob_9864c7f811c613c3faab876659c6423__25[[#This Row],[Número de Orden]],Cocinadinamica!E722:E1490,Cocinadinamica!F722:F1490)/1440</f>
        <v>9.2361111111111116E-2</v>
      </c>
      <c r="T721" s="9" cm="1">
        <f t="array" ref="T72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5.5555555550219848E-2</v>
      </c>
      <c r="U721" s="9" t="str" cm="1">
        <f t="array" ref="U72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2" spans="1:21" x14ac:dyDescent="0.35">
      <c r="A722" s="27">
        <v>6</v>
      </c>
      <c r="B722" s="11" t="s">
        <v>915</v>
      </c>
      <c r="C722" s="11">
        <v>2</v>
      </c>
      <c r="D722" s="12">
        <v>45023.161805555559</v>
      </c>
      <c r="E722" s="12">
        <v>45023.292361111111</v>
      </c>
      <c r="F722" s="11" t="s">
        <v>100</v>
      </c>
      <c r="G722" s="11" t="s">
        <v>163</v>
      </c>
      <c r="H722" s="11" t="s">
        <v>74</v>
      </c>
      <c r="I722" s="16">
        <v>47.13</v>
      </c>
      <c r="J722" s="11" t="s">
        <v>75</v>
      </c>
      <c r="K722" s="11">
        <v>721</v>
      </c>
      <c r="L722" s="11" t="s">
        <v>221</v>
      </c>
      <c r="M722" s="11" t="s">
        <v>1759</v>
      </c>
      <c r="N722">
        <f>_xlfn.XLOOKUP(spaces_3iWczBNnn5rbfoUlE0Jd_uploads_git_blob_9864c7f811c613c3faab876659c6423__25[[#This Row],[Número de Orden]],Cocinadinamica!B723:B1491,Cocinadinamica!C723:C1491)</f>
        <v>89</v>
      </c>
      <c r="O722" s="7">
        <f>spaces_3iWczBNnn5rbfoUlE0Jd_uploads_git_blob_9864c7f811c613c3faab876659c6423__25[[#This Row],[Hora de Llegada]]</f>
        <v>45023.161805555559</v>
      </c>
      <c r="P722" s="9">
        <f>spaces_3iWczBNnn5rbfoUlE0Jd_uploads_git_blob_9864c7f811c613c3faab876659c6423__25[[#This Row],[Hora de Llegada]]</f>
        <v>45023.161805555559</v>
      </c>
      <c r="Q722" s="9">
        <f>spaces_3iWczBNnn5rbfoUlE0Jd_uploads_git_blob_9864c7f811c613c3faab876659c6423__25[[#This Row],[Hora de Salida]]</f>
        <v>45023.292361111111</v>
      </c>
      <c r="R722" s="9" cm="1">
        <f t="array" ref="R72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0.13055555555183673</v>
      </c>
      <c r="S722" s="9">
        <f>_xlfn.XLOOKUP(spaces_3iWczBNnn5rbfoUlE0Jd_uploads_git_blob_9864c7f811c613c3faab876659c6423__25[[#This Row],[Número de Orden]],Cocinadinamica!E723:E1491,Cocinadinamica!F723:F1491)/1440</f>
        <v>9.2361111111111116E-2</v>
      </c>
      <c r="T722" s="9" cm="1">
        <f t="array" ref="T72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3.8194444440725617E-2</v>
      </c>
      <c r="U722" s="9" t="str" cm="1">
        <f t="array" ref="U72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3" spans="1:21" x14ac:dyDescent="0.35">
      <c r="A723" s="28">
        <v>13</v>
      </c>
      <c r="B723" s="13" t="s">
        <v>1215</v>
      </c>
      <c r="C723" s="13">
        <v>5</v>
      </c>
      <c r="D723" s="14">
        <v>45023.118750000001</v>
      </c>
      <c r="E723" s="14">
        <v>45023.172222222223</v>
      </c>
      <c r="F723" s="13" t="s">
        <v>100</v>
      </c>
      <c r="G723" s="13" t="s">
        <v>86</v>
      </c>
      <c r="H723" s="13" t="s">
        <v>74</v>
      </c>
      <c r="I723" s="17">
        <v>20.62</v>
      </c>
      <c r="J723" s="13" t="s">
        <v>75</v>
      </c>
      <c r="K723" s="13">
        <v>722</v>
      </c>
      <c r="L723" s="13" t="s">
        <v>187</v>
      </c>
      <c r="M723" s="13" t="s">
        <v>1760</v>
      </c>
      <c r="N723">
        <f>_xlfn.XLOOKUP(spaces_3iWczBNnn5rbfoUlE0Jd_uploads_git_blob_9864c7f811c613c3faab876659c6423__25[[#This Row],[Número de Orden]],Cocinadinamica!B724:B1492,Cocinadinamica!C724:C1492)</f>
        <v>33</v>
      </c>
      <c r="O723" s="7">
        <f>spaces_3iWczBNnn5rbfoUlE0Jd_uploads_git_blob_9864c7f811c613c3faab876659c6423__25[[#This Row],[Hora de Llegada]]</f>
        <v>45023.118750000001</v>
      </c>
      <c r="P723" s="9">
        <f>spaces_3iWczBNnn5rbfoUlE0Jd_uploads_git_blob_9864c7f811c613c3faab876659c6423__25[[#This Row],[Hora de Llegada]]</f>
        <v>45023.118750000001</v>
      </c>
      <c r="Q723" s="9">
        <f>spaces_3iWczBNnn5rbfoUlE0Jd_uploads_git_blob_9864c7f811c613c3faab876659c6423__25[[#This Row],[Hora de Salida]]</f>
        <v>45023.172222222223</v>
      </c>
      <c r="R723" s="9" cm="1">
        <f t="array" ref="R72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5.3472222221898846E-2</v>
      </c>
      <c r="S723" s="9">
        <f>_xlfn.XLOOKUP(spaces_3iWczBNnn5rbfoUlE0Jd_uploads_git_blob_9864c7f811c613c3faab876659c6423__25[[#This Row],[Número de Orden]],Cocinadinamica!E724:E1492,Cocinadinamica!F724:F1492)/1440</f>
        <v>4.0972222222222222E-2</v>
      </c>
      <c r="T723" s="9" cm="1">
        <f t="array" ref="T72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1.2499999999676624E-2</v>
      </c>
      <c r="U723" s="9" t="str" cm="1">
        <f t="array" ref="U72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4" spans="1:21" x14ac:dyDescent="0.35">
      <c r="A724" s="27">
        <v>12</v>
      </c>
      <c r="B724" s="11" t="s">
        <v>929</v>
      </c>
      <c r="C724" s="11">
        <v>2</v>
      </c>
      <c r="D724" s="12">
        <v>45023.065972222219</v>
      </c>
      <c r="E724" s="12">
        <v>45023.200694444444</v>
      </c>
      <c r="F724" s="11" t="s">
        <v>72</v>
      </c>
      <c r="G724" s="11" t="s">
        <v>163</v>
      </c>
      <c r="H724" s="11" t="s">
        <v>87</v>
      </c>
      <c r="I724" s="16">
        <v>27.79</v>
      </c>
      <c r="J724" s="11" t="s">
        <v>75</v>
      </c>
      <c r="K724" s="11">
        <v>723</v>
      </c>
      <c r="L724" s="11" t="s">
        <v>101</v>
      </c>
      <c r="M724" s="11" t="s">
        <v>1761</v>
      </c>
      <c r="N724">
        <f>_xlfn.XLOOKUP(spaces_3iWczBNnn5rbfoUlE0Jd_uploads_git_blob_9864c7f811c613c3faab876659c6423__25[[#This Row],[Número de Orden]],Cocinadinamica!B725:B1493,Cocinadinamica!C725:C1493)</f>
        <v>52</v>
      </c>
      <c r="O724" s="7">
        <f>spaces_3iWczBNnn5rbfoUlE0Jd_uploads_git_blob_9864c7f811c613c3faab876659c6423__25[[#This Row],[Hora de Llegada]]</f>
        <v>45023.065972222219</v>
      </c>
      <c r="P724" s="9">
        <f>spaces_3iWczBNnn5rbfoUlE0Jd_uploads_git_blob_9864c7f811c613c3faab876659c6423__25[[#This Row],[Hora de Llegada]]</f>
        <v>45023.065972222219</v>
      </c>
      <c r="Q724" s="9">
        <f>spaces_3iWczBNnn5rbfoUlE0Jd_uploads_git_blob_9864c7f811c613c3faab876659c6423__25[[#This Row],[Hora de Salida]]</f>
        <v>45023.200694444444</v>
      </c>
      <c r="R724" s="9" cm="1">
        <f t="array" ref="R72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0.13472222222480923</v>
      </c>
      <c r="S724" s="9">
        <f>_xlfn.XLOOKUP(spaces_3iWczBNnn5rbfoUlE0Jd_uploads_git_blob_9864c7f811c613c3faab876659c6423__25[[#This Row],[Número de Orden]],Cocinadinamica!E725:E1493,Cocinadinamica!F725:F1493)/1440</f>
        <v>2.1527777777777778E-2</v>
      </c>
      <c r="T724" s="9" cm="1">
        <f t="array" ref="T72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0.11319444444703144</v>
      </c>
      <c r="U724" s="9" t="str" cm="1">
        <f t="array" ref="U72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5" spans="1:21" x14ac:dyDescent="0.35">
      <c r="A725" s="28" t="s">
        <v>215</v>
      </c>
      <c r="B725" s="13" t="s">
        <v>410</v>
      </c>
      <c r="C725" s="13">
        <v>6</v>
      </c>
      <c r="D725" s="14">
        <v>45023.12222222222</v>
      </c>
      <c r="E725" s="14">
        <v>45023.177083333336</v>
      </c>
      <c r="F725" s="13" t="s">
        <v>85</v>
      </c>
      <c r="G725" s="13" t="s">
        <v>73</v>
      </c>
      <c r="H725" s="13" t="s">
        <v>87</v>
      </c>
      <c r="I725" s="17">
        <v>14.12</v>
      </c>
      <c r="J725" s="13" t="s">
        <v>75</v>
      </c>
      <c r="K725" s="13">
        <v>724</v>
      </c>
      <c r="L725" s="13" t="s">
        <v>275</v>
      </c>
      <c r="M725" s="13" t="s">
        <v>35</v>
      </c>
      <c r="N725">
        <f>_xlfn.XLOOKUP(spaces_3iWczBNnn5rbfoUlE0Jd_uploads_git_blob_9864c7f811c613c3faab876659c6423__25[[#This Row],[Número de Orden]],Cocinadinamica!B726:B1494,Cocinadinamica!C726:C1494)</f>
        <v>27</v>
      </c>
      <c r="O725" s="7">
        <f>spaces_3iWczBNnn5rbfoUlE0Jd_uploads_git_blob_9864c7f811c613c3faab876659c6423__25[[#This Row],[Hora de Llegada]]</f>
        <v>45023.12222222222</v>
      </c>
      <c r="P725" s="9">
        <f>spaces_3iWczBNnn5rbfoUlE0Jd_uploads_git_blob_9864c7f811c613c3faab876659c6423__25[[#This Row],[Hora de Llegada]]</f>
        <v>45023.12222222222</v>
      </c>
      <c r="Q725" s="9">
        <f>spaces_3iWczBNnn5rbfoUlE0Jd_uploads_git_blob_9864c7f811c613c3faab876659c6423__25[[#This Row],[Hora de Salida]]</f>
        <v>45023.177083333336</v>
      </c>
      <c r="R725" s="9" cm="1">
        <f t="array" ref="R72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5.4861111115314998E-2</v>
      </c>
      <c r="S725" s="9">
        <f>_xlfn.XLOOKUP(spaces_3iWczBNnn5rbfoUlE0Jd_uploads_git_blob_9864c7f811c613c3faab876659c6423__25[[#This Row],[Número de Orden]],Cocinadinamica!E726:E1494,Cocinadinamica!F726:F1494)/1440</f>
        <v>3.888888888888889E-2</v>
      </c>
      <c r="T725" s="9" cm="1">
        <f t="array" ref="T72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1.5972222226426108E-2</v>
      </c>
      <c r="U725" s="9" t="str" cm="1">
        <f t="array" ref="U72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6" spans="1:21" x14ac:dyDescent="0.35">
      <c r="A726" s="27">
        <v>10</v>
      </c>
      <c r="B726" s="11" t="s">
        <v>1216</v>
      </c>
      <c r="C726" s="11">
        <v>4</v>
      </c>
      <c r="D726" s="12">
        <v>45023.074999999997</v>
      </c>
      <c r="E726" s="12">
        <v>45023.138888888891</v>
      </c>
      <c r="F726" s="11" t="s">
        <v>72</v>
      </c>
      <c r="G726" s="11" t="s">
        <v>86</v>
      </c>
      <c r="H726" s="11" t="s">
        <v>87</v>
      </c>
      <c r="I726" s="16">
        <v>18.66</v>
      </c>
      <c r="J726" s="11" t="s">
        <v>88</v>
      </c>
      <c r="K726" s="11">
        <v>725</v>
      </c>
      <c r="L726" s="11" t="s">
        <v>101</v>
      </c>
      <c r="M726" s="11" t="s">
        <v>1762</v>
      </c>
      <c r="N726">
        <f>_xlfn.XLOOKUP(spaces_3iWczBNnn5rbfoUlE0Jd_uploads_git_blob_9864c7f811c613c3faab876659c6423__25[[#This Row],[Número de Orden]],Cocinadinamica!B727:B1495,Cocinadinamica!C727:C1495)</f>
        <v>69</v>
      </c>
      <c r="O726" s="7">
        <f>spaces_3iWczBNnn5rbfoUlE0Jd_uploads_git_blob_9864c7f811c613c3faab876659c6423__25[[#This Row],[Hora de Llegada]]</f>
        <v>45023.074999999997</v>
      </c>
      <c r="P726" s="9">
        <f>spaces_3iWczBNnn5rbfoUlE0Jd_uploads_git_blob_9864c7f811c613c3faab876659c6423__25[[#This Row],[Hora de Llegada]]</f>
        <v>45023.074999999997</v>
      </c>
      <c r="Q726" s="9">
        <f>spaces_3iWczBNnn5rbfoUlE0Jd_uploads_git_blob_9864c7f811c613c3faab876659c6423__25[[#This Row],[Hora de Salida]]</f>
        <v>45023.138888888891</v>
      </c>
      <c r="R726" s="9" cm="1">
        <f t="array" ref="R72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7.4305555557657499E-2</v>
      </c>
      <c r="S726" s="9">
        <f>_xlfn.XLOOKUP(spaces_3iWczBNnn5rbfoUlE0Jd_uploads_git_blob_9864c7f811c613c3faab876659c6423__25[[#This Row],[Número de Orden]],Cocinadinamica!E727:E1495,Cocinadinamica!F727:F1495)/1440</f>
        <v>5.9027777777777776E-2</v>
      </c>
      <c r="T726" s="9" cm="1">
        <f t="array" ref="T72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1.5277777779879723E-2</v>
      </c>
      <c r="U726" s="9" t="str" cm="1">
        <f t="array" ref="U72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7" spans="1:21" x14ac:dyDescent="0.35">
      <c r="A727" s="28">
        <v>11</v>
      </c>
      <c r="B727" s="13" t="s">
        <v>965</v>
      </c>
      <c r="C727" s="13">
        <v>2</v>
      </c>
      <c r="D727" s="14">
        <v>45023.102777777778</v>
      </c>
      <c r="E727" s="14">
        <v>45023.238194444442</v>
      </c>
      <c r="F727" s="13" t="s">
        <v>85</v>
      </c>
      <c r="G727" s="13" t="s">
        <v>163</v>
      </c>
      <c r="H727" s="13" t="s">
        <v>74</v>
      </c>
      <c r="I727" s="17">
        <v>41.38</v>
      </c>
      <c r="J727" s="13" t="s">
        <v>94</v>
      </c>
      <c r="K727" s="13">
        <v>726</v>
      </c>
      <c r="L727" s="13" t="s">
        <v>181</v>
      </c>
      <c r="M727" s="13" t="s">
        <v>1763</v>
      </c>
      <c r="N727">
        <f>_xlfn.XLOOKUP(spaces_3iWczBNnn5rbfoUlE0Jd_uploads_git_blob_9864c7f811c613c3faab876659c6423__25[[#This Row],[Número de Orden]],Cocinadinamica!B728:B1496,Cocinadinamica!C728:C1496)</f>
        <v>50</v>
      </c>
      <c r="O727" s="7">
        <f>spaces_3iWczBNnn5rbfoUlE0Jd_uploads_git_blob_9864c7f811c613c3faab876659c6423__25[[#This Row],[Hora de Llegada]]</f>
        <v>45023.102777777778</v>
      </c>
      <c r="P727" s="9">
        <f>spaces_3iWczBNnn5rbfoUlE0Jd_uploads_git_blob_9864c7f811c613c3faab876659c6423__25[[#This Row],[Hora de Llegada]]</f>
        <v>45023.102777777778</v>
      </c>
      <c r="Q727" s="9">
        <f>spaces_3iWczBNnn5rbfoUlE0Jd_uploads_git_blob_9864c7f811c613c3faab876659c6423__25[[#This Row],[Hora de Salida]]</f>
        <v>45023.238194444442</v>
      </c>
      <c r="R727" s="9" cm="1">
        <f t="array" ref="R72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0.13541666666424135</v>
      </c>
      <c r="S727" s="9">
        <f>_xlfn.XLOOKUP(spaces_3iWczBNnn5rbfoUlE0Jd_uploads_git_blob_9864c7f811c613c3faab876659c6423__25[[#This Row],[Número de Orden]],Cocinadinamica!E728:E1496,Cocinadinamica!F728:F1496)/1440</f>
        <v>5.1388888888888887E-2</v>
      </c>
      <c r="T727" s="9" cm="1">
        <f t="array" ref="T72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8.4027777775352461E-2</v>
      </c>
      <c r="U727" s="9" t="str" cm="1">
        <f t="array" ref="U72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8" spans="1:21" x14ac:dyDescent="0.35">
      <c r="A728" s="27" t="s">
        <v>132</v>
      </c>
      <c r="B728" s="11" t="s">
        <v>822</v>
      </c>
      <c r="C728" s="11">
        <v>6</v>
      </c>
      <c r="D728" s="12">
        <v>45023.021527777775</v>
      </c>
      <c r="E728" s="12">
        <v>45023.126388888886</v>
      </c>
      <c r="F728" s="11" t="s">
        <v>100</v>
      </c>
      <c r="G728" s="11" t="s">
        <v>73</v>
      </c>
      <c r="H728" s="11" t="s">
        <v>109</v>
      </c>
      <c r="I728" s="16">
        <v>13.24</v>
      </c>
      <c r="J728" s="11" t="s">
        <v>94</v>
      </c>
      <c r="K728" s="11">
        <v>727</v>
      </c>
      <c r="L728" s="11" t="s">
        <v>110</v>
      </c>
      <c r="M728" s="11" t="s">
        <v>39</v>
      </c>
      <c r="N728">
        <f>_xlfn.XLOOKUP(spaces_3iWczBNnn5rbfoUlE0Jd_uploads_git_blob_9864c7f811c613c3faab876659c6423__25[[#This Row],[Número de Orden]],Cocinadinamica!B729:B1497,Cocinadinamica!C729:C1497)</f>
        <v>16</v>
      </c>
      <c r="O728" s="7">
        <f>spaces_3iWczBNnn5rbfoUlE0Jd_uploads_git_blob_9864c7f811c613c3faab876659c6423__25[[#This Row],[Hora de Llegada]]</f>
        <v>45023.021527777775</v>
      </c>
      <c r="P728" s="9">
        <f>spaces_3iWczBNnn5rbfoUlE0Jd_uploads_git_blob_9864c7f811c613c3faab876659c6423__25[[#This Row],[Hora de Llegada]]</f>
        <v>45023.021527777775</v>
      </c>
      <c r="Q728" s="9">
        <f>spaces_3iWczBNnn5rbfoUlE0Jd_uploads_git_blob_9864c7f811c613c3faab876659c6423__25[[#This Row],[Hora de Salida]]</f>
        <v>45023.126388888886</v>
      </c>
      <c r="R728" s="9" cm="1">
        <f t="array" ref="R72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0.10486111111094942</v>
      </c>
      <c r="S728" s="9">
        <f>_xlfn.XLOOKUP(spaces_3iWczBNnn5rbfoUlE0Jd_uploads_git_blob_9864c7f811c613c3faab876659c6423__25[[#This Row],[Número de Orden]],Cocinadinamica!E729:E1497,Cocinadinamica!F729:F1497)/1440</f>
        <v>1.4583333333333334E-2</v>
      </c>
      <c r="T728" s="9" cm="1">
        <f t="array" ref="T72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9.0277777777616086E-2</v>
      </c>
      <c r="U728" s="9" t="str" cm="1">
        <f t="array" ref="U72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29" spans="1:21" x14ac:dyDescent="0.35">
      <c r="A729" s="28">
        <v>9</v>
      </c>
      <c r="B729" s="13" t="s">
        <v>1035</v>
      </c>
      <c r="C729" s="13">
        <v>6</v>
      </c>
      <c r="D729" s="14">
        <v>45023.087500000001</v>
      </c>
      <c r="E729" s="14">
        <v>45023.186805555553</v>
      </c>
      <c r="F729" s="13" t="s">
        <v>223</v>
      </c>
      <c r="G729" s="13" t="s">
        <v>163</v>
      </c>
      <c r="H729" s="13" t="s">
        <v>109</v>
      </c>
      <c r="I729" s="17">
        <v>34.28</v>
      </c>
      <c r="J729" s="13" t="s">
        <v>88</v>
      </c>
      <c r="K729" s="13">
        <v>728</v>
      </c>
      <c r="L729" s="13" t="s">
        <v>164</v>
      </c>
      <c r="M729" s="13" t="s">
        <v>1764</v>
      </c>
      <c r="N729">
        <f>_xlfn.XLOOKUP(spaces_3iWczBNnn5rbfoUlE0Jd_uploads_git_blob_9864c7f811c613c3faab876659c6423__25[[#This Row],[Número de Orden]],Cocinadinamica!B730:B1498,Cocinadinamica!C730:C1498)</f>
        <v>80</v>
      </c>
      <c r="O729" s="7">
        <f>spaces_3iWczBNnn5rbfoUlE0Jd_uploads_git_blob_9864c7f811c613c3faab876659c6423__25[[#This Row],[Hora de Llegada]]</f>
        <v>45023.087500000001</v>
      </c>
      <c r="P729" s="9">
        <f>spaces_3iWczBNnn5rbfoUlE0Jd_uploads_git_blob_9864c7f811c613c3faab876659c6423__25[[#This Row],[Hora de Llegada]]</f>
        <v>45023.087500000001</v>
      </c>
      <c r="Q729" s="9">
        <f>spaces_3iWczBNnn5rbfoUlE0Jd_uploads_git_blob_9864c7f811c613c3faab876659c6423__25[[#This Row],[Hora de Salida]]</f>
        <v>45023.186805555553</v>
      </c>
      <c r="R729" s="9" cm="1">
        <f t="array" ref="R72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0.10972222221607808</v>
      </c>
      <c r="S729" s="9">
        <f>_xlfn.XLOOKUP(spaces_3iWczBNnn5rbfoUlE0Jd_uploads_git_blob_9864c7f811c613c3faab876659c6423__25[[#This Row],[Número de Orden]],Cocinadinamica!E730:E1498,Cocinadinamica!F730:F1498)/1440</f>
        <v>0.05</v>
      </c>
      <c r="T729" s="9" cm="1">
        <f t="array" ref="T72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5.9722222216078077E-2</v>
      </c>
      <c r="U729" s="9" t="str" cm="1">
        <f t="array" ref="U72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0" spans="1:21" x14ac:dyDescent="0.35">
      <c r="A730" s="27">
        <v>20</v>
      </c>
      <c r="B730" s="11" t="s">
        <v>993</v>
      </c>
      <c r="C730" s="11">
        <v>2</v>
      </c>
      <c r="D730" s="12">
        <v>45023.117361111108</v>
      </c>
      <c r="E730" s="12">
        <v>45023.253472222219</v>
      </c>
      <c r="F730" s="11" t="s">
        <v>85</v>
      </c>
      <c r="G730" s="11" t="s">
        <v>163</v>
      </c>
      <c r="H730" s="11" t="s">
        <v>74</v>
      </c>
      <c r="I730" s="16">
        <v>18.97</v>
      </c>
      <c r="J730" s="11" t="s">
        <v>88</v>
      </c>
      <c r="K730" s="11">
        <v>729</v>
      </c>
      <c r="L730" s="11" t="s">
        <v>174</v>
      </c>
      <c r="M730" s="11" t="s">
        <v>1670</v>
      </c>
      <c r="N730">
        <f>_xlfn.XLOOKUP(spaces_3iWczBNnn5rbfoUlE0Jd_uploads_git_blob_9864c7f811c613c3faab876659c6423__25[[#This Row],[Número de Orden]],Cocinadinamica!B731:B1499,Cocinadinamica!C731:C1499)</f>
        <v>52</v>
      </c>
      <c r="O730" s="7">
        <f>spaces_3iWczBNnn5rbfoUlE0Jd_uploads_git_blob_9864c7f811c613c3faab876659c6423__25[[#This Row],[Hora de Llegada]]</f>
        <v>45023.117361111108</v>
      </c>
      <c r="P730" s="9">
        <f>spaces_3iWczBNnn5rbfoUlE0Jd_uploads_git_blob_9864c7f811c613c3faab876659c6423__25[[#This Row],[Hora de Llegada]]</f>
        <v>45023.117361111108</v>
      </c>
      <c r="Q730" s="9">
        <f>spaces_3iWczBNnn5rbfoUlE0Jd_uploads_git_blob_9864c7f811c613c3faab876659c6423__25[[#This Row],[Hora de Salida]]</f>
        <v>45023.253472222219</v>
      </c>
      <c r="R730" s="9" cm="1">
        <f t="array" ref="R73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0.14652777777519077</v>
      </c>
      <c r="S730" s="9">
        <f>_xlfn.XLOOKUP(spaces_3iWczBNnn5rbfoUlE0Jd_uploads_git_blob_9864c7f811c613c3faab876659c6423__25[[#This Row],[Número de Orden]],Cocinadinamica!E731:E1499,Cocinadinamica!F731:F1499)/1440</f>
        <v>4.5138888888888888E-2</v>
      </c>
      <c r="T730" s="9" cm="1">
        <f t="array" ref="T73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0.10138888888630188</v>
      </c>
      <c r="U730" s="9" t="str" cm="1">
        <f t="array" ref="U73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1" spans="1:21" x14ac:dyDescent="0.35">
      <c r="A731" s="28">
        <v>8</v>
      </c>
      <c r="B731" s="13" t="s">
        <v>1161</v>
      </c>
      <c r="C731" s="13">
        <v>3</v>
      </c>
      <c r="D731" s="14">
        <v>45023.020138888889</v>
      </c>
      <c r="E731" s="14">
        <v>45023.106249999997</v>
      </c>
      <c r="F731" s="13" t="s">
        <v>170</v>
      </c>
      <c r="G731" s="13" t="s">
        <v>86</v>
      </c>
      <c r="H731" s="13" t="s">
        <v>74</v>
      </c>
      <c r="I731" s="17">
        <v>15.02</v>
      </c>
      <c r="J731" s="13" t="s">
        <v>88</v>
      </c>
      <c r="K731" s="13">
        <v>730</v>
      </c>
      <c r="L731" s="13" t="s">
        <v>181</v>
      </c>
      <c r="M731" s="13" t="s">
        <v>1569</v>
      </c>
      <c r="N731">
        <f>_xlfn.XLOOKUP(spaces_3iWczBNnn5rbfoUlE0Jd_uploads_git_blob_9864c7f811c613c3faab876659c6423__25[[#This Row],[Número de Orden]],Cocinadinamica!B732:B1500,Cocinadinamica!C732:C1500)</f>
        <v>46</v>
      </c>
      <c r="O731" s="7">
        <f>spaces_3iWczBNnn5rbfoUlE0Jd_uploads_git_blob_9864c7f811c613c3faab876659c6423__25[[#This Row],[Hora de Llegada]]</f>
        <v>45023.020138888889</v>
      </c>
      <c r="P731" s="9">
        <f>spaces_3iWczBNnn5rbfoUlE0Jd_uploads_git_blob_9864c7f811c613c3faab876659c6423__25[[#This Row],[Hora de Llegada]]</f>
        <v>45023.020138888889</v>
      </c>
      <c r="Q731" s="9">
        <f>spaces_3iWczBNnn5rbfoUlE0Jd_uploads_git_blob_9864c7f811c613c3faab876659c6423__25[[#This Row],[Hora de Salida]]</f>
        <v>45023.106249999997</v>
      </c>
      <c r="R731" s="9" cm="1">
        <f t="array" ref="R73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9.6527777772280388E-2</v>
      </c>
      <c r="S731" s="9">
        <f>_xlfn.XLOOKUP(spaces_3iWczBNnn5rbfoUlE0Jd_uploads_git_blob_9864c7f811c613c3faab876659c6423__25[[#This Row],[Número de Orden]],Cocinadinamica!E732:E1500,Cocinadinamica!F732:F1500)/1440</f>
        <v>5.486111111111111E-2</v>
      </c>
      <c r="T731" s="9" cm="1">
        <f t="array" ref="T73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4.1666666661169277E-2</v>
      </c>
      <c r="U731" s="9" t="str" cm="1">
        <f t="array" ref="U73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2" spans="1:21" x14ac:dyDescent="0.35">
      <c r="A732" s="27" t="s">
        <v>132</v>
      </c>
      <c r="B732" s="11" t="s">
        <v>826</v>
      </c>
      <c r="C732" s="11">
        <v>3</v>
      </c>
      <c r="D732" s="12">
        <v>45023.136111111111</v>
      </c>
      <c r="E732" s="12">
        <v>45023.267361111109</v>
      </c>
      <c r="F732" s="11" t="s">
        <v>100</v>
      </c>
      <c r="G732" s="11" t="s">
        <v>86</v>
      </c>
      <c r="H732" s="11" t="s">
        <v>74</v>
      </c>
      <c r="I732" s="16">
        <v>14.35</v>
      </c>
      <c r="J732" s="11" t="s">
        <v>94</v>
      </c>
      <c r="K732" s="11">
        <v>731</v>
      </c>
      <c r="L732" s="11" t="s">
        <v>101</v>
      </c>
      <c r="M732" s="11" t="s">
        <v>33</v>
      </c>
      <c r="N732">
        <f>_xlfn.XLOOKUP(spaces_3iWczBNnn5rbfoUlE0Jd_uploads_git_blob_9864c7f811c613c3faab876659c6423__25[[#This Row],[Número de Orden]],Cocinadinamica!B733:B1501,Cocinadinamica!C733:C1501)</f>
        <v>26</v>
      </c>
      <c r="O732" s="7">
        <f>spaces_3iWczBNnn5rbfoUlE0Jd_uploads_git_blob_9864c7f811c613c3faab876659c6423__25[[#This Row],[Hora de Llegada]]</f>
        <v>45023.136111111111</v>
      </c>
      <c r="P732" s="9">
        <f>spaces_3iWczBNnn5rbfoUlE0Jd_uploads_git_blob_9864c7f811c613c3faab876659c6423__25[[#This Row],[Hora de Llegada]]</f>
        <v>45023.136111111111</v>
      </c>
      <c r="Q732" s="9">
        <f>spaces_3iWczBNnn5rbfoUlE0Jd_uploads_git_blob_9864c7f811c613c3faab876659c6423__25[[#This Row],[Hora de Salida]]</f>
        <v>45023.267361111109</v>
      </c>
      <c r="R732" s="9" cm="1">
        <f t="array" ref="R73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0.13124999999854481</v>
      </c>
      <c r="S732" s="9">
        <f>_xlfn.XLOOKUP(spaces_3iWczBNnn5rbfoUlE0Jd_uploads_git_blob_9864c7f811c613c3faab876659c6423__25[[#This Row],[Número de Orden]],Cocinadinamica!E733:E1501,Cocinadinamica!F733:F1501)/1440</f>
        <v>3.2638888888888891E-2</v>
      </c>
      <c r="T732" s="9" cm="1">
        <f t="array" ref="T73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9.8611111109655925E-2</v>
      </c>
      <c r="U732" s="9" t="str" cm="1">
        <f t="array" ref="U73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3" spans="1:21" x14ac:dyDescent="0.35">
      <c r="A733" s="28">
        <v>12</v>
      </c>
      <c r="B733" s="13" t="s">
        <v>1217</v>
      </c>
      <c r="C733" s="13">
        <v>3</v>
      </c>
      <c r="D733" s="14">
        <v>45023.136805555558</v>
      </c>
      <c r="E733" s="14">
        <v>45023.300694444442</v>
      </c>
      <c r="F733" s="13" t="s">
        <v>72</v>
      </c>
      <c r="G733" s="13" t="s">
        <v>86</v>
      </c>
      <c r="H733" s="13" t="s">
        <v>74</v>
      </c>
      <c r="I733" s="17">
        <v>43.35</v>
      </c>
      <c r="J733" s="13" t="s">
        <v>94</v>
      </c>
      <c r="K733" s="13">
        <v>732</v>
      </c>
      <c r="L733" s="13" t="s">
        <v>89</v>
      </c>
      <c r="M733" s="13" t="s">
        <v>1765</v>
      </c>
      <c r="N733">
        <f>_xlfn.XLOOKUP(spaces_3iWczBNnn5rbfoUlE0Jd_uploads_git_blob_9864c7f811c613c3faab876659c6423__25[[#This Row],[Número de Orden]],Cocinadinamica!B734:B1502,Cocinadinamica!C734:C1502)</f>
        <v>120</v>
      </c>
      <c r="O733" s="7">
        <f>spaces_3iWczBNnn5rbfoUlE0Jd_uploads_git_blob_9864c7f811c613c3faab876659c6423__25[[#This Row],[Hora de Llegada]]</f>
        <v>45023.136805555558</v>
      </c>
      <c r="P733" s="9">
        <f>spaces_3iWczBNnn5rbfoUlE0Jd_uploads_git_blob_9864c7f811c613c3faab876659c6423__25[[#This Row],[Hora de Llegada]]</f>
        <v>45023.136805555558</v>
      </c>
      <c r="Q733" s="9">
        <f>spaces_3iWczBNnn5rbfoUlE0Jd_uploads_git_blob_9864c7f811c613c3faab876659c6423__25[[#This Row],[Hora de Salida]]</f>
        <v>45023.300694444442</v>
      </c>
      <c r="R733" s="9" cm="1">
        <f t="array" ref="R73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0.163888888884685</v>
      </c>
      <c r="S733" s="9">
        <f>_xlfn.XLOOKUP(spaces_3iWczBNnn5rbfoUlE0Jd_uploads_git_blob_9864c7f811c613c3faab876659c6423__25[[#This Row],[Número de Orden]],Cocinadinamica!E734:E1502,Cocinadinamica!F734:F1502)/1440</f>
        <v>8.4027777777777785E-2</v>
      </c>
      <c r="T733" s="9" cm="1">
        <f t="array" ref="T73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7.9861111106907218E-2</v>
      </c>
      <c r="U733" s="9" t="str" cm="1">
        <f t="array" ref="U73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4" spans="1:21" x14ac:dyDescent="0.35">
      <c r="A734" s="27">
        <v>14</v>
      </c>
      <c r="B734" s="11" t="s">
        <v>959</v>
      </c>
      <c r="C734" s="11">
        <v>6</v>
      </c>
      <c r="D734" s="12">
        <v>45023.152777777781</v>
      </c>
      <c r="E734" s="12">
        <v>45023.227777777778</v>
      </c>
      <c r="F734" s="11" t="s">
        <v>72</v>
      </c>
      <c r="G734" s="11" t="s">
        <v>73</v>
      </c>
      <c r="H734" s="11" t="s">
        <v>74</v>
      </c>
      <c r="I734" s="16">
        <v>35.090000000000003</v>
      </c>
      <c r="J734" s="11" t="s">
        <v>75</v>
      </c>
      <c r="K734" s="11">
        <v>733</v>
      </c>
      <c r="L734" s="11" t="s">
        <v>164</v>
      </c>
      <c r="M734" s="11" t="s">
        <v>1766</v>
      </c>
      <c r="N734">
        <f>_xlfn.XLOOKUP(spaces_3iWczBNnn5rbfoUlE0Jd_uploads_git_blob_9864c7f811c613c3faab876659c6423__25[[#This Row],[Número de Orden]],Cocinadinamica!B735:B1503,Cocinadinamica!C735:C1503)</f>
        <v>74</v>
      </c>
      <c r="O734" s="7">
        <f>spaces_3iWczBNnn5rbfoUlE0Jd_uploads_git_blob_9864c7f811c613c3faab876659c6423__25[[#This Row],[Hora de Llegada]]</f>
        <v>45023.152777777781</v>
      </c>
      <c r="P734" s="9">
        <f>spaces_3iWczBNnn5rbfoUlE0Jd_uploads_git_blob_9864c7f811c613c3faab876659c6423__25[[#This Row],[Hora de Llegada]]</f>
        <v>45023.152777777781</v>
      </c>
      <c r="Q734" s="9">
        <f>spaces_3iWczBNnn5rbfoUlE0Jd_uploads_git_blob_9864c7f811c613c3faab876659c6423__25[[#This Row],[Hora de Salida]]</f>
        <v>45023.227777777778</v>
      </c>
      <c r="R734" s="9" cm="1">
        <f t="array" ref="R73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7.4999999997089617E-2</v>
      </c>
      <c r="S734" s="9">
        <f>_xlfn.XLOOKUP(spaces_3iWczBNnn5rbfoUlE0Jd_uploads_git_blob_9864c7f811c613c3faab876659c6423__25[[#This Row],[Número de Orden]],Cocinadinamica!E735:E1503,Cocinadinamica!F735:F1503)/1440</f>
        <v>5.1388888888888887E-2</v>
      </c>
      <c r="T734" s="9" cm="1">
        <f t="array" ref="T73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2.361111110820073E-2</v>
      </c>
      <c r="U734" s="9" t="str" cm="1">
        <f t="array" ref="U73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5" spans="1:21" x14ac:dyDescent="0.35">
      <c r="A735" s="28">
        <v>14</v>
      </c>
      <c r="B735" s="13" t="s">
        <v>1218</v>
      </c>
      <c r="C735" s="13">
        <v>2</v>
      </c>
      <c r="D735" s="14">
        <v>45023.102083333331</v>
      </c>
      <c r="E735" s="14">
        <v>45023.206250000003</v>
      </c>
      <c r="F735" s="13" t="s">
        <v>100</v>
      </c>
      <c r="G735" s="13" t="s">
        <v>86</v>
      </c>
      <c r="H735" s="13" t="s">
        <v>87</v>
      </c>
      <c r="I735" s="17">
        <v>46.82</v>
      </c>
      <c r="J735" s="13" t="s">
        <v>75</v>
      </c>
      <c r="K735" s="13">
        <v>734</v>
      </c>
      <c r="L735" s="13" t="s">
        <v>275</v>
      </c>
      <c r="M735" s="13" t="s">
        <v>1767</v>
      </c>
      <c r="N735">
        <f>_xlfn.XLOOKUP(spaces_3iWczBNnn5rbfoUlE0Jd_uploads_git_blob_9864c7f811c613c3faab876659c6423__25[[#This Row],[Número de Orden]],Cocinadinamica!B736:B1504,Cocinadinamica!C736:C1504)</f>
        <v>57</v>
      </c>
      <c r="O735" s="7">
        <f>spaces_3iWczBNnn5rbfoUlE0Jd_uploads_git_blob_9864c7f811c613c3faab876659c6423__25[[#This Row],[Hora de Llegada]]</f>
        <v>45023.102083333331</v>
      </c>
      <c r="P735" s="9">
        <f>spaces_3iWczBNnn5rbfoUlE0Jd_uploads_git_blob_9864c7f811c613c3faab876659c6423__25[[#This Row],[Hora de Llegada]]</f>
        <v>45023.102083333331</v>
      </c>
      <c r="Q735" s="9">
        <f>spaces_3iWczBNnn5rbfoUlE0Jd_uploads_git_blob_9864c7f811c613c3faab876659c6423__25[[#This Row],[Hora de Salida]]</f>
        <v>45023.206250000003</v>
      </c>
      <c r="R735" s="9" cm="1">
        <f t="array" ref="R73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0.10416666667151731</v>
      </c>
      <c r="S735" s="9">
        <f>_xlfn.XLOOKUP(spaces_3iWczBNnn5rbfoUlE0Jd_uploads_git_blob_9864c7f811c613c3faab876659c6423__25[[#This Row],[Número de Orden]],Cocinadinamica!E736:E1504,Cocinadinamica!F736:F1504)/1440</f>
        <v>3.6111111111111108E-2</v>
      </c>
      <c r="T735" s="9" cm="1">
        <f t="array" ref="T73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6.8055555560406197E-2</v>
      </c>
      <c r="U735" s="9" t="str" cm="1">
        <f t="array" ref="U73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6" spans="1:21" x14ac:dyDescent="0.35">
      <c r="A736" s="27">
        <v>20</v>
      </c>
      <c r="B736" s="11" t="s">
        <v>1041</v>
      </c>
      <c r="C736" s="11">
        <v>4</v>
      </c>
      <c r="D736" s="12">
        <v>45023.077777777777</v>
      </c>
      <c r="E736" s="12">
        <v>45023.157638888886</v>
      </c>
      <c r="F736" s="11" t="s">
        <v>170</v>
      </c>
      <c r="G736" s="11" t="s">
        <v>163</v>
      </c>
      <c r="H736" s="11" t="s">
        <v>74</v>
      </c>
      <c r="I736" s="16">
        <v>38.43</v>
      </c>
      <c r="J736" s="11" t="s">
        <v>75</v>
      </c>
      <c r="K736" s="11">
        <v>735</v>
      </c>
      <c r="L736" s="11" t="s">
        <v>181</v>
      </c>
      <c r="M736" s="11" t="s">
        <v>1768</v>
      </c>
      <c r="N736">
        <f>_xlfn.XLOOKUP(spaces_3iWczBNnn5rbfoUlE0Jd_uploads_git_blob_9864c7f811c613c3faab876659c6423__25[[#This Row],[Número de Orden]],Cocinadinamica!B737:B1505,Cocinadinamica!C737:C1505)</f>
        <v>57</v>
      </c>
      <c r="O736" s="7">
        <f>spaces_3iWczBNnn5rbfoUlE0Jd_uploads_git_blob_9864c7f811c613c3faab876659c6423__25[[#This Row],[Hora de Llegada]]</f>
        <v>45023.077777777777</v>
      </c>
      <c r="P736" s="9">
        <f>spaces_3iWczBNnn5rbfoUlE0Jd_uploads_git_blob_9864c7f811c613c3faab876659c6423__25[[#This Row],[Hora de Llegada]]</f>
        <v>45023.077777777777</v>
      </c>
      <c r="Q736" s="9">
        <f>spaces_3iWczBNnn5rbfoUlE0Jd_uploads_git_blob_9864c7f811c613c3faab876659c6423__25[[#This Row],[Hora de Salida]]</f>
        <v>45023.157638888886</v>
      </c>
      <c r="R736" s="9" cm="1">
        <f t="array" ref="R73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7.9861111109494232E-2</v>
      </c>
      <c r="S736" s="9">
        <f>_xlfn.XLOOKUP(spaces_3iWczBNnn5rbfoUlE0Jd_uploads_git_blob_9864c7f811c613c3faab876659c6423__25[[#This Row],[Número de Orden]],Cocinadinamica!E737:E1505,Cocinadinamica!F737:F1505)/1440</f>
        <v>6.0416666666666667E-2</v>
      </c>
      <c r="T736" s="9" cm="1">
        <f t="array" ref="T73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1.9444444442827565E-2</v>
      </c>
      <c r="U736" s="9" t="str" cm="1">
        <f t="array" ref="U73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7" spans="1:21" x14ac:dyDescent="0.35">
      <c r="A737" s="28">
        <v>17</v>
      </c>
      <c r="B737" s="13" t="s">
        <v>961</v>
      </c>
      <c r="C737" s="13">
        <v>2</v>
      </c>
      <c r="D737" s="14">
        <v>45023.047222222223</v>
      </c>
      <c r="E737" s="14">
        <v>45023.14166666667</v>
      </c>
      <c r="F737" s="13" t="s">
        <v>72</v>
      </c>
      <c r="G737" s="13" t="s">
        <v>163</v>
      </c>
      <c r="H737" s="13" t="s">
        <v>74</v>
      </c>
      <c r="I737" s="17">
        <v>25.91</v>
      </c>
      <c r="J737" s="13" t="s">
        <v>88</v>
      </c>
      <c r="K737" s="13">
        <v>736</v>
      </c>
      <c r="L737" s="13" t="s">
        <v>181</v>
      </c>
      <c r="M737" s="13" t="s">
        <v>1769</v>
      </c>
      <c r="N737">
        <f>_xlfn.XLOOKUP(spaces_3iWczBNnn5rbfoUlE0Jd_uploads_git_blob_9864c7f811c613c3faab876659c6423__25[[#This Row],[Número de Orden]],Cocinadinamica!B738:B1506,Cocinadinamica!C738:C1506)</f>
        <v>87</v>
      </c>
      <c r="O737" s="7">
        <f>spaces_3iWczBNnn5rbfoUlE0Jd_uploads_git_blob_9864c7f811c613c3faab876659c6423__25[[#This Row],[Hora de Llegada]]</f>
        <v>45023.047222222223</v>
      </c>
      <c r="P737" s="9">
        <f>spaces_3iWczBNnn5rbfoUlE0Jd_uploads_git_blob_9864c7f811c613c3faab876659c6423__25[[#This Row],[Hora de Llegada]]</f>
        <v>45023.047222222223</v>
      </c>
      <c r="Q737" s="9">
        <f>spaces_3iWczBNnn5rbfoUlE0Jd_uploads_git_blob_9864c7f811c613c3faab876659c6423__25[[#This Row],[Hora de Salida]]</f>
        <v>45023.14166666667</v>
      </c>
      <c r="R737" s="9" cm="1">
        <f t="array" ref="R73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0.10486111111094942</v>
      </c>
      <c r="S737" s="9">
        <f>_xlfn.XLOOKUP(spaces_3iWczBNnn5rbfoUlE0Jd_uploads_git_blob_9864c7f811c613c3faab876659c6423__25[[#This Row],[Número de Orden]],Cocinadinamica!E738:E1506,Cocinadinamica!F738:F1506)/1440</f>
        <v>6.3888888888888884E-2</v>
      </c>
      <c r="T737" s="9" cm="1">
        <f t="array" ref="T73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4.0972222222060539E-2</v>
      </c>
      <c r="U737" s="9" t="str" cm="1">
        <f t="array" ref="U73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8" spans="1:21" x14ac:dyDescent="0.35">
      <c r="A738" s="27">
        <v>6</v>
      </c>
      <c r="B738" s="11" t="s">
        <v>1219</v>
      </c>
      <c r="C738" s="11">
        <v>1</v>
      </c>
      <c r="D738" s="12">
        <v>45023.027083333334</v>
      </c>
      <c r="E738" s="12">
        <v>45023.129166666666</v>
      </c>
      <c r="F738" s="11" t="s">
        <v>100</v>
      </c>
      <c r="G738" s="11" t="s">
        <v>163</v>
      </c>
      <c r="H738" s="11" t="s">
        <v>109</v>
      </c>
      <c r="I738" s="16">
        <v>24.09</v>
      </c>
      <c r="J738" s="11" t="s">
        <v>94</v>
      </c>
      <c r="K738" s="11">
        <v>737</v>
      </c>
      <c r="L738" s="11" t="s">
        <v>221</v>
      </c>
      <c r="M738" s="11" t="s">
        <v>1608</v>
      </c>
      <c r="N738">
        <f>_xlfn.XLOOKUP(spaces_3iWczBNnn5rbfoUlE0Jd_uploads_git_blob_9864c7f811c613c3faab876659c6423__25[[#This Row],[Número de Orden]],Cocinadinamica!B739:B1507,Cocinadinamica!C739:C1507)</f>
        <v>48</v>
      </c>
      <c r="O738" s="7">
        <f>spaces_3iWczBNnn5rbfoUlE0Jd_uploads_git_blob_9864c7f811c613c3faab876659c6423__25[[#This Row],[Hora de Llegada]]</f>
        <v>45023.027083333334</v>
      </c>
      <c r="P738" s="9">
        <f>spaces_3iWczBNnn5rbfoUlE0Jd_uploads_git_blob_9864c7f811c613c3faab876659c6423__25[[#This Row],[Hora de Llegada]]</f>
        <v>45023.027083333334</v>
      </c>
      <c r="Q738" s="9">
        <f>spaces_3iWczBNnn5rbfoUlE0Jd_uploads_git_blob_9864c7f811c613c3faab876659c6423__25[[#This Row],[Hora de Salida]]</f>
        <v>45023.129166666666</v>
      </c>
      <c r="R738" s="9" cm="1">
        <f t="array" ref="R73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0.10208333333139308</v>
      </c>
      <c r="S738" s="9">
        <f>_xlfn.XLOOKUP(spaces_3iWczBNnn5rbfoUlE0Jd_uploads_git_blob_9864c7f811c613c3faab876659c6423__25[[#This Row],[Número de Orden]],Cocinadinamica!E739:E1507,Cocinadinamica!F739:F1507)/1440</f>
        <v>1.5277777777777777E-2</v>
      </c>
      <c r="T738" s="9" cm="1">
        <f t="array" ref="T73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8.6805555553615299E-2</v>
      </c>
      <c r="U738" s="9" t="str" cm="1">
        <f t="array" ref="U73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39" spans="1:21" x14ac:dyDescent="0.35">
      <c r="A739" s="28">
        <v>15</v>
      </c>
      <c r="B739" s="13" t="s">
        <v>1126</v>
      </c>
      <c r="C739" s="13">
        <v>1</v>
      </c>
      <c r="D739" s="14">
        <v>45023.035416666666</v>
      </c>
      <c r="E739" s="14">
        <v>45023.086111111108</v>
      </c>
      <c r="F739" s="13" t="s">
        <v>170</v>
      </c>
      <c r="G739" s="13" t="s">
        <v>86</v>
      </c>
      <c r="H739" s="13" t="s">
        <v>74</v>
      </c>
      <c r="I739" s="17">
        <v>17.37</v>
      </c>
      <c r="J739" s="13" t="s">
        <v>88</v>
      </c>
      <c r="K739" s="13">
        <v>738</v>
      </c>
      <c r="L739" s="13" t="s">
        <v>181</v>
      </c>
      <c r="M739" s="13" t="s">
        <v>1770</v>
      </c>
      <c r="N739">
        <f>_xlfn.XLOOKUP(spaces_3iWczBNnn5rbfoUlE0Jd_uploads_git_blob_9864c7f811c613c3faab876659c6423__25[[#This Row],[Número de Orden]],Cocinadinamica!B740:B1508,Cocinadinamica!C740:C1508)</f>
        <v>58</v>
      </c>
      <c r="O739" s="7">
        <f>spaces_3iWczBNnn5rbfoUlE0Jd_uploads_git_blob_9864c7f811c613c3faab876659c6423__25[[#This Row],[Hora de Llegada]]</f>
        <v>45023.035416666666</v>
      </c>
      <c r="P739" s="9">
        <f>spaces_3iWczBNnn5rbfoUlE0Jd_uploads_git_blob_9864c7f811c613c3faab876659c6423__25[[#This Row],[Hora de Llegada]]</f>
        <v>45023.035416666666</v>
      </c>
      <c r="Q739" s="9">
        <f>spaces_3iWczBNnn5rbfoUlE0Jd_uploads_git_blob_9864c7f811c613c3faab876659c6423__25[[#This Row],[Hora de Salida]]</f>
        <v>45023.086111111108</v>
      </c>
      <c r="R739" s="9" cm="1">
        <f t="array" ref="R73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6.1111111106583849E-2</v>
      </c>
      <c r="S739" s="9">
        <f>_xlfn.XLOOKUP(spaces_3iWczBNnn5rbfoUlE0Jd_uploads_git_blob_9864c7f811c613c3faab876659c6423__25[[#This Row],[Número de Orden]],Cocinadinamica!E740:E1508,Cocinadinamica!F740:F1508)/1440</f>
        <v>6.5277777777777782E-2</v>
      </c>
      <c r="T739" s="9" cm="1">
        <f t="array" ref="T73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739" s="9" t="str" cm="1">
        <f t="array" ref="U73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740" spans="1:21" x14ac:dyDescent="0.35">
      <c r="A740" s="27" t="s">
        <v>232</v>
      </c>
      <c r="B740" s="11" t="s">
        <v>834</v>
      </c>
      <c r="C740" s="11">
        <v>5</v>
      </c>
      <c r="D740" s="12">
        <v>45023.161805555559</v>
      </c>
      <c r="E740" s="12">
        <v>45023.256944444445</v>
      </c>
      <c r="F740" s="11" t="s">
        <v>100</v>
      </c>
      <c r="G740" s="11" t="s">
        <v>86</v>
      </c>
      <c r="H740" s="11" t="s">
        <v>109</v>
      </c>
      <c r="I740" s="16">
        <v>33.69</v>
      </c>
      <c r="J740" s="11" t="s">
        <v>94</v>
      </c>
      <c r="K740" s="11">
        <v>739</v>
      </c>
      <c r="L740" s="11" t="s">
        <v>110</v>
      </c>
      <c r="M740" s="11" t="s">
        <v>41</v>
      </c>
      <c r="N740">
        <f>_xlfn.XLOOKUP(spaces_3iWczBNnn5rbfoUlE0Jd_uploads_git_blob_9864c7f811c613c3faab876659c6423__25[[#This Row],[Número de Orden]],Cocinadinamica!B741:B1509,Cocinadinamica!C741:C1509)</f>
        <v>18</v>
      </c>
      <c r="O740" s="7">
        <f>spaces_3iWczBNnn5rbfoUlE0Jd_uploads_git_blob_9864c7f811c613c3faab876659c6423__25[[#This Row],[Hora de Llegada]]</f>
        <v>45023.161805555559</v>
      </c>
      <c r="P740" s="9">
        <f>spaces_3iWczBNnn5rbfoUlE0Jd_uploads_git_blob_9864c7f811c613c3faab876659c6423__25[[#This Row],[Hora de Llegada]]</f>
        <v>45023.161805555559</v>
      </c>
      <c r="Q740" s="9">
        <f>spaces_3iWczBNnn5rbfoUlE0Jd_uploads_git_blob_9864c7f811c613c3faab876659c6423__25[[#This Row],[Hora de Salida]]</f>
        <v>45023.256944444445</v>
      </c>
      <c r="R740" s="9" cm="1">
        <f t="array" ref="R74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9.5138888886140194E-2</v>
      </c>
      <c r="S740" s="9">
        <f>_xlfn.XLOOKUP(spaces_3iWczBNnn5rbfoUlE0Jd_uploads_git_blob_9864c7f811c613c3faab876659c6423__25[[#This Row],[Número de Orden]],Cocinadinamica!E741:E1509,Cocinadinamica!F741:F1509)/1440</f>
        <v>3.7499999999999999E-2</v>
      </c>
      <c r="T740" s="9" cm="1">
        <f t="array" ref="T74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5.7638888886140195E-2</v>
      </c>
      <c r="U740" s="9" t="str" cm="1">
        <f t="array" ref="U74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41" spans="1:21" x14ac:dyDescent="0.35">
      <c r="A741" s="28">
        <v>16</v>
      </c>
      <c r="B741" s="13" t="s">
        <v>1220</v>
      </c>
      <c r="C741" s="13">
        <v>6</v>
      </c>
      <c r="D741" s="14">
        <v>45023.15902777778</v>
      </c>
      <c r="E741" s="14">
        <v>45023.26666666667</v>
      </c>
      <c r="F741" s="13" t="s">
        <v>223</v>
      </c>
      <c r="G741" s="13" t="s">
        <v>86</v>
      </c>
      <c r="H741" s="13" t="s">
        <v>109</v>
      </c>
      <c r="I741" s="17">
        <v>16.05</v>
      </c>
      <c r="J741" s="13" t="s">
        <v>94</v>
      </c>
      <c r="K741" s="13">
        <v>740</v>
      </c>
      <c r="L741" s="13" t="s">
        <v>187</v>
      </c>
      <c r="M741" s="13" t="s">
        <v>1771</v>
      </c>
      <c r="N741">
        <f>_xlfn.XLOOKUP(spaces_3iWczBNnn5rbfoUlE0Jd_uploads_git_blob_9864c7f811c613c3faab876659c6423__25[[#This Row],[Número de Orden]],Cocinadinamica!B742:B1510,Cocinadinamica!C742:C1510)</f>
        <v>118</v>
      </c>
      <c r="O741" s="7">
        <f>spaces_3iWczBNnn5rbfoUlE0Jd_uploads_git_blob_9864c7f811c613c3faab876659c6423__25[[#This Row],[Hora de Llegada]]</f>
        <v>45023.15902777778</v>
      </c>
      <c r="P741" s="9">
        <f>spaces_3iWczBNnn5rbfoUlE0Jd_uploads_git_blob_9864c7f811c613c3faab876659c6423__25[[#This Row],[Hora de Llegada]]</f>
        <v>45023.15902777778</v>
      </c>
      <c r="Q741" s="9">
        <f>spaces_3iWczBNnn5rbfoUlE0Jd_uploads_git_blob_9864c7f811c613c3faab876659c6423__25[[#This Row],[Hora de Salida]]</f>
        <v>45023.26666666667</v>
      </c>
      <c r="R741" s="9" cm="1">
        <f t="array" ref="R74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0.10763888889050577</v>
      </c>
      <c r="S741" s="9">
        <f>_xlfn.XLOOKUP(spaces_3iWczBNnn5rbfoUlE0Jd_uploads_git_blob_9864c7f811c613c3faab876659c6423__25[[#This Row],[Número de Orden]],Cocinadinamica!E742:E1510,Cocinadinamica!F742:F1510)/1440</f>
        <v>7.8472222222222221E-2</v>
      </c>
      <c r="T741" s="9" cm="1">
        <f t="array" ref="T74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2.9166666668283547E-2</v>
      </c>
      <c r="U741" s="9" t="str" cm="1">
        <f t="array" ref="U74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42" spans="1:21" x14ac:dyDescent="0.35">
      <c r="A742" s="27">
        <v>14</v>
      </c>
      <c r="B742" s="11" t="s">
        <v>1075</v>
      </c>
      <c r="C742" s="11">
        <v>4</v>
      </c>
      <c r="D742" s="12">
        <v>45023.020138888889</v>
      </c>
      <c r="E742" s="12">
        <v>45023.182638888888</v>
      </c>
      <c r="F742" s="11" t="s">
        <v>100</v>
      </c>
      <c r="G742" s="11" t="s">
        <v>86</v>
      </c>
      <c r="H742" s="11" t="s">
        <v>109</v>
      </c>
      <c r="I742" s="16">
        <v>40.31</v>
      </c>
      <c r="J742" s="11" t="s">
        <v>88</v>
      </c>
      <c r="K742" s="11">
        <v>741</v>
      </c>
      <c r="L742" s="11" t="s">
        <v>174</v>
      </c>
      <c r="M742" s="11" t="s">
        <v>1772</v>
      </c>
      <c r="N742">
        <f>_xlfn.XLOOKUP(spaces_3iWczBNnn5rbfoUlE0Jd_uploads_git_blob_9864c7f811c613c3faab876659c6423__25[[#This Row],[Número de Orden]],Cocinadinamica!B743:B1511,Cocinadinamica!C743:C1511)</f>
        <v>117</v>
      </c>
      <c r="O742" s="7">
        <f>spaces_3iWczBNnn5rbfoUlE0Jd_uploads_git_blob_9864c7f811c613c3faab876659c6423__25[[#This Row],[Hora de Llegada]]</f>
        <v>45023.020138888889</v>
      </c>
      <c r="P742" s="9">
        <f>spaces_3iWczBNnn5rbfoUlE0Jd_uploads_git_blob_9864c7f811c613c3faab876659c6423__25[[#This Row],[Hora de Llegada]]</f>
        <v>45023.020138888889</v>
      </c>
      <c r="Q742" s="9">
        <f>spaces_3iWczBNnn5rbfoUlE0Jd_uploads_git_blob_9864c7f811c613c3faab876659c6423__25[[#This Row],[Hora de Salida]]</f>
        <v>45023.182638888888</v>
      </c>
      <c r="R742" s="9" cm="1">
        <f t="array" ref="R74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0.17291666666278616</v>
      </c>
      <c r="S742" s="9">
        <f>_xlfn.XLOOKUP(spaces_3iWczBNnn5rbfoUlE0Jd_uploads_git_blob_9864c7f811c613c3faab876659c6423__25[[#This Row],[Número de Orden]],Cocinadinamica!E743:E1511,Cocinadinamica!F743:F1511)/1440</f>
        <v>0.11458333333333333</v>
      </c>
      <c r="T742" s="9" cm="1">
        <f t="array" ref="T74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5.8333333329452827E-2</v>
      </c>
      <c r="U742" s="9" t="str" cm="1">
        <f t="array" ref="U74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43" spans="1:21" x14ac:dyDescent="0.35">
      <c r="A743" s="28">
        <v>20</v>
      </c>
      <c r="B743" s="13" t="s">
        <v>1140</v>
      </c>
      <c r="C743" s="13">
        <v>4</v>
      </c>
      <c r="D743" s="14">
        <v>45023.025000000001</v>
      </c>
      <c r="E743" s="14">
        <v>45023.098611111112</v>
      </c>
      <c r="F743" s="13" t="s">
        <v>100</v>
      </c>
      <c r="G743" s="13" t="s">
        <v>163</v>
      </c>
      <c r="H743" s="13" t="s">
        <v>74</v>
      </c>
      <c r="I743" s="17">
        <v>10.51</v>
      </c>
      <c r="J743" s="13" t="s">
        <v>94</v>
      </c>
      <c r="K743" s="13">
        <v>742</v>
      </c>
      <c r="L743" s="13" t="s">
        <v>110</v>
      </c>
      <c r="M743" s="13" t="s">
        <v>1773</v>
      </c>
      <c r="N743">
        <f>_xlfn.XLOOKUP(spaces_3iWczBNnn5rbfoUlE0Jd_uploads_git_blob_9864c7f811c613c3faab876659c6423__25[[#This Row],[Número de Orden]],Cocinadinamica!B744:B1512,Cocinadinamica!C744:C1512)</f>
        <v>67</v>
      </c>
      <c r="O743" s="7">
        <f>spaces_3iWczBNnn5rbfoUlE0Jd_uploads_git_blob_9864c7f811c613c3faab876659c6423__25[[#This Row],[Hora de Llegada]]</f>
        <v>45023.025000000001</v>
      </c>
      <c r="P743" s="9">
        <f>spaces_3iWczBNnn5rbfoUlE0Jd_uploads_git_blob_9864c7f811c613c3faab876659c6423__25[[#This Row],[Hora de Llegada]]</f>
        <v>45023.025000000001</v>
      </c>
      <c r="Q743" s="9">
        <f>spaces_3iWczBNnn5rbfoUlE0Jd_uploads_git_blob_9864c7f811c613c3faab876659c6423__25[[#This Row],[Hora de Salida]]</f>
        <v>45023.098611111112</v>
      </c>
      <c r="R743" s="9" cm="1">
        <f t="array" ref="R74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7.3611111110949423E-2</v>
      </c>
      <c r="S743" s="9">
        <f>_xlfn.XLOOKUP(spaces_3iWczBNnn5rbfoUlE0Jd_uploads_git_blob_9864c7f811c613c3faab876659c6423__25[[#This Row],[Número de Orden]],Cocinadinamica!E744:E1512,Cocinadinamica!F744:F1512)/1440</f>
        <v>0.10069444444444445</v>
      </c>
      <c r="T743" s="9" cm="1">
        <f t="array" ref="T74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743" s="9" t="str" cm="1">
        <f t="array" ref="U74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744" spans="1:21" x14ac:dyDescent="0.35">
      <c r="A744" s="27">
        <v>19</v>
      </c>
      <c r="B744" s="11" t="s">
        <v>1043</v>
      </c>
      <c r="C744" s="11">
        <v>2</v>
      </c>
      <c r="D744" s="12">
        <v>45023.157638888886</v>
      </c>
      <c r="E744" s="12">
        <v>45023.322222222225</v>
      </c>
      <c r="F744" s="11" t="s">
        <v>170</v>
      </c>
      <c r="G744" s="11" t="s">
        <v>86</v>
      </c>
      <c r="H744" s="11" t="s">
        <v>109</v>
      </c>
      <c r="I744" s="16">
        <v>25.7</v>
      </c>
      <c r="J744" s="11" t="s">
        <v>88</v>
      </c>
      <c r="K744" s="11">
        <v>743</v>
      </c>
      <c r="L744" s="11" t="s">
        <v>89</v>
      </c>
      <c r="M744" s="11" t="s">
        <v>1774</v>
      </c>
      <c r="N744">
        <f>_xlfn.XLOOKUP(spaces_3iWczBNnn5rbfoUlE0Jd_uploads_git_blob_9864c7f811c613c3faab876659c6423__25[[#This Row],[Número de Orden]],Cocinadinamica!B745:B1513,Cocinadinamica!C745:C1513)</f>
        <v>56</v>
      </c>
      <c r="O744" s="7">
        <f>spaces_3iWczBNnn5rbfoUlE0Jd_uploads_git_blob_9864c7f811c613c3faab876659c6423__25[[#This Row],[Hora de Llegada]]</f>
        <v>45023.157638888886</v>
      </c>
      <c r="P744" s="9">
        <f>spaces_3iWczBNnn5rbfoUlE0Jd_uploads_git_blob_9864c7f811c613c3faab876659c6423__25[[#This Row],[Hora de Llegada]]</f>
        <v>45023.157638888886</v>
      </c>
      <c r="Q744" s="9">
        <f>spaces_3iWczBNnn5rbfoUlE0Jd_uploads_git_blob_9864c7f811c613c3faab876659c6423__25[[#This Row],[Hora de Salida]]</f>
        <v>45023.322222222225</v>
      </c>
      <c r="R744" s="9" cm="1">
        <f t="array" ref="R74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0.17500000000291038</v>
      </c>
      <c r="S744" s="9">
        <f>_xlfn.XLOOKUP(spaces_3iWczBNnn5rbfoUlE0Jd_uploads_git_blob_9864c7f811c613c3faab876659c6423__25[[#This Row],[Número de Orden]],Cocinadinamica!E745:E1513,Cocinadinamica!F745:F1513)/1440</f>
        <v>9.930555555555555E-2</v>
      </c>
      <c r="T744" s="9" cm="1">
        <f t="array" ref="T74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7.5694444447354833E-2</v>
      </c>
      <c r="U744" s="9" t="str" cm="1">
        <f t="array" ref="U74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45" spans="1:21" x14ac:dyDescent="0.35">
      <c r="A745" s="28">
        <v>11</v>
      </c>
      <c r="B745" s="13" t="s">
        <v>868</v>
      </c>
      <c r="C745" s="13">
        <v>1</v>
      </c>
      <c r="D745" s="14">
        <v>45023.082638888889</v>
      </c>
      <c r="E745" s="14">
        <v>45023.242361111108</v>
      </c>
      <c r="F745" s="13" t="s">
        <v>223</v>
      </c>
      <c r="G745" s="13" t="s">
        <v>86</v>
      </c>
      <c r="H745" s="13" t="s">
        <v>74</v>
      </c>
      <c r="I745" s="17">
        <v>26.5</v>
      </c>
      <c r="J745" s="13" t="s">
        <v>75</v>
      </c>
      <c r="K745" s="13">
        <v>744</v>
      </c>
      <c r="L745" s="13" t="s">
        <v>181</v>
      </c>
      <c r="M745" s="13" t="s">
        <v>1284</v>
      </c>
      <c r="N745">
        <f>_xlfn.XLOOKUP(spaces_3iWczBNnn5rbfoUlE0Jd_uploads_git_blob_9864c7f811c613c3faab876659c6423__25[[#This Row],[Número de Orden]],Cocinadinamica!B746:B1514,Cocinadinamica!C746:C1514)</f>
        <v>32</v>
      </c>
      <c r="O745" s="7">
        <f>spaces_3iWczBNnn5rbfoUlE0Jd_uploads_git_blob_9864c7f811c613c3faab876659c6423__25[[#This Row],[Hora de Llegada]]</f>
        <v>45023.082638888889</v>
      </c>
      <c r="P745" s="9">
        <f>spaces_3iWczBNnn5rbfoUlE0Jd_uploads_git_blob_9864c7f811c613c3faab876659c6423__25[[#This Row],[Hora de Llegada]]</f>
        <v>45023.082638888889</v>
      </c>
      <c r="Q745" s="9">
        <f>spaces_3iWczBNnn5rbfoUlE0Jd_uploads_git_blob_9864c7f811c613c3faab876659c6423__25[[#This Row],[Hora de Salida]]</f>
        <v>45023.242361111108</v>
      </c>
      <c r="R745" s="9" cm="1">
        <f t="array" ref="R74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0.15972222221898846</v>
      </c>
      <c r="S745" s="9">
        <f>_xlfn.XLOOKUP(spaces_3iWczBNnn5rbfoUlE0Jd_uploads_git_blob_9864c7f811c613c3faab876659c6423__25[[#This Row],[Número de Orden]],Cocinadinamica!E746:E1514,Cocinadinamica!F746:F1514)/1440</f>
        <v>4.6527777777777779E-2</v>
      </c>
      <c r="T745" s="9" cm="1">
        <f t="array" ref="T74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0.11319444444121068</v>
      </c>
      <c r="U745" s="9" t="str" cm="1">
        <f t="array" ref="U74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46" spans="1:21" x14ac:dyDescent="0.35">
      <c r="A746" s="27">
        <v>3</v>
      </c>
      <c r="B746" s="11" t="s">
        <v>1205</v>
      </c>
      <c r="C746" s="11">
        <v>1</v>
      </c>
      <c r="D746" s="12">
        <v>45023.106944444444</v>
      </c>
      <c r="E746" s="12">
        <v>45023.202777777777</v>
      </c>
      <c r="F746" s="11" t="s">
        <v>85</v>
      </c>
      <c r="G746" s="11" t="s">
        <v>86</v>
      </c>
      <c r="H746" s="11" t="s">
        <v>87</v>
      </c>
      <c r="I746" s="16">
        <v>18.75</v>
      </c>
      <c r="J746" s="11" t="s">
        <v>75</v>
      </c>
      <c r="K746" s="11">
        <v>745</v>
      </c>
      <c r="L746" s="11" t="s">
        <v>95</v>
      </c>
      <c r="M746" s="11" t="s">
        <v>1775</v>
      </c>
      <c r="N746">
        <f>_xlfn.XLOOKUP(spaces_3iWczBNnn5rbfoUlE0Jd_uploads_git_blob_9864c7f811c613c3faab876659c6423__25[[#This Row],[Número de Orden]],Cocinadinamica!B747:B1515,Cocinadinamica!C747:C1515)</f>
        <v>115</v>
      </c>
      <c r="O746" s="7">
        <f>spaces_3iWczBNnn5rbfoUlE0Jd_uploads_git_blob_9864c7f811c613c3faab876659c6423__25[[#This Row],[Hora de Llegada]]</f>
        <v>45023.106944444444</v>
      </c>
      <c r="P746" s="9">
        <f>spaces_3iWczBNnn5rbfoUlE0Jd_uploads_git_blob_9864c7f811c613c3faab876659c6423__25[[#This Row],[Hora de Llegada]]</f>
        <v>45023.106944444444</v>
      </c>
      <c r="Q746" s="9">
        <f>spaces_3iWczBNnn5rbfoUlE0Jd_uploads_git_blob_9864c7f811c613c3faab876659c6423__25[[#This Row],[Hora de Salida]]</f>
        <v>45023.202777777777</v>
      </c>
      <c r="R746" s="9" cm="1">
        <f t="array" ref="R74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9.5833333332848269E-2</v>
      </c>
      <c r="S746" s="9">
        <f>_xlfn.XLOOKUP(spaces_3iWczBNnn5rbfoUlE0Jd_uploads_git_blob_9864c7f811c613c3faab876659c6423__25[[#This Row],[Número de Orden]],Cocinadinamica!E747:E1515,Cocinadinamica!F747:F1515)/1440</f>
        <v>5.0694444444444445E-2</v>
      </c>
      <c r="T746" s="9" cm="1">
        <f t="array" ref="T74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4.5138888888403825E-2</v>
      </c>
      <c r="U746" s="9" t="str" cm="1">
        <f t="array" ref="U74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47" spans="1:21" x14ac:dyDescent="0.35">
      <c r="A747" s="28">
        <v>13</v>
      </c>
      <c r="B747" s="13" t="s">
        <v>800</v>
      </c>
      <c r="C747" s="13">
        <v>2</v>
      </c>
      <c r="D747" s="14">
        <v>45023.131944444445</v>
      </c>
      <c r="E747" s="14">
        <v>45023.268750000003</v>
      </c>
      <c r="F747" s="13" t="s">
        <v>223</v>
      </c>
      <c r="G747" s="13" t="s">
        <v>86</v>
      </c>
      <c r="H747" s="13" t="s">
        <v>74</v>
      </c>
      <c r="I747" s="17">
        <v>44.9</v>
      </c>
      <c r="J747" s="13" t="s">
        <v>88</v>
      </c>
      <c r="K747" s="13">
        <v>746</v>
      </c>
      <c r="L747" s="13" t="s">
        <v>101</v>
      </c>
      <c r="M747" s="13" t="s">
        <v>1592</v>
      </c>
      <c r="N747">
        <f>_xlfn.XLOOKUP(spaces_3iWczBNnn5rbfoUlE0Jd_uploads_git_blob_9864c7f811c613c3faab876659c6423__25[[#This Row],[Número de Orden]],Cocinadinamica!B748:B1516,Cocinadinamica!C748:C1516)</f>
        <v>81</v>
      </c>
      <c r="O747" s="7">
        <f>spaces_3iWczBNnn5rbfoUlE0Jd_uploads_git_blob_9864c7f811c613c3faab876659c6423__25[[#This Row],[Hora de Llegada]]</f>
        <v>45023.131944444445</v>
      </c>
      <c r="P747" s="9">
        <f>spaces_3iWczBNnn5rbfoUlE0Jd_uploads_git_blob_9864c7f811c613c3faab876659c6423__25[[#This Row],[Hora de Llegada]]</f>
        <v>45023.131944444445</v>
      </c>
      <c r="Q747" s="9">
        <f>spaces_3iWczBNnn5rbfoUlE0Jd_uploads_git_blob_9864c7f811c613c3faab876659c6423__25[[#This Row],[Hora de Salida]]</f>
        <v>45023.268750000003</v>
      </c>
      <c r="R747" s="9" cm="1">
        <f t="array" ref="R74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0.14722222222189885</v>
      </c>
      <c r="S747" s="9">
        <f>_xlfn.XLOOKUP(spaces_3iWczBNnn5rbfoUlE0Jd_uploads_git_blob_9864c7f811c613c3faab876659c6423__25[[#This Row],[Número de Orden]],Cocinadinamica!E748:E1516,Cocinadinamica!F748:F1516)/1440</f>
        <v>5.347222222222222E-2</v>
      </c>
      <c r="T747" s="9" cm="1">
        <f t="array" ref="T74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9.374999999967662E-2</v>
      </c>
      <c r="U747" s="9" t="str" cm="1">
        <f t="array" ref="U74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48" spans="1:21" x14ac:dyDescent="0.35">
      <c r="A748" s="27" t="s">
        <v>224</v>
      </c>
      <c r="B748" s="11" t="s">
        <v>842</v>
      </c>
      <c r="C748" s="11">
        <v>3</v>
      </c>
      <c r="D748" s="12">
        <v>45023.120138888888</v>
      </c>
      <c r="E748" s="12">
        <v>45023.200694444444</v>
      </c>
      <c r="F748" s="11" t="s">
        <v>223</v>
      </c>
      <c r="G748" s="11" t="s">
        <v>163</v>
      </c>
      <c r="H748" s="11" t="s">
        <v>109</v>
      </c>
      <c r="I748" s="16">
        <v>37.229999999999997</v>
      </c>
      <c r="J748" s="11" t="s">
        <v>94</v>
      </c>
      <c r="K748" s="11">
        <v>747</v>
      </c>
      <c r="L748" s="11" t="s">
        <v>174</v>
      </c>
      <c r="M748" s="11" t="s">
        <v>49</v>
      </c>
      <c r="N748">
        <f>_xlfn.XLOOKUP(spaces_3iWczBNnn5rbfoUlE0Jd_uploads_git_blob_9864c7f811c613c3faab876659c6423__25[[#This Row],[Número de Orden]],Cocinadinamica!B749:B1517,Cocinadinamica!C749:C1517)</f>
        <v>10</v>
      </c>
      <c r="O748" s="7">
        <f>spaces_3iWczBNnn5rbfoUlE0Jd_uploads_git_blob_9864c7f811c613c3faab876659c6423__25[[#This Row],[Hora de Llegada]]</f>
        <v>45023.120138888888</v>
      </c>
      <c r="P748" s="9">
        <f>spaces_3iWczBNnn5rbfoUlE0Jd_uploads_git_blob_9864c7f811c613c3faab876659c6423__25[[#This Row],[Hora de Llegada]]</f>
        <v>45023.120138888888</v>
      </c>
      <c r="Q748" s="9">
        <f>spaces_3iWczBNnn5rbfoUlE0Jd_uploads_git_blob_9864c7f811c613c3faab876659c6423__25[[#This Row],[Hora de Salida]]</f>
        <v>45023.200694444444</v>
      </c>
      <c r="R748" s="9" cm="1">
        <f t="array" ref="R74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8.0555555556202307E-2</v>
      </c>
      <c r="S748" s="9">
        <f>_xlfn.XLOOKUP(spaces_3iWczBNnn5rbfoUlE0Jd_uploads_git_blob_9864c7f811c613c3faab876659c6423__25[[#This Row],[Número de Orden]],Cocinadinamica!E749:E1517,Cocinadinamica!F749:F1517)/1440</f>
        <v>1.9444444444444445E-2</v>
      </c>
      <c r="T748" s="9" cm="1">
        <f t="array" ref="T74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6.1111111111757863E-2</v>
      </c>
      <c r="U748" s="9" t="str" cm="1">
        <f t="array" ref="U74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49" spans="1:21" x14ac:dyDescent="0.35">
      <c r="A749" s="28">
        <v>2</v>
      </c>
      <c r="B749" s="13" t="s">
        <v>1221</v>
      </c>
      <c r="C749" s="13">
        <v>4</v>
      </c>
      <c r="D749" s="14">
        <v>45023.105555555558</v>
      </c>
      <c r="E749" s="14">
        <v>45023.248611111114</v>
      </c>
      <c r="F749" s="13" t="s">
        <v>100</v>
      </c>
      <c r="G749" s="13" t="s">
        <v>86</v>
      </c>
      <c r="H749" s="13" t="s">
        <v>74</v>
      </c>
      <c r="I749" s="17">
        <v>12.55</v>
      </c>
      <c r="J749" s="13" t="s">
        <v>94</v>
      </c>
      <c r="K749" s="13">
        <v>748</v>
      </c>
      <c r="L749" s="13" t="s">
        <v>275</v>
      </c>
      <c r="M749" s="13" t="s">
        <v>1776</v>
      </c>
      <c r="N749">
        <f>_xlfn.XLOOKUP(spaces_3iWczBNnn5rbfoUlE0Jd_uploads_git_blob_9864c7f811c613c3faab876659c6423__25[[#This Row],[Número de Orden]],Cocinadinamica!B750:B1518,Cocinadinamica!C750:C1518)</f>
        <v>46</v>
      </c>
      <c r="O749" s="7">
        <f>spaces_3iWczBNnn5rbfoUlE0Jd_uploads_git_blob_9864c7f811c613c3faab876659c6423__25[[#This Row],[Hora de Llegada]]</f>
        <v>45023.105555555558</v>
      </c>
      <c r="P749" s="9">
        <f>spaces_3iWczBNnn5rbfoUlE0Jd_uploads_git_blob_9864c7f811c613c3faab876659c6423__25[[#This Row],[Hora de Llegada]]</f>
        <v>45023.105555555558</v>
      </c>
      <c r="Q749" s="9">
        <f>spaces_3iWczBNnn5rbfoUlE0Jd_uploads_git_blob_9864c7f811c613c3faab876659c6423__25[[#This Row],[Hora de Salida]]</f>
        <v>45023.248611111114</v>
      </c>
      <c r="R749" s="9" cm="1">
        <f t="array" ref="R74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0.14305555555620231</v>
      </c>
      <c r="S749" s="9">
        <f>_xlfn.XLOOKUP(spaces_3iWczBNnn5rbfoUlE0Jd_uploads_git_blob_9864c7f811c613c3faab876659c6423__25[[#This Row],[Número de Orden]],Cocinadinamica!E750:E1518,Cocinadinamica!F750:F1518)/1440</f>
        <v>2.5694444444444443E-2</v>
      </c>
      <c r="T749" s="9" cm="1">
        <f t="array" ref="T74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0.11736111111175787</v>
      </c>
      <c r="U749" s="9" t="str" cm="1">
        <f t="array" ref="U74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50" spans="1:21" x14ac:dyDescent="0.35">
      <c r="A750" s="27" t="s">
        <v>161</v>
      </c>
      <c r="B750" s="11" t="s">
        <v>842</v>
      </c>
      <c r="C750" s="11">
        <v>2</v>
      </c>
      <c r="D750" s="12">
        <v>45023.056250000001</v>
      </c>
      <c r="E750" s="12">
        <v>45023.119444444441</v>
      </c>
      <c r="F750" s="11" t="s">
        <v>72</v>
      </c>
      <c r="G750" s="11" t="s">
        <v>86</v>
      </c>
      <c r="H750" s="11" t="s">
        <v>109</v>
      </c>
      <c r="I750" s="16">
        <v>24.12</v>
      </c>
      <c r="J750" s="11" t="s">
        <v>88</v>
      </c>
      <c r="K750" s="11">
        <v>749</v>
      </c>
      <c r="L750" s="11" t="s">
        <v>76</v>
      </c>
      <c r="M750" s="11" t="s">
        <v>31</v>
      </c>
      <c r="N750">
        <f>_xlfn.XLOOKUP(spaces_3iWczBNnn5rbfoUlE0Jd_uploads_git_blob_9864c7f811c613c3faab876659c6423__25[[#This Row],[Número de Orden]],Cocinadinamica!B751:B1519,Cocinadinamica!C751:C1519)</f>
        <v>28</v>
      </c>
      <c r="O750" s="7">
        <f>spaces_3iWczBNnn5rbfoUlE0Jd_uploads_git_blob_9864c7f811c613c3faab876659c6423__25[[#This Row],[Hora de Llegada]]</f>
        <v>45023.056250000001</v>
      </c>
      <c r="P750" s="9">
        <f>spaces_3iWczBNnn5rbfoUlE0Jd_uploads_git_blob_9864c7f811c613c3faab876659c6423__25[[#This Row],[Hora de Llegada]]</f>
        <v>45023.056250000001</v>
      </c>
      <c r="Q750" s="9">
        <f>spaces_3iWczBNnn5rbfoUlE0Jd_uploads_git_blob_9864c7f811c613c3faab876659c6423__25[[#This Row],[Hora de Salida]]</f>
        <v>45023.119444444441</v>
      </c>
      <c r="R750" s="9" cm="1">
        <f t="array" ref="R75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7.3611111103673466E-2</v>
      </c>
      <c r="S750" s="9">
        <f>_xlfn.XLOOKUP(spaces_3iWczBNnn5rbfoUlE0Jd_uploads_git_blob_9864c7f811c613c3faab876659c6423__25[[#This Row],[Número de Orden]],Cocinadinamica!E751:E1519,Cocinadinamica!F751:F1519)/1440</f>
        <v>5.5555555555555558E-3</v>
      </c>
      <c r="T750" s="9" cm="1">
        <f t="array" ref="T75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6.8055555548117916E-2</v>
      </c>
      <c r="U750" s="9" t="str" cm="1">
        <f t="array" ref="U75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51" spans="1:21" x14ac:dyDescent="0.35">
      <c r="A751" s="28">
        <v>6</v>
      </c>
      <c r="B751" s="13" t="s">
        <v>1222</v>
      </c>
      <c r="C751" s="13">
        <v>4</v>
      </c>
      <c r="D751" s="14">
        <v>45023.073611111111</v>
      </c>
      <c r="E751" s="14">
        <v>45023.125</v>
      </c>
      <c r="F751" s="13" t="s">
        <v>223</v>
      </c>
      <c r="G751" s="13" t="s">
        <v>86</v>
      </c>
      <c r="H751" s="13" t="s">
        <v>74</v>
      </c>
      <c r="I751" s="17">
        <v>21.82</v>
      </c>
      <c r="J751" s="13" t="s">
        <v>75</v>
      </c>
      <c r="K751" s="13">
        <v>750</v>
      </c>
      <c r="L751" s="13" t="s">
        <v>95</v>
      </c>
      <c r="M751" s="13" t="s">
        <v>1360</v>
      </c>
      <c r="N751">
        <f>_xlfn.XLOOKUP(spaces_3iWczBNnn5rbfoUlE0Jd_uploads_git_blob_9864c7f811c613c3faab876659c6423__25[[#This Row],[Número de Orden]],Cocinadinamica!B752:B1520,Cocinadinamica!C752:C1520)</f>
        <v>47</v>
      </c>
      <c r="O751" s="7">
        <f>spaces_3iWczBNnn5rbfoUlE0Jd_uploads_git_blob_9864c7f811c613c3faab876659c6423__25[[#This Row],[Hora de Llegada]]</f>
        <v>45023.073611111111</v>
      </c>
      <c r="P751" s="9">
        <f>spaces_3iWczBNnn5rbfoUlE0Jd_uploads_git_blob_9864c7f811c613c3faab876659c6423__25[[#This Row],[Hora de Llegada]]</f>
        <v>45023.073611111111</v>
      </c>
      <c r="Q751" s="9">
        <f>spaces_3iWczBNnn5rbfoUlE0Jd_uploads_git_blob_9864c7f811c613c3faab876659c6423__25[[#This Row],[Hora de Salida]]</f>
        <v>45023.125</v>
      </c>
      <c r="R751" s="9" cm="1">
        <f t="array" ref="R75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5.1388888889050577E-2</v>
      </c>
      <c r="S751" s="9">
        <f>_xlfn.XLOOKUP(spaces_3iWczBNnn5rbfoUlE0Jd_uploads_git_blob_9864c7f811c613c3faab876659c6423__25[[#This Row],[Número de Orden]],Cocinadinamica!E752:E1520,Cocinadinamica!F752:F1520)/1440</f>
        <v>5.9722222222222225E-2</v>
      </c>
      <c r="T751" s="9" cm="1">
        <f t="array" ref="T75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751" s="9" t="str" cm="1">
        <f t="array" ref="U75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752" spans="1:21" x14ac:dyDescent="0.35">
      <c r="A752" s="27">
        <v>17</v>
      </c>
      <c r="B752" s="11" t="s">
        <v>1084</v>
      </c>
      <c r="C752" s="11">
        <v>6</v>
      </c>
      <c r="D752" s="12">
        <v>45023.063888888886</v>
      </c>
      <c r="E752" s="12">
        <v>45023.131944444445</v>
      </c>
      <c r="F752" s="11" t="s">
        <v>100</v>
      </c>
      <c r="G752" s="11" t="s">
        <v>163</v>
      </c>
      <c r="H752" s="11" t="s">
        <v>74</v>
      </c>
      <c r="I752" s="16">
        <v>49.35</v>
      </c>
      <c r="J752" s="11" t="s">
        <v>75</v>
      </c>
      <c r="K752" s="11">
        <v>751</v>
      </c>
      <c r="L752" s="11" t="s">
        <v>89</v>
      </c>
      <c r="M752" s="11" t="s">
        <v>1777</v>
      </c>
      <c r="N752">
        <f>_xlfn.XLOOKUP(spaces_3iWczBNnn5rbfoUlE0Jd_uploads_git_blob_9864c7f811c613c3faab876659c6423__25[[#This Row],[Número de Orden]],Cocinadinamica!B753:B1521,Cocinadinamica!C753:C1521)</f>
        <v>69</v>
      </c>
      <c r="O752" s="7">
        <f>spaces_3iWczBNnn5rbfoUlE0Jd_uploads_git_blob_9864c7f811c613c3faab876659c6423__25[[#This Row],[Hora de Llegada]]</f>
        <v>45023.063888888886</v>
      </c>
      <c r="P752" s="9">
        <f>spaces_3iWczBNnn5rbfoUlE0Jd_uploads_git_blob_9864c7f811c613c3faab876659c6423__25[[#This Row],[Hora de Llegada]]</f>
        <v>45023.063888888886</v>
      </c>
      <c r="Q752" s="9">
        <f>spaces_3iWczBNnn5rbfoUlE0Jd_uploads_git_blob_9864c7f811c613c3faab876659c6423__25[[#This Row],[Hora de Salida]]</f>
        <v>45023.131944444445</v>
      </c>
      <c r="R752" s="9" cm="1">
        <f t="array" ref="R75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6.805555555911269E-2</v>
      </c>
      <c r="S752" s="9">
        <f>_xlfn.XLOOKUP(spaces_3iWczBNnn5rbfoUlE0Jd_uploads_git_blob_9864c7f811c613c3faab876659c6423__25[[#This Row],[Número de Orden]],Cocinadinamica!E753:E1521,Cocinadinamica!F753:F1521)/1440</f>
        <v>6.0416666666666667E-2</v>
      </c>
      <c r="T752" s="9" cm="1">
        <f t="array" ref="T75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7.6388888924460233E-3</v>
      </c>
      <c r="U752" s="9" t="str" cm="1">
        <f t="array" ref="U75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53" spans="1:21" x14ac:dyDescent="0.35">
      <c r="A753" s="28" t="s">
        <v>308</v>
      </c>
      <c r="B753" s="13" t="s">
        <v>519</v>
      </c>
      <c r="C753" s="13">
        <v>5</v>
      </c>
      <c r="D753" s="14">
        <v>45023.086805555555</v>
      </c>
      <c r="E753" s="14">
        <v>45023.182638888888</v>
      </c>
      <c r="F753" s="13" t="s">
        <v>170</v>
      </c>
      <c r="G753" s="13" t="s">
        <v>86</v>
      </c>
      <c r="H753" s="13" t="s">
        <v>74</v>
      </c>
      <c r="I753" s="17">
        <v>46.27</v>
      </c>
      <c r="J753" s="13" t="s">
        <v>75</v>
      </c>
      <c r="K753" s="13">
        <v>752</v>
      </c>
      <c r="L753" s="13" t="s">
        <v>76</v>
      </c>
      <c r="M753" s="13" t="s">
        <v>12</v>
      </c>
      <c r="N753">
        <f>_xlfn.XLOOKUP(spaces_3iWczBNnn5rbfoUlE0Jd_uploads_git_blob_9864c7f811c613c3faab876659c6423__25[[#This Row],[Número de Orden]],Cocinadinamica!B754:B1522,Cocinadinamica!C754:C1522)</f>
        <v>24</v>
      </c>
      <c r="O753" s="7">
        <f>spaces_3iWczBNnn5rbfoUlE0Jd_uploads_git_blob_9864c7f811c613c3faab876659c6423__25[[#This Row],[Hora de Llegada]]</f>
        <v>45023.086805555555</v>
      </c>
      <c r="P753" s="9">
        <f>spaces_3iWczBNnn5rbfoUlE0Jd_uploads_git_blob_9864c7f811c613c3faab876659c6423__25[[#This Row],[Hora de Llegada]]</f>
        <v>45023.086805555555</v>
      </c>
      <c r="Q753" s="9">
        <f>spaces_3iWczBNnn5rbfoUlE0Jd_uploads_git_blob_9864c7f811c613c3faab876659c6423__25[[#This Row],[Hora de Salida]]</f>
        <v>45023.182638888888</v>
      </c>
      <c r="R753" s="9" cm="1">
        <f t="array" ref="R75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9.5833333332848269E-2</v>
      </c>
      <c r="S753" s="9">
        <f>_xlfn.XLOOKUP(spaces_3iWczBNnn5rbfoUlE0Jd_uploads_git_blob_9864c7f811c613c3faab876659c6423__25[[#This Row],[Número de Orden]],Cocinadinamica!E754:E1522,Cocinadinamica!F754:F1522)/1440</f>
        <v>2.0833333333333332E-2</v>
      </c>
      <c r="T753" s="9" cm="1">
        <f t="array" ref="T75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7.4999999999514941E-2</v>
      </c>
      <c r="U753" s="9" t="str" cm="1">
        <f t="array" ref="U75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54" spans="1:21" x14ac:dyDescent="0.35">
      <c r="A754" s="27">
        <v>11</v>
      </c>
      <c r="B754" s="11" t="s">
        <v>1017</v>
      </c>
      <c r="C754" s="11">
        <v>4</v>
      </c>
      <c r="D754" s="12">
        <v>45023.102083333331</v>
      </c>
      <c r="E754" s="12">
        <v>45023.193055555559</v>
      </c>
      <c r="F754" s="11" t="s">
        <v>72</v>
      </c>
      <c r="G754" s="11" t="s">
        <v>86</v>
      </c>
      <c r="H754" s="11" t="s">
        <v>109</v>
      </c>
      <c r="I754" s="16">
        <v>26.24</v>
      </c>
      <c r="J754" s="11" t="s">
        <v>75</v>
      </c>
      <c r="K754" s="11">
        <v>753</v>
      </c>
      <c r="L754" s="11" t="s">
        <v>101</v>
      </c>
      <c r="M754" s="11" t="s">
        <v>1778</v>
      </c>
      <c r="N754">
        <f>_xlfn.XLOOKUP(spaces_3iWczBNnn5rbfoUlE0Jd_uploads_git_blob_9864c7f811c613c3faab876659c6423__25[[#This Row],[Número de Orden]],Cocinadinamica!B755:B1523,Cocinadinamica!C755:C1523)</f>
        <v>66</v>
      </c>
      <c r="O754" s="7">
        <f>spaces_3iWczBNnn5rbfoUlE0Jd_uploads_git_blob_9864c7f811c613c3faab876659c6423__25[[#This Row],[Hora de Llegada]]</f>
        <v>45023.102083333331</v>
      </c>
      <c r="P754" s="9">
        <f>spaces_3iWczBNnn5rbfoUlE0Jd_uploads_git_blob_9864c7f811c613c3faab876659c6423__25[[#This Row],[Hora de Llegada]]</f>
        <v>45023.102083333331</v>
      </c>
      <c r="Q754" s="9">
        <f>spaces_3iWczBNnn5rbfoUlE0Jd_uploads_git_blob_9864c7f811c613c3faab876659c6423__25[[#This Row],[Hora de Salida]]</f>
        <v>45023.193055555559</v>
      </c>
      <c r="R754" s="9" cm="1">
        <f t="array" ref="R75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9.0972222227719612E-2</v>
      </c>
      <c r="S754" s="9">
        <f>_xlfn.XLOOKUP(spaces_3iWczBNnn5rbfoUlE0Jd_uploads_git_blob_9864c7f811c613c3faab876659c6423__25[[#This Row],[Número de Orden]],Cocinadinamica!E755:E1523,Cocinadinamica!F755:F1523)/1440</f>
        <v>8.8888888888888892E-2</v>
      </c>
      <c r="T754" s="9" cm="1">
        <f t="array" ref="T75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2.0833333388307201E-3</v>
      </c>
      <c r="U754" s="9" t="str" cm="1">
        <f t="array" ref="U75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55" spans="1:21" x14ac:dyDescent="0.35">
      <c r="A755" s="28">
        <v>8</v>
      </c>
      <c r="B755" s="13" t="s">
        <v>482</v>
      </c>
      <c r="C755" s="13">
        <v>3</v>
      </c>
      <c r="D755" s="14">
        <v>45023.13958333333</v>
      </c>
      <c r="E755" s="14">
        <v>45023.191666666666</v>
      </c>
      <c r="F755" s="13" t="s">
        <v>170</v>
      </c>
      <c r="G755" s="13" t="s">
        <v>86</v>
      </c>
      <c r="H755" s="13" t="s">
        <v>74</v>
      </c>
      <c r="I755" s="17">
        <v>42.74</v>
      </c>
      <c r="J755" s="13" t="s">
        <v>94</v>
      </c>
      <c r="K755" s="13">
        <v>754</v>
      </c>
      <c r="L755" s="13" t="s">
        <v>181</v>
      </c>
      <c r="M755" s="13" t="s">
        <v>1779</v>
      </c>
      <c r="N755">
        <f>_xlfn.XLOOKUP(spaces_3iWczBNnn5rbfoUlE0Jd_uploads_git_blob_9864c7f811c613c3faab876659c6423__25[[#This Row],[Número de Orden]],Cocinadinamica!B756:B1524,Cocinadinamica!C756:C1524)</f>
        <v>99</v>
      </c>
      <c r="O755" s="7">
        <f>spaces_3iWczBNnn5rbfoUlE0Jd_uploads_git_blob_9864c7f811c613c3faab876659c6423__25[[#This Row],[Hora de Llegada]]</f>
        <v>45023.13958333333</v>
      </c>
      <c r="P755" s="9">
        <f>spaces_3iWczBNnn5rbfoUlE0Jd_uploads_git_blob_9864c7f811c613c3faab876659c6423__25[[#This Row],[Hora de Llegada]]</f>
        <v>45023.13958333333</v>
      </c>
      <c r="Q755" s="9">
        <f>spaces_3iWczBNnn5rbfoUlE0Jd_uploads_git_blob_9864c7f811c613c3faab876659c6423__25[[#This Row],[Hora de Salida]]</f>
        <v>45023.191666666666</v>
      </c>
      <c r="R755" s="9" cm="1">
        <f t="array" ref="R75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5.2083333335758653E-2</v>
      </c>
      <c r="S755" s="9">
        <f>_xlfn.XLOOKUP(spaces_3iWczBNnn5rbfoUlE0Jd_uploads_git_blob_9864c7f811c613c3faab876659c6423__25[[#This Row],[Número de Orden]],Cocinadinamica!E756:E1524,Cocinadinamica!F756:F1524)/1440</f>
        <v>6.1805555555555558E-2</v>
      </c>
      <c r="T755" s="9" cm="1">
        <f t="array" ref="T75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755" s="9" t="str" cm="1">
        <f t="array" ref="U75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756" spans="1:21" x14ac:dyDescent="0.35">
      <c r="A756" s="27">
        <v>12</v>
      </c>
      <c r="B756" s="11" t="s">
        <v>1223</v>
      </c>
      <c r="C756" s="11">
        <v>3</v>
      </c>
      <c r="D756" s="12">
        <v>45023.084027777775</v>
      </c>
      <c r="E756" s="12">
        <v>45023.185416666667</v>
      </c>
      <c r="F756" s="11" t="s">
        <v>100</v>
      </c>
      <c r="G756" s="11" t="s">
        <v>86</v>
      </c>
      <c r="H756" s="11" t="s">
        <v>74</v>
      </c>
      <c r="I756" s="16">
        <v>26.65</v>
      </c>
      <c r="J756" s="11" t="s">
        <v>88</v>
      </c>
      <c r="K756" s="11">
        <v>755</v>
      </c>
      <c r="L756" s="11" t="s">
        <v>89</v>
      </c>
      <c r="M756" s="11" t="s">
        <v>1780</v>
      </c>
      <c r="N756">
        <f>_xlfn.XLOOKUP(spaces_3iWczBNnn5rbfoUlE0Jd_uploads_git_blob_9864c7f811c613c3faab876659c6423__25[[#This Row],[Número de Orden]],Cocinadinamica!B757:B1525,Cocinadinamica!C757:C1525)</f>
        <v>86</v>
      </c>
      <c r="O756" s="7">
        <f>spaces_3iWczBNnn5rbfoUlE0Jd_uploads_git_blob_9864c7f811c613c3faab876659c6423__25[[#This Row],[Hora de Llegada]]</f>
        <v>45023.084027777775</v>
      </c>
      <c r="P756" s="9">
        <f>spaces_3iWczBNnn5rbfoUlE0Jd_uploads_git_blob_9864c7f811c613c3faab876659c6423__25[[#This Row],[Hora de Llegada]]</f>
        <v>45023.084027777775</v>
      </c>
      <c r="Q756" s="9">
        <f>spaces_3iWczBNnn5rbfoUlE0Jd_uploads_git_blob_9864c7f811c613c3faab876659c6423__25[[#This Row],[Hora de Salida]]</f>
        <v>45023.185416666667</v>
      </c>
      <c r="R756" s="9" cm="1">
        <f t="array" ref="R75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0.11180555555620231</v>
      </c>
      <c r="S756" s="9">
        <f>_xlfn.XLOOKUP(spaces_3iWczBNnn5rbfoUlE0Jd_uploads_git_blob_9864c7f811c613c3faab876659c6423__25[[#This Row],[Número de Orden]],Cocinadinamica!E757:E1525,Cocinadinamica!F757:F1525)/1440</f>
        <v>7.5694444444444439E-2</v>
      </c>
      <c r="T756" s="9" cm="1">
        <f t="array" ref="T75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3.6111111111757868E-2</v>
      </c>
      <c r="U756" s="9" t="str" cm="1">
        <f t="array" ref="U75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57" spans="1:21" x14ac:dyDescent="0.35">
      <c r="A757" s="28">
        <v>11</v>
      </c>
      <c r="B757" s="13" t="s">
        <v>1224</v>
      </c>
      <c r="C757" s="13">
        <v>1</v>
      </c>
      <c r="D757" s="14">
        <v>45023.161805555559</v>
      </c>
      <c r="E757" s="14">
        <v>45023.32708333333</v>
      </c>
      <c r="F757" s="13" t="s">
        <v>223</v>
      </c>
      <c r="G757" s="13" t="s">
        <v>73</v>
      </c>
      <c r="H757" s="13" t="s">
        <v>74</v>
      </c>
      <c r="I757" s="17">
        <v>31.75</v>
      </c>
      <c r="J757" s="13" t="s">
        <v>75</v>
      </c>
      <c r="K757" s="13">
        <v>756</v>
      </c>
      <c r="L757" s="13" t="s">
        <v>76</v>
      </c>
      <c r="M757" s="13" t="s">
        <v>1781</v>
      </c>
      <c r="N757">
        <f>_xlfn.XLOOKUP(spaces_3iWczBNnn5rbfoUlE0Jd_uploads_git_blob_9864c7f811c613c3faab876659c6423__25[[#This Row],[Número de Orden]],Cocinadinamica!B758:B1526,Cocinadinamica!C758:C1526)</f>
        <v>20</v>
      </c>
      <c r="O757" s="7">
        <f>spaces_3iWczBNnn5rbfoUlE0Jd_uploads_git_blob_9864c7f811c613c3faab876659c6423__25[[#This Row],[Hora de Llegada]]</f>
        <v>45023.161805555559</v>
      </c>
      <c r="P757" s="9">
        <f>spaces_3iWczBNnn5rbfoUlE0Jd_uploads_git_blob_9864c7f811c613c3faab876659c6423__25[[#This Row],[Hora de Llegada]]</f>
        <v>45023.161805555559</v>
      </c>
      <c r="Q757" s="9">
        <f>spaces_3iWczBNnn5rbfoUlE0Jd_uploads_git_blob_9864c7f811c613c3faab876659c6423__25[[#This Row],[Hora de Salida]]</f>
        <v>45023.32708333333</v>
      </c>
      <c r="R757" s="9" cm="1">
        <f t="array" ref="R75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0.1652777777708252</v>
      </c>
      <c r="S757" s="9">
        <f>_xlfn.XLOOKUP(spaces_3iWczBNnn5rbfoUlE0Jd_uploads_git_blob_9864c7f811c613c3faab876659c6423__25[[#This Row],[Número de Orden]],Cocinadinamica!E758:E1526,Cocinadinamica!F758:F1526)/1440</f>
        <v>2.361111111111111E-2</v>
      </c>
      <c r="T757" s="9" cm="1">
        <f t="array" ref="T75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0.14166666665971409</v>
      </c>
      <c r="U757" s="9" t="str" cm="1">
        <f t="array" ref="U75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58" spans="1:21" x14ac:dyDescent="0.35">
      <c r="A758" s="27" t="s">
        <v>308</v>
      </c>
      <c r="B758" s="11" t="s">
        <v>850</v>
      </c>
      <c r="C758" s="11">
        <v>6</v>
      </c>
      <c r="D758" s="12">
        <v>45023.074305555558</v>
      </c>
      <c r="E758" s="12">
        <v>45023.195833333331</v>
      </c>
      <c r="F758" s="11" t="s">
        <v>100</v>
      </c>
      <c r="G758" s="11" t="s">
        <v>86</v>
      </c>
      <c r="H758" s="11" t="s">
        <v>109</v>
      </c>
      <c r="I758" s="16">
        <v>10.029999999999999</v>
      </c>
      <c r="J758" s="11" t="s">
        <v>94</v>
      </c>
      <c r="K758" s="11">
        <v>757</v>
      </c>
      <c r="L758" s="11" t="s">
        <v>89</v>
      </c>
      <c r="M758" s="11" t="s">
        <v>12</v>
      </c>
      <c r="N758">
        <f>_xlfn.XLOOKUP(spaces_3iWczBNnn5rbfoUlE0Jd_uploads_git_blob_9864c7f811c613c3faab876659c6423__25[[#This Row],[Número de Orden]],Cocinadinamica!B759:B1527,Cocinadinamica!C759:C1527)</f>
        <v>24</v>
      </c>
      <c r="O758" s="7">
        <f>spaces_3iWczBNnn5rbfoUlE0Jd_uploads_git_blob_9864c7f811c613c3faab876659c6423__25[[#This Row],[Hora de Llegada]]</f>
        <v>45023.074305555558</v>
      </c>
      <c r="P758" s="9">
        <f>spaces_3iWczBNnn5rbfoUlE0Jd_uploads_git_blob_9864c7f811c613c3faab876659c6423__25[[#This Row],[Hora de Llegada]]</f>
        <v>45023.074305555558</v>
      </c>
      <c r="Q758" s="9">
        <f>spaces_3iWczBNnn5rbfoUlE0Jd_uploads_git_blob_9864c7f811c613c3faab876659c6423__25[[#This Row],[Hora de Salida]]</f>
        <v>45023.195833333331</v>
      </c>
      <c r="R758" s="9" cm="1">
        <f t="array" ref="R75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0.12152777777373558</v>
      </c>
      <c r="S758" s="9">
        <f>_xlfn.XLOOKUP(spaces_3iWczBNnn5rbfoUlE0Jd_uploads_git_blob_9864c7f811c613c3faab876659c6423__25[[#This Row],[Número de Orden]],Cocinadinamica!E759:E1527,Cocinadinamica!F759:F1527)/1440</f>
        <v>2.7777777777777776E-2</v>
      </c>
      <c r="T758" s="9" cm="1">
        <f t="array" ref="T75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9.3749999995957803E-2</v>
      </c>
      <c r="U758" s="9" t="str" cm="1">
        <f t="array" ref="U75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59" spans="1:21" x14ac:dyDescent="0.35">
      <c r="A759" s="28">
        <v>18</v>
      </c>
      <c r="B759" s="13" t="s">
        <v>1225</v>
      </c>
      <c r="C759" s="13">
        <v>4</v>
      </c>
      <c r="D759" s="14">
        <v>45023.011805555558</v>
      </c>
      <c r="E759" s="14">
        <v>45023.090277777781</v>
      </c>
      <c r="F759" s="13" t="s">
        <v>170</v>
      </c>
      <c r="G759" s="13" t="s">
        <v>163</v>
      </c>
      <c r="H759" s="13" t="s">
        <v>87</v>
      </c>
      <c r="I759" s="17">
        <v>27.04</v>
      </c>
      <c r="J759" s="13" t="s">
        <v>94</v>
      </c>
      <c r="K759" s="13">
        <v>758</v>
      </c>
      <c r="L759" s="13" t="s">
        <v>76</v>
      </c>
      <c r="M759" s="13" t="s">
        <v>1660</v>
      </c>
      <c r="N759">
        <f>_xlfn.XLOOKUP(spaces_3iWczBNnn5rbfoUlE0Jd_uploads_git_blob_9864c7f811c613c3faab876659c6423__25[[#This Row],[Número de Orden]],Cocinadinamica!B760:B1528,Cocinadinamica!C760:C1528)</f>
        <v>21</v>
      </c>
      <c r="O759" s="7">
        <f>spaces_3iWczBNnn5rbfoUlE0Jd_uploads_git_blob_9864c7f811c613c3faab876659c6423__25[[#This Row],[Hora de Llegada]]</f>
        <v>45023.011805555558</v>
      </c>
      <c r="P759" s="9">
        <f>spaces_3iWczBNnn5rbfoUlE0Jd_uploads_git_blob_9864c7f811c613c3faab876659c6423__25[[#This Row],[Hora de Llegada]]</f>
        <v>45023.011805555558</v>
      </c>
      <c r="Q759" s="9">
        <f>spaces_3iWczBNnn5rbfoUlE0Jd_uploads_git_blob_9864c7f811c613c3faab876659c6423__25[[#This Row],[Hora de Salida]]</f>
        <v>45023.090277777781</v>
      </c>
      <c r="R759" s="9" cm="1">
        <f t="array" ref="R759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7.8472222223354038E-2</v>
      </c>
      <c r="S759" s="9">
        <f>_xlfn.XLOOKUP(spaces_3iWczBNnn5rbfoUlE0Jd_uploads_git_blob_9864c7f811c613c3faab876659c6423__25[[#This Row],[Número de Orden]],Cocinadinamica!E760:E1528,Cocinadinamica!F760:F1528)/1440</f>
        <v>2.8472222222222222E-2</v>
      </c>
      <c r="T759" s="9" cm="1">
        <f t="array" ref="T759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5.000000000113182E-2</v>
      </c>
      <c r="U759" s="9" t="str" cm="1">
        <f t="array" ref="U759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60" spans="1:21" x14ac:dyDescent="0.35">
      <c r="A760" s="27">
        <v>20</v>
      </c>
      <c r="B760" s="11" t="s">
        <v>1226</v>
      </c>
      <c r="C760" s="11">
        <v>5</v>
      </c>
      <c r="D760" s="12">
        <v>45023.027777777781</v>
      </c>
      <c r="E760" s="12">
        <v>45023.15625</v>
      </c>
      <c r="F760" s="11" t="s">
        <v>223</v>
      </c>
      <c r="G760" s="11" t="s">
        <v>86</v>
      </c>
      <c r="H760" s="11" t="s">
        <v>74</v>
      </c>
      <c r="I760" s="16">
        <v>13.7</v>
      </c>
      <c r="J760" s="11" t="s">
        <v>94</v>
      </c>
      <c r="K760" s="11">
        <v>759</v>
      </c>
      <c r="L760" s="11" t="s">
        <v>164</v>
      </c>
      <c r="M760" s="11" t="s">
        <v>1782</v>
      </c>
      <c r="N760">
        <f>_xlfn.XLOOKUP(spaces_3iWczBNnn5rbfoUlE0Jd_uploads_git_blob_9864c7f811c613c3faab876659c6423__25[[#This Row],[Número de Orden]],Cocinadinamica!B761:B1529,Cocinadinamica!C761:C1529)</f>
        <v>138</v>
      </c>
      <c r="O760" s="7">
        <f>spaces_3iWczBNnn5rbfoUlE0Jd_uploads_git_blob_9864c7f811c613c3faab876659c6423__25[[#This Row],[Hora de Llegada]]</f>
        <v>45023.027777777781</v>
      </c>
      <c r="P760" s="9">
        <f>spaces_3iWczBNnn5rbfoUlE0Jd_uploads_git_blob_9864c7f811c613c3faab876659c6423__25[[#This Row],[Hora de Llegada]]</f>
        <v>45023.027777777781</v>
      </c>
      <c r="Q760" s="9">
        <f>spaces_3iWczBNnn5rbfoUlE0Jd_uploads_git_blob_9864c7f811c613c3faab876659c6423__25[[#This Row],[Hora de Salida]]</f>
        <v>45023.15625</v>
      </c>
      <c r="R760" s="9" cm="1">
        <f t="array" ref="R760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0.12847222221898846</v>
      </c>
      <c r="S760" s="9">
        <f>_xlfn.XLOOKUP(spaces_3iWczBNnn5rbfoUlE0Jd_uploads_git_blob_9864c7f811c613c3faab876659c6423__25[[#This Row],[Número de Orden]],Cocinadinamica!E761:E1529,Cocinadinamica!F761:F1529)/1440</f>
        <v>0.1361111111111111</v>
      </c>
      <c r="T760" s="9" cm="1">
        <f t="array" ref="T760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760" s="9" t="str" cm="1">
        <f t="array" ref="U760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761" spans="1:21" x14ac:dyDescent="0.35">
      <c r="A761" s="28" t="s">
        <v>121</v>
      </c>
      <c r="B761" s="13" t="s">
        <v>853</v>
      </c>
      <c r="C761" s="13">
        <v>6</v>
      </c>
      <c r="D761" s="14">
        <v>45023.017361111109</v>
      </c>
      <c r="E761" s="14">
        <v>45023.069444444445</v>
      </c>
      <c r="F761" s="13" t="s">
        <v>72</v>
      </c>
      <c r="G761" s="13" t="s">
        <v>86</v>
      </c>
      <c r="H761" s="13" t="s">
        <v>74</v>
      </c>
      <c r="I761" s="17">
        <v>39.42</v>
      </c>
      <c r="J761" s="13" t="s">
        <v>75</v>
      </c>
      <c r="K761" s="13">
        <v>760</v>
      </c>
      <c r="L761" s="13" t="s">
        <v>164</v>
      </c>
      <c r="M761" s="13" t="s">
        <v>31</v>
      </c>
      <c r="N761">
        <f>_xlfn.XLOOKUP(spaces_3iWczBNnn5rbfoUlE0Jd_uploads_git_blob_9864c7f811c613c3faab876659c6423__25[[#This Row],[Número de Orden]],Cocinadinamica!B762:B1530,Cocinadinamica!C762:C1530)</f>
        <v>42</v>
      </c>
      <c r="O761" s="7">
        <f>spaces_3iWczBNnn5rbfoUlE0Jd_uploads_git_blob_9864c7f811c613c3faab876659c6423__25[[#This Row],[Hora de Llegada]]</f>
        <v>45023.017361111109</v>
      </c>
      <c r="P761" s="9">
        <f>spaces_3iWczBNnn5rbfoUlE0Jd_uploads_git_blob_9864c7f811c613c3faab876659c6423__25[[#This Row],[Hora de Llegada]]</f>
        <v>45023.017361111109</v>
      </c>
      <c r="Q761" s="9">
        <f>spaces_3iWczBNnn5rbfoUlE0Jd_uploads_git_blob_9864c7f811c613c3faab876659c6423__25[[#This Row],[Hora de Salida]]</f>
        <v>45023.069444444445</v>
      </c>
      <c r="R761" s="9" cm="1">
        <f t="array" ref="R761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5.2083333335758653E-2</v>
      </c>
      <c r="S761" s="9">
        <f>_xlfn.XLOOKUP(spaces_3iWczBNnn5rbfoUlE0Jd_uploads_git_blob_9864c7f811c613c3faab876659c6423__25[[#This Row],[Número de Orden]],Cocinadinamica!E762:E1530,Cocinadinamica!F762:F1530)/1440</f>
        <v>1.3888888888888888E-2</v>
      </c>
      <c r="T761" s="9" cm="1">
        <f t="array" ref="T761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3.8194444446869764E-2</v>
      </c>
      <c r="U761" s="9" t="str" cm="1">
        <f t="array" ref="U761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62" spans="1:21" x14ac:dyDescent="0.35">
      <c r="A762" s="27">
        <v>4</v>
      </c>
      <c r="B762" s="11" t="s">
        <v>1168</v>
      </c>
      <c r="C762" s="11">
        <v>4</v>
      </c>
      <c r="D762" s="12">
        <v>45023.11041666667</v>
      </c>
      <c r="E762" s="12">
        <v>45023.154166666667</v>
      </c>
      <c r="F762" s="11" t="s">
        <v>170</v>
      </c>
      <c r="G762" s="11" t="s">
        <v>163</v>
      </c>
      <c r="H762" s="11" t="s">
        <v>74</v>
      </c>
      <c r="I762" s="16">
        <v>16.850000000000001</v>
      </c>
      <c r="J762" s="11" t="s">
        <v>75</v>
      </c>
      <c r="K762" s="11">
        <v>761</v>
      </c>
      <c r="L762" s="11" t="s">
        <v>181</v>
      </c>
      <c r="M762" s="11" t="s">
        <v>1783</v>
      </c>
      <c r="N762">
        <f>_xlfn.XLOOKUP(spaces_3iWczBNnn5rbfoUlE0Jd_uploads_git_blob_9864c7f811c613c3faab876659c6423__25[[#This Row],[Número de Orden]],Cocinadinamica!B763:B1531,Cocinadinamica!C763:C1531)</f>
        <v>72</v>
      </c>
      <c r="O762" s="7">
        <f>spaces_3iWczBNnn5rbfoUlE0Jd_uploads_git_blob_9864c7f811c613c3faab876659c6423__25[[#This Row],[Hora de Llegada]]</f>
        <v>45023.11041666667</v>
      </c>
      <c r="P762" s="9">
        <f>spaces_3iWczBNnn5rbfoUlE0Jd_uploads_git_blob_9864c7f811c613c3faab876659c6423__25[[#This Row],[Hora de Llegada]]</f>
        <v>45023.11041666667</v>
      </c>
      <c r="Q762" s="9">
        <f>spaces_3iWczBNnn5rbfoUlE0Jd_uploads_git_blob_9864c7f811c613c3faab876659c6423__25[[#This Row],[Hora de Salida]]</f>
        <v>45023.154166666667</v>
      </c>
      <c r="R762" s="9" cm="1">
        <f t="array" ref="R762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4.3749999997089617E-2</v>
      </c>
      <c r="S762" s="9">
        <f>_xlfn.XLOOKUP(spaces_3iWczBNnn5rbfoUlE0Jd_uploads_git_blob_9864c7f811c613c3faab876659c6423__25[[#This Row],[Número de Orden]],Cocinadinamica!E763:E1531,Cocinadinamica!F763:F1531)/1440</f>
        <v>7.0833333333333331E-2</v>
      </c>
      <c r="T762" s="9" cm="1">
        <f t="array" ref="T762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762" s="9" t="str" cm="1">
        <f t="array" ref="U762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763" spans="1:21" x14ac:dyDescent="0.35">
      <c r="A763" s="28">
        <v>4</v>
      </c>
      <c r="B763" s="13" t="s">
        <v>1023</v>
      </c>
      <c r="C763" s="13">
        <v>3</v>
      </c>
      <c r="D763" s="14">
        <v>45023.054166666669</v>
      </c>
      <c r="E763" s="14">
        <v>45023.142361111109</v>
      </c>
      <c r="F763" s="13" t="s">
        <v>85</v>
      </c>
      <c r="G763" s="13" t="s">
        <v>163</v>
      </c>
      <c r="H763" s="13" t="s">
        <v>74</v>
      </c>
      <c r="I763" s="17">
        <v>49.45</v>
      </c>
      <c r="J763" s="13" t="s">
        <v>94</v>
      </c>
      <c r="K763" s="13">
        <v>762</v>
      </c>
      <c r="L763" s="13" t="s">
        <v>174</v>
      </c>
      <c r="M763" s="13" t="s">
        <v>1784</v>
      </c>
      <c r="N763">
        <f>_xlfn.XLOOKUP(spaces_3iWczBNnn5rbfoUlE0Jd_uploads_git_blob_9864c7f811c613c3faab876659c6423__25[[#This Row],[Número de Orden]],Cocinadinamica!B764:B1532,Cocinadinamica!C764:C1532)</f>
        <v>41</v>
      </c>
      <c r="O763" s="7">
        <f>spaces_3iWczBNnn5rbfoUlE0Jd_uploads_git_blob_9864c7f811c613c3faab876659c6423__25[[#This Row],[Hora de Llegada]]</f>
        <v>45023.054166666669</v>
      </c>
      <c r="P763" s="9">
        <f>spaces_3iWczBNnn5rbfoUlE0Jd_uploads_git_blob_9864c7f811c613c3faab876659c6423__25[[#This Row],[Hora de Llegada]]</f>
        <v>45023.054166666669</v>
      </c>
      <c r="Q763" s="9">
        <f>spaces_3iWczBNnn5rbfoUlE0Jd_uploads_git_blob_9864c7f811c613c3faab876659c6423__25[[#This Row],[Hora de Salida]]</f>
        <v>45023.142361111109</v>
      </c>
      <c r="R763" s="9" cm="1">
        <f t="array" ref="R763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8.819444444088731E-2</v>
      </c>
      <c r="S763" s="9">
        <f>_xlfn.XLOOKUP(spaces_3iWczBNnn5rbfoUlE0Jd_uploads_git_blob_9864c7f811c613c3faab876659c6423__25[[#This Row],[Número de Orden]],Cocinadinamica!E764:E1532,Cocinadinamica!F764:F1532)/1440</f>
        <v>2.013888888888889E-2</v>
      </c>
      <c r="T763" s="9" cm="1">
        <f t="array" ref="T763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6.8055555551998423E-2</v>
      </c>
      <c r="U763" s="9" t="str" cm="1">
        <f t="array" ref="U763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64" spans="1:21" x14ac:dyDescent="0.35">
      <c r="A764" s="27">
        <v>18</v>
      </c>
      <c r="B764" s="11" t="s">
        <v>1165</v>
      </c>
      <c r="C764" s="11">
        <v>3</v>
      </c>
      <c r="D764" s="12">
        <v>45023.15902777778</v>
      </c>
      <c r="E764" s="12">
        <v>45023.216666666667</v>
      </c>
      <c r="F764" s="11" t="s">
        <v>72</v>
      </c>
      <c r="G764" s="11" t="s">
        <v>86</v>
      </c>
      <c r="H764" s="11" t="s">
        <v>74</v>
      </c>
      <c r="I764" s="16">
        <v>22.88</v>
      </c>
      <c r="J764" s="11" t="s">
        <v>94</v>
      </c>
      <c r="K764" s="11">
        <v>763</v>
      </c>
      <c r="L764" s="11" t="s">
        <v>164</v>
      </c>
      <c r="M764" s="11" t="s">
        <v>1536</v>
      </c>
      <c r="N764">
        <f>_xlfn.XLOOKUP(spaces_3iWczBNnn5rbfoUlE0Jd_uploads_git_blob_9864c7f811c613c3faab876659c6423__25[[#This Row],[Número de Orden]],Cocinadinamica!B765:B1533,Cocinadinamica!C765:C1533)</f>
        <v>42</v>
      </c>
      <c r="O764" s="7">
        <f>spaces_3iWczBNnn5rbfoUlE0Jd_uploads_git_blob_9864c7f811c613c3faab876659c6423__25[[#This Row],[Hora de Llegada]]</f>
        <v>45023.15902777778</v>
      </c>
      <c r="P764" s="9">
        <f>spaces_3iWczBNnn5rbfoUlE0Jd_uploads_git_blob_9864c7f811c613c3faab876659c6423__25[[#This Row],[Hora de Llegada]]</f>
        <v>45023.15902777778</v>
      </c>
      <c r="Q764" s="9">
        <f>spaces_3iWczBNnn5rbfoUlE0Jd_uploads_git_blob_9864c7f811c613c3faab876659c6423__25[[#This Row],[Hora de Salida]]</f>
        <v>45023.216666666667</v>
      </c>
      <c r="R764" s="9" cm="1">
        <f t="array" ref="R764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5.7638888887595385E-2</v>
      </c>
      <c r="S764" s="9">
        <f>_xlfn.XLOOKUP(spaces_3iWczBNnn5rbfoUlE0Jd_uploads_git_blob_9864c7f811c613c3faab876659c6423__25[[#This Row],[Número de Orden]],Cocinadinamica!E765:E1533,Cocinadinamica!F765:F1533)/1440</f>
        <v>2.2222222222222223E-2</v>
      </c>
      <c r="T764" s="9" cm="1">
        <f t="array" ref="T764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3.5416666665373159E-2</v>
      </c>
      <c r="U764" s="9" t="str" cm="1">
        <f t="array" ref="U764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65" spans="1:21" x14ac:dyDescent="0.35">
      <c r="A765" s="28">
        <v>20</v>
      </c>
      <c r="B765" s="13" t="s">
        <v>1227</v>
      </c>
      <c r="C765" s="13">
        <v>1</v>
      </c>
      <c r="D765" s="14">
        <v>45023.145833333336</v>
      </c>
      <c r="E765" s="14">
        <v>45023.240277777775</v>
      </c>
      <c r="F765" s="13" t="s">
        <v>72</v>
      </c>
      <c r="G765" s="13" t="s">
        <v>73</v>
      </c>
      <c r="H765" s="13" t="s">
        <v>74</v>
      </c>
      <c r="I765" s="17">
        <v>20.41</v>
      </c>
      <c r="J765" s="13" t="s">
        <v>88</v>
      </c>
      <c r="K765" s="13">
        <v>764</v>
      </c>
      <c r="L765" s="13" t="s">
        <v>110</v>
      </c>
      <c r="M765" s="13" t="s">
        <v>1785</v>
      </c>
      <c r="N765">
        <f>_xlfn.XLOOKUP(spaces_3iWczBNnn5rbfoUlE0Jd_uploads_git_blob_9864c7f811c613c3faab876659c6423__25[[#This Row],[Número de Orden]],Cocinadinamica!B766:B1534,Cocinadinamica!C766:C1534)</f>
        <v>35</v>
      </c>
      <c r="O765" s="7">
        <f>spaces_3iWczBNnn5rbfoUlE0Jd_uploads_git_blob_9864c7f811c613c3faab876659c6423__25[[#This Row],[Hora de Llegada]]</f>
        <v>45023.145833333336</v>
      </c>
      <c r="P765" s="9">
        <f>spaces_3iWczBNnn5rbfoUlE0Jd_uploads_git_blob_9864c7f811c613c3faab876659c6423__25[[#This Row],[Hora de Llegada]]</f>
        <v>45023.145833333336</v>
      </c>
      <c r="Q765" s="9">
        <f>spaces_3iWczBNnn5rbfoUlE0Jd_uploads_git_blob_9864c7f811c613c3faab876659c6423__25[[#This Row],[Hora de Salida]]</f>
        <v>45023.240277777775</v>
      </c>
      <c r="R765" s="9" cm="1">
        <f t="array" ref="R765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0.10486111110367347</v>
      </c>
      <c r="S765" s="9">
        <f>_xlfn.XLOOKUP(spaces_3iWczBNnn5rbfoUlE0Jd_uploads_git_blob_9864c7f811c613c3faab876659c6423__25[[#This Row],[Número de Orden]],Cocinadinamica!E766:E1534,Cocinadinamica!F766:F1534)/1440</f>
        <v>7.7777777777777779E-2</v>
      </c>
      <c r="T765" s="9" cm="1">
        <f t="array" ref="T765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2.7083333325895687E-2</v>
      </c>
      <c r="U765" s="9" t="str" cm="1">
        <f t="array" ref="U765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66" spans="1:21" x14ac:dyDescent="0.35">
      <c r="A766" s="27">
        <v>20</v>
      </c>
      <c r="B766" s="11" t="s">
        <v>1151</v>
      </c>
      <c r="C766" s="11">
        <v>4</v>
      </c>
      <c r="D766" s="12">
        <v>45023.01666666667</v>
      </c>
      <c r="E766" s="12">
        <v>45023.067361111112</v>
      </c>
      <c r="F766" s="11" t="s">
        <v>170</v>
      </c>
      <c r="G766" s="11" t="s">
        <v>73</v>
      </c>
      <c r="H766" s="11" t="s">
        <v>74</v>
      </c>
      <c r="I766" s="16">
        <v>30.77</v>
      </c>
      <c r="J766" s="11" t="s">
        <v>75</v>
      </c>
      <c r="K766" s="11">
        <v>765</v>
      </c>
      <c r="L766" s="11" t="s">
        <v>101</v>
      </c>
      <c r="M766" s="11" t="s">
        <v>1786</v>
      </c>
      <c r="N766">
        <f>_xlfn.XLOOKUP(spaces_3iWczBNnn5rbfoUlE0Jd_uploads_git_blob_9864c7f811c613c3faab876659c6423__25[[#This Row],[Número de Orden]],Cocinadinamica!B767:B1535,Cocinadinamica!C767:C1535)</f>
        <v>95</v>
      </c>
      <c r="O766" s="7">
        <f>spaces_3iWczBNnn5rbfoUlE0Jd_uploads_git_blob_9864c7f811c613c3faab876659c6423__25[[#This Row],[Hora de Llegada]]</f>
        <v>45023.01666666667</v>
      </c>
      <c r="P766" s="9">
        <f>spaces_3iWczBNnn5rbfoUlE0Jd_uploads_git_blob_9864c7f811c613c3faab876659c6423__25[[#This Row],[Hora de Llegada]]</f>
        <v>45023.01666666667</v>
      </c>
      <c r="Q766" s="9">
        <f>spaces_3iWczBNnn5rbfoUlE0Jd_uploads_git_blob_9864c7f811c613c3faab876659c6423__25[[#This Row],[Hora de Salida]]</f>
        <v>45023.067361111112</v>
      </c>
      <c r="R766" s="9" cm="1">
        <f t="array" ref="R766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5.0694444442342501E-2</v>
      </c>
      <c r="S766" s="9">
        <f>_xlfn.XLOOKUP(spaces_3iWczBNnn5rbfoUlE0Jd_uploads_git_blob_9864c7f811c613c3faab876659c6423__25[[#This Row],[Número de Orden]],Cocinadinamica!E767:E1535,Cocinadinamica!F767:F1535)/1440</f>
        <v>0.11388888888888889</v>
      </c>
      <c r="T766" s="9" cm="1">
        <f t="array" ref="T766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0</v>
      </c>
      <c r="U766" s="9" t="str" cm="1">
        <f t="array" ref="U766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NO PAGADA</v>
      </c>
    </row>
    <row r="767" spans="1:21" x14ac:dyDescent="0.35">
      <c r="A767" s="28">
        <v>17</v>
      </c>
      <c r="B767" s="13" t="s">
        <v>93</v>
      </c>
      <c r="C767" s="13">
        <v>6</v>
      </c>
      <c r="D767" s="14">
        <v>45023.06527777778</v>
      </c>
      <c r="E767" s="14">
        <v>45023.201388888891</v>
      </c>
      <c r="F767" s="13" t="s">
        <v>100</v>
      </c>
      <c r="G767" s="13" t="s">
        <v>73</v>
      </c>
      <c r="H767" s="13" t="s">
        <v>74</v>
      </c>
      <c r="I767" s="17">
        <v>12.57</v>
      </c>
      <c r="J767" s="13" t="s">
        <v>94</v>
      </c>
      <c r="K767" s="13">
        <v>766</v>
      </c>
      <c r="L767" s="13" t="s">
        <v>164</v>
      </c>
      <c r="M767" s="13" t="s">
        <v>1787</v>
      </c>
      <c r="N767">
        <f>_xlfn.XLOOKUP(spaces_3iWczBNnn5rbfoUlE0Jd_uploads_git_blob_9864c7f811c613c3faab876659c6423__25[[#This Row],[Número de Orden]],Cocinadinamica!B768:B1536,Cocinadinamica!C768:C1536)</f>
        <v>74</v>
      </c>
      <c r="O767" s="7">
        <f>spaces_3iWczBNnn5rbfoUlE0Jd_uploads_git_blob_9864c7f811c613c3faab876659c6423__25[[#This Row],[Hora de Llegada]]</f>
        <v>45023.06527777778</v>
      </c>
      <c r="P767" s="9">
        <f>spaces_3iWczBNnn5rbfoUlE0Jd_uploads_git_blob_9864c7f811c613c3faab876659c6423__25[[#This Row],[Hora de Llegada]]</f>
        <v>45023.06527777778</v>
      </c>
      <c r="Q767" s="9">
        <f>spaces_3iWczBNnn5rbfoUlE0Jd_uploads_git_blob_9864c7f811c613c3faab876659c6423__25[[#This Row],[Hora de Salida]]</f>
        <v>45023.201388888891</v>
      </c>
      <c r="R767" s="9" cm="1">
        <f t="array" ref="R767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0.13611111111094942</v>
      </c>
      <c r="S767" s="9">
        <f>_xlfn.XLOOKUP(spaces_3iWczBNnn5rbfoUlE0Jd_uploads_git_blob_9864c7f811c613c3faab876659c6423__25[[#This Row],[Número de Orden]],Cocinadinamica!E768:E1536,Cocinadinamica!F768:F1536)/1440</f>
        <v>9.3055555555555558E-2</v>
      </c>
      <c r="T767" s="9" cm="1">
        <f t="array" ref="T767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4.3055555555393865E-2</v>
      </c>
      <c r="U767" s="9" t="str" cm="1">
        <f t="array" ref="U767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  <row r="768" spans="1:21" x14ac:dyDescent="0.35">
      <c r="A768" s="27">
        <v>10</v>
      </c>
      <c r="B768" s="11" t="s">
        <v>1228</v>
      </c>
      <c r="C768" s="11">
        <v>3</v>
      </c>
      <c r="D768" s="12">
        <v>45023.047222222223</v>
      </c>
      <c r="E768" s="12">
        <v>45023.164583333331</v>
      </c>
      <c r="F768" s="11" t="s">
        <v>100</v>
      </c>
      <c r="G768" s="11" t="s">
        <v>163</v>
      </c>
      <c r="H768" s="11" t="s">
        <v>74</v>
      </c>
      <c r="I768" s="16">
        <v>15.98</v>
      </c>
      <c r="J768" s="11" t="s">
        <v>94</v>
      </c>
      <c r="K768" s="11">
        <v>767</v>
      </c>
      <c r="L768" s="11" t="s">
        <v>187</v>
      </c>
      <c r="M768" s="11" t="s">
        <v>1788</v>
      </c>
      <c r="N768">
        <f>_xlfn.XLOOKUP(spaces_3iWczBNnn5rbfoUlE0Jd_uploads_git_blob_9864c7f811c613c3faab876659c6423__25[[#This Row],[Número de Orden]],Cocinadinamica!B769:B1537,Cocinadinamica!C769:C1537)</f>
        <v>68</v>
      </c>
      <c r="O768" s="7">
        <f>spaces_3iWczBNnn5rbfoUlE0Jd_uploads_git_blob_9864c7f811c613c3faab876659c6423__25[[#This Row],[Hora de Llegada]]</f>
        <v>45023.047222222223</v>
      </c>
      <c r="P768" s="9">
        <f>spaces_3iWczBNnn5rbfoUlE0Jd_uploads_git_blob_9864c7f811c613c3faab876659c6423__25[[#This Row],[Hora de Llegada]]</f>
        <v>45023.047222222223</v>
      </c>
      <c r="Q768" s="9">
        <f>spaces_3iWczBNnn5rbfoUlE0Jd_uploads_git_blob_9864c7f811c613c3faab876659c6423__25[[#This Row],[Hora de Salida]]</f>
        <v>45023.164583333331</v>
      </c>
      <c r="R768" s="9" cm="1">
        <f t="array" ref="R768">_xlfn.IFS(spaces_3iWczBNnn5rbfoUlE0Jd_uploads_git_blob_9864c7f811c613c3faab876659c6423__25[[#This Row],[Estado de la Mesa]]="Ocupada",(15/1440)+spaces_3iWczBNnn5rbfoUlE0Jd_uploads_git_blob_9864c7f811c613c3faab876659c6423__25[[#This Row],[Hora de salida2]]-spaces_3iWczBNnn5rbfoUlE0Jd_uploads_git_blob_9864c7f811c613c3faab876659c6423__25[[#This Row],[Hora de llegada2]],spaces_3iWczBNnn5rbfoUlE0Jd_uploads_git_blob_9864c7f811c613c3faab876659c6423__25[[#This Row],[Estado de la Mesa]]&lt;&gt;"Ocupada",spaces_3iWczBNnn5rbfoUlE0Jd_uploads_git_blob_9864c7f811c613c3faab876659c6423__25[[#This Row],[Hora de salida2]]-spaces_3iWczBNnn5rbfoUlE0Jd_uploads_git_blob_9864c7f811c613c3faab876659c6423__25[[#This Row],[Hora de llegada2]])</f>
        <v>0.11736111110803904</v>
      </c>
      <c r="S768" s="9">
        <f>_xlfn.XLOOKUP(spaces_3iWczBNnn5rbfoUlE0Jd_uploads_git_blob_9864c7f811c613c3faab876659c6423__25[[#This Row],[Número de Orden]],Cocinadinamica!E769:E1537,Cocinadinamica!F769:F1537)/1440</f>
        <v>5.9027777777777776E-2</v>
      </c>
      <c r="T768" s="9" cm="1">
        <f t="array" ref="T768">_xlfn.IFS((spaces_3iWczBNnn5rbfoUlE0Jd_uploads_git_blob_9864c7f811c613c3faab876659c6423__25[[#This Row],[Tiempo de permanencia]]-spaces_3iWczBNnn5rbfoUlE0Jd_uploads_git_blob_9864c7f811c613c3faab876659c6423__25[[#This Row],[Tiempo de preparación total]])&gt;0,spaces_3iWczBNnn5rbfoUlE0Jd_uploads_git_blob_9864c7f811c613c3faab876659c6423__25[[#This Row],[Tiempo de permanencia]]-spaces_3iWczBNnn5rbfoUlE0Jd_uploads_git_blob_9864c7f811c613c3faab876659c6423__25[[#This Row],[Tiempo de preparación total]],spaces_3iWczBNnn5rbfoUlE0Jd_uploads_git_blob_9864c7f811c613c3faab876659c6423__25[[#This Row],[Tiempo de permanencia]]-spaces_3iWczBNnn5rbfoUlE0Jd_uploads_git_blob_9864c7f811c613c3faab876659c6423__25[[#This Row],[Tiempo de preparación total]]&lt;0,0)</f>
        <v>5.8333333330261264E-2</v>
      </c>
      <c r="U768" s="9" t="str" cm="1">
        <f t="array" ref="U768">_xlfn.IFS(spaces_3iWczBNnn5rbfoUlE0Jd_uploads_git_blob_9864c7f811c613c3faab876659c6423__25[[#This Row],[Tiempo degustación]]=0,"NO PAGADA",spaces_3iWczBNnn5rbfoUlE0Jd_uploads_git_blob_9864c7f811c613c3faab876659c6423__25[[#This Row],[Tiempo degustación]]&gt;0, "PAGADA")</f>
        <v>PAGADA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7E39-75B1-4DA4-AEA5-24CDFBD1C7D8}">
  <dimension ref="A1:W48"/>
  <sheetViews>
    <sheetView topLeftCell="L3" workbookViewId="0">
      <selection activeCell="P20" sqref="P20"/>
    </sheetView>
  </sheetViews>
  <sheetFormatPr baseColWidth="10" defaultRowHeight="14.5" x14ac:dyDescent="0.35"/>
  <cols>
    <col min="1" max="1" width="16.54296875" bestFit="1" customWidth="1"/>
    <col min="2" max="2" width="18.26953125" bestFit="1" customWidth="1"/>
    <col min="4" max="4" width="16.54296875" bestFit="1" customWidth="1"/>
    <col min="5" max="5" width="24.453125" bestFit="1" customWidth="1"/>
    <col min="7" max="7" width="16.54296875" bestFit="1" customWidth="1"/>
    <col min="8" max="8" width="19.54296875" bestFit="1" customWidth="1"/>
    <col min="10" max="10" width="16.54296875" bestFit="1" customWidth="1"/>
    <col min="11" max="11" width="18.26953125" bestFit="1" customWidth="1"/>
    <col min="13" max="13" width="18.1796875" bestFit="1" customWidth="1"/>
    <col min="14" max="14" width="24.453125" bestFit="1" customWidth="1"/>
    <col min="16" max="16" width="16.54296875" bestFit="1" customWidth="1"/>
    <col min="17" max="17" width="24.453125" bestFit="1" customWidth="1"/>
    <col min="19" max="19" width="18.36328125" bestFit="1" customWidth="1"/>
    <col min="20" max="20" width="14.90625" bestFit="1" customWidth="1"/>
    <col min="22" max="22" width="16.54296875" bestFit="1" customWidth="1"/>
    <col min="23" max="23" width="24.453125" bestFit="1" customWidth="1"/>
  </cols>
  <sheetData>
    <row r="1" spans="1:23" x14ac:dyDescent="0.35">
      <c r="A1" s="1" t="s">
        <v>1820</v>
      </c>
      <c r="D1" s="1" t="s">
        <v>1823</v>
      </c>
      <c r="J1" s="1" t="s">
        <v>1257</v>
      </c>
      <c r="M1" s="1" t="s">
        <v>1827</v>
      </c>
      <c r="S1" s="1" t="s">
        <v>1830</v>
      </c>
      <c r="V1" s="1" t="s">
        <v>1831</v>
      </c>
    </row>
    <row r="3" spans="1:23" x14ac:dyDescent="0.35">
      <c r="A3" s="30" t="s">
        <v>1237</v>
      </c>
      <c r="B3" s="6" t="s">
        <v>1822</v>
      </c>
      <c r="D3" s="30" t="s">
        <v>1237</v>
      </c>
      <c r="E3" s="6" t="s">
        <v>1259</v>
      </c>
      <c r="G3" s="30" t="s">
        <v>1237</v>
      </c>
      <c r="H3" s="34" t="s">
        <v>1822</v>
      </c>
      <c r="J3" s="30" t="s">
        <v>1237</v>
      </c>
      <c r="K3" s="6" t="s">
        <v>1822</v>
      </c>
      <c r="M3" s="30" t="s">
        <v>1237</v>
      </c>
      <c r="N3" s="6" t="s">
        <v>1259</v>
      </c>
      <c r="P3" s="30" t="s">
        <v>1237</v>
      </c>
      <c r="Q3" s="6" t="s">
        <v>1259</v>
      </c>
      <c r="S3" s="30" t="s">
        <v>1237</v>
      </c>
      <c r="T3" s="6" t="s">
        <v>1258</v>
      </c>
      <c r="V3" s="30" t="s">
        <v>1237</v>
      </c>
      <c r="W3" s="6" t="s">
        <v>1259</v>
      </c>
    </row>
    <row r="4" spans="1:23" x14ac:dyDescent="0.35">
      <c r="A4" s="32" t="s">
        <v>86</v>
      </c>
      <c r="B4" s="33">
        <v>25324</v>
      </c>
      <c r="D4" s="31" t="s">
        <v>87</v>
      </c>
      <c r="E4" s="6">
        <v>92</v>
      </c>
      <c r="G4" s="31" t="s">
        <v>1250</v>
      </c>
      <c r="H4" s="34">
        <v>7148</v>
      </c>
      <c r="J4" s="31" t="s">
        <v>86</v>
      </c>
      <c r="K4" s="6">
        <v>25324</v>
      </c>
      <c r="M4" s="31" t="s">
        <v>76</v>
      </c>
      <c r="N4" s="6">
        <v>78</v>
      </c>
      <c r="P4" s="31" t="s">
        <v>1825</v>
      </c>
      <c r="Q4" s="6">
        <v>99</v>
      </c>
      <c r="S4" s="31" t="s">
        <v>100</v>
      </c>
      <c r="T4" s="6">
        <v>5529.9</v>
      </c>
      <c r="V4" s="31" t="s">
        <v>223</v>
      </c>
      <c r="W4" s="6">
        <v>138</v>
      </c>
    </row>
    <row r="5" spans="1:23" x14ac:dyDescent="0.35">
      <c r="A5" s="31" t="s">
        <v>73</v>
      </c>
      <c r="B5" s="34">
        <v>9157</v>
      </c>
      <c r="D5" s="32" t="s">
        <v>74</v>
      </c>
      <c r="E5" s="35">
        <v>525</v>
      </c>
      <c r="G5" s="31" t="s">
        <v>1251</v>
      </c>
      <c r="H5" s="34">
        <v>8228</v>
      </c>
      <c r="J5" s="36" t="s">
        <v>164</v>
      </c>
      <c r="K5" s="6">
        <v>2142</v>
      </c>
      <c r="M5" s="36" t="s">
        <v>1824</v>
      </c>
      <c r="N5" s="6">
        <v>68</v>
      </c>
      <c r="P5" s="36" t="s">
        <v>100</v>
      </c>
      <c r="Q5" s="6">
        <v>29</v>
      </c>
      <c r="S5" s="36" t="s">
        <v>87</v>
      </c>
      <c r="T5" s="6">
        <v>930.31</v>
      </c>
      <c r="V5" s="32" t="s">
        <v>100</v>
      </c>
      <c r="W5" s="35">
        <v>192</v>
      </c>
    </row>
    <row r="6" spans="1:23" x14ac:dyDescent="0.35">
      <c r="A6" s="31" t="s">
        <v>163</v>
      </c>
      <c r="B6" s="34">
        <v>8400</v>
      </c>
      <c r="D6" s="31" t="s">
        <v>109</v>
      </c>
      <c r="E6" s="6">
        <v>150</v>
      </c>
      <c r="G6" s="31" t="s">
        <v>1252</v>
      </c>
      <c r="H6" s="34">
        <v>3351</v>
      </c>
      <c r="J6" s="36" t="s">
        <v>95</v>
      </c>
      <c r="K6" s="6">
        <v>3003</v>
      </c>
      <c r="M6" s="36" t="s">
        <v>1825</v>
      </c>
      <c r="N6" s="6">
        <v>10</v>
      </c>
      <c r="P6" s="36" t="s">
        <v>170</v>
      </c>
      <c r="Q6" s="6">
        <v>25</v>
      </c>
      <c r="S6" s="36" t="s">
        <v>74</v>
      </c>
      <c r="T6" s="6">
        <v>3783.0499999999997</v>
      </c>
      <c r="V6" s="31" t="s">
        <v>170</v>
      </c>
      <c r="W6" s="6">
        <v>158</v>
      </c>
    </row>
    <row r="7" spans="1:23" x14ac:dyDescent="0.35">
      <c r="A7" s="31" t="s">
        <v>1236</v>
      </c>
      <c r="B7" s="6">
        <v>42881</v>
      </c>
      <c r="D7" s="31" t="s">
        <v>1236</v>
      </c>
      <c r="E7" s="6">
        <v>767</v>
      </c>
      <c r="G7" s="31" t="s">
        <v>1253</v>
      </c>
      <c r="H7" s="34">
        <v>3097</v>
      </c>
      <c r="J7" s="36" t="s">
        <v>89</v>
      </c>
      <c r="K7" s="6">
        <v>1526</v>
      </c>
      <c r="M7" s="31" t="s">
        <v>95</v>
      </c>
      <c r="N7" s="6">
        <v>76</v>
      </c>
      <c r="P7" s="36" t="s">
        <v>85</v>
      </c>
      <c r="Q7" s="6">
        <v>18</v>
      </c>
      <c r="S7" s="36" t="s">
        <v>109</v>
      </c>
      <c r="T7" s="6">
        <v>816.54</v>
      </c>
      <c r="V7" s="31" t="s">
        <v>72</v>
      </c>
      <c r="W7" s="6">
        <v>149</v>
      </c>
    </row>
    <row r="8" spans="1:23" x14ac:dyDescent="0.35">
      <c r="G8" s="31" t="s">
        <v>1254</v>
      </c>
      <c r="H8" s="34">
        <v>4317</v>
      </c>
      <c r="J8" s="37" t="s">
        <v>101</v>
      </c>
      <c r="K8" s="35">
        <v>3450</v>
      </c>
      <c r="M8" s="36" t="s">
        <v>1824</v>
      </c>
      <c r="N8" s="6">
        <v>55</v>
      </c>
      <c r="P8" s="36" t="s">
        <v>72</v>
      </c>
      <c r="Q8" s="6">
        <v>14</v>
      </c>
      <c r="S8" s="31" t="s">
        <v>170</v>
      </c>
      <c r="T8" s="6">
        <v>4412.12</v>
      </c>
      <c r="V8" s="31" t="s">
        <v>85</v>
      </c>
      <c r="W8" s="6">
        <v>130</v>
      </c>
    </row>
    <row r="9" spans="1:23" x14ac:dyDescent="0.35">
      <c r="G9" s="31" t="s">
        <v>1255</v>
      </c>
      <c r="H9" s="34">
        <v>9911</v>
      </c>
      <c r="J9" s="36" t="s">
        <v>110</v>
      </c>
      <c r="K9" s="6">
        <v>1851</v>
      </c>
      <c r="M9" s="37" t="s">
        <v>1825</v>
      </c>
      <c r="N9" s="35">
        <v>21</v>
      </c>
      <c r="P9" s="36" t="s">
        <v>223</v>
      </c>
      <c r="Q9" s="6">
        <v>13</v>
      </c>
      <c r="S9" s="36" t="s">
        <v>87</v>
      </c>
      <c r="T9" s="6">
        <v>441.78000000000003</v>
      </c>
      <c r="V9" s="31" t="s">
        <v>1236</v>
      </c>
      <c r="W9" s="6">
        <v>767</v>
      </c>
    </row>
    <row r="10" spans="1:23" x14ac:dyDescent="0.35">
      <c r="G10" s="31" t="s">
        <v>1256</v>
      </c>
      <c r="H10" s="34">
        <v>6829</v>
      </c>
      <c r="J10" s="36" t="s">
        <v>187</v>
      </c>
      <c r="K10" s="6">
        <v>1642</v>
      </c>
      <c r="M10" s="31" t="s">
        <v>101</v>
      </c>
      <c r="N10" s="6">
        <v>75</v>
      </c>
      <c r="P10" s="31" t="s">
        <v>1824</v>
      </c>
      <c r="Q10" s="6">
        <v>668</v>
      </c>
      <c r="S10" s="36" t="s">
        <v>74</v>
      </c>
      <c r="T10" s="6">
        <v>2969.3299999999995</v>
      </c>
    </row>
    <row r="11" spans="1:23" x14ac:dyDescent="0.35">
      <c r="G11" s="31" t="s">
        <v>1236</v>
      </c>
      <c r="H11" s="34">
        <v>42881</v>
      </c>
      <c r="J11" s="36" t="s">
        <v>181</v>
      </c>
      <c r="K11" s="6">
        <v>2487</v>
      </c>
      <c r="M11" s="36" t="s">
        <v>1824</v>
      </c>
      <c r="N11" s="6">
        <v>67</v>
      </c>
      <c r="P11" s="36" t="s">
        <v>100</v>
      </c>
      <c r="Q11" s="6">
        <v>163</v>
      </c>
      <c r="S11" s="36" t="s">
        <v>109</v>
      </c>
      <c r="T11" s="6">
        <v>1001.01</v>
      </c>
    </row>
    <row r="12" spans="1:23" x14ac:dyDescent="0.35">
      <c r="J12" s="36" t="s">
        <v>221</v>
      </c>
      <c r="K12" s="6">
        <v>2161</v>
      </c>
      <c r="M12" s="36" t="s">
        <v>1825</v>
      </c>
      <c r="N12" s="6">
        <v>8</v>
      </c>
      <c r="P12" s="36" t="s">
        <v>72</v>
      </c>
      <c r="Q12" s="6">
        <v>135</v>
      </c>
      <c r="S12" s="31" t="s">
        <v>72</v>
      </c>
      <c r="T12" s="6">
        <v>4391.9099999999989</v>
      </c>
    </row>
    <row r="13" spans="1:23" x14ac:dyDescent="0.35">
      <c r="J13" s="36" t="s">
        <v>76</v>
      </c>
      <c r="K13" s="6">
        <v>2342</v>
      </c>
      <c r="M13" s="31" t="s">
        <v>164</v>
      </c>
      <c r="N13" s="6">
        <v>74</v>
      </c>
      <c r="P13" s="36" t="s">
        <v>170</v>
      </c>
      <c r="Q13" s="6">
        <v>133</v>
      </c>
      <c r="S13" s="36" t="s">
        <v>87</v>
      </c>
      <c r="T13" s="6">
        <v>345.37</v>
      </c>
    </row>
    <row r="14" spans="1:23" x14ac:dyDescent="0.35">
      <c r="J14" s="36" t="s">
        <v>174</v>
      </c>
      <c r="K14" s="6">
        <v>2438</v>
      </c>
      <c r="M14" s="36" t="s">
        <v>1824</v>
      </c>
      <c r="N14" s="6">
        <v>68</v>
      </c>
      <c r="P14" s="36" t="s">
        <v>223</v>
      </c>
      <c r="Q14" s="6">
        <v>125</v>
      </c>
      <c r="S14" s="36" t="s">
        <v>74</v>
      </c>
      <c r="T14" s="6">
        <v>2996.1999999999989</v>
      </c>
    </row>
    <row r="15" spans="1:23" x14ac:dyDescent="0.35">
      <c r="J15" s="36" t="s">
        <v>275</v>
      </c>
      <c r="K15" s="6">
        <v>2282</v>
      </c>
      <c r="M15" s="36" t="s">
        <v>1825</v>
      </c>
      <c r="N15" s="6">
        <v>6</v>
      </c>
      <c r="P15" s="36" t="s">
        <v>85</v>
      </c>
      <c r="Q15" s="6">
        <v>112</v>
      </c>
      <c r="S15" s="36" t="s">
        <v>109</v>
      </c>
      <c r="T15" s="6">
        <v>1050.3399999999999</v>
      </c>
    </row>
    <row r="16" spans="1:23" x14ac:dyDescent="0.35">
      <c r="J16" s="31" t="s">
        <v>73</v>
      </c>
      <c r="K16" s="6">
        <v>9157</v>
      </c>
      <c r="M16" s="31" t="s">
        <v>181</v>
      </c>
      <c r="N16" s="6">
        <v>71</v>
      </c>
      <c r="P16" s="31" t="s">
        <v>1236</v>
      </c>
      <c r="Q16" s="6">
        <v>767</v>
      </c>
      <c r="S16" s="31" t="s">
        <v>223</v>
      </c>
      <c r="T16" s="6">
        <v>4127.05</v>
      </c>
    </row>
    <row r="17" spans="10:20" x14ac:dyDescent="0.35">
      <c r="J17" s="37" t="s">
        <v>164</v>
      </c>
      <c r="K17" s="35">
        <v>1124</v>
      </c>
      <c r="M17" s="36" t="s">
        <v>1824</v>
      </c>
      <c r="N17" s="6">
        <v>63</v>
      </c>
      <c r="S17" s="36" t="s">
        <v>87</v>
      </c>
      <c r="T17" s="6">
        <v>494.97</v>
      </c>
    </row>
    <row r="18" spans="10:20" x14ac:dyDescent="0.35">
      <c r="J18" s="36" t="s">
        <v>95</v>
      </c>
      <c r="K18" s="6">
        <v>758</v>
      </c>
      <c r="M18" s="36" t="s">
        <v>1825</v>
      </c>
      <c r="N18" s="6">
        <v>8</v>
      </c>
      <c r="P18" s="30" t="s">
        <v>1237</v>
      </c>
      <c r="Q18" s="6" t="s">
        <v>1259</v>
      </c>
      <c r="S18" s="36" t="s">
        <v>74</v>
      </c>
      <c r="T18" s="6">
        <v>2908.9100000000003</v>
      </c>
    </row>
    <row r="19" spans="10:20" x14ac:dyDescent="0.35">
      <c r="J19" s="36" t="s">
        <v>89</v>
      </c>
      <c r="K19" s="6">
        <v>1093</v>
      </c>
      <c r="M19" s="31" t="s">
        <v>221</v>
      </c>
      <c r="N19" s="6">
        <v>70</v>
      </c>
      <c r="P19" s="31" t="s">
        <v>1825</v>
      </c>
      <c r="Q19" s="6">
        <v>99</v>
      </c>
      <c r="S19" s="36" t="s">
        <v>109</v>
      </c>
      <c r="T19" s="6">
        <v>723.17</v>
      </c>
    </row>
    <row r="20" spans="10:20" x14ac:dyDescent="0.35">
      <c r="J20" s="36" t="s">
        <v>101</v>
      </c>
      <c r="K20" s="6">
        <v>399</v>
      </c>
      <c r="M20" s="36" t="s">
        <v>1824</v>
      </c>
      <c r="N20" s="6">
        <v>65</v>
      </c>
      <c r="P20" s="36" t="s">
        <v>86</v>
      </c>
      <c r="Q20" s="6">
        <v>62</v>
      </c>
      <c r="S20" s="31" t="s">
        <v>85</v>
      </c>
      <c r="T20" s="6">
        <v>3703.14</v>
      </c>
    </row>
    <row r="21" spans="10:20" x14ac:dyDescent="0.35">
      <c r="J21" s="36" t="s">
        <v>110</v>
      </c>
      <c r="K21" s="6">
        <v>1033</v>
      </c>
      <c r="M21" s="36" t="s">
        <v>1825</v>
      </c>
      <c r="N21" s="6">
        <v>5</v>
      </c>
      <c r="P21" s="36" t="s">
        <v>73</v>
      </c>
      <c r="Q21" s="6">
        <v>20</v>
      </c>
      <c r="S21" s="36" t="s">
        <v>87</v>
      </c>
      <c r="T21" s="6">
        <v>455.97</v>
      </c>
    </row>
    <row r="22" spans="10:20" x14ac:dyDescent="0.35">
      <c r="J22" s="36" t="s">
        <v>187</v>
      </c>
      <c r="K22" s="6">
        <v>806</v>
      </c>
      <c r="M22" s="31" t="s">
        <v>174</v>
      </c>
      <c r="N22" s="6">
        <v>69</v>
      </c>
      <c r="P22" s="36" t="s">
        <v>163</v>
      </c>
      <c r="Q22" s="6">
        <v>17</v>
      </c>
      <c r="S22" s="36" t="s">
        <v>74</v>
      </c>
      <c r="T22" s="6">
        <v>2510.6099999999997</v>
      </c>
    </row>
    <row r="23" spans="10:20" x14ac:dyDescent="0.35">
      <c r="J23" s="36" t="s">
        <v>181</v>
      </c>
      <c r="K23" s="6">
        <v>734</v>
      </c>
      <c r="M23" s="36" t="s">
        <v>1824</v>
      </c>
      <c r="N23" s="6">
        <v>60</v>
      </c>
      <c r="P23" s="31" t="s">
        <v>1824</v>
      </c>
      <c r="Q23" s="6">
        <v>668</v>
      </c>
      <c r="S23" s="36" t="s">
        <v>109</v>
      </c>
      <c r="T23" s="6">
        <v>736.56000000000006</v>
      </c>
    </row>
    <row r="24" spans="10:20" x14ac:dyDescent="0.35">
      <c r="J24" s="36" t="s">
        <v>221</v>
      </c>
      <c r="K24" s="6">
        <v>766</v>
      </c>
      <c r="M24" s="36" t="s">
        <v>1825</v>
      </c>
      <c r="N24" s="6">
        <v>9</v>
      </c>
      <c r="P24" s="36" t="s">
        <v>86</v>
      </c>
      <c r="Q24" s="6">
        <v>397</v>
      </c>
      <c r="S24" s="31" t="s">
        <v>1236</v>
      </c>
      <c r="T24" s="6">
        <v>22164.120000000003</v>
      </c>
    </row>
    <row r="25" spans="10:20" x14ac:dyDescent="0.35">
      <c r="J25" s="36" t="s">
        <v>76</v>
      </c>
      <c r="K25" s="6">
        <v>817</v>
      </c>
      <c r="M25" s="31" t="s">
        <v>110</v>
      </c>
      <c r="N25" s="6">
        <v>68</v>
      </c>
      <c r="P25" s="36" t="s">
        <v>73</v>
      </c>
      <c r="Q25" s="6">
        <v>139</v>
      </c>
    </row>
    <row r="26" spans="10:20" x14ac:dyDescent="0.35">
      <c r="J26" s="36" t="s">
        <v>174</v>
      </c>
      <c r="K26" s="6">
        <v>775</v>
      </c>
      <c r="M26" s="36" t="s">
        <v>1824</v>
      </c>
      <c r="N26" s="6">
        <v>59</v>
      </c>
      <c r="P26" s="36" t="s">
        <v>163</v>
      </c>
      <c r="Q26" s="6">
        <v>132</v>
      </c>
    </row>
    <row r="27" spans="10:20" x14ac:dyDescent="0.35">
      <c r="J27" s="36" t="s">
        <v>275</v>
      </c>
      <c r="K27" s="6">
        <v>852</v>
      </c>
      <c r="M27" s="36" t="s">
        <v>1825</v>
      </c>
      <c r="N27" s="6">
        <v>9</v>
      </c>
      <c r="P27" s="31" t="s">
        <v>1236</v>
      </c>
      <c r="Q27" s="6">
        <v>767</v>
      </c>
      <c r="S27" s="30" t="s">
        <v>1237</v>
      </c>
      <c r="T27" s="6" t="s">
        <v>1258</v>
      </c>
    </row>
    <row r="28" spans="10:20" x14ac:dyDescent="0.35">
      <c r="J28" s="31" t="s">
        <v>163</v>
      </c>
      <c r="K28" s="6">
        <v>8400</v>
      </c>
      <c r="M28" s="31" t="s">
        <v>89</v>
      </c>
      <c r="N28" s="6">
        <v>63</v>
      </c>
      <c r="S28" s="31" t="s">
        <v>100</v>
      </c>
      <c r="T28" s="6">
        <v>5529.9000000000005</v>
      </c>
    </row>
    <row r="29" spans="10:20" x14ac:dyDescent="0.35">
      <c r="J29" s="36" t="s">
        <v>164</v>
      </c>
      <c r="K29" s="6">
        <v>659</v>
      </c>
      <c r="M29" s="36" t="s">
        <v>1824</v>
      </c>
      <c r="N29" s="6">
        <v>58</v>
      </c>
      <c r="S29" s="36" t="s">
        <v>86</v>
      </c>
      <c r="T29" s="6">
        <v>3366.8000000000006</v>
      </c>
    </row>
    <row r="30" spans="10:20" x14ac:dyDescent="0.35">
      <c r="J30" s="36" t="s">
        <v>95</v>
      </c>
      <c r="K30" s="6">
        <v>790</v>
      </c>
      <c r="M30" s="36" t="s">
        <v>1825</v>
      </c>
      <c r="N30" s="6">
        <v>5</v>
      </c>
      <c r="S30" s="36" t="s">
        <v>73</v>
      </c>
      <c r="T30" s="6">
        <v>1053.9099999999999</v>
      </c>
    </row>
    <row r="31" spans="10:20" x14ac:dyDescent="0.35">
      <c r="J31" s="36" t="s">
        <v>89</v>
      </c>
      <c r="K31" s="6">
        <v>849</v>
      </c>
      <c r="M31" s="31" t="s">
        <v>275</v>
      </c>
      <c r="N31" s="6">
        <v>62</v>
      </c>
      <c r="S31" s="36" t="s">
        <v>163</v>
      </c>
      <c r="T31" s="6">
        <v>1109.1899999999998</v>
      </c>
    </row>
    <row r="32" spans="10:20" x14ac:dyDescent="0.35">
      <c r="J32" s="36" t="s">
        <v>101</v>
      </c>
      <c r="K32" s="6">
        <v>835</v>
      </c>
      <c r="M32" s="36" t="s">
        <v>1824</v>
      </c>
      <c r="N32" s="6">
        <v>51</v>
      </c>
      <c r="S32" s="31" t="s">
        <v>170</v>
      </c>
      <c r="T32" s="6">
        <v>4412.119999999999</v>
      </c>
    </row>
    <row r="33" spans="10:20" x14ac:dyDescent="0.35">
      <c r="J33" s="37" t="s">
        <v>110</v>
      </c>
      <c r="K33" s="35">
        <v>1084</v>
      </c>
      <c r="M33" s="36" t="s">
        <v>1825</v>
      </c>
      <c r="N33" s="6">
        <v>11</v>
      </c>
      <c r="S33" s="36" t="s">
        <v>86</v>
      </c>
      <c r="T33" s="6">
        <v>2832.1199999999994</v>
      </c>
    </row>
    <row r="34" spans="10:20" x14ac:dyDescent="0.35">
      <c r="J34" s="36" t="s">
        <v>187</v>
      </c>
      <c r="K34" s="6">
        <v>555</v>
      </c>
      <c r="M34" s="31" t="s">
        <v>187</v>
      </c>
      <c r="N34" s="6">
        <v>61</v>
      </c>
      <c r="S34" s="36" t="s">
        <v>73</v>
      </c>
      <c r="T34" s="6">
        <v>625.89</v>
      </c>
    </row>
    <row r="35" spans="10:20" x14ac:dyDescent="0.35">
      <c r="J35" s="36" t="s">
        <v>181</v>
      </c>
      <c r="K35" s="6">
        <v>593</v>
      </c>
      <c r="M35" s="36" t="s">
        <v>1824</v>
      </c>
      <c r="N35" s="6">
        <v>54</v>
      </c>
      <c r="S35" s="36" t="s">
        <v>163</v>
      </c>
      <c r="T35" s="6">
        <v>954.1099999999999</v>
      </c>
    </row>
    <row r="36" spans="10:20" x14ac:dyDescent="0.35">
      <c r="J36" s="36" t="s">
        <v>221</v>
      </c>
      <c r="K36" s="6">
        <v>906</v>
      </c>
      <c r="M36" s="36" t="s">
        <v>1825</v>
      </c>
      <c r="N36" s="6">
        <v>7</v>
      </c>
      <c r="S36" s="31" t="s">
        <v>72</v>
      </c>
      <c r="T36" s="6">
        <v>4391.91</v>
      </c>
    </row>
    <row r="37" spans="10:20" x14ac:dyDescent="0.35">
      <c r="J37" s="36" t="s">
        <v>76</v>
      </c>
      <c r="K37" s="6">
        <v>782</v>
      </c>
      <c r="M37" s="36" t="s">
        <v>1828</v>
      </c>
      <c r="N37" s="6">
        <v>99</v>
      </c>
      <c r="S37" s="36" t="s">
        <v>86</v>
      </c>
      <c r="T37" s="6">
        <v>2725.6800000000003</v>
      </c>
    </row>
    <row r="38" spans="10:20" x14ac:dyDescent="0.35">
      <c r="J38" s="36" t="s">
        <v>174</v>
      </c>
      <c r="K38" s="6">
        <v>754</v>
      </c>
      <c r="M38" s="36" t="s">
        <v>1829</v>
      </c>
      <c r="N38" s="6">
        <v>668</v>
      </c>
      <c r="S38" s="36" t="s">
        <v>73</v>
      </c>
      <c r="T38" s="6">
        <v>1129.45</v>
      </c>
    </row>
    <row r="39" spans="10:20" x14ac:dyDescent="0.35">
      <c r="J39" s="36" t="s">
        <v>275</v>
      </c>
      <c r="K39" s="6">
        <v>593</v>
      </c>
      <c r="M39" s="31" t="s">
        <v>1236</v>
      </c>
      <c r="N39" s="6">
        <v>767</v>
      </c>
      <c r="S39" s="36" t="s">
        <v>163</v>
      </c>
      <c r="T39" s="6">
        <v>536.78000000000009</v>
      </c>
    </row>
    <row r="40" spans="10:20" x14ac:dyDescent="0.35">
      <c r="J40" s="31" t="s">
        <v>1236</v>
      </c>
      <c r="K40" s="6">
        <v>42881</v>
      </c>
      <c r="S40" s="31" t="s">
        <v>223</v>
      </c>
      <c r="T40" s="6">
        <v>4127.05</v>
      </c>
    </row>
    <row r="41" spans="10:20" x14ac:dyDescent="0.35">
      <c r="S41" s="36" t="s">
        <v>86</v>
      </c>
      <c r="T41" s="6">
        <v>2691.1899999999996</v>
      </c>
    </row>
    <row r="42" spans="10:20" x14ac:dyDescent="0.35">
      <c r="S42" s="36" t="s">
        <v>73</v>
      </c>
      <c r="T42" s="6">
        <v>661.63</v>
      </c>
    </row>
    <row r="43" spans="10:20" x14ac:dyDescent="0.35">
      <c r="S43" s="36" t="s">
        <v>163</v>
      </c>
      <c r="T43" s="6">
        <v>774.23000000000013</v>
      </c>
    </row>
    <row r="44" spans="10:20" x14ac:dyDescent="0.35">
      <c r="S44" s="31" t="s">
        <v>85</v>
      </c>
      <c r="T44" s="6">
        <v>3703.1400000000003</v>
      </c>
    </row>
    <row r="45" spans="10:20" x14ac:dyDescent="0.35">
      <c r="S45" s="36" t="s">
        <v>86</v>
      </c>
      <c r="T45" s="6">
        <v>1844.94</v>
      </c>
    </row>
    <row r="46" spans="10:20" x14ac:dyDescent="0.35">
      <c r="S46" s="36" t="s">
        <v>73</v>
      </c>
      <c r="T46" s="6">
        <v>1130.48</v>
      </c>
    </row>
    <row r="47" spans="10:20" x14ac:dyDescent="0.35">
      <c r="S47" s="36" t="s">
        <v>163</v>
      </c>
      <c r="T47" s="6">
        <v>727.72</v>
      </c>
    </row>
    <row r="48" spans="10:20" x14ac:dyDescent="0.35">
      <c r="S48" s="31" t="s">
        <v>1236</v>
      </c>
      <c r="T48" s="6">
        <v>22164.12</v>
      </c>
    </row>
  </sheetData>
  <conditionalFormatting sqref="J6:J16">
    <cfRule type="expression" dxfId="0" priority="2">
      <formula>MAX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1EC4-E73C-4326-9E0D-9B846466384A}">
  <dimension ref="B2:S794"/>
  <sheetViews>
    <sheetView topLeftCell="M17" workbookViewId="0">
      <selection activeCell="Q26" sqref="Q26"/>
    </sheetView>
  </sheetViews>
  <sheetFormatPr baseColWidth="10" defaultRowHeight="14.5" x14ac:dyDescent="0.35"/>
  <cols>
    <col min="2" max="2" width="16.54296875" bestFit="1" customWidth="1"/>
    <col min="3" max="3" width="24.453125" bestFit="1" customWidth="1"/>
    <col min="4" max="4" width="10.54296875" bestFit="1" customWidth="1"/>
    <col min="5" max="5" width="16.54296875" bestFit="1" customWidth="1"/>
    <col min="6" max="6" width="35.26953125" bestFit="1" customWidth="1"/>
    <col min="7" max="7" width="15.26953125" bestFit="1" customWidth="1"/>
    <col min="8" max="8" width="14.7265625" bestFit="1" customWidth="1"/>
    <col min="9" max="9" width="27.7265625" bestFit="1" customWidth="1"/>
    <col min="10" max="10" width="19.453125" bestFit="1" customWidth="1"/>
    <col min="11" max="11" width="14.90625" bestFit="1" customWidth="1"/>
    <col min="12" max="12" width="16.54296875" bestFit="1" customWidth="1"/>
    <col min="13" max="13" width="14.90625" bestFit="1" customWidth="1"/>
    <col min="14" max="14" width="5.1796875" bestFit="1" customWidth="1"/>
    <col min="15" max="15" width="16.54296875" bestFit="1" customWidth="1"/>
    <col min="16" max="16" width="18.26953125" bestFit="1" customWidth="1"/>
    <col min="18" max="18" width="16.54296875" bestFit="1" customWidth="1"/>
    <col min="19" max="19" width="21.54296875" bestFit="1" customWidth="1"/>
  </cols>
  <sheetData>
    <row r="2" spans="2:19" x14ac:dyDescent="0.35">
      <c r="I2" t="s">
        <v>86</v>
      </c>
      <c r="J2" t="s">
        <v>73</v>
      </c>
      <c r="K2" t="s">
        <v>163</v>
      </c>
      <c r="L2" t="s">
        <v>1835</v>
      </c>
    </row>
    <row r="3" spans="2:19" x14ac:dyDescent="0.35">
      <c r="B3" s="30" t="s">
        <v>1822</v>
      </c>
      <c r="C3" s="30" t="s">
        <v>1834</v>
      </c>
      <c r="D3" s="6"/>
      <c r="E3" s="6"/>
      <c r="F3" s="6"/>
      <c r="I3" cm="1">
        <f t="array" ref="I3:L3">_xlfn.XLOOKUP(Dashboard!B3,'Tablas dash'!B4:B12,'Tablas dash'!C4:F12)</f>
        <v>5186</v>
      </c>
      <c r="J3">
        <v>1672</v>
      </c>
      <c r="K3">
        <v>1370</v>
      </c>
      <c r="L3">
        <v>8228</v>
      </c>
    </row>
    <row r="4" spans="2:19" x14ac:dyDescent="0.35">
      <c r="B4" s="30" t="s">
        <v>1237</v>
      </c>
      <c r="C4" s="35" t="s">
        <v>86</v>
      </c>
      <c r="D4" s="6" t="s">
        <v>73</v>
      </c>
      <c r="E4" s="6" t="s">
        <v>163</v>
      </c>
      <c r="F4" s="6" t="s">
        <v>1236</v>
      </c>
    </row>
    <row r="5" spans="2:19" x14ac:dyDescent="0.35">
      <c r="B5" s="31" t="s">
        <v>1250</v>
      </c>
      <c r="C5" s="33">
        <v>4381</v>
      </c>
      <c r="D5" s="34">
        <v>1507</v>
      </c>
      <c r="E5" s="34">
        <v>1260</v>
      </c>
      <c r="F5" s="6">
        <v>7148</v>
      </c>
    </row>
    <row r="6" spans="2:19" x14ac:dyDescent="0.35">
      <c r="B6" s="31" t="s">
        <v>1251</v>
      </c>
      <c r="C6" s="33">
        <v>5186</v>
      </c>
      <c r="D6" s="34">
        <v>1672</v>
      </c>
      <c r="E6" s="34">
        <v>1370</v>
      </c>
      <c r="F6" s="6">
        <v>8228</v>
      </c>
      <c r="I6" t="s">
        <v>87</v>
      </c>
      <c r="J6" t="s">
        <v>1837</v>
      </c>
      <c r="K6" t="s">
        <v>1838</v>
      </c>
    </row>
    <row r="7" spans="2:19" x14ac:dyDescent="0.35">
      <c r="B7" s="31" t="s">
        <v>1252</v>
      </c>
      <c r="C7" s="33">
        <v>1923</v>
      </c>
      <c r="D7" s="34">
        <v>489</v>
      </c>
      <c r="E7" s="34">
        <v>939</v>
      </c>
      <c r="F7" s="6">
        <v>3351</v>
      </c>
      <c r="I7" cm="1">
        <f t="array" ref="I7:K7">_xlfn.XLOOKUP(Dashboard!B3,'Tablas dash'!B17:B23,'Tablas dash'!C17:E23)</f>
        <v>2556</v>
      </c>
      <c r="J7">
        <v>20916</v>
      </c>
      <c r="K7">
        <v>5018</v>
      </c>
    </row>
    <row r="8" spans="2:19" x14ac:dyDescent="0.35">
      <c r="B8" s="31" t="s">
        <v>1253</v>
      </c>
      <c r="C8" s="33">
        <v>1397</v>
      </c>
      <c r="D8" s="34">
        <v>693</v>
      </c>
      <c r="E8" s="34">
        <v>1007</v>
      </c>
      <c r="F8" s="6">
        <v>3097</v>
      </c>
      <c r="I8" t="s">
        <v>1839</v>
      </c>
      <c r="J8" t="s">
        <v>1840</v>
      </c>
      <c r="K8" t="s">
        <v>1841</v>
      </c>
    </row>
    <row r="9" spans="2:19" x14ac:dyDescent="0.35">
      <c r="B9" s="31" t="s">
        <v>1254</v>
      </c>
      <c r="C9" s="33">
        <v>2883</v>
      </c>
      <c r="D9" s="34">
        <v>954</v>
      </c>
      <c r="E9" s="34">
        <v>480</v>
      </c>
      <c r="F9" s="6">
        <v>4317</v>
      </c>
      <c r="I9" cm="1">
        <f t="array" ref="I9:K9">_xlfn.XLOOKUP(Dashboard!B3,'Tablas dash'!B17:B23,'Tablas dash'!F17:H23)</f>
        <v>426.42999999999995</v>
      </c>
      <c r="J9">
        <v>3178.0699999999997</v>
      </c>
      <c r="K9">
        <v>771.9200000000003</v>
      </c>
    </row>
    <row r="10" spans="2:19" x14ac:dyDescent="0.35">
      <c r="B10" s="31" t="s">
        <v>1255</v>
      </c>
      <c r="C10" s="33">
        <v>5442</v>
      </c>
      <c r="D10" s="34">
        <v>2349</v>
      </c>
      <c r="E10" s="34">
        <v>2120</v>
      </c>
      <c r="F10" s="6">
        <v>9911</v>
      </c>
    </row>
    <row r="11" spans="2:19" x14ac:dyDescent="0.35">
      <c r="B11" s="31" t="s">
        <v>1256</v>
      </c>
      <c r="C11" s="33">
        <v>4112</v>
      </c>
      <c r="D11" s="34">
        <v>1493</v>
      </c>
      <c r="E11" s="34">
        <v>1224</v>
      </c>
      <c r="F11" s="6">
        <v>6829</v>
      </c>
    </row>
    <row r="12" spans="2:19" x14ac:dyDescent="0.35">
      <c r="B12" s="31" t="s">
        <v>1236</v>
      </c>
      <c r="C12" s="33">
        <v>25324</v>
      </c>
      <c r="D12" s="34">
        <v>9157</v>
      </c>
      <c r="E12" s="34">
        <v>8400</v>
      </c>
      <c r="F12" s="6">
        <v>42881</v>
      </c>
    </row>
    <row r="14" spans="2:19" x14ac:dyDescent="0.35">
      <c r="B14" s="6"/>
      <c r="C14" s="30" t="s">
        <v>1834</v>
      </c>
      <c r="D14" s="6"/>
      <c r="E14" s="6"/>
      <c r="F14" s="6"/>
      <c r="G14" s="6"/>
      <c r="H14" s="6"/>
      <c r="I14" s="6"/>
      <c r="J14" s="6"/>
      <c r="L14" s="30" t="s">
        <v>1237</v>
      </c>
      <c r="M14" s="6" t="s">
        <v>1258</v>
      </c>
      <c r="O14" s="30" t="s">
        <v>1237</v>
      </c>
      <c r="P14" s="6" t="s">
        <v>1857</v>
      </c>
      <c r="R14" s="30" t="s">
        <v>1237</v>
      </c>
      <c r="S14" s="6" t="s">
        <v>1860</v>
      </c>
    </row>
    <row r="15" spans="2:19" x14ac:dyDescent="0.35">
      <c r="B15" s="6"/>
      <c r="C15" s="6" t="s">
        <v>1789</v>
      </c>
      <c r="D15" s="6"/>
      <c r="E15" s="6"/>
      <c r="F15" s="6" t="s">
        <v>1258</v>
      </c>
      <c r="G15" s="6"/>
      <c r="H15" s="6"/>
      <c r="I15" s="6" t="s">
        <v>1842</v>
      </c>
      <c r="J15" s="6" t="s">
        <v>1836</v>
      </c>
      <c r="L15" s="31" t="s">
        <v>1250</v>
      </c>
      <c r="M15" s="6">
        <v>3420.3100000000004</v>
      </c>
      <c r="O15" s="31" t="s">
        <v>1250</v>
      </c>
      <c r="P15" s="6">
        <v>384</v>
      </c>
      <c r="R15" s="31" t="s">
        <v>1250</v>
      </c>
      <c r="S15" s="6">
        <v>60.576271186440678</v>
      </c>
    </row>
    <row r="16" spans="2:19" x14ac:dyDescent="0.35">
      <c r="B16" s="30" t="s">
        <v>1237</v>
      </c>
      <c r="C16" s="6" t="s">
        <v>87</v>
      </c>
      <c r="D16" s="35" t="s">
        <v>74</v>
      </c>
      <c r="E16" s="6" t="s">
        <v>109</v>
      </c>
      <c r="F16" s="6" t="s">
        <v>87</v>
      </c>
      <c r="G16" s="35" t="s">
        <v>74</v>
      </c>
      <c r="H16" s="6" t="s">
        <v>109</v>
      </c>
      <c r="I16" s="6"/>
      <c r="J16" s="6"/>
      <c r="L16" s="36" t="s">
        <v>86</v>
      </c>
      <c r="M16" s="6">
        <v>2060.2399999999998</v>
      </c>
      <c r="O16" s="31" t="s">
        <v>1251</v>
      </c>
      <c r="P16" s="6">
        <v>557</v>
      </c>
      <c r="R16" s="31" t="s">
        <v>1251</v>
      </c>
      <c r="S16" s="6">
        <v>55.594594594594597</v>
      </c>
    </row>
    <row r="17" spans="2:19" x14ac:dyDescent="0.35">
      <c r="B17" s="31" t="s">
        <v>1250</v>
      </c>
      <c r="C17" s="6">
        <v>495</v>
      </c>
      <c r="D17" s="35">
        <v>5051</v>
      </c>
      <c r="E17" s="6">
        <v>1475</v>
      </c>
      <c r="F17" s="6">
        <v>332.98</v>
      </c>
      <c r="G17" s="35">
        <v>2464.3399999999997</v>
      </c>
      <c r="H17" s="6">
        <v>622.99</v>
      </c>
      <c r="I17" s="6">
        <v>7021</v>
      </c>
      <c r="J17" s="6">
        <v>3420.3099999999995</v>
      </c>
      <c r="L17" s="36" t="s">
        <v>73</v>
      </c>
      <c r="M17" s="6">
        <v>797.06000000000029</v>
      </c>
      <c r="O17" s="31" t="s">
        <v>1252</v>
      </c>
      <c r="P17" s="6">
        <v>197</v>
      </c>
      <c r="R17" s="31" t="s">
        <v>1252</v>
      </c>
      <c r="S17" s="6">
        <v>56.796610169491522</v>
      </c>
    </row>
    <row r="18" spans="2:19" x14ac:dyDescent="0.35">
      <c r="B18" s="31" t="s">
        <v>1251</v>
      </c>
      <c r="C18" s="6">
        <v>2556</v>
      </c>
      <c r="D18" s="35">
        <v>20916</v>
      </c>
      <c r="E18" s="6">
        <v>5018</v>
      </c>
      <c r="F18" s="6">
        <v>426.42999999999995</v>
      </c>
      <c r="G18" s="35">
        <v>3178.0699999999997</v>
      </c>
      <c r="H18" s="6">
        <v>771.9200000000003</v>
      </c>
      <c r="I18" s="6">
        <v>28490</v>
      </c>
      <c r="J18" s="6">
        <v>4376.42</v>
      </c>
      <c r="L18" s="36" t="s">
        <v>163</v>
      </c>
      <c r="M18" s="6">
        <v>563.01</v>
      </c>
      <c r="O18" s="31" t="s">
        <v>1253</v>
      </c>
      <c r="P18" s="6">
        <v>180</v>
      </c>
      <c r="R18" s="31" t="s">
        <v>1253</v>
      </c>
      <c r="S18" s="6">
        <v>52.491525423728817</v>
      </c>
    </row>
    <row r="19" spans="2:19" x14ac:dyDescent="0.35">
      <c r="B19" s="31" t="s">
        <v>1252</v>
      </c>
      <c r="C19" s="6">
        <v>2999</v>
      </c>
      <c r="D19" s="35">
        <v>10398</v>
      </c>
      <c r="E19" s="6">
        <v>4067</v>
      </c>
      <c r="F19" s="6">
        <v>297.04000000000002</v>
      </c>
      <c r="G19" s="35">
        <v>995.87000000000012</v>
      </c>
      <c r="H19" s="6">
        <v>401.05999999999995</v>
      </c>
      <c r="I19" s="6">
        <v>17464</v>
      </c>
      <c r="J19" s="6">
        <v>1693.97</v>
      </c>
      <c r="L19" s="31" t="s">
        <v>1251</v>
      </c>
      <c r="M19" s="6">
        <v>4376.420000000001</v>
      </c>
      <c r="O19" s="31" t="s">
        <v>1254</v>
      </c>
      <c r="P19" s="6">
        <v>289</v>
      </c>
      <c r="R19" s="31" t="s">
        <v>1254</v>
      </c>
      <c r="S19" s="6">
        <v>49.05681818181818</v>
      </c>
    </row>
    <row r="20" spans="2:19" x14ac:dyDescent="0.35">
      <c r="B20" s="31" t="s">
        <v>1253</v>
      </c>
      <c r="C20" s="6">
        <v>2198</v>
      </c>
      <c r="D20" s="35">
        <v>13061</v>
      </c>
      <c r="E20" s="6">
        <v>5686</v>
      </c>
      <c r="F20" s="6">
        <v>172.64</v>
      </c>
      <c r="G20" s="35">
        <v>1055.97</v>
      </c>
      <c r="H20" s="6">
        <v>470.53</v>
      </c>
      <c r="I20" s="6">
        <v>20945</v>
      </c>
      <c r="J20" s="6">
        <v>1699.14</v>
      </c>
      <c r="L20" s="36" t="s">
        <v>86</v>
      </c>
      <c r="M20" s="6">
        <v>2778.670000000001</v>
      </c>
      <c r="O20" s="31" t="s">
        <v>1255</v>
      </c>
      <c r="P20" s="6">
        <v>613</v>
      </c>
      <c r="R20" s="31" t="s">
        <v>1255</v>
      </c>
      <c r="S20" s="6">
        <v>55.994350282485875</v>
      </c>
    </row>
    <row r="21" spans="2:19" x14ac:dyDescent="0.35">
      <c r="B21" s="31" t="s">
        <v>1254</v>
      </c>
      <c r="C21" s="6">
        <v>4743</v>
      </c>
      <c r="D21" s="35">
        <v>28240</v>
      </c>
      <c r="E21" s="6">
        <v>4725</v>
      </c>
      <c r="F21" s="6">
        <v>319.38000000000005</v>
      </c>
      <c r="G21" s="35">
        <v>1870.9300000000003</v>
      </c>
      <c r="H21" s="6">
        <v>262.11</v>
      </c>
      <c r="I21" s="6">
        <v>37708</v>
      </c>
      <c r="J21" s="6">
        <v>2452.4200000000005</v>
      </c>
      <c r="L21" s="36" t="s">
        <v>73</v>
      </c>
      <c r="M21" s="6">
        <v>926.09000000000015</v>
      </c>
      <c r="O21" s="31" t="s">
        <v>1256</v>
      </c>
      <c r="P21" s="6">
        <v>451</v>
      </c>
      <c r="R21" s="31" t="s">
        <v>1256</v>
      </c>
      <c r="S21" s="6">
        <v>57.872881355932201</v>
      </c>
    </row>
    <row r="22" spans="2:19" x14ac:dyDescent="0.35">
      <c r="B22" s="31" t="s">
        <v>1255</v>
      </c>
      <c r="C22" s="6">
        <v>12941</v>
      </c>
      <c r="D22" s="35">
        <v>63903</v>
      </c>
      <c r="E22" s="6">
        <v>22453</v>
      </c>
      <c r="F22" s="6">
        <v>639.65999999999985</v>
      </c>
      <c r="G22" s="35">
        <v>3365.1999999999994</v>
      </c>
      <c r="H22" s="6">
        <v>1218.8399999999997</v>
      </c>
      <c r="I22" s="6">
        <v>99297</v>
      </c>
      <c r="J22" s="6">
        <v>5223.6999999999989</v>
      </c>
      <c r="L22" s="36" t="s">
        <v>163</v>
      </c>
      <c r="M22" s="6">
        <v>671.66000000000008</v>
      </c>
      <c r="O22" s="31" t="s">
        <v>1236</v>
      </c>
      <c r="P22" s="6">
        <v>2671</v>
      </c>
      <c r="R22" s="31" t="s">
        <v>1236</v>
      </c>
      <c r="S22" s="6">
        <v>55.90743155149935</v>
      </c>
    </row>
    <row r="23" spans="2:19" x14ac:dyDescent="0.35">
      <c r="B23" s="31" t="s">
        <v>1256</v>
      </c>
      <c r="C23" s="6">
        <v>12532</v>
      </c>
      <c r="D23" s="35">
        <v>56052</v>
      </c>
      <c r="E23" s="6">
        <v>15019</v>
      </c>
      <c r="F23" s="6">
        <v>480.27000000000004</v>
      </c>
      <c r="G23" s="35">
        <v>2237.7199999999998</v>
      </c>
      <c r="H23" s="6">
        <v>580.16999999999996</v>
      </c>
      <c r="I23" s="6">
        <v>83603</v>
      </c>
      <c r="J23" s="6">
        <v>3298.16</v>
      </c>
      <c r="L23" s="31" t="s">
        <v>1252</v>
      </c>
      <c r="M23" s="6">
        <v>1693.9700000000003</v>
      </c>
    </row>
    <row r="24" spans="2:19" x14ac:dyDescent="0.35">
      <c r="B24" s="31" t="s">
        <v>1236</v>
      </c>
      <c r="C24" s="6">
        <v>38464</v>
      </c>
      <c r="D24" s="35">
        <v>197621</v>
      </c>
      <c r="E24" s="6">
        <v>58443</v>
      </c>
      <c r="F24" s="6">
        <v>2668.4</v>
      </c>
      <c r="G24" s="35">
        <v>15168.099999999999</v>
      </c>
      <c r="H24" s="6">
        <v>4327.62</v>
      </c>
      <c r="I24" s="6">
        <v>294528</v>
      </c>
      <c r="J24" s="6">
        <v>22164.12</v>
      </c>
      <c r="L24" s="36" t="s">
        <v>86</v>
      </c>
      <c r="M24" s="6">
        <v>1052.48</v>
      </c>
    </row>
    <row r="25" spans="2:19" x14ac:dyDescent="0.35">
      <c r="B25" s="30" t="s">
        <v>1832</v>
      </c>
      <c r="C25" s="6" t="s">
        <v>1826</v>
      </c>
      <c r="L25" s="36" t="s">
        <v>73</v>
      </c>
      <c r="M25" s="6">
        <v>300.87000000000006</v>
      </c>
      <c r="O25" s="30" t="s">
        <v>1237</v>
      </c>
      <c r="P25" s="6" t="s">
        <v>1822</v>
      </c>
    </row>
    <row r="26" spans="2:19" x14ac:dyDescent="0.35">
      <c r="L26" s="36" t="s">
        <v>163</v>
      </c>
      <c r="M26" s="6">
        <v>340.62000000000006</v>
      </c>
      <c r="O26" s="31" t="s">
        <v>1250</v>
      </c>
      <c r="P26" s="6">
        <v>7148</v>
      </c>
    </row>
    <row r="27" spans="2:19" x14ac:dyDescent="0.35">
      <c r="B27" s="30" t="s">
        <v>1237</v>
      </c>
      <c r="C27" s="6" t="s">
        <v>1259</v>
      </c>
      <c r="E27" s="30" t="s">
        <v>1237</v>
      </c>
      <c r="F27" s="6" t="s">
        <v>1844</v>
      </c>
      <c r="H27" s="8" t="s">
        <v>1260</v>
      </c>
      <c r="I27" s="10" t="s">
        <v>1817</v>
      </c>
      <c r="L27" s="31" t="s">
        <v>1253</v>
      </c>
      <c r="M27" s="6">
        <v>1699.1400000000003</v>
      </c>
      <c r="O27" s="31" t="s">
        <v>1251</v>
      </c>
      <c r="P27" s="6">
        <v>8228</v>
      </c>
    </row>
    <row r="28" spans="2:19" x14ac:dyDescent="0.35">
      <c r="B28" s="31" t="s">
        <v>223</v>
      </c>
      <c r="C28" s="6">
        <v>138</v>
      </c>
      <c r="E28" s="31" t="s">
        <v>1250</v>
      </c>
      <c r="F28" s="9">
        <v>5.8704096045197746E-2</v>
      </c>
      <c r="H28" s="38">
        <v>3.9583333333333331E-2</v>
      </c>
      <c r="I28">
        <v>1</v>
      </c>
      <c r="L28" s="36" t="s">
        <v>86</v>
      </c>
      <c r="M28" s="6">
        <v>851.0200000000001</v>
      </c>
      <c r="O28" s="31" t="s">
        <v>1252</v>
      </c>
      <c r="P28" s="6">
        <v>3351</v>
      </c>
    </row>
    <row r="29" spans="2:19" x14ac:dyDescent="0.35">
      <c r="B29" s="31" t="s">
        <v>100</v>
      </c>
      <c r="C29" s="6">
        <v>192</v>
      </c>
      <c r="E29" s="31" t="s">
        <v>1251</v>
      </c>
      <c r="F29" s="9">
        <v>5.5335022522522509E-2</v>
      </c>
      <c r="H29" s="39">
        <v>5.9027777777777776E-2</v>
      </c>
      <c r="I29">
        <v>1</v>
      </c>
      <c r="L29" s="36" t="s">
        <v>73</v>
      </c>
      <c r="M29" s="6">
        <v>296.77999999999997</v>
      </c>
      <c r="O29" s="31" t="s">
        <v>1253</v>
      </c>
      <c r="P29" s="6">
        <v>3097</v>
      </c>
    </row>
    <row r="30" spans="2:19" x14ac:dyDescent="0.35">
      <c r="B30" s="31" t="s">
        <v>170</v>
      </c>
      <c r="C30" s="6">
        <v>158</v>
      </c>
      <c r="E30" s="31" t="s">
        <v>1252</v>
      </c>
      <c r="F30" s="9">
        <v>5.9298493408662882E-2</v>
      </c>
      <c r="H30" s="38">
        <v>8.7499999999999994E-2</v>
      </c>
      <c r="I30">
        <v>1</v>
      </c>
      <c r="L30" s="36" t="s">
        <v>163</v>
      </c>
      <c r="M30" s="6">
        <v>551.34</v>
      </c>
      <c r="O30" s="31" t="s">
        <v>1254</v>
      </c>
      <c r="P30" s="6">
        <v>4317</v>
      </c>
    </row>
    <row r="31" spans="2:19" x14ac:dyDescent="0.35">
      <c r="B31" s="31" t="s">
        <v>72</v>
      </c>
      <c r="C31" s="6">
        <v>149</v>
      </c>
      <c r="E31" s="31" t="s">
        <v>1253</v>
      </c>
      <c r="F31" s="9">
        <v>5.0706214689265561E-2</v>
      </c>
      <c r="H31" s="39">
        <v>2.7777777777777776E-2</v>
      </c>
      <c r="I31">
        <v>1</v>
      </c>
      <c r="L31" s="31" t="s">
        <v>1254</v>
      </c>
      <c r="M31" s="6">
        <v>2452.42</v>
      </c>
      <c r="O31" s="31" t="s">
        <v>1255</v>
      </c>
      <c r="P31" s="6">
        <v>9911</v>
      </c>
    </row>
    <row r="32" spans="2:19" x14ac:dyDescent="0.35">
      <c r="B32" s="31" t="s">
        <v>85</v>
      </c>
      <c r="C32" s="6">
        <v>130</v>
      </c>
      <c r="E32" s="31" t="s">
        <v>1254</v>
      </c>
      <c r="F32" s="9">
        <v>4.9423926767676776E-2</v>
      </c>
      <c r="H32" s="38">
        <v>1.1805555555555555E-2</v>
      </c>
      <c r="I32">
        <v>1</v>
      </c>
      <c r="L32" s="36" t="s">
        <v>86</v>
      </c>
      <c r="M32" s="6">
        <v>1668.39</v>
      </c>
      <c r="O32" s="31" t="s">
        <v>1256</v>
      </c>
      <c r="P32" s="6">
        <v>6829</v>
      </c>
    </row>
    <row r="33" spans="2:16" x14ac:dyDescent="0.35">
      <c r="B33" s="31" t="s">
        <v>1236</v>
      </c>
      <c r="C33" s="6">
        <v>767</v>
      </c>
      <c r="E33" s="31" t="s">
        <v>1255</v>
      </c>
      <c r="F33" s="9">
        <v>5.484149403640929E-2</v>
      </c>
      <c r="H33" s="39">
        <v>7.6388888888888886E-3</v>
      </c>
      <c r="I33">
        <v>1</v>
      </c>
      <c r="L33" s="36" t="s">
        <v>73</v>
      </c>
      <c r="M33" s="6">
        <v>492.16999999999996</v>
      </c>
      <c r="O33" s="31" t="s">
        <v>1236</v>
      </c>
      <c r="P33" s="6">
        <v>42881</v>
      </c>
    </row>
    <row r="34" spans="2:16" x14ac:dyDescent="0.35">
      <c r="E34" s="31" t="s">
        <v>1256</v>
      </c>
      <c r="F34" s="9">
        <v>5.4184322033898322E-2</v>
      </c>
      <c r="H34" s="38">
        <v>2.8472222222222222E-2</v>
      </c>
      <c r="I34">
        <v>1</v>
      </c>
      <c r="L34" s="36" t="s">
        <v>163</v>
      </c>
      <c r="M34" s="6">
        <v>291.86</v>
      </c>
    </row>
    <row r="35" spans="2:16" x14ac:dyDescent="0.35">
      <c r="E35" s="31" t="s">
        <v>1236</v>
      </c>
      <c r="F35" s="9">
        <v>5.4833043604230074E-2</v>
      </c>
      <c r="H35" s="39">
        <v>3.8194444444444448E-2</v>
      </c>
      <c r="I35">
        <v>1</v>
      </c>
      <c r="L35" s="31" t="s">
        <v>1255</v>
      </c>
      <c r="M35" s="6">
        <v>5223.7</v>
      </c>
    </row>
    <row r="36" spans="2:16" x14ac:dyDescent="0.35">
      <c r="B36" s="30" t="s">
        <v>62</v>
      </c>
      <c r="C36" s="6" t="s">
        <v>181</v>
      </c>
      <c r="H36" s="38">
        <v>0.10138888888888889</v>
      </c>
      <c r="I36">
        <v>0</v>
      </c>
      <c r="L36" s="36" t="s">
        <v>86</v>
      </c>
      <c r="M36" s="6">
        <v>3156.97</v>
      </c>
    </row>
    <row r="37" spans="2:16" x14ac:dyDescent="0.35">
      <c r="H37" s="39">
        <v>2.013888888888889E-2</v>
      </c>
      <c r="I37">
        <v>1</v>
      </c>
      <c r="L37" s="36" t="s">
        <v>73</v>
      </c>
      <c r="M37" s="6">
        <v>1085.49</v>
      </c>
    </row>
    <row r="38" spans="2:16" x14ac:dyDescent="0.35">
      <c r="B38" s="30" t="s">
        <v>1237</v>
      </c>
      <c r="C38" s="6" t="s">
        <v>1259</v>
      </c>
      <c r="H38" s="38">
        <v>3.888888888888889E-2</v>
      </c>
      <c r="I38">
        <v>1</v>
      </c>
      <c r="L38" s="36" t="s">
        <v>163</v>
      </c>
      <c r="M38" s="6">
        <v>981.2399999999999</v>
      </c>
    </row>
    <row r="39" spans="2:16" x14ac:dyDescent="0.35">
      <c r="B39" s="31" t="s">
        <v>1825</v>
      </c>
      <c r="C39" s="6">
        <v>8</v>
      </c>
      <c r="H39" s="39">
        <v>6.5972222222222224E-2</v>
      </c>
      <c r="I39">
        <v>1</v>
      </c>
      <c r="L39" s="31" t="s">
        <v>1256</v>
      </c>
      <c r="M39" s="6">
        <v>3298.1600000000003</v>
      </c>
    </row>
    <row r="40" spans="2:16" x14ac:dyDescent="0.35">
      <c r="B40" s="31" t="s">
        <v>1824</v>
      </c>
      <c r="C40" s="6">
        <v>63</v>
      </c>
      <c r="H40" s="38">
        <v>4.0972222222222222E-2</v>
      </c>
      <c r="I40">
        <v>1</v>
      </c>
      <c r="L40" s="36" t="s">
        <v>86</v>
      </c>
      <c r="M40" s="6">
        <v>1892.96</v>
      </c>
    </row>
    <row r="41" spans="2:16" x14ac:dyDescent="0.35">
      <c r="B41" s="31" t="s">
        <v>1236</v>
      </c>
      <c r="C41" s="6">
        <v>71</v>
      </c>
      <c r="H41" s="39">
        <v>0.10694444444444444</v>
      </c>
      <c r="I41">
        <v>0</v>
      </c>
      <c r="L41" s="36" t="s">
        <v>73</v>
      </c>
      <c r="M41" s="6">
        <v>702.90000000000009</v>
      </c>
    </row>
    <row r="42" spans="2:16" x14ac:dyDescent="0.35">
      <c r="H42" s="38">
        <v>7.1527777777777773E-2</v>
      </c>
      <c r="I42">
        <v>1</v>
      </c>
      <c r="L42" s="36" t="s">
        <v>163</v>
      </c>
      <c r="M42" s="6">
        <v>702.30000000000007</v>
      </c>
    </row>
    <row r="43" spans="2:16" x14ac:dyDescent="0.35">
      <c r="H43" s="39">
        <v>2.6388888888888889E-2</v>
      </c>
      <c r="I43">
        <v>1</v>
      </c>
      <c r="L43" s="31" t="s">
        <v>1236</v>
      </c>
      <c r="M43" s="6">
        <v>22164.120000000006</v>
      </c>
    </row>
    <row r="44" spans="2:16" x14ac:dyDescent="0.35">
      <c r="H44" s="38">
        <v>0.10972222222222222</v>
      </c>
      <c r="I44">
        <v>1</v>
      </c>
    </row>
    <row r="45" spans="2:16" x14ac:dyDescent="0.35">
      <c r="H45" s="39">
        <v>9.3055555555555558E-2</v>
      </c>
      <c r="I45">
        <v>1</v>
      </c>
    </row>
    <row r="46" spans="2:16" x14ac:dyDescent="0.35">
      <c r="H46" s="38">
        <v>3.0555555555555555E-2</v>
      </c>
      <c r="I46">
        <v>1</v>
      </c>
    </row>
    <row r="47" spans="2:16" x14ac:dyDescent="0.35">
      <c r="H47" s="39">
        <v>4.8611111111111112E-2</v>
      </c>
      <c r="I47">
        <v>1</v>
      </c>
    </row>
    <row r="48" spans="2:16" x14ac:dyDescent="0.35">
      <c r="H48" s="38">
        <v>0.10555555555555556</v>
      </c>
      <c r="I48">
        <v>0</v>
      </c>
    </row>
    <row r="49" spans="2:9" x14ac:dyDescent="0.35">
      <c r="H49" s="39">
        <v>8.5416666666666669E-2</v>
      </c>
      <c r="I49">
        <v>1</v>
      </c>
    </row>
    <row r="50" spans="2:9" x14ac:dyDescent="0.35">
      <c r="H50" s="38">
        <v>4.3749999999999997E-2</v>
      </c>
      <c r="I50">
        <v>1</v>
      </c>
    </row>
    <row r="51" spans="2:9" x14ac:dyDescent="0.35">
      <c r="H51" s="39">
        <v>0.125</v>
      </c>
      <c r="I51">
        <v>1</v>
      </c>
    </row>
    <row r="52" spans="2:9" x14ac:dyDescent="0.35">
      <c r="H52" s="38">
        <v>2.4305555555555556E-2</v>
      </c>
      <c r="I52">
        <v>1</v>
      </c>
    </row>
    <row r="53" spans="2:9" x14ac:dyDescent="0.35">
      <c r="H53" s="39">
        <v>7.5694444444444439E-2</v>
      </c>
      <c r="I53">
        <v>1</v>
      </c>
    </row>
    <row r="54" spans="2:9" x14ac:dyDescent="0.35">
      <c r="H54" s="38">
        <v>3.8194444444444448E-2</v>
      </c>
      <c r="I54">
        <v>1</v>
      </c>
    </row>
    <row r="55" spans="2:9" x14ac:dyDescent="0.35">
      <c r="H55" s="39">
        <v>3.888888888888889E-2</v>
      </c>
      <c r="I55">
        <v>1</v>
      </c>
    </row>
    <row r="56" spans="2:9" x14ac:dyDescent="0.35">
      <c r="H56" s="38">
        <v>4.9305555555555554E-2</v>
      </c>
      <c r="I56">
        <v>1</v>
      </c>
    </row>
    <row r="57" spans="2:9" x14ac:dyDescent="0.35">
      <c r="H57" s="39">
        <v>4.791666666666667E-2</v>
      </c>
      <c r="I57">
        <v>1</v>
      </c>
    </row>
    <row r="58" spans="2:9" x14ac:dyDescent="0.35">
      <c r="B58" t="s">
        <v>1237</v>
      </c>
      <c r="C58" t="s">
        <v>1259</v>
      </c>
      <c r="H58" s="38">
        <v>7.2916666666666671E-2</v>
      </c>
      <c r="I58">
        <v>1</v>
      </c>
    </row>
    <row r="59" spans="2:9" x14ac:dyDescent="0.35">
      <c r="B59" t="s">
        <v>223</v>
      </c>
      <c r="C59">
        <v>138</v>
      </c>
      <c r="H59" s="39">
        <v>8.8888888888888892E-2</v>
      </c>
      <c r="I59">
        <v>1</v>
      </c>
    </row>
    <row r="60" spans="2:9" x14ac:dyDescent="0.35">
      <c r="B60" t="s">
        <v>1825</v>
      </c>
      <c r="C60">
        <v>13</v>
      </c>
      <c r="H60" s="38">
        <v>9.0277777777777776E-2</v>
      </c>
      <c r="I60">
        <v>1</v>
      </c>
    </row>
    <row r="61" spans="2:9" x14ac:dyDescent="0.35">
      <c r="B61" t="s">
        <v>1824</v>
      </c>
      <c r="C61">
        <v>125</v>
      </c>
      <c r="H61" s="39">
        <v>4.5138888888888888E-2</v>
      </c>
      <c r="I61">
        <v>1</v>
      </c>
    </row>
    <row r="62" spans="2:9" x14ac:dyDescent="0.35">
      <c r="B62" t="s">
        <v>100</v>
      </c>
      <c r="C62">
        <v>192</v>
      </c>
      <c r="H62" s="38">
        <v>4.5138888888888888E-2</v>
      </c>
      <c r="I62">
        <v>1</v>
      </c>
    </row>
    <row r="63" spans="2:9" x14ac:dyDescent="0.35">
      <c r="B63" t="s">
        <v>1825</v>
      </c>
      <c r="C63">
        <v>29</v>
      </c>
      <c r="H63" s="39">
        <v>2.6388888888888889E-2</v>
      </c>
      <c r="I63">
        <v>1</v>
      </c>
    </row>
    <row r="64" spans="2:9" x14ac:dyDescent="0.35">
      <c r="B64" t="s">
        <v>1824</v>
      </c>
      <c r="C64">
        <v>163</v>
      </c>
      <c r="H64" s="38">
        <v>3.2638888888888891E-2</v>
      </c>
      <c r="I64">
        <v>1</v>
      </c>
    </row>
    <row r="65" spans="2:9" x14ac:dyDescent="0.35">
      <c r="B65" t="s">
        <v>170</v>
      </c>
      <c r="C65">
        <v>158</v>
      </c>
      <c r="H65" s="39">
        <v>6.805555555555555E-2</v>
      </c>
      <c r="I65">
        <v>0</v>
      </c>
    </row>
    <row r="66" spans="2:9" x14ac:dyDescent="0.35">
      <c r="B66" t="s">
        <v>1825</v>
      </c>
      <c r="C66">
        <v>25</v>
      </c>
      <c r="H66" s="38">
        <v>3.9583333333333331E-2</v>
      </c>
      <c r="I66">
        <v>1</v>
      </c>
    </row>
    <row r="67" spans="2:9" x14ac:dyDescent="0.35">
      <c r="B67" t="s">
        <v>1824</v>
      </c>
      <c r="C67">
        <v>133</v>
      </c>
      <c r="H67" s="39">
        <v>5.4166666666666669E-2</v>
      </c>
      <c r="I67">
        <v>1</v>
      </c>
    </row>
    <row r="68" spans="2:9" x14ac:dyDescent="0.35">
      <c r="B68" t="s">
        <v>72</v>
      </c>
      <c r="C68">
        <v>149</v>
      </c>
      <c r="H68" s="38">
        <v>6.1805555555555558E-2</v>
      </c>
      <c r="I68">
        <v>1</v>
      </c>
    </row>
    <row r="69" spans="2:9" x14ac:dyDescent="0.35">
      <c r="B69" t="s">
        <v>1825</v>
      </c>
      <c r="C69">
        <v>14</v>
      </c>
      <c r="H69" s="39">
        <v>4.791666666666667E-2</v>
      </c>
      <c r="I69">
        <v>1</v>
      </c>
    </row>
    <row r="70" spans="2:9" x14ac:dyDescent="0.35">
      <c r="B70" t="s">
        <v>1824</v>
      </c>
      <c r="C70">
        <v>135</v>
      </c>
      <c r="H70" s="38">
        <v>0.10138888888888889</v>
      </c>
      <c r="I70">
        <v>1</v>
      </c>
    </row>
    <row r="71" spans="2:9" x14ac:dyDescent="0.35">
      <c r="B71" t="s">
        <v>85</v>
      </c>
      <c r="C71">
        <v>130</v>
      </c>
      <c r="H71" s="39">
        <v>5.9027777777777776E-2</v>
      </c>
      <c r="I71">
        <v>1</v>
      </c>
    </row>
    <row r="72" spans="2:9" x14ac:dyDescent="0.35">
      <c r="B72" t="s">
        <v>1825</v>
      </c>
      <c r="C72">
        <v>18</v>
      </c>
      <c r="H72" s="38">
        <v>3.2638888888888891E-2</v>
      </c>
      <c r="I72">
        <v>1</v>
      </c>
    </row>
    <row r="73" spans="2:9" x14ac:dyDescent="0.35">
      <c r="B73" t="s">
        <v>1824</v>
      </c>
      <c r="C73">
        <v>112</v>
      </c>
      <c r="H73" s="39">
        <v>5.9722222222222225E-2</v>
      </c>
      <c r="I73">
        <v>1</v>
      </c>
    </row>
    <row r="74" spans="2:9" x14ac:dyDescent="0.35">
      <c r="B74" t="s">
        <v>1236</v>
      </c>
      <c r="C74">
        <v>767</v>
      </c>
      <c r="H74" s="38">
        <v>6.0416666666666667E-2</v>
      </c>
      <c r="I74">
        <v>1</v>
      </c>
    </row>
    <row r="75" spans="2:9" x14ac:dyDescent="0.35">
      <c r="H75" s="39">
        <v>8.611111111111111E-2</v>
      </c>
      <c r="I75">
        <v>1</v>
      </c>
    </row>
    <row r="76" spans="2:9" x14ac:dyDescent="0.35">
      <c r="H76" s="38">
        <v>5.6250000000000001E-2</v>
      </c>
      <c r="I76">
        <v>1</v>
      </c>
    </row>
    <row r="77" spans="2:9" x14ac:dyDescent="0.35">
      <c r="H77" s="39">
        <v>1.4583333333333334E-2</v>
      </c>
      <c r="I77">
        <v>1</v>
      </c>
    </row>
    <row r="78" spans="2:9" x14ac:dyDescent="0.35">
      <c r="H78" s="38">
        <v>0.11388888888888889</v>
      </c>
      <c r="I78">
        <v>0</v>
      </c>
    </row>
    <row r="79" spans="2:9" x14ac:dyDescent="0.35">
      <c r="H79" s="39">
        <v>4.3055555555555555E-2</v>
      </c>
      <c r="I79">
        <v>1</v>
      </c>
    </row>
    <row r="80" spans="2:9" x14ac:dyDescent="0.35">
      <c r="H80" s="38">
        <v>7.7777777777777779E-2</v>
      </c>
      <c r="I80">
        <v>0</v>
      </c>
    </row>
    <row r="81" spans="8:9" x14ac:dyDescent="0.35">
      <c r="H81" s="39">
        <v>0.14097222222222222</v>
      </c>
      <c r="I81">
        <v>1</v>
      </c>
    </row>
    <row r="82" spans="8:9" x14ac:dyDescent="0.35">
      <c r="H82" s="38">
        <v>6.6666666666666666E-2</v>
      </c>
      <c r="I82">
        <v>1</v>
      </c>
    </row>
    <row r="83" spans="8:9" x14ac:dyDescent="0.35">
      <c r="H83" s="39">
        <v>5.4166666666666669E-2</v>
      </c>
      <c r="I83">
        <v>1</v>
      </c>
    </row>
    <row r="84" spans="8:9" x14ac:dyDescent="0.35">
      <c r="H84" s="38">
        <v>4.7222222222222221E-2</v>
      </c>
      <c r="I84">
        <v>1</v>
      </c>
    </row>
    <row r="85" spans="8:9" x14ac:dyDescent="0.35">
      <c r="H85" s="39">
        <v>5.0694444444444445E-2</v>
      </c>
      <c r="I85">
        <v>1</v>
      </c>
    </row>
    <row r="86" spans="8:9" x14ac:dyDescent="0.35">
      <c r="H86" s="38">
        <v>3.3333333333333333E-2</v>
      </c>
      <c r="I86">
        <v>1</v>
      </c>
    </row>
    <row r="87" spans="8:9" x14ac:dyDescent="0.35">
      <c r="H87" s="39">
        <v>2.9861111111111113E-2</v>
      </c>
      <c r="I87">
        <v>1</v>
      </c>
    </row>
    <row r="88" spans="8:9" x14ac:dyDescent="0.35">
      <c r="H88" s="38">
        <v>0.11041666666666666</v>
      </c>
      <c r="I88">
        <v>1</v>
      </c>
    </row>
    <row r="89" spans="8:9" x14ac:dyDescent="0.35">
      <c r="H89" s="39">
        <v>0.1076388888888889</v>
      </c>
      <c r="I89">
        <v>1</v>
      </c>
    </row>
    <row r="90" spans="8:9" x14ac:dyDescent="0.35">
      <c r="H90" s="38">
        <v>2.0833333333333332E-2</v>
      </c>
      <c r="I90">
        <v>1</v>
      </c>
    </row>
    <row r="91" spans="8:9" x14ac:dyDescent="0.35">
      <c r="H91" s="39">
        <v>5.6944444444444443E-2</v>
      </c>
      <c r="I91">
        <v>1</v>
      </c>
    </row>
    <row r="92" spans="8:9" x14ac:dyDescent="0.35">
      <c r="H92" s="38">
        <v>0.1076388888888889</v>
      </c>
      <c r="I92">
        <v>0</v>
      </c>
    </row>
    <row r="93" spans="8:9" x14ac:dyDescent="0.35">
      <c r="H93" s="39">
        <v>7.9166666666666663E-2</v>
      </c>
      <c r="I93">
        <v>1</v>
      </c>
    </row>
    <row r="94" spans="8:9" x14ac:dyDescent="0.35">
      <c r="H94" s="38">
        <v>9.0972222222222218E-2</v>
      </c>
      <c r="I94">
        <v>0</v>
      </c>
    </row>
    <row r="95" spans="8:9" x14ac:dyDescent="0.35">
      <c r="H95" s="39">
        <v>0.10069444444444445</v>
      </c>
      <c r="I95">
        <v>1</v>
      </c>
    </row>
    <row r="96" spans="8:9" x14ac:dyDescent="0.35">
      <c r="H96" s="38">
        <v>6.3888888888888884E-2</v>
      </c>
      <c r="I96">
        <v>1</v>
      </c>
    </row>
    <row r="97" spans="8:9" x14ac:dyDescent="0.35">
      <c r="H97" s="39">
        <v>2.7777777777777776E-2</v>
      </c>
      <c r="I97">
        <v>1</v>
      </c>
    </row>
    <row r="98" spans="8:9" x14ac:dyDescent="0.35">
      <c r="H98" s="38">
        <v>3.4027777777777775E-2</v>
      </c>
      <c r="I98">
        <v>1</v>
      </c>
    </row>
    <row r="99" spans="8:9" x14ac:dyDescent="0.35">
      <c r="H99" s="39">
        <v>3.7499999999999999E-2</v>
      </c>
      <c r="I99">
        <v>1</v>
      </c>
    </row>
    <row r="100" spans="8:9" x14ac:dyDescent="0.35">
      <c r="H100" s="38">
        <v>1.3888888888888888E-2</v>
      </c>
      <c r="I100">
        <v>1</v>
      </c>
    </row>
    <row r="101" spans="8:9" x14ac:dyDescent="0.35">
      <c r="H101" s="39">
        <v>6.9444444444444448E-2</v>
      </c>
      <c r="I101">
        <v>1</v>
      </c>
    </row>
    <row r="102" spans="8:9" x14ac:dyDescent="0.35">
      <c r="H102" s="38">
        <v>3.5416666666666666E-2</v>
      </c>
      <c r="I102">
        <v>1</v>
      </c>
    </row>
    <row r="103" spans="8:9" x14ac:dyDescent="0.35">
      <c r="H103" s="39">
        <v>6.7361111111111108E-2</v>
      </c>
      <c r="I103">
        <v>1</v>
      </c>
    </row>
    <row r="104" spans="8:9" x14ac:dyDescent="0.35">
      <c r="H104" s="38">
        <v>6.7361111111111108E-2</v>
      </c>
      <c r="I104">
        <v>1</v>
      </c>
    </row>
    <row r="105" spans="8:9" x14ac:dyDescent="0.35">
      <c r="H105" s="39">
        <v>3.7499999999999999E-2</v>
      </c>
      <c r="I105">
        <v>1</v>
      </c>
    </row>
    <row r="106" spans="8:9" x14ac:dyDescent="0.35">
      <c r="H106" s="38">
        <v>6.6666666666666666E-2</v>
      </c>
      <c r="I106">
        <v>1</v>
      </c>
    </row>
    <row r="107" spans="8:9" x14ac:dyDescent="0.35">
      <c r="H107" s="39">
        <v>4.6527777777777779E-2</v>
      </c>
      <c r="I107">
        <v>1</v>
      </c>
    </row>
    <row r="108" spans="8:9" x14ac:dyDescent="0.35">
      <c r="H108" s="38">
        <v>4.0972222222222222E-2</v>
      </c>
      <c r="I108">
        <v>1</v>
      </c>
    </row>
    <row r="109" spans="8:9" x14ac:dyDescent="0.35">
      <c r="H109" s="39">
        <v>1.3194444444444444E-2</v>
      </c>
      <c r="I109">
        <v>1</v>
      </c>
    </row>
    <row r="110" spans="8:9" x14ac:dyDescent="0.35">
      <c r="H110" s="38">
        <v>6.5277777777777782E-2</v>
      </c>
      <c r="I110">
        <v>1</v>
      </c>
    </row>
    <row r="111" spans="8:9" x14ac:dyDescent="0.35">
      <c r="H111" s="39">
        <v>6.9444444444444441E-3</v>
      </c>
      <c r="I111">
        <v>1</v>
      </c>
    </row>
    <row r="112" spans="8:9" x14ac:dyDescent="0.35">
      <c r="H112" s="38">
        <v>9.8611111111111108E-2</v>
      </c>
      <c r="I112">
        <v>0</v>
      </c>
    </row>
    <row r="113" spans="8:9" x14ac:dyDescent="0.35">
      <c r="H113" s="39">
        <v>5.5555555555555558E-3</v>
      </c>
      <c r="I113">
        <v>1</v>
      </c>
    </row>
    <row r="114" spans="8:9" x14ac:dyDescent="0.35">
      <c r="H114" s="38">
        <v>4.9305555555555554E-2</v>
      </c>
      <c r="I114">
        <v>1</v>
      </c>
    </row>
    <row r="115" spans="8:9" x14ac:dyDescent="0.35">
      <c r="H115" s="39">
        <v>8.1250000000000003E-2</v>
      </c>
      <c r="I115">
        <v>1</v>
      </c>
    </row>
    <row r="116" spans="8:9" x14ac:dyDescent="0.35">
      <c r="H116" s="38">
        <v>9.8611111111111108E-2</v>
      </c>
      <c r="I116">
        <v>0</v>
      </c>
    </row>
    <row r="117" spans="8:9" x14ac:dyDescent="0.35">
      <c r="H117" s="39">
        <v>3.3333333333333333E-2</v>
      </c>
      <c r="I117">
        <v>1</v>
      </c>
    </row>
    <row r="118" spans="8:9" x14ac:dyDescent="0.35">
      <c r="H118" s="38">
        <v>9.166666666666666E-2</v>
      </c>
      <c r="I118">
        <v>0</v>
      </c>
    </row>
    <row r="119" spans="8:9" x14ac:dyDescent="0.35">
      <c r="H119" s="39">
        <v>2.9166666666666667E-2</v>
      </c>
      <c r="I119">
        <v>1</v>
      </c>
    </row>
    <row r="120" spans="8:9" x14ac:dyDescent="0.35">
      <c r="H120" s="38">
        <v>1.2500000000000001E-2</v>
      </c>
      <c r="I120">
        <v>1</v>
      </c>
    </row>
    <row r="121" spans="8:9" x14ac:dyDescent="0.35">
      <c r="H121" s="39">
        <v>8.9583333333333334E-2</v>
      </c>
      <c r="I121">
        <v>1</v>
      </c>
    </row>
    <row r="122" spans="8:9" x14ac:dyDescent="0.35">
      <c r="H122" s="38">
        <v>2.8472222222222222E-2</v>
      </c>
      <c r="I122">
        <v>1</v>
      </c>
    </row>
    <row r="123" spans="8:9" x14ac:dyDescent="0.35">
      <c r="H123" s="39">
        <v>5.2777777777777778E-2</v>
      </c>
      <c r="I123">
        <v>1</v>
      </c>
    </row>
    <row r="124" spans="8:9" x14ac:dyDescent="0.35">
      <c r="H124" s="38">
        <v>5.486111111111111E-2</v>
      </c>
      <c r="I124">
        <v>1</v>
      </c>
    </row>
    <row r="125" spans="8:9" x14ac:dyDescent="0.35">
      <c r="H125" s="39">
        <v>9.7222222222222224E-2</v>
      </c>
      <c r="I125">
        <v>1</v>
      </c>
    </row>
    <row r="126" spans="8:9" x14ac:dyDescent="0.35">
      <c r="H126" s="38">
        <v>5.9722222222222225E-2</v>
      </c>
      <c r="I126">
        <v>1</v>
      </c>
    </row>
    <row r="127" spans="8:9" x14ac:dyDescent="0.35">
      <c r="H127" s="39">
        <v>7.1527777777777773E-2</v>
      </c>
      <c r="I127">
        <v>1</v>
      </c>
    </row>
    <row r="128" spans="8:9" x14ac:dyDescent="0.35">
      <c r="H128" s="38">
        <v>9.3055555555555558E-2</v>
      </c>
      <c r="I128">
        <v>0</v>
      </c>
    </row>
    <row r="129" spans="8:9" x14ac:dyDescent="0.35">
      <c r="H129" s="39">
        <v>3.1944444444444442E-2</v>
      </c>
      <c r="I129">
        <v>1</v>
      </c>
    </row>
    <row r="130" spans="8:9" x14ac:dyDescent="0.35">
      <c r="H130" s="38">
        <v>6.8750000000000006E-2</v>
      </c>
      <c r="I130">
        <v>1</v>
      </c>
    </row>
    <row r="131" spans="8:9" x14ac:dyDescent="0.35">
      <c r="H131" s="39">
        <v>3.8194444444444448E-2</v>
      </c>
      <c r="I131">
        <v>1</v>
      </c>
    </row>
    <row r="132" spans="8:9" x14ac:dyDescent="0.35">
      <c r="H132" s="38">
        <v>2.9861111111111113E-2</v>
      </c>
      <c r="I132">
        <v>1</v>
      </c>
    </row>
    <row r="133" spans="8:9" x14ac:dyDescent="0.35">
      <c r="H133" s="39">
        <v>2.013888888888889E-2</v>
      </c>
      <c r="I133">
        <v>1</v>
      </c>
    </row>
    <row r="134" spans="8:9" x14ac:dyDescent="0.35">
      <c r="H134" s="38">
        <v>9.7916666666666666E-2</v>
      </c>
      <c r="I134">
        <v>0</v>
      </c>
    </row>
    <row r="135" spans="8:9" x14ac:dyDescent="0.35">
      <c r="H135" s="39">
        <v>7.9861111111111105E-2</v>
      </c>
      <c r="I135">
        <v>1</v>
      </c>
    </row>
    <row r="136" spans="8:9" x14ac:dyDescent="0.35">
      <c r="H136" s="38">
        <v>8.1944444444444445E-2</v>
      </c>
      <c r="I136">
        <v>0</v>
      </c>
    </row>
    <row r="137" spans="8:9" x14ac:dyDescent="0.35">
      <c r="H137" s="39">
        <v>8.4027777777777785E-2</v>
      </c>
      <c r="I137">
        <v>1</v>
      </c>
    </row>
    <row r="138" spans="8:9" x14ac:dyDescent="0.35">
      <c r="H138" s="38">
        <v>9.5138888888888884E-2</v>
      </c>
      <c r="I138">
        <v>1</v>
      </c>
    </row>
    <row r="139" spans="8:9" x14ac:dyDescent="0.35">
      <c r="H139" s="39">
        <v>1.1111111111111112E-2</v>
      </c>
      <c r="I139">
        <v>1</v>
      </c>
    </row>
    <row r="140" spans="8:9" x14ac:dyDescent="0.35">
      <c r="H140" s="38">
        <v>3.5416666666666666E-2</v>
      </c>
      <c r="I140">
        <v>1</v>
      </c>
    </row>
    <row r="141" spans="8:9" x14ac:dyDescent="0.35">
      <c r="H141" s="39">
        <v>9.0972222222222218E-2</v>
      </c>
      <c r="I141">
        <v>1</v>
      </c>
    </row>
    <row r="142" spans="8:9" x14ac:dyDescent="0.35">
      <c r="H142" s="38">
        <v>6.805555555555555E-2</v>
      </c>
      <c r="I142">
        <v>1</v>
      </c>
    </row>
    <row r="143" spans="8:9" x14ac:dyDescent="0.35">
      <c r="H143" s="39">
        <v>8.9583333333333334E-2</v>
      </c>
      <c r="I143">
        <v>1</v>
      </c>
    </row>
    <row r="144" spans="8:9" x14ac:dyDescent="0.35">
      <c r="H144" s="38">
        <v>5.5555555555555558E-3</v>
      </c>
      <c r="I144">
        <v>1</v>
      </c>
    </row>
    <row r="145" spans="8:9" x14ac:dyDescent="0.35">
      <c r="H145" s="39">
        <v>9.4444444444444442E-2</v>
      </c>
      <c r="I145">
        <v>0</v>
      </c>
    </row>
    <row r="146" spans="8:9" x14ac:dyDescent="0.35">
      <c r="H146" s="38">
        <v>3.7499999999999999E-2</v>
      </c>
      <c r="I146">
        <v>1</v>
      </c>
    </row>
    <row r="147" spans="8:9" x14ac:dyDescent="0.35">
      <c r="H147" s="39">
        <v>6.7361111111111108E-2</v>
      </c>
      <c r="I147">
        <v>0</v>
      </c>
    </row>
    <row r="148" spans="8:9" x14ac:dyDescent="0.35">
      <c r="H148" s="38">
        <v>2.6388888888888889E-2</v>
      </c>
      <c r="I148">
        <v>1</v>
      </c>
    </row>
    <row r="149" spans="8:9" x14ac:dyDescent="0.35">
      <c r="H149" s="39">
        <v>2.2222222222222223E-2</v>
      </c>
      <c r="I149">
        <v>1</v>
      </c>
    </row>
    <row r="150" spans="8:9" x14ac:dyDescent="0.35">
      <c r="H150" s="38">
        <v>2.2916666666666665E-2</v>
      </c>
      <c r="I150">
        <v>1</v>
      </c>
    </row>
    <row r="151" spans="8:9" x14ac:dyDescent="0.35">
      <c r="H151" s="39">
        <v>9.583333333333334E-2</v>
      </c>
      <c r="I151">
        <v>0</v>
      </c>
    </row>
    <row r="152" spans="8:9" x14ac:dyDescent="0.35">
      <c r="H152" s="38">
        <v>5.8333333333333334E-2</v>
      </c>
      <c r="I152">
        <v>1</v>
      </c>
    </row>
    <row r="153" spans="8:9" x14ac:dyDescent="0.35">
      <c r="H153" s="39">
        <v>9.6527777777777782E-2</v>
      </c>
      <c r="I153">
        <v>1</v>
      </c>
    </row>
    <row r="154" spans="8:9" x14ac:dyDescent="0.35">
      <c r="H154" s="38">
        <v>2.0833333333333332E-2</v>
      </c>
      <c r="I154">
        <v>1</v>
      </c>
    </row>
    <row r="155" spans="8:9" x14ac:dyDescent="0.35">
      <c r="H155" s="39">
        <v>0.11944444444444445</v>
      </c>
      <c r="I155">
        <v>0</v>
      </c>
    </row>
    <row r="156" spans="8:9" x14ac:dyDescent="0.35">
      <c r="H156" s="38">
        <v>5.5555555555555552E-2</v>
      </c>
      <c r="I156">
        <v>1</v>
      </c>
    </row>
    <row r="157" spans="8:9" x14ac:dyDescent="0.35">
      <c r="H157" s="39">
        <v>1.7361111111111112E-2</v>
      </c>
      <c r="I157">
        <v>1</v>
      </c>
    </row>
    <row r="158" spans="8:9" x14ac:dyDescent="0.35">
      <c r="H158" s="38">
        <v>8.3333333333333329E-2</v>
      </c>
      <c r="I158">
        <v>1</v>
      </c>
    </row>
    <row r="159" spans="8:9" x14ac:dyDescent="0.35">
      <c r="H159" s="39">
        <v>7.0833333333333331E-2</v>
      </c>
      <c r="I159">
        <v>0</v>
      </c>
    </row>
    <row r="160" spans="8:9" x14ac:dyDescent="0.35">
      <c r="H160" s="38">
        <v>7.4305555555555555E-2</v>
      </c>
      <c r="I160">
        <v>1</v>
      </c>
    </row>
    <row r="161" spans="8:9" x14ac:dyDescent="0.35">
      <c r="H161" s="39">
        <v>3.3333333333333333E-2</v>
      </c>
      <c r="I161">
        <v>1</v>
      </c>
    </row>
    <row r="162" spans="8:9" x14ac:dyDescent="0.35">
      <c r="H162" s="38">
        <v>6.1111111111111109E-2</v>
      </c>
      <c r="I162">
        <v>1</v>
      </c>
    </row>
    <row r="163" spans="8:9" x14ac:dyDescent="0.35">
      <c r="H163" s="39">
        <v>9.0277777777777769E-3</v>
      </c>
      <c r="I163">
        <v>1</v>
      </c>
    </row>
    <row r="164" spans="8:9" x14ac:dyDescent="0.35">
      <c r="H164" s="38">
        <v>2.8472222222222222E-2</v>
      </c>
      <c r="I164">
        <v>1</v>
      </c>
    </row>
    <row r="165" spans="8:9" x14ac:dyDescent="0.35">
      <c r="H165" s="39">
        <v>6.7361111111111108E-2</v>
      </c>
      <c r="I165">
        <v>0</v>
      </c>
    </row>
    <row r="166" spans="8:9" x14ac:dyDescent="0.35">
      <c r="H166" s="38">
        <v>1.8055555555555554E-2</v>
      </c>
      <c r="I166">
        <v>1</v>
      </c>
    </row>
    <row r="167" spans="8:9" x14ac:dyDescent="0.35">
      <c r="H167" s="39">
        <v>8.1944444444444445E-2</v>
      </c>
      <c r="I167">
        <v>1</v>
      </c>
    </row>
    <row r="168" spans="8:9" x14ac:dyDescent="0.35">
      <c r="H168" s="38">
        <v>1.9444444444444445E-2</v>
      </c>
      <c r="I168">
        <v>1</v>
      </c>
    </row>
    <row r="169" spans="8:9" x14ac:dyDescent="0.35">
      <c r="H169" s="39">
        <v>4.8611111111111112E-2</v>
      </c>
      <c r="I169">
        <v>1</v>
      </c>
    </row>
    <row r="170" spans="8:9" x14ac:dyDescent="0.35">
      <c r="H170" s="38">
        <v>1.1111111111111112E-2</v>
      </c>
      <c r="I170">
        <v>1</v>
      </c>
    </row>
    <row r="171" spans="8:9" x14ac:dyDescent="0.35">
      <c r="H171" s="39">
        <v>0.10416666666666667</v>
      </c>
      <c r="I171">
        <v>1</v>
      </c>
    </row>
    <row r="172" spans="8:9" x14ac:dyDescent="0.35">
      <c r="H172" s="38">
        <v>7.3611111111111113E-2</v>
      </c>
      <c r="I172">
        <v>0</v>
      </c>
    </row>
    <row r="173" spans="8:9" x14ac:dyDescent="0.35">
      <c r="H173" s="39">
        <v>3.2638888888888891E-2</v>
      </c>
      <c r="I173">
        <v>1</v>
      </c>
    </row>
    <row r="174" spans="8:9" x14ac:dyDescent="0.35">
      <c r="H174" s="38">
        <v>2.2916666666666665E-2</v>
      </c>
      <c r="I174">
        <v>1</v>
      </c>
    </row>
    <row r="175" spans="8:9" x14ac:dyDescent="0.35">
      <c r="H175" s="39">
        <v>0.11041666666666666</v>
      </c>
      <c r="I175">
        <v>0</v>
      </c>
    </row>
    <row r="176" spans="8:9" x14ac:dyDescent="0.35">
      <c r="H176" s="38">
        <v>9.6527777777777782E-2</v>
      </c>
      <c r="I176">
        <v>1</v>
      </c>
    </row>
    <row r="177" spans="8:9" x14ac:dyDescent="0.35">
      <c r="H177" s="39">
        <v>7.3611111111111113E-2</v>
      </c>
      <c r="I177">
        <v>1</v>
      </c>
    </row>
    <row r="178" spans="8:9" x14ac:dyDescent="0.35">
      <c r="H178" s="38">
        <v>1.3194444444444444E-2</v>
      </c>
      <c r="I178">
        <v>1</v>
      </c>
    </row>
    <row r="179" spans="8:9" x14ac:dyDescent="0.35">
      <c r="H179" s="39">
        <v>8.3333333333333332E-3</v>
      </c>
      <c r="I179">
        <v>1</v>
      </c>
    </row>
    <row r="180" spans="8:9" x14ac:dyDescent="0.35">
      <c r="H180" s="38">
        <v>6.1805555555555558E-2</v>
      </c>
      <c r="I180">
        <v>1</v>
      </c>
    </row>
    <row r="181" spans="8:9" x14ac:dyDescent="0.35">
      <c r="H181" s="39">
        <v>5.6944444444444443E-2</v>
      </c>
      <c r="I181">
        <v>1</v>
      </c>
    </row>
    <row r="182" spans="8:9" x14ac:dyDescent="0.35">
      <c r="H182" s="38">
        <v>6.9444444444444448E-2</v>
      </c>
      <c r="I182">
        <v>1</v>
      </c>
    </row>
    <row r="183" spans="8:9" x14ac:dyDescent="0.35">
      <c r="H183" s="39">
        <v>4.1666666666666666E-3</v>
      </c>
      <c r="I183">
        <v>1</v>
      </c>
    </row>
    <row r="184" spans="8:9" x14ac:dyDescent="0.35">
      <c r="H184" s="38">
        <v>0.10416666666666667</v>
      </c>
      <c r="I184">
        <v>1</v>
      </c>
    </row>
    <row r="185" spans="8:9" x14ac:dyDescent="0.35">
      <c r="H185" s="39">
        <v>9.375E-2</v>
      </c>
      <c r="I185">
        <v>0</v>
      </c>
    </row>
    <row r="186" spans="8:9" x14ac:dyDescent="0.35">
      <c r="H186" s="38">
        <v>5.1388888888888887E-2</v>
      </c>
      <c r="I186">
        <v>1</v>
      </c>
    </row>
    <row r="187" spans="8:9" x14ac:dyDescent="0.35">
      <c r="H187" s="39">
        <v>4.6527777777777779E-2</v>
      </c>
      <c r="I187">
        <v>1</v>
      </c>
    </row>
    <row r="188" spans="8:9" x14ac:dyDescent="0.35">
      <c r="H188" s="38">
        <v>3.9583333333333331E-2</v>
      </c>
      <c r="I188">
        <v>1</v>
      </c>
    </row>
    <row r="189" spans="8:9" x14ac:dyDescent="0.35">
      <c r="H189" s="39">
        <v>1.7361111111111112E-2</v>
      </c>
      <c r="I189">
        <v>1</v>
      </c>
    </row>
    <row r="190" spans="8:9" x14ac:dyDescent="0.35">
      <c r="H190" s="38">
        <v>4.9305555555555554E-2</v>
      </c>
      <c r="I190">
        <v>1</v>
      </c>
    </row>
    <row r="191" spans="8:9" x14ac:dyDescent="0.35">
      <c r="H191" s="39">
        <v>7.2916666666666671E-2</v>
      </c>
      <c r="I191">
        <v>1</v>
      </c>
    </row>
    <row r="192" spans="8:9" x14ac:dyDescent="0.35">
      <c r="H192" s="38">
        <v>3.888888888888889E-2</v>
      </c>
      <c r="I192">
        <v>1</v>
      </c>
    </row>
    <row r="193" spans="8:9" x14ac:dyDescent="0.35">
      <c r="H193" s="39">
        <v>1.5277777777777777E-2</v>
      </c>
      <c r="I193">
        <v>1</v>
      </c>
    </row>
    <row r="194" spans="8:9" x14ac:dyDescent="0.35">
      <c r="H194" s="38">
        <v>5.2777777777777778E-2</v>
      </c>
      <c r="I194">
        <v>1</v>
      </c>
    </row>
    <row r="195" spans="8:9" x14ac:dyDescent="0.35">
      <c r="H195" s="39">
        <v>4.8611111111111112E-3</v>
      </c>
      <c r="I195">
        <v>1</v>
      </c>
    </row>
    <row r="196" spans="8:9" x14ac:dyDescent="0.35">
      <c r="H196" s="38">
        <v>7.6388888888888895E-2</v>
      </c>
      <c r="I196">
        <v>1</v>
      </c>
    </row>
    <row r="197" spans="8:9" x14ac:dyDescent="0.35">
      <c r="H197" s="39">
        <v>5.0694444444444445E-2</v>
      </c>
      <c r="I197">
        <v>1</v>
      </c>
    </row>
    <row r="198" spans="8:9" x14ac:dyDescent="0.35">
      <c r="H198" s="38">
        <v>3.5416666666666666E-2</v>
      </c>
      <c r="I198">
        <v>1</v>
      </c>
    </row>
    <row r="199" spans="8:9" x14ac:dyDescent="0.35">
      <c r="H199" s="39">
        <v>1.8749999999999999E-2</v>
      </c>
      <c r="I199">
        <v>1</v>
      </c>
    </row>
    <row r="200" spans="8:9" x14ac:dyDescent="0.35">
      <c r="H200" s="38">
        <v>4.6527777777777779E-2</v>
      </c>
      <c r="I200">
        <v>1</v>
      </c>
    </row>
    <row r="201" spans="8:9" x14ac:dyDescent="0.35">
      <c r="H201" s="39">
        <v>8.3333333333333332E-3</v>
      </c>
      <c r="I201">
        <v>1</v>
      </c>
    </row>
    <row r="202" spans="8:9" x14ac:dyDescent="0.35">
      <c r="H202" s="38">
        <v>3.2638888888888891E-2</v>
      </c>
      <c r="I202">
        <v>1</v>
      </c>
    </row>
    <row r="203" spans="8:9" x14ac:dyDescent="0.35">
      <c r="H203" s="39">
        <v>3.3333333333333333E-2</v>
      </c>
      <c r="I203">
        <v>1</v>
      </c>
    </row>
    <row r="204" spans="8:9" x14ac:dyDescent="0.35">
      <c r="H204" s="38">
        <v>9.8611111111111108E-2</v>
      </c>
      <c r="I204">
        <v>0</v>
      </c>
    </row>
    <row r="205" spans="8:9" x14ac:dyDescent="0.35">
      <c r="H205" s="39">
        <v>0.10138888888888889</v>
      </c>
      <c r="I205">
        <v>1</v>
      </c>
    </row>
    <row r="206" spans="8:9" x14ac:dyDescent="0.35">
      <c r="H206" s="38">
        <v>1.8055555555555554E-2</v>
      </c>
      <c r="I206">
        <v>1</v>
      </c>
    </row>
    <row r="207" spans="8:9" x14ac:dyDescent="0.35">
      <c r="H207" s="39">
        <v>0.11180555555555556</v>
      </c>
      <c r="I207">
        <v>1</v>
      </c>
    </row>
    <row r="208" spans="8:9" x14ac:dyDescent="0.35">
      <c r="H208" s="38">
        <v>3.8194444444444448E-2</v>
      </c>
      <c r="I208">
        <v>1</v>
      </c>
    </row>
    <row r="209" spans="8:9" x14ac:dyDescent="0.35">
      <c r="H209" s="39">
        <v>7.6388888888888886E-3</v>
      </c>
      <c r="I209">
        <v>1</v>
      </c>
    </row>
    <row r="210" spans="8:9" x14ac:dyDescent="0.35">
      <c r="H210" s="38">
        <v>0.11527777777777778</v>
      </c>
      <c r="I210">
        <v>1</v>
      </c>
    </row>
    <row r="211" spans="8:9" x14ac:dyDescent="0.35">
      <c r="H211" s="39">
        <v>2.013888888888889E-2</v>
      </c>
      <c r="I211">
        <v>1</v>
      </c>
    </row>
    <row r="212" spans="8:9" x14ac:dyDescent="0.35">
      <c r="H212" s="38">
        <v>2.7777777777777776E-2</v>
      </c>
      <c r="I212">
        <v>1</v>
      </c>
    </row>
    <row r="213" spans="8:9" x14ac:dyDescent="0.35">
      <c r="H213" s="39">
        <v>6.458333333333334E-2</v>
      </c>
      <c r="I213">
        <v>1</v>
      </c>
    </row>
    <row r="214" spans="8:9" x14ac:dyDescent="0.35">
      <c r="H214" s="38">
        <v>8.7499999999999994E-2</v>
      </c>
      <c r="I214">
        <v>1</v>
      </c>
    </row>
    <row r="215" spans="8:9" x14ac:dyDescent="0.35">
      <c r="H215" s="39">
        <v>7.2916666666666671E-2</v>
      </c>
      <c r="I215">
        <v>0</v>
      </c>
    </row>
    <row r="216" spans="8:9" x14ac:dyDescent="0.35">
      <c r="H216" s="38">
        <v>8.1250000000000003E-2</v>
      </c>
      <c r="I216">
        <v>1</v>
      </c>
    </row>
    <row r="217" spans="8:9" x14ac:dyDescent="0.35">
      <c r="H217" s="39">
        <v>7.0833333333333331E-2</v>
      </c>
      <c r="I217">
        <v>1</v>
      </c>
    </row>
    <row r="218" spans="8:9" x14ac:dyDescent="0.35">
      <c r="H218" s="38">
        <v>6.0416666666666667E-2</v>
      </c>
      <c r="I218">
        <v>1</v>
      </c>
    </row>
    <row r="219" spans="8:9" x14ac:dyDescent="0.35">
      <c r="H219" s="39">
        <v>1.8055555555555554E-2</v>
      </c>
      <c r="I219">
        <v>1</v>
      </c>
    </row>
    <row r="220" spans="8:9" x14ac:dyDescent="0.35">
      <c r="H220" s="38">
        <v>0.11874999999999999</v>
      </c>
      <c r="I220">
        <v>1</v>
      </c>
    </row>
    <row r="221" spans="8:9" x14ac:dyDescent="0.35">
      <c r="H221" s="39">
        <v>4.7222222222222221E-2</v>
      </c>
      <c r="I221">
        <v>1</v>
      </c>
    </row>
    <row r="222" spans="8:9" x14ac:dyDescent="0.35">
      <c r="H222" s="38">
        <v>3.5416666666666666E-2</v>
      </c>
      <c r="I222">
        <v>1</v>
      </c>
    </row>
    <row r="223" spans="8:9" x14ac:dyDescent="0.35">
      <c r="H223" s="39">
        <v>0.12222222222222222</v>
      </c>
      <c r="I223">
        <v>1</v>
      </c>
    </row>
    <row r="224" spans="8:9" x14ac:dyDescent="0.35">
      <c r="H224" s="38">
        <v>0.05</v>
      </c>
      <c r="I224">
        <v>1</v>
      </c>
    </row>
    <row r="225" spans="8:9" x14ac:dyDescent="0.35">
      <c r="H225" s="39">
        <v>2.2916666666666665E-2</v>
      </c>
      <c r="I225">
        <v>1</v>
      </c>
    </row>
    <row r="226" spans="8:9" x14ac:dyDescent="0.35">
      <c r="H226" s="38">
        <v>9.8611111111111108E-2</v>
      </c>
      <c r="I226">
        <v>1</v>
      </c>
    </row>
    <row r="227" spans="8:9" x14ac:dyDescent="0.35">
      <c r="H227" s="39">
        <v>4.6527777777777779E-2</v>
      </c>
      <c r="I227">
        <v>1</v>
      </c>
    </row>
    <row r="228" spans="8:9" x14ac:dyDescent="0.35">
      <c r="H228" s="38">
        <v>4.027777777777778E-2</v>
      </c>
      <c r="I228">
        <v>1</v>
      </c>
    </row>
    <row r="229" spans="8:9" x14ac:dyDescent="0.35">
      <c r="H229" s="39">
        <v>0.10833333333333334</v>
      </c>
      <c r="I229">
        <v>0</v>
      </c>
    </row>
    <row r="230" spans="8:9" x14ac:dyDescent="0.35">
      <c r="H230" s="38">
        <v>5.9027777777777776E-2</v>
      </c>
      <c r="I230">
        <v>0</v>
      </c>
    </row>
    <row r="231" spans="8:9" x14ac:dyDescent="0.35">
      <c r="H231" s="39">
        <v>1.4583333333333334E-2</v>
      </c>
      <c r="I231">
        <v>1</v>
      </c>
    </row>
    <row r="232" spans="8:9" x14ac:dyDescent="0.35">
      <c r="H232" s="38">
        <v>5.9722222222222225E-2</v>
      </c>
      <c r="I232">
        <v>1</v>
      </c>
    </row>
    <row r="233" spans="8:9" x14ac:dyDescent="0.35">
      <c r="H233" s="39">
        <v>4.027777777777778E-2</v>
      </c>
      <c r="I233">
        <v>1</v>
      </c>
    </row>
    <row r="234" spans="8:9" x14ac:dyDescent="0.35">
      <c r="H234" s="38">
        <v>7.7083333333333337E-2</v>
      </c>
      <c r="I234">
        <v>0</v>
      </c>
    </row>
    <row r="235" spans="8:9" x14ac:dyDescent="0.35">
      <c r="H235" s="39">
        <v>6.9444444444444448E-2</v>
      </c>
      <c r="I235">
        <v>1</v>
      </c>
    </row>
    <row r="236" spans="8:9" x14ac:dyDescent="0.35">
      <c r="H236" s="38">
        <v>0.11874999999999999</v>
      </c>
      <c r="I236">
        <v>0</v>
      </c>
    </row>
    <row r="237" spans="8:9" x14ac:dyDescent="0.35">
      <c r="H237" s="39">
        <v>0.10972222222222222</v>
      </c>
      <c r="I237">
        <v>0</v>
      </c>
    </row>
    <row r="238" spans="8:9" x14ac:dyDescent="0.35">
      <c r="H238" s="38">
        <v>9.375E-2</v>
      </c>
      <c r="I238">
        <v>0</v>
      </c>
    </row>
    <row r="239" spans="8:9" x14ac:dyDescent="0.35">
      <c r="H239" s="39">
        <v>0.11388888888888889</v>
      </c>
      <c r="I239">
        <v>0</v>
      </c>
    </row>
    <row r="240" spans="8:9" x14ac:dyDescent="0.35">
      <c r="H240" s="38">
        <v>6.9444444444444448E-2</v>
      </c>
      <c r="I240">
        <v>1</v>
      </c>
    </row>
    <row r="241" spans="8:9" x14ac:dyDescent="0.35">
      <c r="H241" s="39">
        <v>2.6388888888888889E-2</v>
      </c>
      <c r="I241">
        <v>1</v>
      </c>
    </row>
    <row r="242" spans="8:9" x14ac:dyDescent="0.35">
      <c r="H242" s="38">
        <v>3.1944444444444442E-2</v>
      </c>
      <c r="I242">
        <v>1</v>
      </c>
    </row>
    <row r="243" spans="8:9" x14ac:dyDescent="0.35">
      <c r="H243" s="39">
        <v>8.3333333333333329E-2</v>
      </c>
      <c r="I243">
        <v>1</v>
      </c>
    </row>
    <row r="244" spans="8:9" x14ac:dyDescent="0.35">
      <c r="H244" s="38">
        <v>9.0277777777777769E-3</v>
      </c>
      <c r="I244">
        <v>1</v>
      </c>
    </row>
    <row r="245" spans="8:9" x14ac:dyDescent="0.35">
      <c r="H245" s="39">
        <v>3.1944444444444442E-2</v>
      </c>
      <c r="I245">
        <v>1</v>
      </c>
    </row>
    <row r="246" spans="8:9" x14ac:dyDescent="0.35">
      <c r="H246" s="38">
        <v>1.5972222222222221E-2</v>
      </c>
      <c r="I246">
        <v>1</v>
      </c>
    </row>
    <row r="247" spans="8:9" x14ac:dyDescent="0.35">
      <c r="H247" s="39">
        <v>9.0277777777777769E-3</v>
      </c>
      <c r="I247">
        <v>1</v>
      </c>
    </row>
    <row r="248" spans="8:9" x14ac:dyDescent="0.35">
      <c r="H248" s="38">
        <v>7.4999999999999997E-2</v>
      </c>
      <c r="I248">
        <v>0</v>
      </c>
    </row>
    <row r="249" spans="8:9" x14ac:dyDescent="0.35">
      <c r="H249" s="39">
        <v>5.9027777777777776E-2</v>
      </c>
      <c r="I249">
        <v>1</v>
      </c>
    </row>
    <row r="250" spans="8:9" x14ac:dyDescent="0.35">
      <c r="H250" s="38">
        <v>3.6805555555555557E-2</v>
      </c>
      <c r="I250">
        <v>1</v>
      </c>
    </row>
    <row r="251" spans="8:9" x14ac:dyDescent="0.35">
      <c r="H251" s="39">
        <v>1.3888888888888888E-2</v>
      </c>
      <c r="I251">
        <v>1</v>
      </c>
    </row>
    <row r="252" spans="8:9" x14ac:dyDescent="0.35">
      <c r="H252" s="38">
        <v>6.5277777777777782E-2</v>
      </c>
      <c r="I252">
        <v>0</v>
      </c>
    </row>
    <row r="253" spans="8:9" x14ac:dyDescent="0.35">
      <c r="H253" s="39">
        <v>0.10138888888888889</v>
      </c>
      <c r="I253">
        <v>1</v>
      </c>
    </row>
    <row r="254" spans="8:9" x14ac:dyDescent="0.35">
      <c r="H254" s="38">
        <v>8.2638888888888887E-2</v>
      </c>
      <c r="I254">
        <v>1</v>
      </c>
    </row>
    <row r="255" spans="8:9" x14ac:dyDescent="0.35">
      <c r="H255" s="39">
        <v>2.4305555555555556E-2</v>
      </c>
      <c r="I255">
        <v>1</v>
      </c>
    </row>
    <row r="256" spans="8:9" x14ac:dyDescent="0.35">
      <c r="H256" s="38">
        <v>8.1250000000000003E-2</v>
      </c>
      <c r="I256">
        <v>0</v>
      </c>
    </row>
    <row r="257" spans="8:9" x14ac:dyDescent="0.35">
      <c r="H257" s="39">
        <v>6.3194444444444442E-2</v>
      </c>
      <c r="I257">
        <v>1</v>
      </c>
    </row>
    <row r="258" spans="8:9" x14ac:dyDescent="0.35">
      <c r="H258" s="38">
        <v>0.10416666666666667</v>
      </c>
      <c r="I258">
        <v>0</v>
      </c>
    </row>
    <row r="259" spans="8:9" x14ac:dyDescent="0.35">
      <c r="H259" s="39">
        <v>9.6527777777777782E-2</v>
      </c>
      <c r="I259">
        <v>0</v>
      </c>
    </row>
    <row r="260" spans="8:9" x14ac:dyDescent="0.35">
      <c r="H260" s="38">
        <v>2.1527777777777778E-2</v>
      </c>
      <c r="I260">
        <v>1</v>
      </c>
    </row>
    <row r="261" spans="8:9" x14ac:dyDescent="0.35">
      <c r="H261" s="39">
        <v>6.8750000000000006E-2</v>
      </c>
      <c r="I261">
        <v>1</v>
      </c>
    </row>
    <row r="262" spans="8:9" x14ac:dyDescent="0.35">
      <c r="H262" s="38">
        <v>1.7361111111111112E-2</v>
      </c>
      <c r="I262">
        <v>1</v>
      </c>
    </row>
    <row r="263" spans="8:9" x14ac:dyDescent="0.35">
      <c r="H263" s="39">
        <v>7.013888888888889E-2</v>
      </c>
      <c r="I263">
        <v>0</v>
      </c>
    </row>
    <row r="264" spans="8:9" x14ac:dyDescent="0.35">
      <c r="H264" s="38">
        <v>2.5694444444444443E-2</v>
      </c>
      <c r="I264">
        <v>1</v>
      </c>
    </row>
    <row r="265" spans="8:9" x14ac:dyDescent="0.35">
      <c r="H265" s="39">
        <v>3.125E-2</v>
      </c>
      <c r="I265">
        <v>1</v>
      </c>
    </row>
    <row r="266" spans="8:9" x14ac:dyDescent="0.35">
      <c r="H266" s="38">
        <v>5.0694444444444445E-2</v>
      </c>
      <c r="I266">
        <v>1</v>
      </c>
    </row>
    <row r="267" spans="8:9" x14ac:dyDescent="0.35">
      <c r="H267" s="39">
        <v>8.9583333333333334E-2</v>
      </c>
      <c r="I267">
        <v>1</v>
      </c>
    </row>
    <row r="268" spans="8:9" x14ac:dyDescent="0.35">
      <c r="H268" s="38">
        <v>7.6388888888888886E-3</v>
      </c>
      <c r="I268">
        <v>1</v>
      </c>
    </row>
    <row r="269" spans="8:9" x14ac:dyDescent="0.35">
      <c r="H269" s="39">
        <v>6.8750000000000006E-2</v>
      </c>
      <c r="I269">
        <v>0</v>
      </c>
    </row>
    <row r="270" spans="8:9" x14ac:dyDescent="0.35">
      <c r="H270" s="38">
        <v>1.5277777777777777E-2</v>
      </c>
      <c r="I270">
        <v>1</v>
      </c>
    </row>
    <row r="271" spans="8:9" x14ac:dyDescent="0.35">
      <c r="H271" s="39">
        <v>6.1805555555555558E-2</v>
      </c>
      <c r="I271">
        <v>1</v>
      </c>
    </row>
    <row r="272" spans="8:9" x14ac:dyDescent="0.35">
      <c r="H272" s="38">
        <v>8.0555555555555561E-2</v>
      </c>
      <c r="I272">
        <v>1</v>
      </c>
    </row>
    <row r="273" spans="8:9" x14ac:dyDescent="0.35">
      <c r="H273" s="39">
        <v>0.10138888888888889</v>
      </c>
      <c r="I273">
        <v>0</v>
      </c>
    </row>
    <row r="274" spans="8:9" x14ac:dyDescent="0.35">
      <c r="H274" s="38">
        <v>4.0972222222222222E-2</v>
      </c>
      <c r="I274">
        <v>1</v>
      </c>
    </row>
    <row r="275" spans="8:9" x14ac:dyDescent="0.35">
      <c r="H275" s="39">
        <v>8.3333333333333329E-2</v>
      </c>
      <c r="I275">
        <v>1</v>
      </c>
    </row>
    <row r="276" spans="8:9" x14ac:dyDescent="0.35">
      <c r="H276" s="38">
        <v>7.5694444444444439E-2</v>
      </c>
      <c r="I276">
        <v>1</v>
      </c>
    </row>
    <row r="277" spans="8:9" x14ac:dyDescent="0.35">
      <c r="H277" s="39">
        <v>2.013888888888889E-2</v>
      </c>
      <c r="I277">
        <v>1</v>
      </c>
    </row>
    <row r="278" spans="8:9" x14ac:dyDescent="0.35">
      <c r="H278" s="38">
        <v>8.4722222222222227E-2</v>
      </c>
      <c r="I278">
        <v>1</v>
      </c>
    </row>
    <row r="279" spans="8:9" x14ac:dyDescent="0.35">
      <c r="H279" s="39">
        <v>5.8333333333333334E-2</v>
      </c>
      <c r="I279">
        <v>1</v>
      </c>
    </row>
    <row r="280" spans="8:9" x14ac:dyDescent="0.35">
      <c r="H280" s="38">
        <v>3.8194444444444448E-2</v>
      </c>
      <c r="I280">
        <v>1</v>
      </c>
    </row>
    <row r="281" spans="8:9" x14ac:dyDescent="0.35">
      <c r="H281" s="39">
        <v>9.7916666666666666E-2</v>
      </c>
      <c r="I281">
        <v>1</v>
      </c>
    </row>
    <row r="282" spans="8:9" x14ac:dyDescent="0.35">
      <c r="H282" s="38">
        <v>2.5694444444444443E-2</v>
      </c>
      <c r="I282">
        <v>1</v>
      </c>
    </row>
    <row r="283" spans="8:9" x14ac:dyDescent="0.35">
      <c r="H283" s="39">
        <v>1.1111111111111112E-2</v>
      </c>
      <c r="I283">
        <v>1</v>
      </c>
    </row>
    <row r="284" spans="8:9" x14ac:dyDescent="0.35">
      <c r="H284" s="38">
        <v>1.9444444444444445E-2</v>
      </c>
      <c r="I284">
        <v>1</v>
      </c>
    </row>
    <row r="285" spans="8:9" x14ac:dyDescent="0.35">
      <c r="H285" s="39">
        <v>7.2916666666666671E-2</v>
      </c>
      <c r="I285">
        <v>1</v>
      </c>
    </row>
    <row r="286" spans="8:9" x14ac:dyDescent="0.35">
      <c r="H286" s="38">
        <v>7.6388888888888886E-3</v>
      </c>
      <c r="I286">
        <v>1</v>
      </c>
    </row>
    <row r="287" spans="8:9" x14ac:dyDescent="0.35">
      <c r="H287" s="39">
        <v>3.4027777777777775E-2</v>
      </c>
      <c r="I287">
        <v>1</v>
      </c>
    </row>
    <row r="288" spans="8:9" x14ac:dyDescent="0.35">
      <c r="H288" s="38">
        <v>3.8194444444444448E-2</v>
      </c>
      <c r="I288">
        <v>1</v>
      </c>
    </row>
    <row r="289" spans="8:9" x14ac:dyDescent="0.35">
      <c r="H289" s="39">
        <v>3.3333333333333333E-2</v>
      </c>
      <c r="I289">
        <v>1</v>
      </c>
    </row>
    <row r="290" spans="8:9" x14ac:dyDescent="0.35">
      <c r="H290" s="38">
        <v>0.10347222222222222</v>
      </c>
      <c r="I290">
        <v>1</v>
      </c>
    </row>
    <row r="291" spans="8:9" x14ac:dyDescent="0.35">
      <c r="H291" s="39">
        <v>8.1250000000000003E-2</v>
      </c>
      <c r="I291">
        <v>0</v>
      </c>
    </row>
    <row r="292" spans="8:9" x14ac:dyDescent="0.35">
      <c r="H292" s="38">
        <v>9.375E-2</v>
      </c>
      <c r="I292">
        <v>1</v>
      </c>
    </row>
    <row r="293" spans="8:9" x14ac:dyDescent="0.35">
      <c r="H293" s="39">
        <v>7.3611111111111113E-2</v>
      </c>
      <c r="I293">
        <v>0</v>
      </c>
    </row>
    <row r="294" spans="8:9" x14ac:dyDescent="0.35">
      <c r="H294" s="38">
        <v>6.6666666666666666E-2</v>
      </c>
      <c r="I294">
        <v>1</v>
      </c>
    </row>
    <row r="295" spans="8:9" x14ac:dyDescent="0.35">
      <c r="H295" s="39">
        <v>5.7638888888888892E-2</v>
      </c>
      <c r="I295">
        <v>1</v>
      </c>
    </row>
    <row r="296" spans="8:9" x14ac:dyDescent="0.35">
      <c r="H296" s="38">
        <v>7.013888888888889E-2</v>
      </c>
      <c r="I296">
        <v>0</v>
      </c>
    </row>
    <row r="297" spans="8:9" x14ac:dyDescent="0.35">
      <c r="H297" s="39">
        <v>1.8055555555555554E-2</v>
      </c>
      <c r="I297">
        <v>1</v>
      </c>
    </row>
    <row r="298" spans="8:9" x14ac:dyDescent="0.35">
      <c r="H298" s="38">
        <v>3.8194444444444448E-2</v>
      </c>
      <c r="I298">
        <v>1</v>
      </c>
    </row>
    <row r="299" spans="8:9" x14ac:dyDescent="0.35">
      <c r="H299" s="39">
        <v>5.7638888888888892E-2</v>
      </c>
      <c r="I299">
        <v>1</v>
      </c>
    </row>
    <row r="300" spans="8:9" x14ac:dyDescent="0.35">
      <c r="H300" s="38">
        <v>4.6527777777777779E-2</v>
      </c>
      <c r="I300">
        <v>1</v>
      </c>
    </row>
    <row r="301" spans="8:9" x14ac:dyDescent="0.35">
      <c r="H301" s="39">
        <v>5.2083333333333336E-2</v>
      </c>
      <c r="I301">
        <v>1</v>
      </c>
    </row>
    <row r="302" spans="8:9" x14ac:dyDescent="0.35">
      <c r="H302" s="38">
        <v>8.4722222222222227E-2</v>
      </c>
      <c r="I302">
        <v>1</v>
      </c>
    </row>
    <row r="303" spans="8:9" x14ac:dyDescent="0.35">
      <c r="H303" s="39">
        <v>5.9027777777777776E-2</v>
      </c>
      <c r="I303">
        <v>1</v>
      </c>
    </row>
    <row r="304" spans="8:9" x14ac:dyDescent="0.35">
      <c r="H304" s="38">
        <v>2.013888888888889E-2</v>
      </c>
      <c r="I304">
        <v>1</v>
      </c>
    </row>
    <row r="305" spans="8:9" x14ac:dyDescent="0.35">
      <c r="H305" s="39">
        <v>4.2361111111111113E-2</v>
      </c>
      <c r="I305">
        <v>1</v>
      </c>
    </row>
    <row r="306" spans="8:9" x14ac:dyDescent="0.35">
      <c r="H306" s="38">
        <v>9.8611111111111108E-2</v>
      </c>
      <c r="I306">
        <v>0</v>
      </c>
    </row>
    <row r="307" spans="8:9" x14ac:dyDescent="0.35">
      <c r="H307" s="39">
        <v>5.9722222222222225E-2</v>
      </c>
      <c r="I307">
        <v>1</v>
      </c>
    </row>
    <row r="308" spans="8:9" x14ac:dyDescent="0.35">
      <c r="H308" s="38">
        <v>6.2500000000000003E-3</v>
      </c>
      <c r="I308">
        <v>1</v>
      </c>
    </row>
    <row r="309" spans="8:9" x14ac:dyDescent="0.35">
      <c r="H309" s="39">
        <v>7.9166666666666663E-2</v>
      </c>
      <c r="I309">
        <v>1</v>
      </c>
    </row>
    <row r="310" spans="8:9" x14ac:dyDescent="0.35">
      <c r="H310" s="38">
        <v>4.1666666666666666E-3</v>
      </c>
      <c r="I310">
        <v>1</v>
      </c>
    </row>
    <row r="311" spans="8:9" x14ac:dyDescent="0.35">
      <c r="H311" s="39">
        <v>0.13541666666666666</v>
      </c>
      <c r="I311">
        <v>0</v>
      </c>
    </row>
    <row r="312" spans="8:9" x14ac:dyDescent="0.35">
      <c r="H312" s="38">
        <v>8.3333333333333332E-3</v>
      </c>
      <c r="I312">
        <v>1</v>
      </c>
    </row>
    <row r="313" spans="8:9" x14ac:dyDescent="0.35">
      <c r="H313" s="39">
        <v>1.7361111111111112E-2</v>
      </c>
      <c r="I313">
        <v>1</v>
      </c>
    </row>
    <row r="314" spans="8:9" x14ac:dyDescent="0.35">
      <c r="H314" s="38">
        <v>8.4027777777777785E-2</v>
      </c>
      <c r="I314">
        <v>0</v>
      </c>
    </row>
    <row r="315" spans="8:9" x14ac:dyDescent="0.35">
      <c r="H315" s="39">
        <v>2.6388888888888889E-2</v>
      </c>
      <c r="I315">
        <v>1</v>
      </c>
    </row>
    <row r="316" spans="8:9" x14ac:dyDescent="0.35">
      <c r="H316" s="38">
        <v>4.7222222222222221E-2</v>
      </c>
      <c r="I316">
        <v>1</v>
      </c>
    </row>
    <row r="317" spans="8:9" x14ac:dyDescent="0.35">
      <c r="H317" s="39">
        <v>3.9583333333333331E-2</v>
      </c>
      <c r="I317">
        <v>1</v>
      </c>
    </row>
    <row r="318" spans="8:9" x14ac:dyDescent="0.35">
      <c r="H318" s="38">
        <v>6.5972222222222224E-2</v>
      </c>
      <c r="I318">
        <v>1</v>
      </c>
    </row>
    <row r="319" spans="8:9" x14ac:dyDescent="0.35">
      <c r="H319" s="39">
        <v>1.5972222222222221E-2</v>
      </c>
      <c r="I319">
        <v>1</v>
      </c>
    </row>
    <row r="320" spans="8:9" x14ac:dyDescent="0.35">
      <c r="H320" s="38">
        <v>8.3333333333333329E-2</v>
      </c>
      <c r="I320">
        <v>0</v>
      </c>
    </row>
    <row r="321" spans="8:9" x14ac:dyDescent="0.35">
      <c r="H321" s="39">
        <v>5.9722222222222225E-2</v>
      </c>
      <c r="I321">
        <v>1</v>
      </c>
    </row>
    <row r="322" spans="8:9" x14ac:dyDescent="0.35">
      <c r="H322" s="38">
        <v>0.12291666666666666</v>
      </c>
      <c r="I322">
        <v>0</v>
      </c>
    </row>
    <row r="323" spans="8:9" x14ac:dyDescent="0.35">
      <c r="H323" s="39">
        <v>3.1944444444444442E-2</v>
      </c>
      <c r="I323">
        <v>1</v>
      </c>
    </row>
    <row r="324" spans="8:9" x14ac:dyDescent="0.35">
      <c r="H324" s="38">
        <v>7.7777777777777779E-2</v>
      </c>
      <c r="I324">
        <v>1</v>
      </c>
    </row>
    <row r="325" spans="8:9" x14ac:dyDescent="0.35">
      <c r="H325" s="39">
        <v>9.7916666666666666E-2</v>
      </c>
      <c r="I325">
        <v>0</v>
      </c>
    </row>
    <row r="326" spans="8:9" x14ac:dyDescent="0.35">
      <c r="H326" s="38">
        <v>7.8472222222222221E-2</v>
      </c>
      <c r="I326">
        <v>0</v>
      </c>
    </row>
    <row r="327" spans="8:9" x14ac:dyDescent="0.35">
      <c r="H327" s="39">
        <v>8.1944444444444445E-2</v>
      </c>
      <c r="I327">
        <v>1</v>
      </c>
    </row>
    <row r="328" spans="8:9" x14ac:dyDescent="0.35">
      <c r="H328" s="38">
        <v>0.12708333333333333</v>
      </c>
      <c r="I328">
        <v>0</v>
      </c>
    </row>
    <row r="329" spans="8:9" x14ac:dyDescent="0.35">
      <c r="H329" s="39">
        <v>1.0416666666666666E-2</v>
      </c>
      <c r="I329">
        <v>1</v>
      </c>
    </row>
    <row r="330" spans="8:9" x14ac:dyDescent="0.35">
      <c r="H330" s="38">
        <v>6.3888888888888884E-2</v>
      </c>
      <c r="I330">
        <v>1</v>
      </c>
    </row>
    <row r="331" spans="8:9" x14ac:dyDescent="0.35">
      <c r="H331" s="39">
        <v>5.9027777777777776E-2</v>
      </c>
      <c r="I331">
        <v>0</v>
      </c>
    </row>
    <row r="332" spans="8:9" x14ac:dyDescent="0.35">
      <c r="H332" s="38">
        <v>4.5138888888888888E-2</v>
      </c>
      <c r="I332">
        <v>1</v>
      </c>
    </row>
    <row r="333" spans="8:9" x14ac:dyDescent="0.35">
      <c r="H333" s="39">
        <v>1.4583333333333334E-2</v>
      </c>
      <c r="I333">
        <v>1</v>
      </c>
    </row>
    <row r="334" spans="8:9" x14ac:dyDescent="0.35">
      <c r="H334" s="38">
        <v>2.7083333333333334E-2</v>
      </c>
      <c r="I334">
        <v>1</v>
      </c>
    </row>
    <row r="335" spans="8:9" x14ac:dyDescent="0.35">
      <c r="H335" s="39">
        <v>0.12916666666666668</v>
      </c>
      <c r="I335">
        <v>0</v>
      </c>
    </row>
    <row r="336" spans="8:9" x14ac:dyDescent="0.35">
      <c r="H336" s="38">
        <v>8.5416666666666669E-2</v>
      </c>
      <c r="I336">
        <v>1</v>
      </c>
    </row>
    <row r="337" spans="8:9" x14ac:dyDescent="0.35">
      <c r="H337" s="39">
        <v>6.7361111111111108E-2</v>
      </c>
      <c r="I337">
        <v>1</v>
      </c>
    </row>
    <row r="338" spans="8:9" x14ac:dyDescent="0.35">
      <c r="H338" s="38">
        <v>5.1388888888888887E-2</v>
      </c>
      <c r="I338">
        <v>1</v>
      </c>
    </row>
    <row r="339" spans="8:9" x14ac:dyDescent="0.35">
      <c r="H339" s="39">
        <v>3.8194444444444448E-2</v>
      </c>
      <c r="I339">
        <v>1</v>
      </c>
    </row>
    <row r="340" spans="8:9" x14ac:dyDescent="0.35">
      <c r="H340" s="38">
        <v>7.3611111111111113E-2</v>
      </c>
      <c r="I340">
        <v>1</v>
      </c>
    </row>
    <row r="341" spans="8:9" x14ac:dyDescent="0.35">
      <c r="H341" s="39">
        <v>3.472222222222222E-3</v>
      </c>
      <c r="I341">
        <v>1</v>
      </c>
    </row>
    <row r="342" spans="8:9" x14ac:dyDescent="0.35">
      <c r="H342" s="38">
        <v>8.7499999999999994E-2</v>
      </c>
      <c r="I342">
        <v>1</v>
      </c>
    </row>
    <row r="343" spans="8:9" x14ac:dyDescent="0.35">
      <c r="H343" s="39">
        <v>0.10972222222222222</v>
      </c>
      <c r="I343">
        <v>1</v>
      </c>
    </row>
    <row r="344" spans="8:9" x14ac:dyDescent="0.35">
      <c r="H344" s="38">
        <v>6.1111111111111109E-2</v>
      </c>
      <c r="I344">
        <v>1</v>
      </c>
    </row>
    <row r="345" spans="8:9" x14ac:dyDescent="0.35">
      <c r="H345" s="39">
        <v>2.7083333333333334E-2</v>
      </c>
      <c r="I345">
        <v>1</v>
      </c>
    </row>
    <row r="346" spans="8:9" x14ac:dyDescent="0.35">
      <c r="H346" s="38">
        <v>8.7499999999999994E-2</v>
      </c>
      <c r="I346">
        <v>1</v>
      </c>
    </row>
    <row r="347" spans="8:9" x14ac:dyDescent="0.35">
      <c r="H347" s="39">
        <v>9.0277777777777776E-2</v>
      </c>
      <c r="I347">
        <v>1</v>
      </c>
    </row>
    <row r="348" spans="8:9" x14ac:dyDescent="0.35">
      <c r="H348" s="38">
        <v>6.5972222222222224E-2</v>
      </c>
      <c r="I348">
        <v>1</v>
      </c>
    </row>
    <row r="349" spans="8:9" x14ac:dyDescent="0.35">
      <c r="H349" s="39">
        <v>4.1666666666666664E-2</v>
      </c>
      <c r="I349">
        <v>1</v>
      </c>
    </row>
    <row r="350" spans="8:9" x14ac:dyDescent="0.35">
      <c r="H350" s="38">
        <v>8.4722222222222227E-2</v>
      </c>
      <c r="I350">
        <v>1</v>
      </c>
    </row>
    <row r="351" spans="8:9" x14ac:dyDescent="0.35">
      <c r="H351" s="39">
        <v>6.25E-2</v>
      </c>
      <c r="I351">
        <v>0</v>
      </c>
    </row>
    <row r="352" spans="8:9" x14ac:dyDescent="0.35">
      <c r="H352" s="38">
        <v>4.9305555555555554E-2</v>
      </c>
      <c r="I352">
        <v>1</v>
      </c>
    </row>
    <row r="353" spans="8:9" x14ac:dyDescent="0.35">
      <c r="H353" s="39">
        <v>6.3194444444444442E-2</v>
      </c>
      <c r="I353">
        <v>1</v>
      </c>
    </row>
    <row r="354" spans="8:9" x14ac:dyDescent="0.35">
      <c r="H354" s="38">
        <v>5.1388888888888887E-2</v>
      </c>
      <c r="I354">
        <v>1</v>
      </c>
    </row>
    <row r="355" spans="8:9" x14ac:dyDescent="0.35">
      <c r="H355" s="39">
        <v>1.4583333333333334E-2</v>
      </c>
      <c r="I355">
        <v>1</v>
      </c>
    </row>
    <row r="356" spans="8:9" x14ac:dyDescent="0.35">
      <c r="H356" s="38">
        <v>9.6527777777777782E-2</v>
      </c>
      <c r="I356">
        <v>1</v>
      </c>
    </row>
    <row r="357" spans="8:9" x14ac:dyDescent="0.35">
      <c r="H357" s="39">
        <v>9.7222222222222224E-2</v>
      </c>
      <c r="I357">
        <v>1</v>
      </c>
    </row>
    <row r="358" spans="8:9" x14ac:dyDescent="0.35">
      <c r="H358" s="38">
        <v>8.4027777777777785E-2</v>
      </c>
      <c r="I358">
        <v>1</v>
      </c>
    </row>
    <row r="359" spans="8:9" x14ac:dyDescent="0.35">
      <c r="H359" s="39">
        <v>1.1805555555555555E-2</v>
      </c>
      <c r="I359">
        <v>1</v>
      </c>
    </row>
    <row r="360" spans="8:9" x14ac:dyDescent="0.35">
      <c r="H360" s="38">
        <v>4.2361111111111113E-2</v>
      </c>
      <c r="I360">
        <v>1</v>
      </c>
    </row>
    <row r="361" spans="8:9" x14ac:dyDescent="0.35">
      <c r="H361" s="39">
        <v>0.10833333333333334</v>
      </c>
      <c r="I361">
        <v>1</v>
      </c>
    </row>
    <row r="362" spans="8:9" x14ac:dyDescent="0.35">
      <c r="H362" s="38">
        <v>4.791666666666667E-2</v>
      </c>
      <c r="I362">
        <v>1</v>
      </c>
    </row>
    <row r="363" spans="8:9" x14ac:dyDescent="0.35">
      <c r="H363" s="39">
        <v>4.5138888888888888E-2</v>
      </c>
      <c r="I363">
        <v>1</v>
      </c>
    </row>
    <row r="364" spans="8:9" x14ac:dyDescent="0.35">
      <c r="H364" s="38">
        <v>4.027777777777778E-2</v>
      </c>
      <c r="I364">
        <v>1</v>
      </c>
    </row>
    <row r="365" spans="8:9" x14ac:dyDescent="0.35">
      <c r="H365" s="39">
        <v>9.930555555555555E-2</v>
      </c>
      <c r="I365">
        <v>1</v>
      </c>
    </row>
    <row r="366" spans="8:9" x14ac:dyDescent="0.35">
      <c r="H366" s="38">
        <v>3.1944444444444442E-2</v>
      </c>
      <c r="I366">
        <v>1</v>
      </c>
    </row>
    <row r="367" spans="8:9" x14ac:dyDescent="0.35">
      <c r="H367" s="39">
        <v>6.3194444444444442E-2</v>
      </c>
      <c r="I367">
        <v>1</v>
      </c>
    </row>
    <row r="368" spans="8:9" x14ac:dyDescent="0.35">
      <c r="H368" s="38">
        <v>6.1111111111111109E-2</v>
      </c>
      <c r="I368">
        <v>1</v>
      </c>
    </row>
    <row r="369" spans="8:9" x14ac:dyDescent="0.35">
      <c r="H369" s="39">
        <v>3.7499999999999999E-2</v>
      </c>
      <c r="I369">
        <v>1</v>
      </c>
    </row>
    <row r="370" spans="8:9" x14ac:dyDescent="0.35">
      <c r="H370" s="38">
        <v>7.013888888888889E-2</v>
      </c>
      <c r="I370">
        <v>1</v>
      </c>
    </row>
    <row r="371" spans="8:9" x14ac:dyDescent="0.35">
      <c r="H371" s="39">
        <v>5.9722222222222225E-2</v>
      </c>
      <c r="I371">
        <v>1</v>
      </c>
    </row>
    <row r="372" spans="8:9" x14ac:dyDescent="0.35">
      <c r="H372" s="38">
        <v>1.2500000000000001E-2</v>
      </c>
      <c r="I372">
        <v>1</v>
      </c>
    </row>
    <row r="373" spans="8:9" x14ac:dyDescent="0.35">
      <c r="H373" s="39">
        <v>1.5277777777777777E-2</v>
      </c>
      <c r="I373">
        <v>1</v>
      </c>
    </row>
    <row r="374" spans="8:9" x14ac:dyDescent="0.35">
      <c r="H374" s="38">
        <v>3.0555555555555555E-2</v>
      </c>
      <c r="I374">
        <v>1</v>
      </c>
    </row>
    <row r="375" spans="8:9" x14ac:dyDescent="0.35">
      <c r="H375" s="39">
        <v>6.1111111111111109E-2</v>
      </c>
      <c r="I375">
        <v>1</v>
      </c>
    </row>
    <row r="376" spans="8:9" x14ac:dyDescent="0.35">
      <c r="H376" s="38">
        <v>5.9027777777777776E-2</v>
      </c>
      <c r="I376">
        <v>1</v>
      </c>
    </row>
    <row r="377" spans="8:9" x14ac:dyDescent="0.35">
      <c r="H377" s="39">
        <v>7.5694444444444439E-2</v>
      </c>
      <c r="I377">
        <v>1</v>
      </c>
    </row>
    <row r="378" spans="8:9" x14ac:dyDescent="0.35">
      <c r="H378" s="38">
        <v>1.7361111111111112E-2</v>
      </c>
      <c r="I378">
        <v>1</v>
      </c>
    </row>
    <row r="379" spans="8:9" x14ac:dyDescent="0.35">
      <c r="H379" s="39">
        <v>4.8611111111111112E-3</v>
      </c>
      <c r="I379">
        <v>1</v>
      </c>
    </row>
    <row r="380" spans="8:9" x14ac:dyDescent="0.35">
      <c r="H380" s="38">
        <v>8.8888888888888892E-2</v>
      </c>
      <c r="I380">
        <v>1</v>
      </c>
    </row>
    <row r="381" spans="8:9" x14ac:dyDescent="0.35">
      <c r="H381" s="39">
        <v>9.5138888888888884E-2</v>
      </c>
      <c r="I381">
        <v>1</v>
      </c>
    </row>
    <row r="382" spans="8:9" x14ac:dyDescent="0.35">
      <c r="H382" s="38">
        <v>4.8611111111111112E-3</v>
      </c>
      <c r="I382">
        <v>1</v>
      </c>
    </row>
    <row r="383" spans="8:9" x14ac:dyDescent="0.35">
      <c r="H383" s="39">
        <v>4.8611111111111112E-3</v>
      </c>
      <c r="I383">
        <v>1</v>
      </c>
    </row>
    <row r="384" spans="8:9" x14ac:dyDescent="0.35">
      <c r="H384" s="38">
        <v>6.6666666666666666E-2</v>
      </c>
      <c r="I384">
        <v>1</v>
      </c>
    </row>
    <row r="385" spans="8:9" x14ac:dyDescent="0.35">
      <c r="H385" s="39">
        <v>0.10555555555555556</v>
      </c>
      <c r="I385">
        <v>1</v>
      </c>
    </row>
    <row r="386" spans="8:9" x14ac:dyDescent="0.35">
      <c r="H386" s="38">
        <v>0.10069444444444445</v>
      </c>
      <c r="I386">
        <v>1</v>
      </c>
    </row>
    <row r="387" spans="8:9" x14ac:dyDescent="0.35">
      <c r="H387" s="39">
        <v>0.11041666666666666</v>
      </c>
      <c r="I387">
        <v>1</v>
      </c>
    </row>
    <row r="388" spans="8:9" x14ac:dyDescent="0.35">
      <c r="H388" s="38">
        <v>7.7777777777777779E-2</v>
      </c>
      <c r="I388">
        <v>1</v>
      </c>
    </row>
    <row r="389" spans="8:9" x14ac:dyDescent="0.35">
      <c r="H389" s="39">
        <v>8.5416666666666669E-2</v>
      </c>
      <c r="I389">
        <v>1</v>
      </c>
    </row>
    <row r="390" spans="8:9" x14ac:dyDescent="0.35">
      <c r="H390" s="38">
        <v>0.10347222222222222</v>
      </c>
      <c r="I390">
        <v>0</v>
      </c>
    </row>
    <row r="391" spans="8:9" x14ac:dyDescent="0.35">
      <c r="H391" s="39">
        <v>7.7777777777777779E-2</v>
      </c>
      <c r="I391">
        <v>1</v>
      </c>
    </row>
    <row r="392" spans="8:9" x14ac:dyDescent="0.35">
      <c r="H392" s="38">
        <v>1.7361111111111112E-2</v>
      </c>
      <c r="I392">
        <v>1</v>
      </c>
    </row>
    <row r="393" spans="8:9" x14ac:dyDescent="0.35">
      <c r="H393" s="39">
        <v>6.25E-2</v>
      </c>
      <c r="I393">
        <v>1</v>
      </c>
    </row>
    <row r="394" spans="8:9" x14ac:dyDescent="0.35">
      <c r="H394" s="38">
        <v>5.0694444444444445E-2</v>
      </c>
      <c r="I394">
        <v>1</v>
      </c>
    </row>
    <row r="395" spans="8:9" x14ac:dyDescent="0.35">
      <c r="H395" s="39">
        <v>5.9027777777777776E-2</v>
      </c>
      <c r="I395">
        <v>1</v>
      </c>
    </row>
    <row r="396" spans="8:9" x14ac:dyDescent="0.35">
      <c r="H396" s="38">
        <v>2.9166666666666667E-2</v>
      </c>
      <c r="I396">
        <v>1</v>
      </c>
    </row>
    <row r="397" spans="8:9" x14ac:dyDescent="0.35">
      <c r="H397" s="39">
        <v>2.2916666666666665E-2</v>
      </c>
      <c r="I397">
        <v>1</v>
      </c>
    </row>
    <row r="398" spans="8:9" x14ac:dyDescent="0.35">
      <c r="H398" s="38">
        <v>3.4027777777777775E-2</v>
      </c>
      <c r="I398">
        <v>1</v>
      </c>
    </row>
    <row r="399" spans="8:9" x14ac:dyDescent="0.35">
      <c r="H399" s="39">
        <v>1.5277777777777777E-2</v>
      </c>
      <c r="I399">
        <v>1</v>
      </c>
    </row>
    <row r="400" spans="8:9" x14ac:dyDescent="0.35">
      <c r="H400" s="38">
        <v>8.0555555555555561E-2</v>
      </c>
      <c r="I400">
        <v>1</v>
      </c>
    </row>
    <row r="401" spans="8:9" x14ac:dyDescent="0.35">
      <c r="H401" s="39">
        <v>6.2500000000000003E-3</v>
      </c>
      <c r="I401">
        <v>1</v>
      </c>
    </row>
    <row r="402" spans="8:9" x14ac:dyDescent="0.35">
      <c r="H402" s="38">
        <v>1.8749999999999999E-2</v>
      </c>
      <c r="I402">
        <v>1</v>
      </c>
    </row>
    <row r="403" spans="8:9" x14ac:dyDescent="0.35">
      <c r="H403" s="39">
        <v>3.472222222222222E-3</v>
      </c>
      <c r="I403">
        <v>1</v>
      </c>
    </row>
    <row r="404" spans="8:9" x14ac:dyDescent="0.35">
      <c r="H404" s="38">
        <v>3.1944444444444442E-2</v>
      </c>
      <c r="I404">
        <v>1</v>
      </c>
    </row>
    <row r="405" spans="8:9" x14ac:dyDescent="0.35">
      <c r="H405" s="39">
        <v>1.4583333333333334E-2</v>
      </c>
      <c r="I405">
        <v>1</v>
      </c>
    </row>
    <row r="406" spans="8:9" x14ac:dyDescent="0.35">
      <c r="H406" s="38">
        <v>4.1666666666666666E-3</v>
      </c>
      <c r="I406">
        <v>1</v>
      </c>
    </row>
    <row r="407" spans="8:9" x14ac:dyDescent="0.35">
      <c r="H407" s="39">
        <v>6.458333333333334E-2</v>
      </c>
      <c r="I407">
        <v>1</v>
      </c>
    </row>
    <row r="408" spans="8:9" x14ac:dyDescent="0.35">
      <c r="H408" s="38">
        <v>3.2638888888888891E-2</v>
      </c>
      <c r="I408">
        <v>1</v>
      </c>
    </row>
    <row r="409" spans="8:9" x14ac:dyDescent="0.35">
      <c r="H409" s="39">
        <v>3.7499999999999999E-2</v>
      </c>
      <c r="I409">
        <v>1</v>
      </c>
    </row>
    <row r="410" spans="8:9" x14ac:dyDescent="0.35">
      <c r="H410" s="38">
        <v>6.2500000000000003E-3</v>
      </c>
      <c r="I410">
        <v>1</v>
      </c>
    </row>
    <row r="411" spans="8:9" x14ac:dyDescent="0.35">
      <c r="H411" s="39">
        <v>7.6388888888888895E-2</v>
      </c>
      <c r="I411">
        <v>1</v>
      </c>
    </row>
    <row r="412" spans="8:9" x14ac:dyDescent="0.35">
      <c r="H412" s="38">
        <v>1.5277777777777777E-2</v>
      </c>
      <c r="I412">
        <v>1</v>
      </c>
    </row>
    <row r="413" spans="8:9" x14ac:dyDescent="0.35">
      <c r="H413" s="39">
        <v>2.7777777777777776E-2</v>
      </c>
      <c r="I413">
        <v>1</v>
      </c>
    </row>
    <row r="414" spans="8:9" x14ac:dyDescent="0.35">
      <c r="H414" s="38">
        <v>1.2500000000000001E-2</v>
      </c>
      <c r="I414">
        <v>1</v>
      </c>
    </row>
    <row r="415" spans="8:9" x14ac:dyDescent="0.35">
      <c r="H415" s="39">
        <v>0.11874999999999999</v>
      </c>
      <c r="I415">
        <v>1</v>
      </c>
    </row>
    <row r="416" spans="8:9" x14ac:dyDescent="0.35">
      <c r="H416" s="38">
        <v>1.6666666666666666E-2</v>
      </c>
      <c r="I416">
        <v>1</v>
      </c>
    </row>
    <row r="417" spans="8:9" x14ac:dyDescent="0.35">
      <c r="H417" s="39">
        <v>6.458333333333334E-2</v>
      </c>
      <c r="I417">
        <v>1</v>
      </c>
    </row>
    <row r="418" spans="8:9" x14ac:dyDescent="0.35">
      <c r="H418" s="38">
        <v>2.4305555555555556E-2</v>
      </c>
      <c r="I418">
        <v>1</v>
      </c>
    </row>
    <row r="419" spans="8:9" x14ac:dyDescent="0.35">
      <c r="H419" s="39">
        <v>3.7499999999999999E-2</v>
      </c>
      <c r="I419">
        <v>1</v>
      </c>
    </row>
    <row r="420" spans="8:9" x14ac:dyDescent="0.35">
      <c r="H420" s="38">
        <v>7.5694444444444439E-2</v>
      </c>
      <c r="I420">
        <v>1</v>
      </c>
    </row>
    <row r="421" spans="8:9" x14ac:dyDescent="0.35">
      <c r="H421" s="39">
        <v>3.2638888888888891E-2</v>
      </c>
      <c r="I421">
        <v>1</v>
      </c>
    </row>
    <row r="422" spans="8:9" x14ac:dyDescent="0.35">
      <c r="H422" s="38">
        <v>5.5555555555555558E-3</v>
      </c>
      <c r="I422">
        <v>1</v>
      </c>
    </row>
    <row r="423" spans="8:9" x14ac:dyDescent="0.35">
      <c r="H423" s="39">
        <v>3.9583333333333331E-2</v>
      </c>
      <c r="I423">
        <v>1</v>
      </c>
    </row>
    <row r="424" spans="8:9" x14ac:dyDescent="0.35">
      <c r="H424" s="38">
        <v>4.791666666666667E-2</v>
      </c>
      <c r="I424">
        <v>1</v>
      </c>
    </row>
    <row r="425" spans="8:9" x14ac:dyDescent="0.35">
      <c r="H425" s="39">
        <v>4.9305555555555554E-2</v>
      </c>
      <c r="I425">
        <v>1</v>
      </c>
    </row>
    <row r="426" spans="8:9" x14ac:dyDescent="0.35">
      <c r="H426" s="38">
        <v>6.3194444444444442E-2</v>
      </c>
      <c r="I426">
        <v>1</v>
      </c>
    </row>
    <row r="427" spans="8:9" x14ac:dyDescent="0.35">
      <c r="H427" s="39">
        <v>5.486111111111111E-2</v>
      </c>
      <c r="I427">
        <v>1</v>
      </c>
    </row>
    <row r="428" spans="8:9" x14ac:dyDescent="0.35">
      <c r="H428" s="38">
        <v>1.3888888888888888E-2</v>
      </c>
      <c r="I428">
        <v>1</v>
      </c>
    </row>
    <row r="429" spans="8:9" x14ac:dyDescent="0.35">
      <c r="H429" s="39">
        <v>4.583333333333333E-2</v>
      </c>
      <c r="I429">
        <v>1</v>
      </c>
    </row>
    <row r="430" spans="8:9" x14ac:dyDescent="0.35">
      <c r="H430" s="38">
        <v>5.9027777777777776E-2</v>
      </c>
      <c r="I430">
        <v>1</v>
      </c>
    </row>
    <row r="431" spans="8:9" x14ac:dyDescent="0.35">
      <c r="H431" s="39">
        <v>7.0833333333333331E-2</v>
      </c>
      <c r="I431">
        <v>1</v>
      </c>
    </row>
    <row r="432" spans="8:9" x14ac:dyDescent="0.35">
      <c r="H432" s="38">
        <v>6.805555555555555E-2</v>
      </c>
      <c r="I432">
        <v>1</v>
      </c>
    </row>
    <row r="433" spans="8:9" x14ac:dyDescent="0.35">
      <c r="H433" s="39">
        <v>8.1250000000000003E-2</v>
      </c>
      <c r="I433">
        <v>1</v>
      </c>
    </row>
    <row r="434" spans="8:9" x14ac:dyDescent="0.35">
      <c r="H434" s="38">
        <v>3.4722222222222224E-2</v>
      </c>
      <c r="I434">
        <v>1</v>
      </c>
    </row>
    <row r="435" spans="8:9" x14ac:dyDescent="0.35">
      <c r="H435" s="39">
        <v>7.3611111111111113E-2</v>
      </c>
      <c r="I435">
        <v>1</v>
      </c>
    </row>
    <row r="436" spans="8:9" x14ac:dyDescent="0.35">
      <c r="H436" s="38">
        <v>0.11319444444444444</v>
      </c>
      <c r="I436">
        <v>0</v>
      </c>
    </row>
    <row r="437" spans="8:9" x14ac:dyDescent="0.35">
      <c r="H437" s="39">
        <v>6.3194444444444442E-2</v>
      </c>
      <c r="I437">
        <v>1</v>
      </c>
    </row>
    <row r="438" spans="8:9" x14ac:dyDescent="0.35">
      <c r="H438" s="38">
        <v>5.4166666666666669E-2</v>
      </c>
      <c r="I438">
        <v>1</v>
      </c>
    </row>
    <row r="439" spans="8:9" x14ac:dyDescent="0.35">
      <c r="H439" s="39">
        <v>3.9583333333333331E-2</v>
      </c>
      <c r="I439">
        <v>1</v>
      </c>
    </row>
    <row r="440" spans="8:9" x14ac:dyDescent="0.35">
      <c r="H440" s="38">
        <v>8.3333333333333332E-3</v>
      </c>
      <c r="I440">
        <v>1</v>
      </c>
    </row>
    <row r="441" spans="8:9" x14ac:dyDescent="0.35">
      <c r="H441" s="39">
        <v>2.6388888888888889E-2</v>
      </c>
      <c r="I441">
        <v>1</v>
      </c>
    </row>
    <row r="442" spans="8:9" x14ac:dyDescent="0.35">
      <c r="H442" s="38">
        <v>6.0416666666666667E-2</v>
      </c>
      <c r="I442">
        <v>1</v>
      </c>
    </row>
    <row r="443" spans="8:9" x14ac:dyDescent="0.35">
      <c r="H443" s="39">
        <v>6.2500000000000003E-3</v>
      </c>
      <c r="I443">
        <v>1</v>
      </c>
    </row>
    <row r="444" spans="8:9" x14ac:dyDescent="0.35">
      <c r="H444" s="38">
        <v>6.25E-2</v>
      </c>
      <c r="I444">
        <v>0</v>
      </c>
    </row>
    <row r="445" spans="8:9" x14ac:dyDescent="0.35">
      <c r="H445" s="39">
        <v>6.9444444444444448E-2</v>
      </c>
      <c r="I445">
        <v>1</v>
      </c>
    </row>
    <row r="446" spans="8:9" x14ac:dyDescent="0.35">
      <c r="H446" s="38">
        <v>4.4444444444444446E-2</v>
      </c>
      <c r="I446">
        <v>1</v>
      </c>
    </row>
    <row r="447" spans="8:9" x14ac:dyDescent="0.35">
      <c r="H447" s="39">
        <v>7.2916666666666671E-2</v>
      </c>
      <c r="I447">
        <v>1</v>
      </c>
    </row>
    <row r="448" spans="8:9" x14ac:dyDescent="0.35">
      <c r="H448" s="38">
        <v>4.9305555555555554E-2</v>
      </c>
      <c r="I448">
        <v>1</v>
      </c>
    </row>
    <row r="449" spans="8:9" x14ac:dyDescent="0.35">
      <c r="H449" s="39">
        <v>2.361111111111111E-2</v>
      </c>
      <c r="I449">
        <v>1</v>
      </c>
    </row>
    <row r="450" spans="8:9" x14ac:dyDescent="0.35">
      <c r="H450" s="38">
        <v>2.1527777777777778E-2</v>
      </c>
      <c r="I450">
        <v>1</v>
      </c>
    </row>
    <row r="451" spans="8:9" x14ac:dyDescent="0.35">
      <c r="H451" s="39">
        <v>6.1111111111111109E-2</v>
      </c>
      <c r="I451">
        <v>1</v>
      </c>
    </row>
    <row r="452" spans="8:9" x14ac:dyDescent="0.35">
      <c r="H452" s="38">
        <v>1.9444444444444445E-2</v>
      </c>
      <c r="I452">
        <v>1</v>
      </c>
    </row>
    <row r="453" spans="8:9" x14ac:dyDescent="0.35">
      <c r="H453" s="39">
        <v>8.0555555555555561E-2</v>
      </c>
      <c r="I453">
        <v>0</v>
      </c>
    </row>
    <row r="454" spans="8:9" x14ac:dyDescent="0.35">
      <c r="H454" s="38">
        <v>0.11527777777777778</v>
      </c>
      <c r="I454">
        <v>0</v>
      </c>
    </row>
    <row r="455" spans="8:9" x14ac:dyDescent="0.35">
      <c r="H455" s="39">
        <v>0.12430555555555556</v>
      </c>
      <c r="I455">
        <v>0</v>
      </c>
    </row>
    <row r="456" spans="8:9" x14ac:dyDescent="0.35">
      <c r="H456" s="38">
        <v>1.8749999999999999E-2</v>
      </c>
      <c r="I456">
        <v>1</v>
      </c>
    </row>
    <row r="457" spans="8:9" x14ac:dyDescent="0.35">
      <c r="H457" s="39">
        <v>3.4027777777777775E-2</v>
      </c>
      <c r="I457">
        <v>1</v>
      </c>
    </row>
    <row r="458" spans="8:9" x14ac:dyDescent="0.35">
      <c r="H458" s="38">
        <v>1.3888888888888888E-2</v>
      </c>
      <c r="I458">
        <v>1</v>
      </c>
    </row>
    <row r="459" spans="8:9" x14ac:dyDescent="0.35">
      <c r="H459" s="39">
        <v>5.1388888888888887E-2</v>
      </c>
      <c r="I459">
        <v>1</v>
      </c>
    </row>
    <row r="460" spans="8:9" x14ac:dyDescent="0.35">
      <c r="H460" s="38">
        <v>5.1388888888888887E-2</v>
      </c>
      <c r="I460">
        <v>1</v>
      </c>
    </row>
    <row r="461" spans="8:9" x14ac:dyDescent="0.35">
      <c r="H461" s="39">
        <v>4.027777777777778E-2</v>
      </c>
      <c r="I461">
        <v>1</v>
      </c>
    </row>
    <row r="462" spans="8:9" x14ac:dyDescent="0.35">
      <c r="H462" s="38">
        <v>7.7083333333333337E-2</v>
      </c>
      <c r="I462">
        <v>1</v>
      </c>
    </row>
    <row r="463" spans="8:9" x14ac:dyDescent="0.35">
      <c r="H463" s="39">
        <v>3.125E-2</v>
      </c>
      <c r="I463">
        <v>1</v>
      </c>
    </row>
    <row r="464" spans="8:9" x14ac:dyDescent="0.35">
      <c r="H464" s="38">
        <v>3.5416666666666666E-2</v>
      </c>
      <c r="I464">
        <v>1</v>
      </c>
    </row>
    <row r="465" spans="8:9" x14ac:dyDescent="0.35">
      <c r="H465" s="39">
        <v>3.5416666666666666E-2</v>
      </c>
      <c r="I465">
        <v>1</v>
      </c>
    </row>
    <row r="466" spans="8:9" x14ac:dyDescent="0.35">
      <c r="H466" s="38">
        <v>4.4444444444444446E-2</v>
      </c>
      <c r="I466">
        <v>1</v>
      </c>
    </row>
    <row r="467" spans="8:9" x14ac:dyDescent="0.35">
      <c r="H467" s="39">
        <v>3.125E-2</v>
      </c>
      <c r="I467">
        <v>1</v>
      </c>
    </row>
    <row r="468" spans="8:9" x14ac:dyDescent="0.35">
      <c r="H468" s="38">
        <v>6.25E-2</v>
      </c>
      <c r="I468">
        <v>1</v>
      </c>
    </row>
    <row r="469" spans="8:9" x14ac:dyDescent="0.35">
      <c r="H469" s="39">
        <v>9.0972222222222218E-2</v>
      </c>
      <c r="I469">
        <v>0</v>
      </c>
    </row>
    <row r="470" spans="8:9" x14ac:dyDescent="0.35">
      <c r="H470" s="38">
        <v>0.1076388888888889</v>
      </c>
      <c r="I470">
        <v>0</v>
      </c>
    </row>
    <row r="471" spans="8:9" x14ac:dyDescent="0.35">
      <c r="H471" s="39">
        <v>5.6250000000000001E-2</v>
      </c>
      <c r="I471">
        <v>1</v>
      </c>
    </row>
    <row r="472" spans="8:9" x14ac:dyDescent="0.35">
      <c r="H472" s="38">
        <v>1.8055555555555554E-2</v>
      </c>
      <c r="I472">
        <v>1</v>
      </c>
    </row>
    <row r="473" spans="8:9" x14ac:dyDescent="0.35">
      <c r="H473" s="39">
        <v>5.5555555555555558E-3</v>
      </c>
      <c r="I473">
        <v>1</v>
      </c>
    </row>
    <row r="474" spans="8:9" x14ac:dyDescent="0.35">
      <c r="H474" s="38">
        <v>5.9722222222222225E-2</v>
      </c>
      <c r="I474">
        <v>1</v>
      </c>
    </row>
    <row r="475" spans="8:9" x14ac:dyDescent="0.35">
      <c r="H475" s="39">
        <v>4.583333333333333E-2</v>
      </c>
      <c r="I475">
        <v>1</v>
      </c>
    </row>
    <row r="476" spans="8:9" x14ac:dyDescent="0.35">
      <c r="H476" s="38">
        <v>2.2916666666666665E-2</v>
      </c>
      <c r="I476">
        <v>1</v>
      </c>
    </row>
    <row r="477" spans="8:9" x14ac:dyDescent="0.35">
      <c r="H477" s="39">
        <v>2.361111111111111E-2</v>
      </c>
      <c r="I477">
        <v>1</v>
      </c>
    </row>
    <row r="478" spans="8:9" x14ac:dyDescent="0.35">
      <c r="H478" s="38">
        <v>7.1527777777777773E-2</v>
      </c>
      <c r="I478">
        <v>0</v>
      </c>
    </row>
    <row r="479" spans="8:9" x14ac:dyDescent="0.35">
      <c r="H479" s="39">
        <v>8.5416666666666669E-2</v>
      </c>
      <c r="I479">
        <v>1</v>
      </c>
    </row>
    <row r="480" spans="8:9" x14ac:dyDescent="0.35">
      <c r="H480" s="38">
        <v>6.9444444444444448E-2</v>
      </c>
      <c r="I480">
        <v>0</v>
      </c>
    </row>
    <row r="481" spans="8:9" x14ac:dyDescent="0.35">
      <c r="H481" s="39">
        <v>0.10625</v>
      </c>
      <c r="I481">
        <v>0</v>
      </c>
    </row>
    <row r="482" spans="8:9" x14ac:dyDescent="0.35">
      <c r="H482" s="38">
        <v>7.6388888888888886E-3</v>
      </c>
      <c r="I482">
        <v>1</v>
      </c>
    </row>
    <row r="483" spans="8:9" x14ac:dyDescent="0.35">
      <c r="H483" s="39">
        <v>4.9305555555555554E-2</v>
      </c>
      <c r="I483">
        <v>1</v>
      </c>
    </row>
    <row r="484" spans="8:9" x14ac:dyDescent="0.35">
      <c r="H484" s="38">
        <v>4.027777777777778E-2</v>
      </c>
      <c r="I484">
        <v>1</v>
      </c>
    </row>
    <row r="485" spans="8:9" x14ac:dyDescent="0.35">
      <c r="H485" s="39">
        <v>6.1805555555555558E-2</v>
      </c>
      <c r="I485">
        <v>1</v>
      </c>
    </row>
    <row r="486" spans="8:9" x14ac:dyDescent="0.35">
      <c r="H486" s="38">
        <v>2.0833333333333332E-2</v>
      </c>
      <c r="I486">
        <v>1</v>
      </c>
    </row>
    <row r="487" spans="8:9" x14ac:dyDescent="0.35">
      <c r="H487" s="39">
        <v>8.611111111111111E-2</v>
      </c>
      <c r="I487">
        <v>1</v>
      </c>
    </row>
    <row r="488" spans="8:9" x14ac:dyDescent="0.35">
      <c r="H488" s="38">
        <v>4.583333333333333E-2</v>
      </c>
      <c r="I488">
        <v>1</v>
      </c>
    </row>
    <row r="489" spans="8:9" x14ac:dyDescent="0.35">
      <c r="H489" s="39">
        <v>7.6388888888888886E-3</v>
      </c>
      <c r="I489">
        <v>1</v>
      </c>
    </row>
    <row r="490" spans="8:9" x14ac:dyDescent="0.35">
      <c r="H490" s="38">
        <v>9.7222222222222224E-3</v>
      </c>
      <c r="I490">
        <v>1</v>
      </c>
    </row>
    <row r="491" spans="8:9" x14ac:dyDescent="0.35">
      <c r="H491" s="39">
        <v>5.8333333333333334E-2</v>
      </c>
      <c r="I491">
        <v>1</v>
      </c>
    </row>
    <row r="492" spans="8:9" x14ac:dyDescent="0.35">
      <c r="H492" s="38">
        <v>4.1666666666666664E-2</v>
      </c>
      <c r="I492">
        <v>1</v>
      </c>
    </row>
    <row r="493" spans="8:9" x14ac:dyDescent="0.35">
      <c r="H493" s="39">
        <v>0.10069444444444445</v>
      </c>
      <c r="I493">
        <v>1</v>
      </c>
    </row>
    <row r="494" spans="8:9" x14ac:dyDescent="0.35">
      <c r="H494" s="38">
        <v>0.05</v>
      </c>
      <c r="I494">
        <v>1</v>
      </c>
    </row>
    <row r="495" spans="8:9" x14ac:dyDescent="0.35">
      <c r="H495" s="39">
        <v>4.3749999999999997E-2</v>
      </c>
      <c r="I495">
        <v>1</v>
      </c>
    </row>
    <row r="496" spans="8:9" x14ac:dyDescent="0.35">
      <c r="H496" s="38">
        <v>4.583333333333333E-2</v>
      </c>
      <c r="I496">
        <v>1</v>
      </c>
    </row>
    <row r="497" spans="8:9" x14ac:dyDescent="0.35">
      <c r="H497" s="39">
        <v>0.05</v>
      </c>
      <c r="I497">
        <v>1</v>
      </c>
    </row>
    <row r="498" spans="8:9" x14ac:dyDescent="0.35">
      <c r="H498" s="38">
        <v>3.9583333333333331E-2</v>
      </c>
      <c r="I498">
        <v>1</v>
      </c>
    </row>
    <row r="499" spans="8:9" x14ac:dyDescent="0.35">
      <c r="H499" s="39">
        <v>5.0694444444444445E-2</v>
      </c>
      <c r="I499">
        <v>1</v>
      </c>
    </row>
    <row r="500" spans="8:9" x14ac:dyDescent="0.35">
      <c r="H500" s="38">
        <v>4.2361111111111113E-2</v>
      </c>
      <c r="I500">
        <v>1</v>
      </c>
    </row>
    <row r="501" spans="8:9" x14ac:dyDescent="0.35">
      <c r="H501" s="39">
        <v>0.11180555555555556</v>
      </c>
      <c r="I501">
        <v>0</v>
      </c>
    </row>
    <row r="502" spans="8:9" x14ac:dyDescent="0.35">
      <c r="H502" s="38">
        <v>2.4305555555555556E-2</v>
      </c>
      <c r="I502">
        <v>1</v>
      </c>
    </row>
    <row r="503" spans="8:9" x14ac:dyDescent="0.35">
      <c r="H503" s="39">
        <v>7.9861111111111105E-2</v>
      </c>
      <c r="I503">
        <v>1</v>
      </c>
    </row>
    <row r="504" spans="8:9" x14ac:dyDescent="0.35">
      <c r="H504" s="38">
        <v>7.9861111111111105E-2</v>
      </c>
      <c r="I504">
        <v>0</v>
      </c>
    </row>
    <row r="505" spans="8:9" x14ac:dyDescent="0.35">
      <c r="H505" s="39">
        <v>6.25E-2</v>
      </c>
      <c r="I505">
        <v>1</v>
      </c>
    </row>
    <row r="506" spans="8:9" x14ac:dyDescent="0.35">
      <c r="H506" s="38">
        <v>5.7638888888888892E-2</v>
      </c>
      <c r="I506">
        <v>1</v>
      </c>
    </row>
    <row r="507" spans="8:9" x14ac:dyDescent="0.35">
      <c r="H507" s="39">
        <v>4.5138888888888888E-2</v>
      </c>
      <c r="I507">
        <v>1</v>
      </c>
    </row>
    <row r="508" spans="8:9" x14ac:dyDescent="0.35">
      <c r="H508" s="38">
        <v>4.027777777777778E-2</v>
      </c>
      <c r="I508">
        <v>1</v>
      </c>
    </row>
    <row r="509" spans="8:9" x14ac:dyDescent="0.35">
      <c r="H509" s="39">
        <v>1.4583333333333334E-2</v>
      </c>
      <c r="I509">
        <v>1</v>
      </c>
    </row>
    <row r="510" spans="8:9" x14ac:dyDescent="0.35">
      <c r="H510" s="38">
        <v>3.6805555555555557E-2</v>
      </c>
      <c r="I510">
        <v>1</v>
      </c>
    </row>
    <row r="511" spans="8:9" x14ac:dyDescent="0.35">
      <c r="H511" s="39">
        <v>2.361111111111111E-2</v>
      </c>
      <c r="I511">
        <v>1</v>
      </c>
    </row>
    <row r="512" spans="8:9" x14ac:dyDescent="0.35">
      <c r="H512" s="38">
        <v>5.486111111111111E-2</v>
      </c>
      <c r="I512">
        <v>1</v>
      </c>
    </row>
    <row r="513" spans="8:9" x14ac:dyDescent="0.35">
      <c r="H513" s="39">
        <v>4.0972222222222222E-2</v>
      </c>
      <c r="I513">
        <v>1</v>
      </c>
    </row>
    <row r="514" spans="8:9" x14ac:dyDescent="0.35">
      <c r="H514" s="38">
        <v>6.3888888888888884E-2</v>
      </c>
      <c r="I514">
        <v>1</v>
      </c>
    </row>
    <row r="515" spans="8:9" x14ac:dyDescent="0.35">
      <c r="H515" s="39">
        <v>8.611111111111111E-2</v>
      </c>
      <c r="I515">
        <v>0</v>
      </c>
    </row>
    <row r="516" spans="8:9" x14ac:dyDescent="0.35">
      <c r="H516" s="38">
        <v>2.361111111111111E-2</v>
      </c>
      <c r="I516">
        <v>1</v>
      </c>
    </row>
    <row r="517" spans="8:9" x14ac:dyDescent="0.35">
      <c r="H517" s="39">
        <v>9.0972222222222218E-2</v>
      </c>
      <c r="I517">
        <v>0</v>
      </c>
    </row>
    <row r="518" spans="8:9" x14ac:dyDescent="0.35">
      <c r="H518" s="38">
        <v>2.8472222222222222E-2</v>
      </c>
      <c r="I518">
        <v>1</v>
      </c>
    </row>
    <row r="519" spans="8:9" x14ac:dyDescent="0.35">
      <c r="H519" s="39">
        <v>3.4027777777777775E-2</v>
      </c>
      <c r="I519">
        <v>1</v>
      </c>
    </row>
    <row r="520" spans="8:9" x14ac:dyDescent="0.35">
      <c r="H520" s="38">
        <v>5.5555555555555558E-3</v>
      </c>
      <c r="I520">
        <v>1</v>
      </c>
    </row>
    <row r="521" spans="8:9" x14ac:dyDescent="0.35">
      <c r="H521" s="39">
        <v>2.1527777777777778E-2</v>
      </c>
      <c r="I521">
        <v>1</v>
      </c>
    </row>
    <row r="522" spans="8:9" x14ac:dyDescent="0.35">
      <c r="H522" s="38">
        <v>7.0833333333333331E-2</v>
      </c>
      <c r="I522">
        <v>1</v>
      </c>
    </row>
    <row r="523" spans="8:9" x14ac:dyDescent="0.35">
      <c r="H523" s="39">
        <v>9.2361111111111116E-2</v>
      </c>
      <c r="I523">
        <v>1</v>
      </c>
    </row>
    <row r="524" spans="8:9" x14ac:dyDescent="0.35">
      <c r="H524" s="38">
        <v>2.6388888888888889E-2</v>
      </c>
      <c r="I524">
        <v>1</v>
      </c>
    </row>
    <row r="525" spans="8:9" x14ac:dyDescent="0.35">
      <c r="H525" s="39">
        <v>2.2222222222222223E-2</v>
      </c>
      <c r="I525">
        <v>1</v>
      </c>
    </row>
    <row r="526" spans="8:9" x14ac:dyDescent="0.35">
      <c r="H526" s="38">
        <v>9.0277777777777776E-2</v>
      </c>
      <c r="I526">
        <v>1</v>
      </c>
    </row>
    <row r="527" spans="8:9" x14ac:dyDescent="0.35">
      <c r="H527" s="39">
        <v>2.9166666666666667E-2</v>
      </c>
      <c r="I527">
        <v>1</v>
      </c>
    </row>
    <row r="528" spans="8:9" x14ac:dyDescent="0.35">
      <c r="H528" s="38">
        <v>2.7083333333333334E-2</v>
      </c>
      <c r="I528">
        <v>1</v>
      </c>
    </row>
    <row r="529" spans="8:9" x14ac:dyDescent="0.35">
      <c r="H529" s="39">
        <v>5.0694444444444445E-2</v>
      </c>
      <c r="I529">
        <v>0</v>
      </c>
    </row>
    <row r="530" spans="8:9" x14ac:dyDescent="0.35">
      <c r="H530" s="38">
        <v>5.9027777777777776E-2</v>
      </c>
      <c r="I530">
        <v>1</v>
      </c>
    </row>
    <row r="531" spans="8:9" x14ac:dyDescent="0.35">
      <c r="H531" s="39">
        <v>1.3194444444444444E-2</v>
      </c>
      <c r="I531">
        <v>1</v>
      </c>
    </row>
    <row r="532" spans="8:9" x14ac:dyDescent="0.35">
      <c r="H532" s="38">
        <v>7.9861111111111105E-2</v>
      </c>
      <c r="I532">
        <v>1</v>
      </c>
    </row>
    <row r="533" spans="8:9" x14ac:dyDescent="0.35">
      <c r="H533" s="39">
        <v>3.472222222222222E-3</v>
      </c>
      <c r="I533">
        <v>1</v>
      </c>
    </row>
    <row r="534" spans="8:9" x14ac:dyDescent="0.35">
      <c r="H534" s="38">
        <v>4.791666666666667E-2</v>
      </c>
      <c r="I534">
        <v>0</v>
      </c>
    </row>
    <row r="535" spans="8:9" x14ac:dyDescent="0.35">
      <c r="H535" s="39">
        <v>2.361111111111111E-2</v>
      </c>
      <c r="I535">
        <v>1</v>
      </c>
    </row>
    <row r="536" spans="8:9" x14ac:dyDescent="0.35">
      <c r="H536" s="38">
        <v>3.2638888888888891E-2</v>
      </c>
      <c r="I536">
        <v>1</v>
      </c>
    </row>
    <row r="537" spans="8:9" x14ac:dyDescent="0.35">
      <c r="H537" s="39">
        <v>3.3333333333333333E-2</v>
      </c>
      <c r="I537">
        <v>1</v>
      </c>
    </row>
    <row r="538" spans="8:9" x14ac:dyDescent="0.35">
      <c r="H538" s="38">
        <v>2.6388888888888889E-2</v>
      </c>
      <c r="I538">
        <v>1</v>
      </c>
    </row>
    <row r="539" spans="8:9" x14ac:dyDescent="0.35">
      <c r="H539" s="39">
        <v>4.0972222222222222E-2</v>
      </c>
      <c r="I539">
        <v>1</v>
      </c>
    </row>
    <row r="540" spans="8:9" x14ac:dyDescent="0.35">
      <c r="H540" s="38">
        <v>3.888888888888889E-2</v>
      </c>
      <c r="I540">
        <v>1</v>
      </c>
    </row>
    <row r="541" spans="8:9" x14ac:dyDescent="0.35">
      <c r="H541" s="39">
        <v>7.7777777777777779E-2</v>
      </c>
      <c r="I541">
        <v>1</v>
      </c>
    </row>
    <row r="542" spans="8:9" x14ac:dyDescent="0.35">
      <c r="H542" s="38">
        <v>9.0277777777777769E-3</v>
      </c>
      <c r="I542">
        <v>1</v>
      </c>
    </row>
    <row r="543" spans="8:9" x14ac:dyDescent="0.35">
      <c r="H543" s="39">
        <v>6.7361111111111108E-2</v>
      </c>
      <c r="I543">
        <v>0</v>
      </c>
    </row>
    <row r="544" spans="8:9" x14ac:dyDescent="0.35">
      <c r="H544" s="38">
        <v>4.5138888888888888E-2</v>
      </c>
      <c r="I544">
        <v>1</v>
      </c>
    </row>
    <row r="545" spans="8:9" x14ac:dyDescent="0.35">
      <c r="H545" s="39">
        <v>3.6805555555555557E-2</v>
      </c>
      <c r="I545">
        <v>1</v>
      </c>
    </row>
    <row r="546" spans="8:9" x14ac:dyDescent="0.35">
      <c r="H546" s="38">
        <v>0.10833333333333334</v>
      </c>
      <c r="I546">
        <v>1</v>
      </c>
    </row>
    <row r="547" spans="8:9" x14ac:dyDescent="0.35">
      <c r="H547" s="39">
        <v>8.4027777777777785E-2</v>
      </c>
      <c r="I547">
        <v>1</v>
      </c>
    </row>
    <row r="548" spans="8:9" x14ac:dyDescent="0.35">
      <c r="H548" s="38">
        <v>6.3194444444444442E-2</v>
      </c>
      <c r="I548">
        <v>1</v>
      </c>
    </row>
    <row r="549" spans="8:9" x14ac:dyDescent="0.35">
      <c r="H549" s="39">
        <v>3.2638888888888891E-2</v>
      </c>
      <c r="I549">
        <v>1</v>
      </c>
    </row>
    <row r="550" spans="8:9" x14ac:dyDescent="0.35">
      <c r="H550" s="38">
        <v>3.5416666666666666E-2</v>
      </c>
      <c r="I550">
        <v>1</v>
      </c>
    </row>
    <row r="551" spans="8:9" x14ac:dyDescent="0.35">
      <c r="H551" s="39">
        <v>4.2361111111111113E-2</v>
      </c>
      <c r="I551">
        <v>1</v>
      </c>
    </row>
    <row r="552" spans="8:9" x14ac:dyDescent="0.35">
      <c r="H552" s="38">
        <v>5.347222222222222E-2</v>
      </c>
      <c r="I552">
        <v>1</v>
      </c>
    </row>
    <row r="553" spans="8:9" x14ac:dyDescent="0.35">
      <c r="H553" s="39">
        <v>1.5277777777777777E-2</v>
      </c>
      <c r="I553">
        <v>1</v>
      </c>
    </row>
    <row r="554" spans="8:9" x14ac:dyDescent="0.35">
      <c r="H554" s="38">
        <v>2.1527777777777778E-2</v>
      </c>
      <c r="I554">
        <v>1</v>
      </c>
    </row>
    <row r="555" spans="8:9" x14ac:dyDescent="0.35">
      <c r="H555" s="39">
        <v>8.4027777777777785E-2</v>
      </c>
      <c r="I555">
        <v>0</v>
      </c>
    </row>
    <row r="556" spans="8:9" x14ac:dyDescent="0.35">
      <c r="H556" s="38">
        <v>0.10902777777777778</v>
      </c>
      <c r="I556">
        <v>1</v>
      </c>
    </row>
    <row r="557" spans="8:9" x14ac:dyDescent="0.35">
      <c r="H557" s="39">
        <v>7.3611111111111113E-2</v>
      </c>
      <c r="I557">
        <v>1</v>
      </c>
    </row>
    <row r="558" spans="8:9" x14ac:dyDescent="0.35">
      <c r="H558" s="38">
        <v>0.13819444444444445</v>
      </c>
      <c r="I558">
        <v>0</v>
      </c>
    </row>
    <row r="559" spans="8:9" x14ac:dyDescent="0.35">
      <c r="H559" s="39">
        <v>4.0972222222222222E-2</v>
      </c>
      <c r="I559">
        <v>1</v>
      </c>
    </row>
    <row r="560" spans="8:9" x14ac:dyDescent="0.35">
      <c r="H560" s="38">
        <v>3.3333333333333333E-2</v>
      </c>
      <c r="I560">
        <v>1</v>
      </c>
    </row>
    <row r="561" spans="8:9" x14ac:dyDescent="0.35">
      <c r="H561" s="39">
        <v>5.2777777777777778E-2</v>
      </c>
      <c r="I561">
        <v>1</v>
      </c>
    </row>
    <row r="562" spans="8:9" x14ac:dyDescent="0.35">
      <c r="H562" s="38">
        <v>7.8472222222222221E-2</v>
      </c>
      <c r="I562">
        <v>1</v>
      </c>
    </row>
    <row r="563" spans="8:9" x14ac:dyDescent="0.35">
      <c r="H563" s="39">
        <v>0.10555555555555556</v>
      </c>
      <c r="I563">
        <v>0</v>
      </c>
    </row>
    <row r="564" spans="8:9" x14ac:dyDescent="0.35">
      <c r="H564" s="38">
        <v>1.4583333333333334E-2</v>
      </c>
      <c r="I564">
        <v>1</v>
      </c>
    </row>
    <row r="565" spans="8:9" x14ac:dyDescent="0.35">
      <c r="H565" s="39">
        <v>0.13750000000000001</v>
      </c>
      <c r="I565">
        <v>0</v>
      </c>
    </row>
    <row r="566" spans="8:9" x14ac:dyDescent="0.35">
      <c r="H566" s="38">
        <v>8.9583333333333334E-2</v>
      </c>
      <c r="I566">
        <v>1</v>
      </c>
    </row>
    <row r="567" spans="8:9" x14ac:dyDescent="0.35">
      <c r="H567" s="39">
        <v>5.6944444444444443E-2</v>
      </c>
      <c r="I567">
        <v>1</v>
      </c>
    </row>
    <row r="568" spans="8:9" x14ac:dyDescent="0.35">
      <c r="H568" s="38">
        <v>8.611111111111111E-2</v>
      </c>
      <c r="I568">
        <v>1</v>
      </c>
    </row>
    <row r="569" spans="8:9" x14ac:dyDescent="0.35">
      <c r="H569" s="39">
        <v>7.9861111111111105E-2</v>
      </c>
      <c r="I569">
        <v>1</v>
      </c>
    </row>
    <row r="570" spans="8:9" x14ac:dyDescent="0.35">
      <c r="H570" s="38">
        <v>5.1388888888888887E-2</v>
      </c>
      <c r="I570">
        <v>1</v>
      </c>
    </row>
    <row r="571" spans="8:9" x14ac:dyDescent="0.35">
      <c r="H571" s="39">
        <v>3.3333333333333333E-2</v>
      </c>
      <c r="I571">
        <v>1</v>
      </c>
    </row>
    <row r="572" spans="8:9" x14ac:dyDescent="0.35">
      <c r="H572" s="38">
        <v>6.8750000000000006E-2</v>
      </c>
      <c r="I572">
        <v>1</v>
      </c>
    </row>
    <row r="573" spans="8:9" x14ac:dyDescent="0.35">
      <c r="H573" s="39">
        <v>6.3194444444444442E-2</v>
      </c>
      <c r="I573">
        <v>1</v>
      </c>
    </row>
    <row r="574" spans="8:9" x14ac:dyDescent="0.35">
      <c r="H574" s="38">
        <v>6.7361111111111108E-2</v>
      </c>
      <c r="I574">
        <v>1</v>
      </c>
    </row>
    <row r="575" spans="8:9" x14ac:dyDescent="0.35">
      <c r="H575" s="39">
        <v>7.3611111111111113E-2</v>
      </c>
      <c r="I575">
        <v>1</v>
      </c>
    </row>
    <row r="576" spans="8:9" x14ac:dyDescent="0.35">
      <c r="H576" s="38">
        <v>6.805555555555555E-2</v>
      </c>
      <c r="I576">
        <v>1</v>
      </c>
    </row>
    <row r="577" spans="8:9" x14ac:dyDescent="0.35">
      <c r="H577" s="39">
        <v>3.9583333333333331E-2</v>
      </c>
      <c r="I577">
        <v>1</v>
      </c>
    </row>
    <row r="578" spans="8:9" x14ac:dyDescent="0.35">
      <c r="H578" s="38">
        <v>8.5416666666666669E-2</v>
      </c>
      <c r="I578">
        <v>0</v>
      </c>
    </row>
    <row r="579" spans="8:9" x14ac:dyDescent="0.35">
      <c r="H579" s="39">
        <v>7.9861111111111105E-2</v>
      </c>
      <c r="I579">
        <v>1</v>
      </c>
    </row>
    <row r="580" spans="8:9" x14ac:dyDescent="0.35">
      <c r="H580" s="38">
        <v>0.12361111111111112</v>
      </c>
      <c r="I580">
        <v>0</v>
      </c>
    </row>
    <row r="581" spans="8:9" x14ac:dyDescent="0.35">
      <c r="H581" s="39">
        <v>4.9305555555555554E-2</v>
      </c>
      <c r="I581">
        <v>1</v>
      </c>
    </row>
    <row r="582" spans="8:9" x14ac:dyDescent="0.35">
      <c r="H582" s="38">
        <v>3.1944444444444442E-2</v>
      </c>
      <c r="I582">
        <v>1</v>
      </c>
    </row>
    <row r="583" spans="8:9" x14ac:dyDescent="0.35">
      <c r="H583" s="39">
        <v>4.583333333333333E-2</v>
      </c>
      <c r="I583">
        <v>1</v>
      </c>
    </row>
    <row r="584" spans="8:9" x14ac:dyDescent="0.35">
      <c r="H584" s="38">
        <v>7.4305555555555555E-2</v>
      </c>
      <c r="I584">
        <v>1</v>
      </c>
    </row>
    <row r="585" spans="8:9" x14ac:dyDescent="0.35">
      <c r="H585" s="39">
        <v>0.11597222222222223</v>
      </c>
      <c r="I585">
        <v>1</v>
      </c>
    </row>
    <row r="586" spans="8:9" x14ac:dyDescent="0.35">
      <c r="H586" s="38">
        <v>2.8472222222222222E-2</v>
      </c>
      <c r="I586">
        <v>1</v>
      </c>
    </row>
    <row r="587" spans="8:9" x14ac:dyDescent="0.35">
      <c r="H587" s="39">
        <v>3.3333333333333333E-2</v>
      </c>
      <c r="I587">
        <v>1</v>
      </c>
    </row>
    <row r="588" spans="8:9" x14ac:dyDescent="0.35">
      <c r="H588" s="38">
        <v>4.4444444444444446E-2</v>
      </c>
      <c r="I588">
        <v>1</v>
      </c>
    </row>
    <row r="589" spans="8:9" x14ac:dyDescent="0.35">
      <c r="H589" s="39">
        <v>7.7777777777777779E-2</v>
      </c>
      <c r="I589">
        <v>1</v>
      </c>
    </row>
    <row r="590" spans="8:9" x14ac:dyDescent="0.35">
      <c r="H590" s="38">
        <v>2.5694444444444443E-2</v>
      </c>
      <c r="I590">
        <v>1</v>
      </c>
    </row>
    <row r="591" spans="8:9" x14ac:dyDescent="0.35">
      <c r="H591" s="39">
        <v>3.7499999999999999E-2</v>
      </c>
      <c r="I591">
        <v>1</v>
      </c>
    </row>
    <row r="592" spans="8:9" x14ac:dyDescent="0.35">
      <c r="H592" s="38">
        <v>6.805555555555555E-2</v>
      </c>
      <c r="I592">
        <v>1</v>
      </c>
    </row>
    <row r="593" spans="8:9" x14ac:dyDescent="0.35">
      <c r="H593" s="39">
        <v>3.888888888888889E-2</v>
      </c>
      <c r="I593">
        <v>1</v>
      </c>
    </row>
    <row r="594" spans="8:9" x14ac:dyDescent="0.35">
      <c r="H594" s="38">
        <v>7.0833333333333331E-2</v>
      </c>
      <c r="I594">
        <v>1</v>
      </c>
    </row>
    <row r="595" spans="8:9" x14ac:dyDescent="0.35">
      <c r="H595" s="39">
        <v>5.8333333333333334E-2</v>
      </c>
      <c r="I595">
        <v>1</v>
      </c>
    </row>
    <row r="596" spans="8:9" x14ac:dyDescent="0.35">
      <c r="H596" s="38">
        <v>4.027777777777778E-2</v>
      </c>
      <c r="I596">
        <v>1</v>
      </c>
    </row>
    <row r="597" spans="8:9" x14ac:dyDescent="0.35">
      <c r="H597" s="39">
        <v>3.1944444444444442E-2</v>
      </c>
      <c r="I597">
        <v>1</v>
      </c>
    </row>
    <row r="598" spans="8:9" x14ac:dyDescent="0.35">
      <c r="H598" s="38">
        <v>1.8055555555555554E-2</v>
      </c>
      <c r="I598">
        <v>1</v>
      </c>
    </row>
    <row r="599" spans="8:9" x14ac:dyDescent="0.35">
      <c r="H599" s="39">
        <v>3.0555555555555555E-2</v>
      </c>
      <c r="I599">
        <v>1</v>
      </c>
    </row>
    <row r="600" spans="8:9" x14ac:dyDescent="0.35">
      <c r="H600" s="38">
        <v>4.791666666666667E-2</v>
      </c>
      <c r="I600">
        <v>1</v>
      </c>
    </row>
    <row r="601" spans="8:9" x14ac:dyDescent="0.35">
      <c r="H601" s="39">
        <v>0.11666666666666667</v>
      </c>
      <c r="I601">
        <v>0</v>
      </c>
    </row>
    <row r="602" spans="8:9" x14ac:dyDescent="0.35">
      <c r="H602" s="38">
        <v>3.0555555555555555E-2</v>
      </c>
      <c r="I602">
        <v>1</v>
      </c>
    </row>
    <row r="603" spans="8:9" x14ac:dyDescent="0.35">
      <c r="H603" s="39">
        <v>7.9861111111111105E-2</v>
      </c>
      <c r="I603">
        <v>1</v>
      </c>
    </row>
    <row r="604" spans="8:9" x14ac:dyDescent="0.35">
      <c r="H604" s="38">
        <v>1.7361111111111112E-2</v>
      </c>
      <c r="I604">
        <v>1</v>
      </c>
    </row>
    <row r="605" spans="8:9" x14ac:dyDescent="0.35">
      <c r="H605" s="39">
        <v>3.0555555555555555E-2</v>
      </c>
      <c r="I605">
        <v>1</v>
      </c>
    </row>
    <row r="606" spans="8:9" x14ac:dyDescent="0.35">
      <c r="H606" s="38">
        <v>3.3333333333333333E-2</v>
      </c>
      <c r="I606">
        <v>1</v>
      </c>
    </row>
    <row r="607" spans="8:9" x14ac:dyDescent="0.35">
      <c r="H607" s="39">
        <v>2.0833333333333332E-2</v>
      </c>
      <c r="I607">
        <v>1</v>
      </c>
    </row>
    <row r="608" spans="8:9" x14ac:dyDescent="0.35">
      <c r="H608" s="38">
        <v>3.8194444444444448E-2</v>
      </c>
      <c r="I608">
        <v>1</v>
      </c>
    </row>
    <row r="609" spans="8:9" x14ac:dyDescent="0.35">
      <c r="H609" s="39">
        <v>2.9166666666666667E-2</v>
      </c>
      <c r="I609">
        <v>1</v>
      </c>
    </row>
    <row r="610" spans="8:9" x14ac:dyDescent="0.35">
      <c r="H610" s="38">
        <v>7.2916666666666671E-2</v>
      </c>
      <c r="I610">
        <v>1</v>
      </c>
    </row>
    <row r="611" spans="8:9" x14ac:dyDescent="0.35">
      <c r="H611" s="39">
        <v>7.9166666666666663E-2</v>
      </c>
      <c r="I611">
        <v>1</v>
      </c>
    </row>
    <row r="612" spans="8:9" x14ac:dyDescent="0.35">
      <c r="H612" s="38">
        <v>6.5972222222222224E-2</v>
      </c>
      <c r="I612">
        <v>0</v>
      </c>
    </row>
    <row r="613" spans="8:9" x14ac:dyDescent="0.35">
      <c r="H613" s="39">
        <v>6.3888888888888884E-2</v>
      </c>
      <c r="I613">
        <v>1</v>
      </c>
    </row>
    <row r="614" spans="8:9" x14ac:dyDescent="0.35">
      <c r="H614" s="38">
        <v>2.9861111111111113E-2</v>
      </c>
      <c r="I614">
        <v>1</v>
      </c>
    </row>
    <row r="615" spans="8:9" x14ac:dyDescent="0.35">
      <c r="H615" s="39">
        <v>2.5694444444444443E-2</v>
      </c>
      <c r="I615">
        <v>1</v>
      </c>
    </row>
    <row r="616" spans="8:9" x14ac:dyDescent="0.35">
      <c r="H616" s="38">
        <v>8.3333333333333329E-2</v>
      </c>
      <c r="I616">
        <v>1</v>
      </c>
    </row>
    <row r="617" spans="8:9" x14ac:dyDescent="0.35">
      <c r="H617" s="39">
        <v>4.4444444444444446E-2</v>
      </c>
      <c r="I617">
        <v>1</v>
      </c>
    </row>
    <row r="618" spans="8:9" x14ac:dyDescent="0.35">
      <c r="H618" s="38">
        <v>3.5416666666666666E-2</v>
      </c>
      <c r="I618">
        <v>1</v>
      </c>
    </row>
    <row r="619" spans="8:9" x14ac:dyDescent="0.35">
      <c r="H619" s="39">
        <v>7.013888888888889E-2</v>
      </c>
      <c r="I619">
        <v>1</v>
      </c>
    </row>
    <row r="620" spans="8:9" x14ac:dyDescent="0.35">
      <c r="H620" s="38">
        <v>3.3333333333333333E-2</v>
      </c>
      <c r="I620">
        <v>1</v>
      </c>
    </row>
    <row r="621" spans="8:9" x14ac:dyDescent="0.35">
      <c r="H621" s="39">
        <v>6.805555555555555E-2</v>
      </c>
      <c r="I621">
        <v>0</v>
      </c>
    </row>
    <row r="622" spans="8:9" x14ac:dyDescent="0.35">
      <c r="H622" s="38">
        <v>3.4027777777777775E-2</v>
      </c>
      <c r="I622">
        <v>1</v>
      </c>
    </row>
    <row r="623" spans="8:9" x14ac:dyDescent="0.35">
      <c r="H623" s="39">
        <v>0.10972222222222222</v>
      </c>
      <c r="I623">
        <v>0</v>
      </c>
    </row>
    <row r="624" spans="8:9" x14ac:dyDescent="0.35">
      <c r="H624" s="38">
        <v>9.7916666666666666E-2</v>
      </c>
      <c r="I624">
        <v>1</v>
      </c>
    </row>
    <row r="625" spans="8:9" x14ac:dyDescent="0.35">
      <c r="H625" s="39">
        <v>5.6250000000000001E-2</v>
      </c>
      <c r="I625">
        <v>1</v>
      </c>
    </row>
    <row r="626" spans="8:9" x14ac:dyDescent="0.35">
      <c r="H626" s="38">
        <v>7.4999999999999997E-2</v>
      </c>
      <c r="I626">
        <v>1</v>
      </c>
    </row>
    <row r="627" spans="8:9" x14ac:dyDescent="0.35">
      <c r="H627" s="39">
        <v>4.5138888888888888E-2</v>
      </c>
      <c r="I627">
        <v>1</v>
      </c>
    </row>
    <row r="628" spans="8:9" x14ac:dyDescent="0.35">
      <c r="H628" s="38">
        <v>7.9861111111111105E-2</v>
      </c>
      <c r="I628">
        <v>1</v>
      </c>
    </row>
    <row r="629" spans="8:9" x14ac:dyDescent="0.35">
      <c r="H629" s="39">
        <v>0.1125</v>
      </c>
      <c r="I629">
        <v>1</v>
      </c>
    </row>
    <row r="630" spans="8:9" x14ac:dyDescent="0.35">
      <c r="H630" s="38">
        <v>1.1805555555555555E-2</v>
      </c>
      <c r="I630">
        <v>1</v>
      </c>
    </row>
    <row r="631" spans="8:9" x14ac:dyDescent="0.35">
      <c r="H631" s="39">
        <v>2.9166666666666667E-2</v>
      </c>
      <c r="I631">
        <v>1</v>
      </c>
    </row>
    <row r="632" spans="8:9" x14ac:dyDescent="0.35">
      <c r="H632" s="38">
        <v>0.12222222222222222</v>
      </c>
      <c r="I632">
        <v>1</v>
      </c>
    </row>
    <row r="633" spans="8:9" x14ac:dyDescent="0.35">
      <c r="H633" s="39">
        <v>0.10069444444444445</v>
      </c>
      <c r="I633">
        <v>1</v>
      </c>
    </row>
    <row r="634" spans="8:9" x14ac:dyDescent="0.35">
      <c r="H634" s="38">
        <v>4.791666666666667E-2</v>
      </c>
      <c r="I634">
        <v>1</v>
      </c>
    </row>
    <row r="635" spans="8:9" x14ac:dyDescent="0.35">
      <c r="H635" s="39">
        <v>3.125E-2</v>
      </c>
      <c r="I635">
        <v>1</v>
      </c>
    </row>
    <row r="636" spans="8:9" x14ac:dyDescent="0.35">
      <c r="H636" s="38">
        <v>1.8749999999999999E-2</v>
      </c>
      <c r="I636">
        <v>1</v>
      </c>
    </row>
    <row r="637" spans="8:9" x14ac:dyDescent="0.35">
      <c r="H637" s="39">
        <v>3.2638888888888891E-2</v>
      </c>
      <c r="I637">
        <v>1</v>
      </c>
    </row>
    <row r="638" spans="8:9" x14ac:dyDescent="0.35">
      <c r="H638" s="38">
        <v>5.7638888888888892E-2</v>
      </c>
      <c r="I638">
        <v>1</v>
      </c>
    </row>
    <row r="639" spans="8:9" x14ac:dyDescent="0.35">
      <c r="H639" s="39">
        <v>8.9583333333333334E-2</v>
      </c>
      <c r="I639">
        <v>1</v>
      </c>
    </row>
    <row r="640" spans="8:9" x14ac:dyDescent="0.35">
      <c r="H640" s="38">
        <v>0.10555555555555556</v>
      </c>
      <c r="I640">
        <v>0</v>
      </c>
    </row>
    <row r="641" spans="8:9" x14ac:dyDescent="0.35">
      <c r="H641" s="39">
        <v>3.4722222222222224E-2</v>
      </c>
      <c r="I641">
        <v>1</v>
      </c>
    </row>
    <row r="642" spans="8:9" x14ac:dyDescent="0.35">
      <c r="H642" s="38">
        <v>0.10833333333333334</v>
      </c>
      <c r="I642">
        <v>0</v>
      </c>
    </row>
    <row r="643" spans="8:9" x14ac:dyDescent="0.35">
      <c r="H643" s="39">
        <v>3.2638888888888891E-2</v>
      </c>
      <c r="I643">
        <v>1</v>
      </c>
    </row>
    <row r="644" spans="8:9" x14ac:dyDescent="0.35">
      <c r="H644" s="38">
        <v>3.5416666666666666E-2</v>
      </c>
      <c r="I644">
        <v>1</v>
      </c>
    </row>
    <row r="645" spans="8:9" x14ac:dyDescent="0.35">
      <c r="H645" s="39">
        <v>8.1944444444444445E-2</v>
      </c>
      <c r="I645">
        <v>1</v>
      </c>
    </row>
    <row r="646" spans="8:9" x14ac:dyDescent="0.35">
      <c r="H646" s="38">
        <v>6.6666666666666666E-2</v>
      </c>
      <c r="I646">
        <v>1</v>
      </c>
    </row>
    <row r="647" spans="8:9" x14ac:dyDescent="0.35">
      <c r="H647" s="39">
        <v>2.7777777777777776E-2</v>
      </c>
      <c r="I647">
        <v>1</v>
      </c>
    </row>
    <row r="648" spans="8:9" x14ac:dyDescent="0.35">
      <c r="H648" s="38">
        <v>5.5555555555555558E-3</v>
      </c>
      <c r="I648">
        <v>1</v>
      </c>
    </row>
    <row r="649" spans="8:9" x14ac:dyDescent="0.35">
      <c r="H649" s="39">
        <v>5.4166666666666669E-2</v>
      </c>
      <c r="I649">
        <v>1</v>
      </c>
    </row>
    <row r="650" spans="8:9" x14ac:dyDescent="0.35">
      <c r="H650" s="38">
        <v>0.10069444444444445</v>
      </c>
      <c r="I650">
        <v>1</v>
      </c>
    </row>
    <row r="651" spans="8:9" x14ac:dyDescent="0.35">
      <c r="H651" s="39">
        <v>5.486111111111111E-2</v>
      </c>
      <c r="I651">
        <v>1</v>
      </c>
    </row>
    <row r="652" spans="8:9" x14ac:dyDescent="0.35">
      <c r="H652" s="38">
        <v>6.7361111111111108E-2</v>
      </c>
      <c r="I652">
        <v>1</v>
      </c>
    </row>
    <row r="653" spans="8:9" x14ac:dyDescent="0.35">
      <c r="H653" s="39">
        <v>4.027777777777778E-2</v>
      </c>
      <c r="I653">
        <v>1</v>
      </c>
    </row>
    <row r="654" spans="8:9" x14ac:dyDescent="0.35">
      <c r="H654" s="38">
        <v>2.5694444444444443E-2</v>
      </c>
      <c r="I654">
        <v>1</v>
      </c>
    </row>
    <row r="655" spans="8:9" x14ac:dyDescent="0.35">
      <c r="H655" s="39">
        <v>2.9861111111111113E-2</v>
      </c>
      <c r="I655">
        <v>1</v>
      </c>
    </row>
    <row r="656" spans="8:9" x14ac:dyDescent="0.35">
      <c r="H656" s="38">
        <v>5.8333333333333334E-2</v>
      </c>
      <c r="I656">
        <v>1</v>
      </c>
    </row>
    <row r="657" spans="8:9" x14ac:dyDescent="0.35">
      <c r="H657" s="39">
        <v>5.2083333333333336E-2</v>
      </c>
      <c r="I657">
        <v>1</v>
      </c>
    </row>
    <row r="658" spans="8:9" x14ac:dyDescent="0.35">
      <c r="H658" s="38">
        <v>3.1944444444444442E-2</v>
      </c>
      <c r="I658">
        <v>1</v>
      </c>
    </row>
    <row r="659" spans="8:9" x14ac:dyDescent="0.35">
      <c r="H659" s="39">
        <v>6.1111111111111109E-2</v>
      </c>
      <c r="I659">
        <v>1</v>
      </c>
    </row>
    <row r="660" spans="8:9" x14ac:dyDescent="0.35">
      <c r="H660" s="38">
        <v>0.10347222222222222</v>
      </c>
      <c r="I660">
        <v>0</v>
      </c>
    </row>
    <row r="661" spans="8:9" x14ac:dyDescent="0.35">
      <c r="H661" s="39">
        <v>0.10902777777777778</v>
      </c>
      <c r="I661">
        <v>1</v>
      </c>
    </row>
    <row r="662" spans="8:9" x14ac:dyDescent="0.35">
      <c r="H662" s="38">
        <v>1.7361111111111112E-2</v>
      </c>
      <c r="I662">
        <v>1</v>
      </c>
    </row>
    <row r="663" spans="8:9" x14ac:dyDescent="0.35">
      <c r="H663" s="39">
        <v>0.10486111111111111</v>
      </c>
      <c r="I663">
        <v>0</v>
      </c>
    </row>
    <row r="664" spans="8:9" x14ac:dyDescent="0.35">
      <c r="H664" s="38">
        <v>4.2361111111111113E-2</v>
      </c>
      <c r="I664">
        <v>1</v>
      </c>
    </row>
    <row r="665" spans="8:9" x14ac:dyDescent="0.35">
      <c r="H665" s="39">
        <v>3.0555555555555555E-2</v>
      </c>
      <c r="I665">
        <v>1</v>
      </c>
    </row>
    <row r="666" spans="8:9" x14ac:dyDescent="0.35">
      <c r="H666" s="38">
        <v>9.4444444444444442E-2</v>
      </c>
      <c r="I666">
        <v>1</v>
      </c>
    </row>
    <row r="667" spans="8:9" x14ac:dyDescent="0.35">
      <c r="H667" s="39">
        <v>5.2083333333333336E-2</v>
      </c>
      <c r="I667">
        <v>0</v>
      </c>
    </row>
    <row r="668" spans="8:9" x14ac:dyDescent="0.35">
      <c r="H668" s="38">
        <v>5.1388888888888887E-2</v>
      </c>
      <c r="I668">
        <v>1</v>
      </c>
    </row>
    <row r="669" spans="8:9" x14ac:dyDescent="0.35">
      <c r="H669" s="39">
        <v>5.6250000000000001E-2</v>
      </c>
      <c r="I669">
        <v>1</v>
      </c>
    </row>
    <row r="670" spans="8:9" x14ac:dyDescent="0.35">
      <c r="H670" s="38">
        <v>1.2500000000000001E-2</v>
      </c>
      <c r="I670">
        <v>1</v>
      </c>
    </row>
    <row r="671" spans="8:9" x14ac:dyDescent="0.35">
      <c r="H671" s="39">
        <v>3.5416666666666666E-2</v>
      </c>
      <c r="I671">
        <v>1</v>
      </c>
    </row>
    <row r="672" spans="8:9" x14ac:dyDescent="0.35">
      <c r="H672" s="38">
        <v>6.7361111111111108E-2</v>
      </c>
      <c r="I672">
        <v>1</v>
      </c>
    </row>
    <row r="673" spans="8:9" x14ac:dyDescent="0.35">
      <c r="H673" s="39">
        <v>2.5000000000000001E-2</v>
      </c>
      <c r="I673">
        <v>1</v>
      </c>
    </row>
    <row r="674" spans="8:9" x14ac:dyDescent="0.35">
      <c r="H674" s="38">
        <v>2.7083333333333334E-2</v>
      </c>
      <c r="I674">
        <v>1</v>
      </c>
    </row>
    <row r="675" spans="8:9" x14ac:dyDescent="0.35">
      <c r="H675" s="39">
        <v>3.2638888888888891E-2</v>
      </c>
      <c r="I675">
        <v>1</v>
      </c>
    </row>
    <row r="676" spans="8:9" x14ac:dyDescent="0.35">
      <c r="H676" s="38">
        <v>7.5694444444444439E-2</v>
      </c>
      <c r="I676">
        <v>1</v>
      </c>
    </row>
    <row r="677" spans="8:9" x14ac:dyDescent="0.35">
      <c r="H677" s="39">
        <v>5.2777777777777778E-2</v>
      </c>
      <c r="I677">
        <v>1</v>
      </c>
    </row>
    <row r="678" spans="8:9" x14ac:dyDescent="0.35">
      <c r="H678" s="38">
        <v>6.1111111111111109E-2</v>
      </c>
      <c r="I678">
        <v>1</v>
      </c>
    </row>
    <row r="679" spans="8:9" x14ac:dyDescent="0.35">
      <c r="H679" s="39">
        <v>3.4722222222222224E-2</v>
      </c>
      <c r="I679">
        <v>1</v>
      </c>
    </row>
    <row r="680" spans="8:9" x14ac:dyDescent="0.35">
      <c r="H680" s="38">
        <v>0.10416666666666667</v>
      </c>
      <c r="I680">
        <v>0</v>
      </c>
    </row>
    <row r="681" spans="8:9" x14ac:dyDescent="0.35">
      <c r="H681" s="39">
        <v>3.0555555555555555E-2</v>
      </c>
      <c r="I681">
        <v>1</v>
      </c>
    </row>
    <row r="682" spans="8:9" x14ac:dyDescent="0.35">
      <c r="H682" s="38">
        <v>2.5000000000000001E-2</v>
      </c>
      <c r="I682">
        <v>1</v>
      </c>
    </row>
    <row r="683" spans="8:9" x14ac:dyDescent="0.35">
      <c r="H683" s="39">
        <v>7.6388888888888895E-2</v>
      </c>
      <c r="I683">
        <v>1</v>
      </c>
    </row>
    <row r="684" spans="8:9" x14ac:dyDescent="0.35">
      <c r="H684" s="38">
        <v>9.3055555555555558E-2</v>
      </c>
      <c r="I684">
        <v>1</v>
      </c>
    </row>
    <row r="685" spans="8:9" x14ac:dyDescent="0.35">
      <c r="H685" s="39">
        <v>3.3333333333333333E-2</v>
      </c>
      <c r="I685">
        <v>1</v>
      </c>
    </row>
    <row r="686" spans="8:9" x14ac:dyDescent="0.35">
      <c r="H686" s="38">
        <v>2.1527777777777778E-2</v>
      </c>
      <c r="I686">
        <v>1</v>
      </c>
    </row>
    <row r="687" spans="8:9" x14ac:dyDescent="0.35">
      <c r="H687" s="39">
        <v>3.125E-2</v>
      </c>
      <c r="I687">
        <v>1</v>
      </c>
    </row>
    <row r="688" spans="8:9" x14ac:dyDescent="0.35">
      <c r="H688" s="38">
        <v>9.375E-2</v>
      </c>
      <c r="I688">
        <v>1</v>
      </c>
    </row>
    <row r="689" spans="8:9" x14ac:dyDescent="0.35">
      <c r="H689" s="39">
        <v>5.9027777777777776E-2</v>
      </c>
      <c r="I689">
        <v>1</v>
      </c>
    </row>
    <row r="690" spans="8:9" x14ac:dyDescent="0.35">
      <c r="H690" s="38">
        <v>6.0416666666666667E-2</v>
      </c>
      <c r="I690">
        <v>1</v>
      </c>
    </row>
    <row r="691" spans="8:9" x14ac:dyDescent="0.35">
      <c r="H691" s="39">
        <v>6.8750000000000006E-2</v>
      </c>
      <c r="I691">
        <v>1</v>
      </c>
    </row>
    <row r="692" spans="8:9" x14ac:dyDescent="0.35">
      <c r="H692" s="38">
        <v>2.7777777777777776E-2</v>
      </c>
      <c r="I692">
        <v>1</v>
      </c>
    </row>
    <row r="693" spans="8:9" x14ac:dyDescent="0.35">
      <c r="H693" s="39">
        <v>1.8749999999999999E-2</v>
      </c>
      <c r="I693">
        <v>1</v>
      </c>
    </row>
    <row r="694" spans="8:9" x14ac:dyDescent="0.35">
      <c r="H694" s="38">
        <v>8.3333333333333332E-3</v>
      </c>
      <c r="I694">
        <v>1</v>
      </c>
    </row>
    <row r="695" spans="8:9" x14ac:dyDescent="0.35">
      <c r="H695" s="39">
        <v>7.9861111111111105E-2</v>
      </c>
      <c r="I695">
        <v>1</v>
      </c>
    </row>
    <row r="696" spans="8:9" x14ac:dyDescent="0.35">
      <c r="H696" s="38">
        <v>4.791666666666667E-2</v>
      </c>
      <c r="I696">
        <v>1</v>
      </c>
    </row>
    <row r="697" spans="8:9" x14ac:dyDescent="0.35">
      <c r="H697" s="39">
        <v>5.2083333333333336E-2</v>
      </c>
      <c r="I697">
        <v>1</v>
      </c>
    </row>
    <row r="698" spans="8:9" x14ac:dyDescent="0.35">
      <c r="H698" s="38">
        <v>6.5972222222222224E-2</v>
      </c>
      <c r="I698">
        <v>0</v>
      </c>
    </row>
    <row r="699" spans="8:9" x14ac:dyDescent="0.35">
      <c r="H699" s="39">
        <v>5.4166666666666669E-2</v>
      </c>
      <c r="I699">
        <v>1</v>
      </c>
    </row>
    <row r="700" spans="8:9" x14ac:dyDescent="0.35">
      <c r="H700" s="38">
        <v>6.458333333333334E-2</v>
      </c>
      <c r="I700">
        <v>1</v>
      </c>
    </row>
    <row r="701" spans="8:9" x14ac:dyDescent="0.35">
      <c r="H701" s="39">
        <v>4.5138888888888888E-2</v>
      </c>
      <c r="I701">
        <v>1</v>
      </c>
    </row>
    <row r="702" spans="8:9" x14ac:dyDescent="0.35">
      <c r="H702" s="38">
        <v>8.4027777777777785E-2</v>
      </c>
      <c r="I702">
        <v>1</v>
      </c>
    </row>
    <row r="703" spans="8:9" x14ac:dyDescent="0.35">
      <c r="H703" s="39">
        <v>8.4027777777777785E-2</v>
      </c>
      <c r="I703">
        <v>1</v>
      </c>
    </row>
    <row r="704" spans="8:9" x14ac:dyDescent="0.35">
      <c r="H704" s="38">
        <v>0.10277777777777777</v>
      </c>
      <c r="I704">
        <v>0</v>
      </c>
    </row>
    <row r="705" spans="8:9" x14ac:dyDescent="0.35">
      <c r="H705" s="39">
        <v>8.4027777777777785E-2</v>
      </c>
      <c r="I705">
        <v>1</v>
      </c>
    </row>
    <row r="706" spans="8:9" x14ac:dyDescent="0.35">
      <c r="H706" s="38">
        <v>7.3611111111111113E-2</v>
      </c>
      <c r="I706">
        <v>1</v>
      </c>
    </row>
    <row r="707" spans="8:9" x14ac:dyDescent="0.35">
      <c r="H707" s="39">
        <v>7.7083333333333337E-2</v>
      </c>
      <c r="I707">
        <v>1</v>
      </c>
    </row>
    <row r="708" spans="8:9" x14ac:dyDescent="0.35">
      <c r="H708" s="38">
        <v>4.5138888888888888E-2</v>
      </c>
      <c r="I708">
        <v>1</v>
      </c>
    </row>
    <row r="709" spans="8:9" x14ac:dyDescent="0.35">
      <c r="H709" s="39">
        <v>2.9861111111111113E-2</v>
      </c>
      <c r="I709">
        <v>1</v>
      </c>
    </row>
    <row r="710" spans="8:9" x14ac:dyDescent="0.35">
      <c r="H710" s="38">
        <v>5.6944444444444443E-2</v>
      </c>
      <c r="I710">
        <v>1</v>
      </c>
    </row>
    <row r="711" spans="8:9" x14ac:dyDescent="0.35">
      <c r="H711" s="39">
        <v>7.6388888888888895E-2</v>
      </c>
      <c r="I711">
        <v>0</v>
      </c>
    </row>
    <row r="712" spans="8:9" x14ac:dyDescent="0.35">
      <c r="H712" s="38">
        <v>1.1805555555555555E-2</v>
      </c>
      <c r="I712">
        <v>1</v>
      </c>
    </row>
    <row r="713" spans="8:9" x14ac:dyDescent="0.35">
      <c r="H713" s="39">
        <v>4.027777777777778E-2</v>
      </c>
      <c r="I713">
        <v>1</v>
      </c>
    </row>
    <row r="714" spans="8:9" x14ac:dyDescent="0.35">
      <c r="H714" s="38">
        <v>2.013888888888889E-2</v>
      </c>
      <c r="I714">
        <v>1</v>
      </c>
    </row>
    <row r="715" spans="8:9" x14ac:dyDescent="0.35">
      <c r="H715" s="39">
        <v>9.7222222222222224E-3</v>
      </c>
      <c r="I715">
        <v>1</v>
      </c>
    </row>
    <row r="716" spans="8:9" x14ac:dyDescent="0.35">
      <c r="H716" s="38">
        <v>2.013888888888889E-2</v>
      </c>
      <c r="I716">
        <v>1</v>
      </c>
    </row>
    <row r="717" spans="8:9" x14ac:dyDescent="0.35">
      <c r="H717" s="39">
        <v>9.930555555555555E-2</v>
      </c>
      <c r="I717">
        <v>1</v>
      </c>
    </row>
    <row r="718" spans="8:9" x14ac:dyDescent="0.35">
      <c r="H718" s="38">
        <v>2.361111111111111E-2</v>
      </c>
      <c r="I718">
        <v>1</v>
      </c>
    </row>
    <row r="719" spans="8:9" x14ac:dyDescent="0.35">
      <c r="H719" s="39">
        <v>6.9444444444444448E-2</v>
      </c>
      <c r="I719">
        <v>1</v>
      </c>
    </row>
    <row r="720" spans="8:9" x14ac:dyDescent="0.35">
      <c r="H720" s="38">
        <v>3.0555555555555555E-2</v>
      </c>
      <c r="I720">
        <v>1</v>
      </c>
    </row>
    <row r="721" spans="8:9" x14ac:dyDescent="0.35">
      <c r="H721" s="39">
        <v>8.8888888888888892E-2</v>
      </c>
      <c r="I721">
        <v>1</v>
      </c>
    </row>
    <row r="722" spans="8:9" x14ac:dyDescent="0.35">
      <c r="H722" s="38">
        <v>2.5694444444444443E-2</v>
      </c>
      <c r="I722">
        <v>1</v>
      </c>
    </row>
    <row r="723" spans="8:9" x14ac:dyDescent="0.35">
      <c r="H723" s="39">
        <v>1.5972222222222221E-2</v>
      </c>
      <c r="I723">
        <v>1</v>
      </c>
    </row>
    <row r="724" spans="8:9" x14ac:dyDescent="0.35">
      <c r="H724" s="38">
        <v>7.4305555555555555E-2</v>
      </c>
      <c r="I724">
        <v>1</v>
      </c>
    </row>
    <row r="725" spans="8:9" x14ac:dyDescent="0.35">
      <c r="H725" s="39">
        <v>7.013888888888889E-2</v>
      </c>
      <c r="I725">
        <v>1</v>
      </c>
    </row>
    <row r="726" spans="8:9" x14ac:dyDescent="0.35">
      <c r="H726" s="38">
        <v>7.6388888888888886E-3</v>
      </c>
      <c r="I726">
        <v>1</v>
      </c>
    </row>
    <row r="727" spans="8:9" x14ac:dyDescent="0.35">
      <c r="H727" s="39">
        <v>5.9722222222222225E-2</v>
      </c>
      <c r="I727">
        <v>1</v>
      </c>
    </row>
    <row r="728" spans="8:9" x14ac:dyDescent="0.35">
      <c r="H728" s="38">
        <v>6.7361111111111108E-2</v>
      </c>
      <c r="I728">
        <v>1</v>
      </c>
    </row>
    <row r="729" spans="8:9" x14ac:dyDescent="0.35">
      <c r="H729" s="39">
        <v>0.1076388888888889</v>
      </c>
      <c r="I729">
        <v>1</v>
      </c>
    </row>
    <row r="730" spans="8:9" x14ac:dyDescent="0.35">
      <c r="H730" s="38">
        <v>2.013888888888889E-2</v>
      </c>
      <c r="I730">
        <v>1</v>
      </c>
    </row>
    <row r="731" spans="8:9" x14ac:dyDescent="0.35">
      <c r="H731" s="39">
        <v>2.6388888888888889E-2</v>
      </c>
      <c r="I731">
        <v>1</v>
      </c>
    </row>
    <row r="732" spans="8:9" x14ac:dyDescent="0.35">
      <c r="H732" s="38">
        <v>2.2916666666666665E-2</v>
      </c>
      <c r="I732">
        <v>1</v>
      </c>
    </row>
    <row r="733" spans="8:9" x14ac:dyDescent="0.35">
      <c r="H733" s="39">
        <v>2.2916666666666665E-2</v>
      </c>
      <c r="I733">
        <v>1</v>
      </c>
    </row>
    <row r="734" spans="8:9" x14ac:dyDescent="0.35">
      <c r="H734" s="38">
        <v>9.5138888888888884E-2</v>
      </c>
      <c r="I734">
        <v>1</v>
      </c>
    </row>
    <row r="735" spans="8:9" x14ac:dyDescent="0.35">
      <c r="H735" s="39">
        <v>1.6666666666666666E-2</v>
      </c>
      <c r="I735">
        <v>1</v>
      </c>
    </row>
    <row r="736" spans="8:9" x14ac:dyDescent="0.35">
      <c r="H736" s="38">
        <v>6.805555555555555E-2</v>
      </c>
      <c r="I736">
        <v>1</v>
      </c>
    </row>
    <row r="737" spans="8:9" x14ac:dyDescent="0.35">
      <c r="H737" s="39">
        <v>9.7222222222222224E-2</v>
      </c>
      <c r="I737">
        <v>0</v>
      </c>
    </row>
    <row r="738" spans="8:9" x14ac:dyDescent="0.35">
      <c r="H738" s="38">
        <v>4.0972222222222222E-2</v>
      </c>
      <c r="I738">
        <v>1</v>
      </c>
    </row>
    <row r="739" spans="8:9" x14ac:dyDescent="0.35">
      <c r="H739" s="39">
        <v>3.4027777777777775E-2</v>
      </c>
      <c r="I739">
        <v>1</v>
      </c>
    </row>
    <row r="740" spans="8:9" x14ac:dyDescent="0.35">
      <c r="H740" s="38">
        <v>8.6805555555555552E-2</v>
      </c>
      <c r="I740">
        <v>1</v>
      </c>
    </row>
    <row r="741" spans="8:9" x14ac:dyDescent="0.35">
      <c r="H741" s="39">
        <v>4.3749999999999997E-2</v>
      </c>
      <c r="I741">
        <v>1</v>
      </c>
    </row>
    <row r="742" spans="8:9" x14ac:dyDescent="0.35">
      <c r="H742" s="38">
        <v>9.4444444444444442E-2</v>
      </c>
      <c r="I742">
        <v>1</v>
      </c>
    </row>
    <row r="743" spans="8:9" x14ac:dyDescent="0.35">
      <c r="H743" s="39">
        <v>6.25E-2</v>
      </c>
      <c r="I743">
        <v>1</v>
      </c>
    </row>
    <row r="744" spans="8:9" x14ac:dyDescent="0.35">
      <c r="H744" s="38">
        <v>0.05</v>
      </c>
      <c r="I744">
        <v>1</v>
      </c>
    </row>
    <row r="745" spans="8:9" x14ac:dyDescent="0.35">
      <c r="H745" s="39">
        <v>4.027777777777778E-2</v>
      </c>
      <c r="I745">
        <v>1</v>
      </c>
    </row>
    <row r="746" spans="8:9" x14ac:dyDescent="0.35">
      <c r="H746" s="38">
        <v>4.8611111111111112E-2</v>
      </c>
      <c r="I746">
        <v>1</v>
      </c>
    </row>
    <row r="747" spans="8:9" x14ac:dyDescent="0.35">
      <c r="H747" s="39">
        <v>9.2361111111111116E-2</v>
      </c>
      <c r="I747">
        <v>1</v>
      </c>
    </row>
    <row r="748" spans="8:9" x14ac:dyDescent="0.35">
      <c r="H748" s="38">
        <v>9.2361111111111116E-2</v>
      </c>
      <c r="I748">
        <v>1</v>
      </c>
    </row>
    <row r="749" spans="8:9" x14ac:dyDescent="0.35">
      <c r="H749" s="39">
        <v>4.0972222222222222E-2</v>
      </c>
      <c r="I749">
        <v>1</v>
      </c>
    </row>
    <row r="750" spans="8:9" x14ac:dyDescent="0.35">
      <c r="H750" s="38">
        <v>2.1527777777777778E-2</v>
      </c>
      <c r="I750">
        <v>1</v>
      </c>
    </row>
    <row r="751" spans="8:9" x14ac:dyDescent="0.35">
      <c r="H751" s="39">
        <v>3.888888888888889E-2</v>
      </c>
      <c r="I751">
        <v>1</v>
      </c>
    </row>
    <row r="752" spans="8:9" x14ac:dyDescent="0.35">
      <c r="H752" s="38">
        <v>5.9027777777777776E-2</v>
      </c>
      <c r="I752">
        <v>1</v>
      </c>
    </row>
    <row r="753" spans="8:9" x14ac:dyDescent="0.35">
      <c r="H753" s="39">
        <v>5.1388888888888887E-2</v>
      </c>
      <c r="I753">
        <v>1</v>
      </c>
    </row>
    <row r="754" spans="8:9" x14ac:dyDescent="0.35">
      <c r="H754" s="38">
        <v>1.4583333333333334E-2</v>
      </c>
      <c r="I754">
        <v>1</v>
      </c>
    </row>
    <row r="755" spans="8:9" x14ac:dyDescent="0.35">
      <c r="H755" s="39">
        <v>0.05</v>
      </c>
      <c r="I755">
        <v>1</v>
      </c>
    </row>
    <row r="756" spans="8:9" x14ac:dyDescent="0.35">
      <c r="H756" s="38">
        <v>4.5138888888888888E-2</v>
      </c>
      <c r="I756">
        <v>1</v>
      </c>
    </row>
    <row r="757" spans="8:9" x14ac:dyDescent="0.35">
      <c r="H757" s="39">
        <v>5.486111111111111E-2</v>
      </c>
      <c r="I757">
        <v>1</v>
      </c>
    </row>
    <row r="758" spans="8:9" x14ac:dyDescent="0.35">
      <c r="H758" s="38">
        <v>3.2638888888888891E-2</v>
      </c>
      <c r="I758">
        <v>1</v>
      </c>
    </row>
    <row r="759" spans="8:9" x14ac:dyDescent="0.35">
      <c r="H759" s="39">
        <v>8.4027777777777785E-2</v>
      </c>
      <c r="I759">
        <v>1</v>
      </c>
    </row>
    <row r="760" spans="8:9" x14ac:dyDescent="0.35">
      <c r="H760" s="38">
        <v>5.1388888888888887E-2</v>
      </c>
      <c r="I760">
        <v>1</v>
      </c>
    </row>
    <row r="761" spans="8:9" x14ac:dyDescent="0.35">
      <c r="H761" s="39">
        <v>3.6111111111111108E-2</v>
      </c>
      <c r="I761">
        <v>1</v>
      </c>
    </row>
    <row r="762" spans="8:9" x14ac:dyDescent="0.35">
      <c r="H762" s="38">
        <v>6.0416666666666667E-2</v>
      </c>
      <c r="I762">
        <v>1</v>
      </c>
    </row>
    <row r="763" spans="8:9" x14ac:dyDescent="0.35">
      <c r="H763" s="39">
        <v>6.3888888888888884E-2</v>
      </c>
      <c r="I763">
        <v>1</v>
      </c>
    </row>
    <row r="764" spans="8:9" x14ac:dyDescent="0.35">
      <c r="H764" s="38">
        <v>1.5277777777777777E-2</v>
      </c>
      <c r="I764">
        <v>1</v>
      </c>
    </row>
    <row r="765" spans="8:9" x14ac:dyDescent="0.35">
      <c r="H765" s="39">
        <v>6.5277777777777782E-2</v>
      </c>
      <c r="I765">
        <v>0</v>
      </c>
    </row>
    <row r="766" spans="8:9" x14ac:dyDescent="0.35">
      <c r="H766" s="38">
        <v>3.7499999999999999E-2</v>
      </c>
      <c r="I766">
        <v>1</v>
      </c>
    </row>
    <row r="767" spans="8:9" x14ac:dyDescent="0.35">
      <c r="H767" s="39">
        <v>7.8472222222222221E-2</v>
      </c>
      <c r="I767">
        <v>1</v>
      </c>
    </row>
    <row r="768" spans="8:9" x14ac:dyDescent="0.35">
      <c r="H768" s="38">
        <v>0.11458333333333333</v>
      </c>
      <c r="I768">
        <v>1</v>
      </c>
    </row>
    <row r="769" spans="8:9" x14ac:dyDescent="0.35">
      <c r="H769" s="39">
        <v>0.10069444444444445</v>
      </c>
      <c r="I769">
        <v>0</v>
      </c>
    </row>
    <row r="770" spans="8:9" x14ac:dyDescent="0.35">
      <c r="H770" s="38">
        <v>9.930555555555555E-2</v>
      </c>
      <c r="I770">
        <v>1</v>
      </c>
    </row>
    <row r="771" spans="8:9" x14ac:dyDescent="0.35">
      <c r="H771" s="39">
        <v>4.6527777777777779E-2</v>
      </c>
      <c r="I771">
        <v>1</v>
      </c>
    </row>
    <row r="772" spans="8:9" x14ac:dyDescent="0.35">
      <c r="H772" s="38">
        <v>5.0694444444444445E-2</v>
      </c>
      <c r="I772">
        <v>1</v>
      </c>
    </row>
    <row r="773" spans="8:9" x14ac:dyDescent="0.35">
      <c r="H773" s="39">
        <v>5.347222222222222E-2</v>
      </c>
      <c r="I773">
        <v>1</v>
      </c>
    </row>
    <row r="774" spans="8:9" x14ac:dyDescent="0.35">
      <c r="H774" s="38">
        <v>1.9444444444444445E-2</v>
      </c>
      <c r="I774">
        <v>1</v>
      </c>
    </row>
    <row r="775" spans="8:9" x14ac:dyDescent="0.35">
      <c r="H775" s="39">
        <v>2.5694444444444443E-2</v>
      </c>
      <c r="I775">
        <v>1</v>
      </c>
    </row>
    <row r="776" spans="8:9" x14ac:dyDescent="0.35">
      <c r="H776" s="38">
        <v>5.5555555555555558E-3</v>
      </c>
      <c r="I776">
        <v>1</v>
      </c>
    </row>
    <row r="777" spans="8:9" x14ac:dyDescent="0.35">
      <c r="H777" s="39">
        <v>5.9722222222222225E-2</v>
      </c>
      <c r="I777">
        <v>0</v>
      </c>
    </row>
    <row r="778" spans="8:9" x14ac:dyDescent="0.35">
      <c r="H778" s="38">
        <v>6.0416666666666667E-2</v>
      </c>
      <c r="I778">
        <v>1</v>
      </c>
    </row>
    <row r="779" spans="8:9" x14ac:dyDescent="0.35">
      <c r="H779" s="39">
        <v>2.0833333333333332E-2</v>
      </c>
      <c r="I779">
        <v>1</v>
      </c>
    </row>
    <row r="780" spans="8:9" x14ac:dyDescent="0.35">
      <c r="H780" s="38">
        <v>8.8888888888888892E-2</v>
      </c>
      <c r="I780">
        <v>1</v>
      </c>
    </row>
    <row r="781" spans="8:9" x14ac:dyDescent="0.35">
      <c r="H781" s="39">
        <v>6.1805555555555558E-2</v>
      </c>
      <c r="I781">
        <v>0</v>
      </c>
    </row>
    <row r="782" spans="8:9" x14ac:dyDescent="0.35">
      <c r="H782" s="38">
        <v>7.5694444444444439E-2</v>
      </c>
      <c r="I782">
        <v>1</v>
      </c>
    </row>
    <row r="783" spans="8:9" x14ac:dyDescent="0.35">
      <c r="H783" s="39">
        <v>2.361111111111111E-2</v>
      </c>
      <c r="I783">
        <v>1</v>
      </c>
    </row>
    <row r="784" spans="8:9" x14ac:dyDescent="0.35">
      <c r="H784" s="38">
        <v>2.7777777777777776E-2</v>
      </c>
      <c r="I784">
        <v>1</v>
      </c>
    </row>
    <row r="785" spans="8:9" x14ac:dyDescent="0.35">
      <c r="H785" s="39">
        <v>2.8472222222222222E-2</v>
      </c>
      <c r="I785">
        <v>1</v>
      </c>
    </row>
    <row r="786" spans="8:9" x14ac:dyDescent="0.35">
      <c r="H786" s="38">
        <v>0.1361111111111111</v>
      </c>
      <c r="I786">
        <v>0</v>
      </c>
    </row>
    <row r="787" spans="8:9" x14ac:dyDescent="0.35">
      <c r="H787" s="39">
        <v>1.3888888888888888E-2</v>
      </c>
      <c r="I787">
        <v>1</v>
      </c>
    </row>
    <row r="788" spans="8:9" x14ac:dyDescent="0.35">
      <c r="H788" s="38">
        <v>7.0833333333333331E-2</v>
      </c>
      <c r="I788">
        <v>0</v>
      </c>
    </row>
    <row r="789" spans="8:9" x14ac:dyDescent="0.35">
      <c r="H789" s="39">
        <v>2.013888888888889E-2</v>
      </c>
      <c r="I789">
        <v>1</v>
      </c>
    </row>
    <row r="790" spans="8:9" x14ac:dyDescent="0.35">
      <c r="H790" s="38">
        <v>2.2222222222222223E-2</v>
      </c>
      <c r="I790">
        <v>1</v>
      </c>
    </row>
    <row r="791" spans="8:9" x14ac:dyDescent="0.35">
      <c r="H791" s="39">
        <v>7.7777777777777779E-2</v>
      </c>
      <c r="I791">
        <v>1</v>
      </c>
    </row>
    <row r="792" spans="8:9" x14ac:dyDescent="0.35">
      <c r="H792" s="38">
        <v>0.11388888888888889</v>
      </c>
      <c r="I792">
        <v>0</v>
      </c>
    </row>
    <row r="793" spans="8:9" x14ac:dyDescent="0.35">
      <c r="H793" s="39">
        <v>9.3055555555555558E-2</v>
      </c>
      <c r="I793">
        <v>1</v>
      </c>
    </row>
    <row r="794" spans="8:9" x14ac:dyDescent="0.35">
      <c r="H794" s="38">
        <v>5.9027777777777776E-2</v>
      </c>
      <c r="I794">
        <v>1</v>
      </c>
    </row>
  </sheetData>
  <autoFilter ref="B4:F12" xr:uid="{C5FF1EC4-E73C-4326-9E0D-9B846466384A}"/>
  <pageMargins left="0.7" right="0.7" top="0.75" bottom="0.75" header="0.3" footer="0.3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3125-C4EB-414D-8CBA-FE9DC6EEA0B7}">
  <dimension ref="A1:AD22"/>
  <sheetViews>
    <sheetView tabSelected="1" zoomScale="49" zoomScaleNormal="106" workbookViewId="0">
      <selection activeCell="B3" sqref="B3"/>
    </sheetView>
  </sheetViews>
  <sheetFormatPr baseColWidth="10" defaultRowHeight="14.5" x14ac:dyDescent="0.35"/>
  <cols>
    <col min="1" max="1" width="10.90625" style="79"/>
    <col min="2" max="2" width="39.08984375" style="79" bestFit="1" customWidth="1"/>
    <col min="3" max="3" width="4.36328125" style="79" customWidth="1"/>
    <col min="4" max="4" width="30.453125" style="79" bestFit="1" customWidth="1"/>
    <col min="5" max="5" width="16.81640625" style="79" customWidth="1"/>
    <col min="6" max="6" width="20.453125" style="79" bestFit="1" customWidth="1"/>
    <col min="7" max="7" width="26.90625" style="79" bestFit="1" customWidth="1"/>
    <col min="8" max="8" width="19" style="79" bestFit="1" customWidth="1"/>
    <col min="9" max="9" width="24.7265625" style="79" bestFit="1" customWidth="1"/>
    <col min="10" max="10" width="19" style="79" customWidth="1"/>
    <col min="11" max="11" width="11.1796875" style="79" bestFit="1" customWidth="1"/>
    <col min="12" max="12" width="26.90625" style="79" bestFit="1" customWidth="1"/>
    <col min="13" max="13" width="19.7265625" style="79" bestFit="1" customWidth="1"/>
    <col min="14" max="18" width="10.90625" style="79"/>
    <col min="19" max="19" width="13.08984375" style="79" bestFit="1" customWidth="1"/>
    <col min="20" max="16384" width="10.90625" style="79"/>
  </cols>
  <sheetData>
    <row r="1" spans="1:30" ht="15" thickBot="1" x14ac:dyDescent="0.4"/>
    <row r="2" spans="1:30" ht="24" thickBot="1" x14ac:dyDescent="0.6">
      <c r="B2" s="80" t="s">
        <v>1833</v>
      </c>
      <c r="F2" s="73"/>
      <c r="G2" s="73"/>
      <c r="H2" s="73"/>
      <c r="I2" s="73"/>
      <c r="J2" s="73"/>
      <c r="K2" s="73"/>
    </row>
    <row r="3" spans="1:30" ht="24" thickBot="1" x14ac:dyDescent="0.6">
      <c r="B3" s="81" t="s">
        <v>1251</v>
      </c>
      <c r="D3" s="82" t="s">
        <v>1854</v>
      </c>
      <c r="F3" s="74"/>
      <c r="G3" s="75"/>
      <c r="H3" s="76"/>
      <c r="I3" s="77"/>
      <c r="J3" s="76"/>
      <c r="K3" s="78"/>
      <c r="Q3" s="74"/>
      <c r="R3" s="75"/>
      <c r="S3" s="76"/>
      <c r="T3" s="77"/>
      <c r="U3" s="76"/>
      <c r="V3" s="78"/>
    </row>
    <row r="4" spans="1:30" ht="26.5" thickBot="1" x14ac:dyDescent="0.4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3"/>
      <c r="P4" s="88" t="s">
        <v>1847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4"/>
    </row>
    <row r="5" spans="1:30" ht="24" thickBot="1" x14ac:dyDescent="0.4">
      <c r="A5" s="44"/>
      <c r="B5" s="70" t="s">
        <v>1861</v>
      </c>
      <c r="C5" s="53"/>
      <c r="D5" s="70" t="s">
        <v>1845</v>
      </c>
      <c r="E5" s="53"/>
      <c r="F5" s="54"/>
      <c r="G5" s="53"/>
      <c r="H5" s="53"/>
      <c r="I5" s="53"/>
      <c r="J5" s="53"/>
      <c r="K5" s="53"/>
      <c r="L5" s="53"/>
      <c r="M5" s="53"/>
      <c r="N5" s="45"/>
      <c r="P5" s="85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7"/>
    </row>
    <row r="6" spans="1:30" ht="18.5" customHeight="1" x14ac:dyDescent="0.35">
      <c r="A6" s="44"/>
      <c r="B6" s="64">
        <f>_xlfn.XLOOKUP(Dashboard!B3,'Tablas dinámicas'!G3:G11,'Tablas dinámicas'!H3:H11)</f>
        <v>8228</v>
      </c>
      <c r="C6" s="53"/>
      <c r="D6" s="68">
        <f>_xlfn.XLOOKUP(Dashboard!B3,'Tablas dash'!E28:E34,'Tablas dash'!F28:F34)</f>
        <v>5.5335022522522509E-2</v>
      </c>
      <c r="E6" s="53"/>
      <c r="F6" s="53"/>
      <c r="G6" s="53"/>
      <c r="H6" s="53"/>
      <c r="I6" s="53"/>
      <c r="J6" s="53"/>
      <c r="K6" s="53"/>
      <c r="L6" s="53"/>
      <c r="M6" s="53"/>
      <c r="N6" s="45"/>
      <c r="P6" s="89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7"/>
    </row>
    <row r="7" spans="1:30" ht="23.5" customHeight="1" thickBot="1" x14ac:dyDescent="0.4">
      <c r="A7" s="44"/>
      <c r="B7" s="65"/>
      <c r="C7" s="53"/>
      <c r="D7" s="69"/>
      <c r="E7" s="53"/>
      <c r="F7" s="53"/>
      <c r="G7" s="53"/>
      <c r="H7" s="53"/>
      <c r="I7" s="53"/>
      <c r="J7" s="53"/>
      <c r="K7" s="53"/>
      <c r="L7" s="53"/>
      <c r="M7" s="53"/>
      <c r="N7" s="45"/>
      <c r="P7" s="89" t="s">
        <v>1848</v>
      </c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1"/>
    </row>
    <row r="8" spans="1:30" ht="26.5" thickBot="1" x14ac:dyDescent="0.4">
      <c r="A8" s="44"/>
      <c r="B8" s="46"/>
      <c r="C8" s="46"/>
      <c r="D8" s="53"/>
      <c r="E8" s="53"/>
      <c r="F8" s="53"/>
      <c r="G8" s="53"/>
      <c r="H8" s="53"/>
      <c r="I8" s="53"/>
      <c r="J8" s="53"/>
      <c r="K8" s="53"/>
      <c r="L8" s="53"/>
      <c r="M8" s="53"/>
      <c r="N8" s="45"/>
      <c r="P8" s="89" t="s">
        <v>1846</v>
      </c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1"/>
    </row>
    <row r="9" spans="1:30" ht="22" customHeight="1" thickBot="1" x14ac:dyDescent="0.6">
      <c r="A9" s="44"/>
      <c r="B9" s="71" t="s">
        <v>1858</v>
      </c>
      <c r="C9" s="46"/>
      <c r="D9" s="72" t="s">
        <v>1856</v>
      </c>
      <c r="E9" s="53"/>
      <c r="F9" s="53"/>
      <c r="G9" s="53"/>
      <c r="H9" s="53"/>
      <c r="I9" s="53"/>
      <c r="J9" s="53"/>
      <c r="K9" s="53"/>
      <c r="L9" s="53"/>
      <c r="M9" s="53"/>
      <c r="N9" s="45"/>
      <c r="P9" s="89" t="s">
        <v>1852</v>
      </c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1"/>
    </row>
    <row r="10" spans="1:30" ht="33" customHeight="1" thickBot="1" x14ac:dyDescent="0.4">
      <c r="A10" s="44"/>
      <c r="B10" s="66">
        <f>_xlfn.XLOOKUP(B3,'Tablas dash'!R15:R21,'Tablas dash'!S15:S21)</f>
        <v>55.594594594594597</v>
      </c>
      <c r="C10" s="46"/>
      <c r="D10" s="67">
        <f>_xlfn.XLOOKUP(B3,'Tablas dash'!O15:O21,'Tablas dash'!P15:P21)</f>
        <v>557</v>
      </c>
      <c r="E10" s="53"/>
      <c r="F10" s="53"/>
      <c r="G10" s="53"/>
      <c r="H10" s="53"/>
      <c r="I10" s="53"/>
      <c r="J10" s="53"/>
      <c r="K10" s="53"/>
      <c r="L10" s="53"/>
      <c r="M10" s="53"/>
      <c r="N10" s="45"/>
      <c r="P10" s="89" t="s">
        <v>1849</v>
      </c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1"/>
    </row>
    <row r="11" spans="1:30" ht="26" x14ac:dyDescent="0.55000000000000004">
      <c r="A11" s="44"/>
      <c r="B11" s="53"/>
      <c r="C11" s="53"/>
      <c r="D11" s="53"/>
      <c r="E11" s="53"/>
      <c r="F11" s="53"/>
      <c r="G11" s="53"/>
      <c r="H11" s="53"/>
      <c r="I11" s="53" t="s">
        <v>1843</v>
      </c>
      <c r="J11" s="53"/>
      <c r="K11" s="53"/>
      <c r="L11" s="55" t="s">
        <v>1867</v>
      </c>
      <c r="M11" s="58">
        <v>767</v>
      </c>
      <c r="N11" s="45"/>
      <c r="P11" s="89" t="s">
        <v>1850</v>
      </c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1"/>
    </row>
    <row r="12" spans="1:30" ht="22" customHeight="1" x14ac:dyDescent="0.35">
      <c r="A12" s="4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59"/>
      <c r="N12" s="45"/>
      <c r="P12" s="89" t="s">
        <v>1853</v>
      </c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1"/>
    </row>
    <row r="13" spans="1:30" ht="26.5" thickBot="1" x14ac:dyDescent="0.6">
      <c r="A13" s="44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6" t="s">
        <v>1868</v>
      </c>
      <c r="M13" s="60">
        <v>3</v>
      </c>
      <c r="N13" s="45"/>
      <c r="P13" s="92" t="s">
        <v>1851</v>
      </c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4"/>
    </row>
    <row r="14" spans="1:30" x14ac:dyDescent="0.35">
      <c r="A14" s="44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59"/>
      <c r="N14" s="45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 ht="23.5" x14ac:dyDescent="0.55000000000000004">
      <c r="A15" s="44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6" t="s">
        <v>1855</v>
      </c>
      <c r="M15" s="61">
        <v>55.91</v>
      </c>
      <c r="N15" s="45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 x14ac:dyDescent="0.35">
      <c r="A16" s="44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44"/>
      <c r="M16" s="59"/>
      <c r="N16" s="45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14" ht="23.5" x14ac:dyDescent="0.55000000000000004">
      <c r="A17" s="44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6" t="s">
        <v>1862</v>
      </c>
      <c r="M17" s="62">
        <v>42881</v>
      </c>
      <c r="N17" s="45"/>
    </row>
    <row r="18" spans="1:14" x14ac:dyDescent="0.35">
      <c r="A18" s="44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59"/>
      <c r="N18" s="45"/>
    </row>
    <row r="19" spans="1:14" ht="23.5" x14ac:dyDescent="0.55000000000000004">
      <c r="A19" s="44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6" t="s">
        <v>1863</v>
      </c>
      <c r="M19" s="61">
        <v>31418</v>
      </c>
      <c r="N19" s="45"/>
    </row>
    <row r="20" spans="1:14" x14ac:dyDescent="0.35">
      <c r="A20" s="44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59"/>
      <c r="N20" s="45"/>
    </row>
    <row r="21" spans="1:14" ht="24" thickBot="1" x14ac:dyDescent="0.6">
      <c r="A21" s="44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7" t="s">
        <v>1864</v>
      </c>
      <c r="M21" s="63">
        <v>0.36485454198230305</v>
      </c>
      <c r="N21" s="45"/>
    </row>
    <row r="22" spans="1:14" ht="15" thickBot="1" x14ac:dyDescent="0.4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9"/>
    </row>
  </sheetData>
  <mergeCells count="2">
    <mergeCell ref="B6:B7"/>
    <mergeCell ref="D6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928BB4-2FB7-4831-99CE-E8781348BE82}">
          <x14:formula1>
            <xm:f>'Tablas dinámicas'!$G$5:$G$11</xm:f>
          </x14:formula1>
          <xm:sqref>B3</xm:sqref>
        </x14:dataValidation>
      </x14:dataValidation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5D35-5642-40C9-B59B-E48DBEA4C2DE}">
  <dimension ref="A1:R768"/>
  <sheetViews>
    <sheetView topLeftCell="O1" workbookViewId="0">
      <selection activeCell="T1" sqref="T1"/>
    </sheetView>
  </sheetViews>
  <sheetFormatPr baseColWidth="10" defaultRowHeight="14.5" x14ac:dyDescent="0.35"/>
  <cols>
    <col min="2" max="3" width="0" hidden="1" customWidth="1"/>
    <col min="4" max="4" width="16.26953125" hidden="1" customWidth="1"/>
    <col min="5" max="5" width="15.08984375" hidden="1" customWidth="1"/>
    <col min="6" max="12" width="0" hidden="1" customWidth="1"/>
    <col min="13" max="13" width="31.90625" hidden="1" customWidth="1"/>
    <col min="14" max="14" width="0" hidden="1" customWidth="1"/>
  </cols>
  <sheetData>
    <row r="1" spans="1:18" x14ac:dyDescent="0.35">
      <c r="A1" s="15" t="s">
        <v>51</v>
      </c>
      <c r="B1" s="15" t="s">
        <v>52</v>
      </c>
      <c r="C1" s="15" t="s">
        <v>53</v>
      </c>
      <c r="D1" s="15" t="s">
        <v>54</v>
      </c>
      <c r="E1" s="15" t="s">
        <v>55</v>
      </c>
      <c r="F1" s="15" t="s">
        <v>56</v>
      </c>
      <c r="G1" s="15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P1" s="18"/>
      <c r="Q1" s="19"/>
      <c r="R1" s="20"/>
    </row>
    <row r="2" spans="1:18" x14ac:dyDescent="0.35">
      <c r="A2" s="11" t="s">
        <v>161</v>
      </c>
      <c r="B2" s="11" t="s">
        <v>162</v>
      </c>
      <c r="C2" s="11">
        <v>4</v>
      </c>
      <c r="D2" s="12">
        <v>45017.11041666667</v>
      </c>
      <c r="E2" s="12">
        <v>45017.256249999999</v>
      </c>
      <c r="F2" s="11" t="s">
        <v>72</v>
      </c>
      <c r="G2" s="11" t="s">
        <v>163</v>
      </c>
      <c r="H2" s="11" t="s">
        <v>74</v>
      </c>
      <c r="I2" s="16">
        <v>34.51</v>
      </c>
      <c r="J2" s="11" t="s">
        <v>75</v>
      </c>
      <c r="K2" s="11">
        <v>73</v>
      </c>
      <c r="L2" s="11" t="s">
        <v>164</v>
      </c>
      <c r="M2" s="11" t="s">
        <v>17</v>
      </c>
      <c r="P2" s="21"/>
      <c r="Q2" s="22"/>
      <c r="R2" s="23"/>
    </row>
    <row r="3" spans="1:18" x14ac:dyDescent="0.35">
      <c r="A3" s="11" t="s">
        <v>161</v>
      </c>
      <c r="B3" s="11" t="s">
        <v>281</v>
      </c>
      <c r="C3" s="11">
        <v>2</v>
      </c>
      <c r="D3" s="12">
        <v>45018.037499999999</v>
      </c>
      <c r="E3" s="12">
        <v>45018.197916666664</v>
      </c>
      <c r="F3" s="11" t="s">
        <v>170</v>
      </c>
      <c r="G3" s="11" t="s">
        <v>73</v>
      </c>
      <c r="H3" s="11" t="s">
        <v>74</v>
      </c>
      <c r="I3" s="16">
        <v>31.17</v>
      </c>
      <c r="J3" s="11" t="s">
        <v>88</v>
      </c>
      <c r="K3" s="11">
        <v>217</v>
      </c>
      <c r="L3" s="11" t="s">
        <v>110</v>
      </c>
      <c r="M3" s="11" t="s">
        <v>33</v>
      </c>
      <c r="P3" s="21"/>
      <c r="Q3" s="22"/>
      <c r="R3" s="23"/>
    </row>
    <row r="4" spans="1:18" x14ac:dyDescent="0.35">
      <c r="A4" s="13" t="s">
        <v>161</v>
      </c>
      <c r="B4" s="13" t="s">
        <v>453</v>
      </c>
      <c r="C4" s="13">
        <v>5</v>
      </c>
      <c r="D4" s="14">
        <v>45020.027777777781</v>
      </c>
      <c r="E4" s="14">
        <v>45020.163888888892</v>
      </c>
      <c r="F4" s="13" t="s">
        <v>85</v>
      </c>
      <c r="G4" s="13" t="s">
        <v>86</v>
      </c>
      <c r="H4" s="13" t="s">
        <v>109</v>
      </c>
      <c r="I4" s="17">
        <v>35.93</v>
      </c>
      <c r="J4" s="13" t="s">
        <v>94</v>
      </c>
      <c r="K4" s="13">
        <v>346</v>
      </c>
      <c r="L4" s="13" t="s">
        <v>164</v>
      </c>
      <c r="M4" s="13" t="s">
        <v>21</v>
      </c>
      <c r="P4" s="21"/>
      <c r="Q4" s="22"/>
      <c r="R4" s="23"/>
    </row>
    <row r="5" spans="1:18" x14ac:dyDescent="0.35">
      <c r="A5" s="13" t="s">
        <v>161</v>
      </c>
      <c r="B5" s="13" t="s">
        <v>459</v>
      </c>
      <c r="C5" s="13">
        <v>3</v>
      </c>
      <c r="D5" s="14">
        <v>45020.011805555558</v>
      </c>
      <c r="E5" s="14">
        <v>45020.120138888888</v>
      </c>
      <c r="F5" s="13" t="s">
        <v>170</v>
      </c>
      <c r="G5" s="13" t="s">
        <v>163</v>
      </c>
      <c r="H5" s="13" t="s">
        <v>87</v>
      </c>
      <c r="I5" s="17">
        <v>17.55</v>
      </c>
      <c r="J5" s="13" t="s">
        <v>94</v>
      </c>
      <c r="K5" s="13">
        <v>352</v>
      </c>
      <c r="L5" s="13" t="s">
        <v>221</v>
      </c>
      <c r="M5" s="13" t="s">
        <v>25</v>
      </c>
      <c r="P5" s="21"/>
      <c r="Q5" s="22"/>
      <c r="R5" s="23"/>
    </row>
    <row r="6" spans="1:18" x14ac:dyDescent="0.35">
      <c r="A6" s="13" t="s">
        <v>161</v>
      </c>
      <c r="B6" s="13" t="s">
        <v>463</v>
      </c>
      <c r="C6" s="13">
        <v>1</v>
      </c>
      <c r="D6" s="14">
        <v>45020.008333333331</v>
      </c>
      <c r="E6" s="14">
        <v>45020.095833333333</v>
      </c>
      <c r="F6" s="13" t="s">
        <v>170</v>
      </c>
      <c r="G6" s="13" t="s">
        <v>163</v>
      </c>
      <c r="H6" s="13" t="s">
        <v>74</v>
      </c>
      <c r="I6" s="17">
        <v>28.92</v>
      </c>
      <c r="J6" s="13" t="s">
        <v>88</v>
      </c>
      <c r="K6" s="13">
        <v>356</v>
      </c>
      <c r="L6" s="13" t="s">
        <v>89</v>
      </c>
      <c r="M6" s="13" t="s">
        <v>45</v>
      </c>
      <c r="P6" s="21"/>
      <c r="Q6" s="22"/>
      <c r="R6" s="23"/>
    </row>
    <row r="7" spans="1:18" x14ac:dyDescent="0.35">
      <c r="A7" s="11" t="s">
        <v>161</v>
      </c>
      <c r="B7" s="11" t="s">
        <v>312</v>
      </c>
      <c r="C7" s="11">
        <v>4</v>
      </c>
      <c r="D7" s="12">
        <v>45022.140972222223</v>
      </c>
      <c r="E7" s="12">
        <v>45022.293055555558</v>
      </c>
      <c r="F7" s="11" t="s">
        <v>223</v>
      </c>
      <c r="G7" s="11" t="s">
        <v>86</v>
      </c>
      <c r="H7" s="11" t="s">
        <v>74</v>
      </c>
      <c r="I7" s="16">
        <v>23.29</v>
      </c>
      <c r="J7" s="11" t="s">
        <v>94</v>
      </c>
      <c r="K7" s="11">
        <v>609</v>
      </c>
      <c r="L7" s="11" t="s">
        <v>187</v>
      </c>
      <c r="M7" s="11" t="s">
        <v>33</v>
      </c>
      <c r="P7" s="21"/>
      <c r="Q7" s="22"/>
      <c r="R7" s="23"/>
    </row>
    <row r="8" spans="1:18" x14ac:dyDescent="0.35">
      <c r="A8" s="13" t="s">
        <v>161</v>
      </c>
      <c r="B8" s="13" t="s">
        <v>778</v>
      </c>
      <c r="C8" s="13">
        <v>5</v>
      </c>
      <c r="D8" s="14">
        <v>45023.05972222222</v>
      </c>
      <c r="E8" s="14">
        <v>45023.170138888891</v>
      </c>
      <c r="F8" s="13" t="s">
        <v>85</v>
      </c>
      <c r="G8" s="13" t="s">
        <v>163</v>
      </c>
      <c r="H8" s="13" t="s">
        <v>74</v>
      </c>
      <c r="I8" s="17">
        <v>21.04</v>
      </c>
      <c r="J8" s="13" t="s">
        <v>88</v>
      </c>
      <c r="K8" s="13">
        <v>682</v>
      </c>
      <c r="L8" s="13" t="s">
        <v>275</v>
      </c>
      <c r="M8" s="13" t="s">
        <v>41</v>
      </c>
      <c r="P8" s="21"/>
      <c r="Q8" s="22"/>
      <c r="R8" s="23"/>
    </row>
    <row r="9" spans="1:18" x14ac:dyDescent="0.35">
      <c r="A9" s="11" t="s">
        <v>161</v>
      </c>
      <c r="B9" s="11" t="s">
        <v>842</v>
      </c>
      <c r="C9" s="11">
        <v>2</v>
      </c>
      <c r="D9" s="12">
        <v>45023.056250000001</v>
      </c>
      <c r="E9" s="12">
        <v>45023.119444444441</v>
      </c>
      <c r="F9" s="11" t="s">
        <v>72</v>
      </c>
      <c r="G9" s="11" t="s">
        <v>86</v>
      </c>
      <c r="H9" s="11" t="s">
        <v>109</v>
      </c>
      <c r="I9" s="16">
        <v>24.12</v>
      </c>
      <c r="J9" s="11" t="s">
        <v>88</v>
      </c>
      <c r="K9" s="11">
        <v>749</v>
      </c>
      <c r="L9" s="11" t="s">
        <v>76</v>
      </c>
      <c r="M9" s="11" t="s">
        <v>31</v>
      </c>
      <c r="P9" s="21"/>
      <c r="Q9" s="22"/>
      <c r="R9" s="23"/>
    </row>
    <row r="10" spans="1:18" x14ac:dyDescent="0.35">
      <c r="A10" s="11" t="s">
        <v>83</v>
      </c>
      <c r="B10" s="11" t="s">
        <v>84</v>
      </c>
      <c r="C10" s="11">
        <v>1</v>
      </c>
      <c r="D10" s="12">
        <v>45017.131249999999</v>
      </c>
      <c r="E10" s="12">
        <v>45017.230555555558</v>
      </c>
      <c r="F10" s="11" t="s">
        <v>85</v>
      </c>
      <c r="G10" s="11" t="s">
        <v>86</v>
      </c>
      <c r="H10" s="11" t="s">
        <v>87</v>
      </c>
      <c r="I10" s="16">
        <v>22.06</v>
      </c>
      <c r="J10" s="11" t="s">
        <v>88</v>
      </c>
      <c r="K10" s="11">
        <v>13</v>
      </c>
      <c r="L10" s="11" t="s">
        <v>89</v>
      </c>
      <c r="M10" s="11" t="s">
        <v>23</v>
      </c>
      <c r="P10" s="21"/>
      <c r="Q10" s="22"/>
      <c r="R10" s="23"/>
    </row>
    <row r="11" spans="1:18" x14ac:dyDescent="0.35">
      <c r="A11" s="11" t="s">
        <v>83</v>
      </c>
      <c r="B11" s="11" t="s">
        <v>190</v>
      </c>
      <c r="C11" s="11">
        <v>2</v>
      </c>
      <c r="D11" s="12">
        <v>45017.068749999999</v>
      </c>
      <c r="E11" s="12">
        <v>45017.158333333333</v>
      </c>
      <c r="F11" s="11" t="s">
        <v>100</v>
      </c>
      <c r="G11" s="11" t="s">
        <v>86</v>
      </c>
      <c r="H11" s="11" t="s">
        <v>74</v>
      </c>
      <c r="I11" s="16">
        <v>45.66</v>
      </c>
      <c r="J11" s="11" t="s">
        <v>75</v>
      </c>
      <c r="K11" s="11">
        <v>93</v>
      </c>
      <c r="L11" s="11" t="s">
        <v>76</v>
      </c>
      <c r="M11" s="11" t="s">
        <v>23</v>
      </c>
      <c r="P11" s="21"/>
      <c r="Q11" s="22"/>
      <c r="R11" s="23"/>
    </row>
    <row r="12" spans="1:18" x14ac:dyDescent="0.35">
      <c r="A12" s="11" t="s">
        <v>83</v>
      </c>
      <c r="B12" s="11" t="s">
        <v>302</v>
      </c>
      <c r="C12" s="11">
        <v>1</v>
      </c>
      <c r="D12" s="12">
        <v>45018.12777777778</v>
      </c>
      <c r="E12" s="12">
        <v>45018.17291666667</v>
      </c>
      <c r="F12" s="11" t="s">
        <v>170</v>
      </c>
      <c r="G12" s="11" t="s">
        <v>86</v>
      </c>
      <c r="H12" s="11" t="s">
        <v>109</v>
      </c>
      <c r="I12" s="16">
        <v>10.06</v>
      </c>
      <c r="J12" s="11" t="s">
        <v>88</v>
      </c>
      <c r="K12" s="11">
        <v>195</v>
      </c>
      <c r="L12" s="11" t="s">
        <v>110</v>
      </c>
      <c r="M12" s="11" t="s">
        <v>49</v>
      </c>
      <c r="P12" s="21"/>
      <c r="Q12" s="22"/>
      <c r="R12" s="23"/>
    </row>
    <row r="13" spans="1:18" x14ac:dyDescent="0.35">
      <c r="A13" s="11" t="s">
        <v>83</v>
      </c>
      <c r="B13" s="11" t="s">
        <v>501</v>
      </c>
      <c r="C13" s="11">
        <v>1</v>
      </c>
      <c r="D13" s="12">
        <v>45021.067361111112</v>
      </c>
      <c r="E13" s="12">
        <v>45021.231944444444</v>
      </c>
      <c r="F13" s="11" t="s">
        <v>100</v>
      </c>
      <c r="G13" s="11" t="s">
        <v>86</v>
      </c>
      <c r="H13" s="11" t="s">
        <v>109</v>
      </c>
      <c r="I13" s="16">
        <v>4.09</v>
      </c>
      <c r="J13" s="11" t="s">
        <v>75</v>
      </c>
      <c r="K13" s="11">
        <v>395</v>
      </c>
      <c r="L13" s="11" t="s">
        <v>187</v>
      </c>
      <c r="M13" s="11" t="s">
        <v>29</v>
      </c>
      <c r="P13" s="21"/>
      <c r="Q13" s="22"/>
      <c r="R13" s="23"/>
    </row>
    <row r="14" spans="1:18" x14ac:dyDescent="0.35">
      <c r="A14" s="13" t="s">
        <v>83</v>
      </c>
      <c r="B14" s="13" t="s">
        <v>543</v>
      </c>
      <c r="C14" s="13">
        <v>1</v>
      </c>
      <c r="D14" s="14">
        <v>45021.165277777778</v>
      </c>
      <c r="E14" s="14">
        <v>45021.314583333333</v>
      </c>
      <c r="F14" s="13" t="s">
        <v>223</v>
      </c>
      <c r="G14" s="13" t="s">
        <v>86</v>
      </c>
      <c r="H14" s="13" t="s">
        <v>74</v>
      </c>
      <c r="I14" s="17">
        <v>1.93</v>
      </c>
      <c r="J14" s="13" t="s">
        <v>75</v>
      </c>
      <c r="K14" s="13">
        <v>438</v>
      </c>
      <c r="L14" s="13" t="s">
        <v>164</v>
      </c>
      <c r="M14" s="13" t="s">
        <v>25</v>
      </c>
      <c r="P14" s="21"/>
      <c r="Q14" s="22"/>
      <c r="R14" s="23"/>
    </row>
    <row r="15" spans="1:18" x14ac:dyDescent="0.35">
      <c r="A15" s="11" t="s">
        <v>83</v>
      </c>
      <c r="B15" s="11" t="s">
        <v>587</v>
      </c>
      <c r="C15" s="11">
        <v>4</v>
      </c>
      <c r="D15" s="12">
        <v>45022.159722222219</v>
      </c>
      <c r="E15" s="12">
        <v>45022.292361111111</v>
      </c>
      <c r="F15" s="11" t="s">
        <v>223</v>
      </c>
      <c r="G15" s="11" t="s">
        <v>86</v>
      </c>
      <c r="H15" s="11" t="s">
        <v>74</v>
      </c>
      <c r="I15" s="16">
        <v>12.74</v>
      </c>
      <c r="J15" s="11" t="s">
        <v>94</v>
      </c>
      <c r="K15" s="11">
        <v>483</v>
      </c>
      <c r="L15" s="11" t="s">
        <v>187</v>
      </c>
      <c r="M15" s="11" t="s">
        <v>17</v>
      </c>
      <c r="P15" s="21"/>
      <c r="Q15" s="22"/>
      <c r="R15" s="23"/>
    </row>
    <row r="16" spans="1:18" x14ac:dyDescent="0.35">
      <c r="A16" s="11" t="s">
        <v>83</v>
      </c>
      <c r="B16" s="11" t="s">
        <v>597</v>
      </c>
      <c r="C16" s="11">
        <v>2</v>
      </c>
      <c r="D16" s="12">
        <v>45022.021527777775</v>
      </c>
      <c r="E16" s="12">
        <v>45022.073611111111</v>
      </c>
      <c r="F16" s="11" t="s">
        <v>85</v>
      </c>
      <c r="G16" s="11" t="s">
        <v>86</v>
      </c>
      <c r="H16" s="11" t="s">
        <v>74</v>
      </c>
      <c r="I16" s="16">
        <v>32.67</v>
      </c>
      <c r="J16" s="11" t="s">
        <v>88</v>
      </c>
      <c r="K16" s="11">
        <v>493</v>
      </c>
      <c r="L16" s="11" t="s">
        <v>76</v>
      </c>
      <c r="M16" s="11" t="s">
        <v>45</v>
      </c>
      <c r="P16" s="21"/>
      <c r="Q16" s="22"/>
      <c r="R16" s="23"/>
    </row>
    <row r="17" spans="1:18" x14ac:dyDescent="0.35">
      <c r="A17" s="13" t="s">
        <v>83</v>
      </c>
      <c r="B17" s="13" t="s">
        <v>607</v>
      </c>
      <c r="C17" s="13">
        <v>5</v>
      </c>
      <c r="D17" s="14">
        <v>45022.090277777781</v>
      </c>
      <c r="E17" s="14">
        <v>45022.2</v>
      </c>
      <c r="F17" s="13" t="s">
        <v>85</v>
      </c>
      <c r="G17" s="13" t="s">
        <v>73</v>
      </c>
      <c r="H17" s="13" t="s">
        <v>87</v>
      </c>
      <c r="I17" s="17">
        <v>31.31</v>
      </c>
      <c r="J17" s="13" t="s">
        <v>94</v>
      </c>
      <c r="K17" s="13">
        <v>504</v>
      </c>
      <c r="L17" s="13" t="s">
        <v>89</v>
      </c>
      <c r="M17" s="13" t="s">
        <v>17</v>
      </c>
      <c r="P17" s="21"/>
      <c r="Q17" s="22"/>
      <c r="R17" s="23"/>
    </row>
    <row r="18" spans="1:18" x14ac:dyDescent="0.35">
      <c r="A18" s="13" t="s">
        <v>83</v>
      </c>
      <c r="B18" s="13" t="s">
        <v>624</v>
      </c>
      <c r="C18" s="13">
        <v>5</v>
      </c>
      <c r="D18" s="14">
        <v>45022.068055555559</v>
      </c>
      <c r="E18" s="14">
        <v>45022.18472222222</v>
      </c>
      <c r="F18" s="13" t="s">
        <v>72</v>
      </c>
      <c r="G18" s="13" t="s">
        <v>86</v>
      </c>
      <c r="H18" s="13" t="s">
        <v>87</v>
      </c>
      <c r="I18" s="17">
        <v>35.35</v>
      </c>
      <c r="J18" s="13" t="s">
        <v>75</v>
      </c>
      <c r="K18" s="13">
        <v>522</v>
      </c>
      <c r="L18" s="13" t="s">
        <v>174</v>
      </c>
      <c r="M18" s="13" t="s">
        <v>27</v>
      </c>
      <c r="P18" s="24"/>
      <c r="Q18" s="25"/>
      <c r="R18" s="26"/>
    </row>
    <row r="19" spans="1:18" x14ac:dyDescent="0.35">
      <c r="A19" s="11" t="s">
        <v>83</v>
      </c>
      <c r="B19" s="11" t="s">
        <v>783</v>
      </c>
      <c r="C19" s="11">
        <v>6</v>
      </c>
      <c r="D19" s="12">
        <v>45023.07916666667</v>
      </c>
      <c r="E19" s="12">
        <v>45023.23541666667</v>
      </c>
      <c r="F19" s="11" t="s">
        <v>72</v>
      </c>
      <c r="G19" s="11" t="s">
        <v>86</v>
      </c>
      <c r="H19" s="11" t="s">
        <v>87</v>
      </c>
      <c r="I19" s="16">
        <v>10.53</v>
      </c>
      <c r="J19" s="11" t="s">
        <v>75</v>
      </c>
      <c r="K19" s="11">
        <v>687</v>
      </c>
      <c r="L19" s="11" t="s">
        <v>181</v>
      </c>
      <c r="M19" s="11" t="s">
        <v>21</v>
      </c>
    </row>
    <row r="20" spans="1:18" x14ac:dyDescent="0.35">
      <c r="A20" s="13" t="s">
        <v>83</v>
      </c>
      <c r="B20" s="13" t="s">
        <v>792</v>
      </c>
      <c r="C20" s="13">
        <v>6</v>
      </c>
      <c r="D20" s="14">
        <v>45023.094444444447</v>
      </c>
      <c r="E20" s="14">
        <v>45023.257638888892</v>
      </c>
      <c r="F20" s="13" t="s">
        <v>223</v>
      </c>
      <c r="G20" s="13" t="s">
        <v>73</v>
      </c>
      <c r="H20" s="13" t="s">
        <v>74</v>
      </c>
      <c r="I20" s="17">
        <v>18.760000000000002</v>
      </c>
      <c r="J20" s="13" t="s">
        <v>88</v>
      </c>
      <c r="K20" s="13">
        <v>696</v>
      </c>
      <c r="L20" s="13" t="s">
        <v>76</v>
      </c>
      <c r="M20" s="13" t="s">
        <v>41</v>
      </c>
    </row>
    <row r="21" spans="1:18" x14ac:dyDescent="0.35">
      <c r="A21" s="11" t="s">
        <v>308</v>
      </c>
      <c r="B21" s="11" t="s">
        <v>309</v>
      </c>
      <c r="C21" s="11">
        <v>5</v>
      </c>
      <c r="D21" s="12">
        <v>45018.012499999997</v>
      </c>
      <c r="E21" s="12">
        <v>45018.076388888891</v>
      </c>
      <c r="F21" s="11" t="s">
        <v>223</v>
      </c>
      <c r="G21" s="11" t="s">
        <v>73</v>
      </c>
      <c r="H21" s="11" t="s">
        <v>74</v>
      </c>
      <c r="I21" s="16">
        <v>19.84</v>
      </c>
      <c r="J21" s="11" t="s">
        <v>94</v>
      </c>
      <c r="K21" s="11">
        <v>201</v>
      </c>
      <c r="L21" s="11" t="s">
        <v>76</v>
      </c>
      <c r="M21" s="11" t="s">
        <v>9</v>
      </c>
    </row>
    <row r="22" spans="1:18" x14ac:dyDescent="0.35">
      <c r="A22" s="11" t="s">
        <v>308</v>
      </c>
      <c r="B22" s="11" t="s">
        <v>379</v>
      </c>
      <c r="C22" s="11">
        <v>3</v>
      </c>
      <c r="D22" s="12">
        <v>45019.069444444445</v>
      </c>
      <c r="E22" s="12">
        <v>45019.215277777781</v>
      </c>
      <c r="F22" s="11" t="s">
        <v>170</v>
      </c>
      <c r="G22" s="11" t="s">
        <v>86</v>
      </c>
      <c r="H22" s="11" t="s">
        <v>74</v>
      </c>
      <c r="I22" s="16">
        <v>16.11</v>
      </c>
      <c r="J22" s="11" t="s">
        <v>88</v>
      </c>
      <c r="K22" s="11">
        <v>271</v>
      </c>
      <c r="L22" s="11" t="s">
        <v>95</v>
      </c>
      <c r="M22" s="11" t="s">
        <v>35</v>
      </c>
    </row>
    <row r="23" spans="1:18" x14ac:dyDescent="0.35">
      <c r="A23" s="11" t="s">
        <v>308</v>
      </c>
      <c r="B23" s="11" t="s">
        <v>553</v>
      </c>
      <c r="C23" s="11">
        <v>3</v>
      </c>
      <c r="D23" s="12">
        <v>45021.142361111109</v>
      </c>
      <c r="E23" s="12">
        <v>45021.209722222222</v>
      </c>
      <c r="F23" s="11" t="s">
        <v>170</v>
      </c>
      <c r="G23" s="11" t="s">
        <v>86</v>
      </c>
      <c r="H23" s="11" t="s">
        <v>87</v>
      </c>
      <c r="I23" s="16">
        <v>42.25</v>
      </c>
      <c r="J23" s="11" t="s">
        <v>88</v>
      </c>
      <c r="K23" s="11">
        <v>449</v>
      </c>
      <c r="L23" s="11" t="s">
        <v>89</v>
      </c>
      <c r="M23" s="11" t="s">
        <v>33</v>
      </c>
    </row>
    <row r="24" spans="1:18" x14ac:dyDescent="0.35">
      <c r="A24" s="13" t="s">
        <v>308</v>
      </c>
      <c r="B24" s="13" t="s">
        <v>682</v>
      </c>
      <c r="C24" s="13">
        <v>1</v>
      </c>
      <c r="D24" s="14">
        <v>45022.158333333333</v>
      </c>
      <c r="E24" s="14">
        <v>45022.214583333334</v>
      </c>
      <c r="F24" s="13" t="s">
        <v>100</v>
      </c>
      <c r="G24" s="13" t="s">
        <v>86</v>
      </c>
      <c r="H24" s="13" t="s">
        <v>74</v>
      </c>
      <c r="I24" s="17">
        <v>20.23</v>
      </c>
      <c r="J24" s="13" t="s">
        <v>94</v>
      </c>
      <c r="K24" s="13">
        <v>582</v>
      </c>
      <c r="L24" s="13" t="s">
        <v>174</v>
      </c>
      <c r="M24" s="13" t="s">
        <v>17</v>
      </c>
    </row>
    <row r="25" spans="1:18" x14ac:dyDescent="0.35">
      <c r="A25" s="13" t="s">
        <v>308</v>
      </c>
      <c r="B25" s="13" t="s">
        <v>784</v>
      </c>
      <c r="C25" s="13">
        <v>1</v>
      </c>
      <c r="D25" s="14">
        <v>45023.143055555556</v>
      </c>
      <c r="E25" s="14">
        <v>45023.210416666669</v>
      </c>
      <c r="F25" s="13" t="s">
        <v>223</v>
      </c>
      <c r="G25" s="13" t="s">
        <v>86</v>
      </c>
      <c r="H25" s="13" t="s">
        <v>74</v>
      </c>
      <c r="I25" s="17">
        <v>4.87</v>
      </c>
      <c r="J25" s="13" t="s">
        <v>88</v>
      </c>
      <c r="K25" s="13">
        <v>688</v>
      </c>
      <c r="L25" s="13" t="s">
        <v>164</v>
      </c>
      <c r="M25" s="13" t="s">
        <v>23</v>
      </c>
    </row>
    <row r="26" spans="1:18" x14ac:dyDescent="0.35">
      <c r="A26" s="13" t="s">
        <v>308</v>
      </c>
      <c r="B26" s="13" t="s">
        <v>519</v>
      </c>
      <c r="C26" s="13">
        <v>5</v>
      </c>
      <c r="D26" s="14">
        <v>45023.086805555555</v>
      </c>
      <c r="E26" s="14">
        <v>45023.182638888888</v>
      </c>
      <c r="F26" s="13" t="s">
        <v>170</v>
      </c>
      <c r="G26" s="13" t="s">
        <v>86</v>
      </c>
      <c r="H26" s="13" t="s">
        <v>74</v>
      </c>
      <c r="I26" s="17">
        <v>46.27</v>
      </c>
      <c r="J26" s="13" t="s">
        <v>75</v>
      </c>
      <c r="K26" s="13">
        <v>752</v>
      </c>
      <c r="L26" s="13" t="s">
        <v>76</v>
      </c>
      <c r="M26" s="13" t="s">
        <v>12</v>
      </c>
    </row>
    <row r="27" spans="1:18" x14ac:dyDescent="0.35">
      <c r="A27" s="11" t="s">
        <v>308</v>
      </c>
      <c r="B27" s="11" t="s">
        <v>850</v>
      </c>
      <c r="C27" s="11">
        <v>6</v>
      </c>
      <c r="D27" s="12">
        <v>45023.074305555558</v>
      </c>
      <c r="E27" s="12">
        <v>45023.195833333331</v>
      </c>
      <c r="F27" s="11" t="s">
        <v>100</v>
      </c>
      <c r="G27" s="11" t="s">
        <v>86</v>
      </c>
      <c r="H27" s="11" t="s">
        <v>109</v>
      </c>
      <c r="I27" s="16">
        <v>10.029999999999999</v>
      </c>
      <c r="J27" s="11" t="s">
        <v>94</v>
      </c>
      <c r="K27" s="11">
        <v>757</v>
      </c>
      <c r="L27" s="11" t="s">
        <v>89</v>
      </c>
      <c r="M27" s="11" t="s">
        <v>12</v>
      </c>
    </row>
    <row r="28" spans="1:18" x14ac:dyDescent="0.35">
      <c r="A28" s="11" t="s">
        <v>210</v>
      </c>
      <c r="B28" s="11" t="s">
        <v>211</v>
      </c>
      <c r="C28" s="11">
        <v>2</v>
      </c>
      <c r="D28" s="12">
        <v>45017.05</v>
      </c>
      <c r="E28" s="12">
        <v>45017.181250000001</v>
      </c>
      <c r="F28" s="11" t="s">
        <v>170</v>
      </c>
      <c r="G28" s="11" t="s">
        <v>86</v>
      </c>
      <c r="H28" s="11" t="s">
        <v>74</v>
      </c>
      <c r="I28" s="16">
        <v>29.74</v>
      </c>
      <c r="J28" s="11" t="s">
        <v>88</v>
      </c>
      <c r="K28" s="11">
        <v>113</v>
      </c>
      <c r="L28" s="11" t="s">
        <v>89</v>
      </c>
      <c r="M28" s="11" t="s">
        <v>37</v>
      </c>
    </row>
    <row r="29" spans="1:18" x14ac:dyDescent="0.35">
      <c r="A29" s="11" t="s">
        <v>210</v>
      </c>
      <c r="B29" s="11" t="s">
        <v>245</v>
      </c>
      <c r="C29" s="11">
        <v>4</v>
      </c>
      <c r="D29" s="12">
        <v>45018.081944444442</v>
      </c>
      <c r="E29" s="12">
        <v>45018.239583333336</v>
      </c>
      <c r="F29" s="11" t="s">
        <v>170</v>
      </c>
      <c r="G29" s="11" t="s">
        <v>163</v>
      </c>
      <c r="H29" s="11" t="s">
        <v>74</v>
      </c>
      <c r="I29" s="16">
        <v>41.56</v>
      </c>
      <c r="J29" s="11" t="s">
        <v>94</v>
      </c>
      <c r="K29" s="11">
        <v>141</v>
      </c>
      <c r="L29" s="11" t="s">
        <v>187</v>
      </c>
      <c r="M29" s="11" t="s">
        <v>43</v>
      </c>
    </row>
    <row r="30" spans="1:18" x14ac:dyDescent="0.35">
      <c r="A30" s="13" t="s">
        <v>210</v>
      </c>
      <c r="B30" s="13" t="s">
        <v>314</v>
      </c>
      <c r="C30" s="13">
        <v>6</v>
      </c>
      <c r="D30" s="14">
        <v>45018.143750000003</v>
      </c>
      <c r="E30" s="14">
        <v>45018.256249999999</v>
      </c>
      <c r="F30" s="13" t="s">
        <v>72</v>
      </c>
      <c r="G30" s="13" t="s">
        <v>86</v>
      </c>
      <c r="H30" s="13" t="s">
        <v>74</v>
      </c>
      <c r="I30" s="17">
        <v>36.96</v>
      </c>
      <c r="J30" s="13" t="s">
        <v>88</v>
      </c>
      <c r="K30" s="13">
        <v>206</v>
      </c>
      <c r="L30" s="13" t="s">
        <v>95</v>
      </c>
      <c r="M30" s="13" t="s">
        <v>12</v>
      </c>
    </row>
    <row r="31" spans="1:18" x14ac:dyDescent="0.35">
      <c r="A31" s="11" t="s">
        <v>210</v>
      </c>
      <c r="B31" s="11" t="s">
        <v>350</v>
      </c>
      <c r="C31" s="11">
        <v>4</v>
      </c>
      <c r="D31" s="12">
        <v>45018.029166666667</v>
      </c>
      <c r="E31" s="12">
        <v>45018.174305555556</v>
      </c>
      <c r="F31" s="11" t="s">
        <v>100</v>
      </c>
      <c r="G31" s="11" t="s">
        <v>86</v>
      </c>
      <c r="H31" s="11" t="s">
        <v>74</v>
      </c>
      <c r="I31" s="16">
        <v>21.45</v>
      </c>
      <c r="J31" s="11" t="s">
        <v>75</v>
      </c>
      <c r="K31" s="11">
        <v>243</v>
      </c>
      <c r="L31" s="11" t="s">
        <v>181</v>
      </c>
      <c r="M31" s="11" t="s">
        <v>19</v>
      </c>
    </row>
    <row r="32" spans="1:18" x14ac:dyDescent="0.35">
      <c r="A32" s="11" t="s">
        <v>210</v>
      </c>
      <c r="B32" s="11" t="s">
        <v>385</v>
      </c>
      <c r="C32" s="11">
        <v>2</v>
      </c>
      <c r="D32" s="12">
        <v>45019.061111111114</v>
      </c>
      <c r="E32" s="12">
        <v>45019.163888888892</v>
      </c>
      <c r="F32" s="11" t="s">
        <v>85</v>
      </c>
      <c r="G32" s="11" t="s">
        <v>86</v>
      </c>
      <c r="H32" s="11" t="s">
        <v>74</v>
      </c>
      <c r="I32" s="16">
        <v>10.29</v>
      </c>
      <c r="J32" s="11" t="s">
        <v>75</v>
      </c>
      <c r="K32" s="11">
        <v>277</v>
      </c>
      <c r="L32" s="11" t="s">
        <v>181</v>
      </c>
      <c r="M32" s="11" t="s">
        <v>15</v>
      </c>
    </row>
    <row r="33" spans="1:13" x14ac:dyDescent="0.35">
      <c r="A33" s="13" t="s">
        <v>210</v>
      </c>
      <c r="B33" s="13" t="s">
        <v>435</v>
      </c>
      <c r="C33" s="13">
        <v>3</v>
      </c>
      <c r="D33" s="14">
        <v>45020.072222222225</v>
      </c>
      <c r="E33" s="14">
        <v>45020.171527777777</v>
      </c>
      <c r="F33" s="13" t="s">
        <v>100</v>
      </c>
      <c r="G33" s="13" t="s">
        <v>73</v>
      </c>
      <c r="H33" s="13" t="s">
        <v>74</v>
      </c>
      <c r="I33" s="17">
        <v>13.85</v>
      </c>
      <c r="J33" s="13" t="s">
        <v>94</v>
      </c>
      <c r="K33" s="13">
        <v>328</v>
      </c>
      <c r="L33" s="13" t="s">
        <v>101</v>
      </c>
      <c r="M33" s="13" t="s">
        <v>31</v>
      </c>
    </row>
    <row r="34" spans="1:13" x14ac:dyDescent="0.35">
      <c r="A34" s="11" t="s">
        <v>210</v>
      </c>
      <c r="B34" s="11" t="s">
        <v>462</v>
      </c>
      <c r="C34" s="11">
        <v>4</v>
      </c>
      <c r="D34" s="12">
        <v>45020.070138888892</v>
      </c>
      <c r="E34" s="12">
        <v>45020.213194444441</v>
      </c>
      <c r="F34" s="11" t="s">
        <v>85</v>
      </c>
      <c r="G34" s="11" t="s">
        <v>163</v>
      </c>
      <c r="H34" s="11" t="s">
        <v>74</v>
      </c>
      <c r="I34" s="16">
        <v>30.53</v>
      </c>
      <c r="J34" s="11" t="s">
        <v>94</v>
      </c>
      <c r="K34" s="11">
        <v>355</v>
      </c>
      <c r="L34" s="11" t="s">
        <v>181</v>
      </c>
      <c r="M34" s="11" t="s">
        <v>47</v>
      </c>
    </row>
    <row r="35" spans="1:13" x14ac:dyDescent="0.35">
      <c r="A35" s="11" t="s">
        <v>210</v>
      </c>
      <c r="B35" s="11" t="s">
        <v>472</v>
      </c>
      <c r="C35" s="11">
        <v>1</v>
      </c>
      <c r="D35" s="12">
        <v>45020.043749999997</v>
      </c>
      <c r="E35" s="12">
        <v>45020.189583333333</v>
      </c>
      <c r="F35" s="11" t="s">
        <v>170</v>
      </c>
      <c r="G35" s="11" t="s">
        <v>86</v>
      </c>
      <c r="H35" s="11" t="s">
        <v>87</v>
      </c>
      <c r="I35" s="16">
        <v>34.97</v>
      </c>
      <c r="J35" s="11" t="s">
        <v>88</v>
      </c>
      <c r="K35" s="11">
        <v>365</v>
      </c>
      <c r="L35" s="11" t="s">
        <v>101</v>
      </c>
      <c r="M35" s="11" t="s">
        <v>21</v>
      </c>
    </row>
    <row r="36" spans="1:13" x14ac:dyDescent="0.35">
      <c r="A36" s="11" t="s">
        <v>210</v>
      </c>
      <c r="B36" s="11" t="s">
        <v>486</v>
      </c>
      <c r="C36" s="11">
        <v>2</v>
      </c>
      <c r="D36" s="12">
        <v>45020.063194444447</v>
      </c>
      <c r="E36" s="12">
        <v>45020.164583333331</v>
      </c>
      <c r="F36" s="11" t="s">
        <v>170</v>
      </c>
      <c r="G36" s="11" t="s">
        <v>163</v>
      </c>
      <c r="H36" s="11" t="s">
        <v>74</v>
      </c>
      <c r="I36" s="16">
        <v>10.61</v>
      </c>
      <c r="J36" s="11" t="s">
        <v>88</v>
      </c>
      <c r="K36" s="11">
        <v>379</v>
      </c>
      <c r="L36" s="11" t="s">
        <v>101</v>
      </c>
      <c r="M36" s="11" t="s">
        <v>31</v>
      </c>
    </row>
    <row r="37" spans="1:13" x14ac:dyDescent="0.35">
      <c r="A37" s="11" t="s">
        <v>210</v>
      </c>
      <c r="B37" s="11" t="s">
        <v>625</v>
      </c>
      <c r="C37" s="11">
        <v>3</v>
      </c>
      <c r="D37" s="12">
        <v>45022.068749999999</v>
      </c>
      <c r="E37" s="12">
        <v>45022.195833333331</v>
      </c>
      <c r="F37" s="11" t="s">
        <v>85</v>
      </c>
      <c r="G37" s="11" t="s">
        <v>86</v>
      </c>
      <c r="H37" s="11" t="s">
        <v>74</v>
      </c>
      <c r="I37" s="16">
        <v>45.41</v>
      </c>
      <c r="J37" s="11" t="s">
        <v>88</v>
      </c>
      <c r="K37" s="11">
        <v>523</v>
      </c>
      <c r="L37" s="11" t="s">
        <v>164</v>
      </c>
      <c r="M37" s="11" t="s">
        <v>17</v>
      </c>
    </row>
    <row r="38" spans="1:13" x14ac:dyDescent="0.35">
      <c r="A38" s="13" t="s">
        <v>210</v>
      </c>
      <c r="B38" s="13" t="s">
        <v>628</v>
      </c>
      <c r="C38" s="13">
        <v>6</v>
      </c>
      <c r="D38" s="14">
        <v>45022.155555555553</v>
      </c>
      <c r="E38" s="14">
        <v>45022.236805555556</v>
      </c>
      <c r="F38" s="13" t="s">
        <v>72</v>
      </c>
      <c r="G38" s="13" t="s">
        <v>73</v>
      </c>
      <c r="H38" s="13" t="s">
        <v>109</v>
      </c>
      <c r="I38" s="17">
        <v>43.02</v>
      </c>
      <c r="J38" s="13" t="s">
        <v>75</v>
      </c>
      <c r="K38" s="13">
        <v>526</v>
      </c>
      <c r="L38" s="13" t="s">
        <v>95</v>
      </c>
      <c r="M38" s="13" t="s">
        <v>25</v>
      </c>
    </row>
    <row r="39" spans="1:13" x14ac:dyDescent="0.35">
      <c r="A39" s="13" t="s">
        <v>210</v>
      </c>
      <c r="B39" s="13" t="s">
        <v>667</v>
      </c>
      <c r="C39" s="13">
        <v>3</v>
      </c>
      <c r="D39" s="14">
        <v>45022.072916666664</v>
      </c>
      <c r="E39" s="14">
        <v>45022.206250000003</v>
      </c>
      <c r="F39" s="13" t="s">
        <v>170</v>
      </c>
      <c r="G39" s="13" t="s">
        <v>86</v>
      </c>
      <c r="H39" s="13" t="s">
        <v>74</v>
      </c>
      <c r="I39" s="17">
        <v>42.62</v>
      </c>
      <c r="J39" s="13" t="s">
        <v>75</v>
      </c>
      <c r="K39" s="13">
        <v>566</v>
      </c>
      <c r="L39" s="13" t="s">
        <v>174</v>
      </c>
      <c r="M39" s="13" t="s">
        <v>47</v>
      </c>
    </row>
    <row r="40" spans="1:13" x14ac:dyDescent="0.35">
      <c r="A40" s="11" t="s">
        <v>210</v>
      </c>
      <c r="B40" s="11" t="s">
        <v>725</v>
      </c>
      <c r="C40" s="11">
        <v>3</v>
      </c>
      <c r="D40" s="12">
        <v>45022.099305555559</v>
      </c>
      <c r="E40" s="12">
        <v>45022.175694444442</v>
      </c>
      <c r="F40" s="11" t="s">
        <v>170</v>
      </c>
      <c r="G40" s="11" t="s">
        <v>86</v>
      </c>
      <c r="H40" s="11" t="s">
        <v>74</v>
      </c>
      <c r="I40" s="16">
        <v>44.24</v>
      </c>
      <c r="J40" s="11" t="s">
        <v>88</v>
      </c>
      <c r="K40" s="11">
        <v>627</v>
      </c>
      <c r="L40" s="11" t="s">
        <v>187</v>
      </c>
      <c r="M40" s="11" t="s">
        <v>43</v>
      </c>
    </row>
    <row r="41" spans="1:13" x14ac:dyDescent="0.35">
      <c r="A41" s="13" t="s">
        <v>121</v>
      </c>
      <c r="B41" s="13" t="s">
        <v>122</v>
      </c>
      <c r="C41" s="13">
        <v>5</v>
      </c>
      <c r="D41" s="14">
        <v>45017.143750000003</v>
      </c>
      <c r="E41" s="14">
        <v>45017.268055555556</v>
      </c>
      <c r="F41" s="13" t="s">
        <v>100</v>
      </c>
      <c r="G41" s="13" t="s">
        <v>86</v>
      </c>
      <c r="H41" s="13" t="s">
        <v>74</v>
      </c>
      <c r="I41" s="17">
        <v>45.28</v>
      </c>
      <c r="J41" s="13" t="s">
        <v>88</v>
      </c>
      <c r="K41" s="13">
        <v>36</v>
      </c>
      <c r="L41" s="13" t="s">
        <v>95</v>
      </c>
      <c r="M41" s="13" t="s">
        <v>12</v>
      </c>
    </row>
    <row r="42" spans="1:13" x14ac:dyDescent="0.35">
      <c r="A42" s="11" t="s">
        <v>121</v>
      </c>
      <c r="B42" s="11" t="s">
        <v>220</v>
      </c>
      <c r="C42" s="11">
        <v>4</v>
      </c>
      <c r="D42" s="12">
        <v>45018.15625</v>
      </c>
      <c r="E42" s="12">
        <v>45018.259027777778</v>
      </c>
      <c r="F42" s="11" t="s">
        <v>72</v>
      </c>
      <c r="G42" s="11" t="s">
        <v>86</v>
      </c>
      <c r="H42" s="11" t="s">
        <v>74</v>
      </c>
      <c r="I42" s="16">
        <v>1.23</v>
      </c>
      <c r="J42" s="11" t="s">
        <v>94</v>
      </c>
      <c r="K42" s="11">
        <v>121</v>
      </c>
      <c r="L42" s="11" t="s">
        <v>221</v>
      </c>
      <c r="M42" s="11" t="s">
        <v>47</v>
      </c>
    </row>
    <row r="43" spans="1:13" x14ac:dyDescent="0.35">
      <c r="A43" s="13" t="s">
        <v>121</v>
      </c>
      <c r="B43" s="13" t="s">
        <v>257</v>
      </c>
      <c r="C43" s="13">
        <v>6</v>
      </c>
      <c r="D43" s="14">
        <v>45018.051388888889</v>
      </c>
      <c r="E43" s="14">
        <v>45018.119444444441</v>
      </c>
      <c r="F43" s="13" t="s">
        <v>72</v>
      </c>
      <c r="G43" s="13" t="s">
        <v>86</v>
      </c>
      <c r="H43" s="13" t="s">
        <v>109</v>
      </c>
      <c r="I43" s="17">
        <v>25.57</v>
      </c>
      <c r="J43" s="13" t="s">
        <v>94</v>
      </c>
      <c r="K43" s="13">
        <v>152</v>
      </c>
      <c r="L43" s="13" t="s">
        <v>187</v>
      </c>
      <c r="M43" s="13" t="s">
        <v>27</v>
      </c>
    </row>
    <row r="44" spans="1:13" x14ac:dyDescent="0.35">
      <c r="A44" s="13" t="s">
        <v>121</v>
      </c>
      <c r="B44" s="13" t="s">
        <v>364</v>
      </c>
      <c r="C44" s="13">
        <v>2</v>
      </c>
      <c r="D44" s="14">
        <v>45018.015972222223</v>
      </c>
      <c r="E44" s="14">
        <v>45018.143750000003</v>
      </c>
      <c r="F44" s="13" t="s">
        <v>85</v>
      </c>
      <c r="G44" s="13" t="s">
        <v>163</v>
      </c>
      <c r="H44" s="13" t="s">
        <v>87</v>
      </c>
      <c r="I44" s="17">
        <v>49.88</v>
      </c>
      <c r="J44" s="13" t="s">
        <v>94</v>
      </c>
      <c r="K44" s="13">
        <v>256</v>
      </c>
      <c r="L44" s="13" t="s">
        <v>164</v>
      </c>
      <c r="M44" s="13" t="s">
        <v>43</v>
      </c>
    </row>
    <row r="45" spans="1:13" x14ac:dyDescent="0.35">
      <c r="A45" s="13" t="s">
        <v>121</v>
      </c>
      <c r="B45" s="13" t="s">
        <v>410</v>
      </c>
      <c r="C45" s="13">
        <v>2</v>
      </c>
      <c r="D45" s="14">
        <v>45019.055555555555</v>
      </c>
      <c r="E45" s="14">
        <v>45019.205555555556</v>
      </c>
      <c r="F45" s="13" t="s">
        <v>223</v>
      </c>
      <c r="G45" s="13" t="s">
        <v>163</v>
      </c>
      <c r="H45" s="13" t="s">
        <v>74</v>
      </c>
      <c r="I45" s="17">
        <v>39.89</v>
      </c>
      <c r="J45" s="13" t="s">
        <v>94</v>
      </c>
      <c r="K45" s="13">
        <v>302</v>
      </c>
      <c r="L45" s="13" t="s">
        <v>110</v>
      </c>
      <c r="M45" s="13" t="s">
        <v>33</v>
      </c>
    </row>
    <row r="46" spans="1:13" x14ac:dyDescent="0.35">
      <c r="A46" s="13" t="s">
        <v>121</v>
      </c>
      <c r="B46" s="13" t="s">
        <v>492</v>
      </c>
      <c r="C46" s="13">
        <v>2</v>
      </c>
      <c r="D46" s="14">
        <v>45021.022916666669</v>
      </c>
      <c r="E46" s="14">
        <v>45021.123611111114</v>
      </c>
      <c r="F46" s="13" t="s">
        <v>72</v>
      </c>
      <c r="G46" s="13" t="s">
        <v>86</v>
      </c>
      <c r="H46" s="13" t="s">
        <v>109</v>
      </c>
      <c r="I46" s="17">
        <v>28.96</v>
      </c>
      <c r="J46" s="13" t="s">
        <v>88</v>
      </c>
      <c r="K46" s="13">
        <v>386</v>
      </c>
      <c r="L46" s="13" t="s">
        <v>275</v>
      </c>
      <c r="M46" s="13" t="s">
        <v>25</v>
      </c>
    </row>
    <row r="47" spans="1:13" x14ac:dyDescent="0.35">
      <c r="A47" s="11" t="s">
        <v>121</v>
      </c>
      <c r="B47" s="11" t="s">
        <v>612</v>
      </c>
      <c r="C47" s="11">
        <v>3</v>
      </c>
      <c r="D47" s="12">
        <v>45022.133333333331</v>
      </c>
      <c r="E47" s="12">
        <v>45022.251388888886</v>
      </c>
      <c r="F47" s="11" t="s">
        <v>223</v>
      </c>
      <c r="G47" s="11" t="s">
        <v>163</v>
      </c>
      <c r="H47" s="11" t="s">
        <v>74</v>
      </c>
      <c r="I47" s="16">
        <v>16.260000000000002</v>
      </c>
      <c r="J47" s="11" t="s">
        <v>88</v>
      </c>
      <c r="K47" s="11">
        <v>509</v>
      </c>
      <c r="L47" s="11" t="s">
        <v>89</v>
      </c>
      <c r="M47" s="11" t="s">
        <v>19</v>
      </c>
    </row>
    <row r="48" spans="1:13" x14ac:dyDescent="0.35">
      <c r="A48" s="11" t="s">
        <v>121</v>
      </c>
      <c r="B48" s="11" t="s">
        <v>719</v>
      </c>
      <c r="C48" s="11">
        <v>2</v>
      </c>
      <c r="D48" s="12">
        <v>45022.047222222223</v>
      </c>
      <c r="E48" s="12">
        <v>45022.102083333331</v>
      </c>
      <c r="F48" s="11" t="s">
        <v>100</v>
      </c>
      <c r="G48" s="11" t="s">
        <v>86</v>
      </c>
      <c r="H48" s="11" t="s">
        <v>74</v>
      </c>
      <c r="I48" s="16">
        <v>42.27</v>
      </c>
      <c r="J48" s="11" t="s">
        <v>88</v>
      </c>
      <c r="K48" s="11">
        <v>621</v>
      </c>
      <c r="L48" s="11" t="s">
        <v>187</v>
      </c>
      <c r="M48" s="11" t="s">
        <v>31</v>
      </c>
    </row>
    <row r="49" spans="1:13" x14ac:dyDescent="0.35">
      <c r="A49" s="11" t="s">
        <v>121</v>
      </c>
      <c r="B49" s="11" t="s">
        <v>733</v>
      </c>
      <c r="C49" s="11">
        <v>2</v>
      </c>
      <c r="D49" s="12">
        <v>45022.011805555558</v>
      </c>
      <c r="E49" s="12">
        <v>45022.12777777778</v>
      </c>
      <c r="F49" s="11" t="s">
        <v>100</v>
      </c>
      <c r="G49" s="11" t="s">
        <v>86</v>
      </c>
      <c r="H49" s="11" t="s">
        <v>74</v>
      </c>
      <c r="I49" s="16">
        <v>22.15</v>
      </c>
      <c r="J49" s="11" t="s">
        <v>75</v>
      </c>
      <c r="K49" s="11">
        <v>635</v>
      </c>
      <c r="L49" s="11" t="s">
        <v>76</v>
      </c>
      <c r="M49" s="11" t="s">
        <v>23</v>
      </c>
    </row>
    <row r="50" spans="1:13" x14ac:dyDescent="0.35">
      <c r="A50" s="11" t="s">
        <v>121</v>
      </c>
      <c r="B50" s="11" t="s">
        <v>752</v>
      </c>
      <c r="C50" s="11">
        <v>4</v>
      </c>
      <c r="D50" s="12">
        <v>45023.052083333336</v>
      </c>
      <c r="E50" s="12">
        <v>45023.200694444444</v>
      </c>
      <c r="F50" s="11" t="s">
        <v>85</v>
      </c>
      <c r="G50" s="11" t="s">
        <v>86</v>
      </c>
      <c r="H50" s="11" t="s">
        <v>87</v>
      </c>
      <c r="I50" s="16">
        <v>2.17</v>
      </c>
      <c r="J50" s="11" t="s">
        <v>94</v>
      </c>
      <c r="K50" s="11">
        <v>655</v>
      </c>
      <c r="L50" s="11" t="s">
        <v>89</v>
      </c>
      <c r="M50" s="11" t="s">
        <v>15</v>
      </c>
    </row>
    <row r="51" spans="1:13" x14ac:dyDescent="0.35">
      <c r="A51" s="11" t="s">
        <v>121</v>
      </c>
      <c r="B51" s="11" t="s">
        <v>781</v>
      </c>
      <c r="C51" s="11">
        <v>5</v>
      </c>
      <c r="D51" s="12">
        <v>45023.019444444442</v>
      </c>
      <c r="E51" s="12">
        <v>45023.071527777778</v>
      </c>
      <c r="F51" s="11" t="s">
        <v>100</v>
      </c>
      <c r="G51" s="11" t="s">
        <v>86</v>
      </c>
      <c r="H51" s="11" t="s">
        <v>109</v>
      </c>
      <c r="I51" s="16">
        <v>19.89</v>
      </c>
      <c r="J51" s="11" t="s">
        <v>75</v>
      </c>
      <c r="K51" s="11">
        <v>685</v>
      </c>
      <c r="L51" s="11" t="s">
        <v>181</v>
      </c>
      <c r="M51" s="11" t="s">
        <v>17</v>
      </c>
    </row>
    <row r="52" spans="1:13" x14ac:dyDescent="0.35">
      <c r="A52" s="13" t="s">
        <v>121</v>
      </c>
      <c r="B52" s="13" t="s">
        <v>804</v>
      </c>
      <c r="C52" s="13">
        <v>2</v>
      </c>
      <c r="D52" s="14">
        <v>45023.15</v>
      </c>
      <c r="E52" s="14">
        <v>45023.308333333334</v>
      </c>
      <c r="F52" s="13" t="s">
        <v>170</v>
      </c>
      <c r="G52" s="13" t="s">
        <v>73</v>
      </c>
      <c r="H52" s="13" t="s">
        <v>74</v>
      </c>
      <c r="I52" s="17">
        <v>4.18</v>
      </c>
      <c r="J52" s="13" t="s">
        <v>88</v>
      </c>
      <c r="K52" s="13">
        <v>708</v>
      </c>
      <c r="L52" s="13" t="s">
        <v>181</v>
      </c>
      <c r="M52" s="13" t="s">
        <v>17</v>
      </c>
    </row>
    <row r="53" spans="1:13" x14ac:dyDescent="0.35">
      <c r="A53" s="13" t="s">
        <v>121</v>
      </c>
      <c r="B53" s="13" t="s">
        <v>853</v>
      </c>
      <c r="C53" s="13">
        <v>6</v>
      </c>
      <c r="D53" s="14">
        <v>45023.017361111109</v>
      </c>
      <c r="E53" s="14">
        <v>45023.069444444445</v>
      </c>
      <c r="F53" s="13" t="s">
        <v>72</v>
      </c>
      <c r="G53" s="13" t="s">
        <v>86</v>
      </c>
      <c r="H53" s="13" t="s">
        <v>74</v>
      </c>
      <c r="I53" s="17">
        <v>39.42</v>
      </c>
      <c r="J53" s="13" t="s">
        <v>75</v>
      </c>
      <c r="K53" s="13">
        <v>760</v>
      </c>
      <c r="L53" s="13" t="s">
        <v>164</v>
      </c>
      <c r="M53" s="13" t="s">
        <v>31</v>
      </c>
    </row>
    <row r="54" spans="1:13" x14ac:dyDescent="0.35">
      <c r="A54" s="13" t="s">
        <v>185</v>
      </c>
      <c r="B54" s="13" t="s">
        <v>186</v>
      </c>
      <c r="C54" s="13">
        <v>3</v>
      </c>
      <c r="D54" s="14">
        <v>45017.053472222222</v>
      </c>
      <c r="E54" s="14">
        <v>45017.134027777778</v>
      </c>
      <c r="F54" s="13" t="s">
        <v>85</v>
      </c>
      <c r="G54" s="13" t="s">
        <v>86</v>
      </c>
      <c r="H54" s="13" t="s">
        <v>109</v>
      </c>
      <c r="I54" s="17">
        <v>30.69</v>
      </c>
      <c r="J54" s="13" t="s">
        <v>94</v>
      </c>
      <c r="K54" s="13">
        <v>90</v>
      </c>
      <c r="L54" s="13" t="s">
        <v>187</v>
      </c>
      <c r="M54" s="13" t="s">
        <v>37</v>
      </c>
    </row>
    <row r="55" spans="1:13" x14ac:dyDescent="0.35">
      <c r="A55" s="13" t="s">
        <v>185</v>
      </c>
      <c r="B55" s="13" t="s">
        <v>209</v>
      </c>
      <c r="C55" s="13">
        <v>2</v>
      </c>
      <c r="D55" s="14">
        <v>45017.075694444444</v>
      </c>
      <c r="E55" s="14">
        <v>45017.167361111111</v>
      </c>
      <c r="F55" s="13" t="s">
        <v>100</v>
      </c>
      <c r="G55" s="13" t="s">
        <v>73</v>
      </c>
      <c r="H55" s="13" t="s">
        <v>87</v>
      </c>
      <c r="I55" s="17">
        <v>35.36</v>
      </c>
      <c r="J55" s="13" t="s">
        <v>88</v>
      </c>
      <c r="K55" s="13">
        <v>112</v>
      </c>
      <c r="L55" s="13" t="s">
        <v>76</v>
      </c>
      <c r="M55" s="13" t="s">
        <v>39</v>
      </c>
    </row>
    <row r="56" spans="1:13" x14ac:dyDescent="0.35">
      <c r="A56" s="13" t="s">
        <v>185</v>
      </c>
      <c r="B56" s="13" t="s">
        <v>222</v>
      </c>
      <c r="C56" s="13">
        <v>6</v>
      </c>
      <c r="D56" s="14">
        <v>45018.057638888888</v>
      </c>
      <c r="E56" s="14">
        <v>45018.116666666669</v>
      </c>
      <c r="F56" s="13" t="s">
        <v>223</v>
      </c>
      <c r="G56" s="13" t="s">
        <v>86</v>
      </c>
      <c r="H56" s="13" t="s">
        <v>109</v>
      </c>
      <c r="I56" s="17">
        <v>20.38</v>
      </c>
      <c r="J56" s="13" t="s">
        <v>88</v>
      </c>
      <c r="K56" s="13">
        <v>122</v>
      </c>
      <c r="L56" s="13" t="s">
        <v>110</v>
      </c>
      <c r="M56" s="13" t="s">
        <v>31</v>
      </c>
    </row>
    <row r="57" spans="1:13" x14ac:dyDescent="0.35">
      <c r="A57" s="11" t="s">
        <v>185</v>
      </c>
      <c r="B57" s="11" t="s">
        <v>229</v>
      </c>
      <c r="C57" s="11">
        <v>4</v>
      </c>
      <c r="D57" s="12">
        <v>45018.029166666667</v>
      </c>
      <c r="E57" s="12">
        <v>45018.102777777778</v>
      </c>
      <c r="F57" s="11" t="s">
        <v>72</v>
      </c>
      <c r="G57" s="11" t="s">
        <v>86</v>
      </c>
      <c r="H57" s="11" t="s">
        <v>74</v>
      </c>
      <c r="I57" s="16">
        <v>32.82</v>
      </c>
      <c r="J57" s="11" t="s">
        <v>75</v>
      </c>
      <c r="K57" s="11">
        <v>127</v>
      </c>
      <c r="L57" s="11" t="s">
        <v>164</v>
      </c>
      <c r="M57" s="11" t="s">
        <v>21</v>
      </c>
    </row>
    <row r="58" spans="1:13" x14ac:dyDescent="0.35">
      <c r="A58" s="13" t="s">
        <v>185</v>
      </c>
      <c r="B58" s="13" t="s">
        <v>239</v>
      </c>
      <c r="C58" s="13">
        <v>1</v>
      </c>
      <c r="D58" s="14">
        <v>45018.076388888891</v>
      </c>
      <c r="E58" s="14">
        <v>45018.209027777775</v>
      </c>
      <c r="F58" s="13" t="s">
        <v>223</v>
      </c>
      <c r="G58" s="13" t="s">
        <v>86</v>
      </c>
      <c r="H58" s="13" t="s">
        <v>74</v>
      </c>
      <c r="I58" s="17">
        <v>30.25</v>
      </c>
      <c r="J58" s="13" t="s">
        <v>88</v>
      </c>
      <c r="K58" s="13">
        <v>136</v>
      </c>
      <c r="L58" s="13" t="s">
        <v>95</v>
      </c>
      <c r="M58" s="13" t="s">
        <v>19</v>
      </c>
    </row>
    <row r="59" spans="1:13" x14ac:dyDescent="0.35">
      <c r="A59" s="13" t="s">
        <v>185</v>
      </c>
      <c r="B59" s="13" t="s">
        <v>261</v>
      </c>
      <c r="C59" s="13">
        <v>4</v>
      </c>
      <c r="D59" s="14">
        <v>45018.027777777781</v>
      </c>
      <c r="E59" s="14">
        <v>45018.178472222222</v>
      </c>
      <c r="F59" s="13" t="s">
        <v>170</v>
      </c>
      <c r="G59" s="13" t="s">
        <v>73</v>
      </c>
      <c r="H59" s="13" t="s">
        <v>74</v>
      </c>
      <c r="I59" s="17">
        <v>19.03</v>
      </c>
      <c r="J59" s="13" t="s">
        <v>75</v>
      </c>
      <c r="K59" s="13">
        <v>156</v>
      </c>
      <c r="L59" s="13" t="s">
        <v>181</v>
      </c>
      <c r="M59" s="13" t="s">
        <v>27</v>
      </c>
    </row>
    <row r="60" spans="1:13" x14ac:dyDescent="0.35">
      <c r="A60" s="13" t="s">
        <v>185</v>
      </c>
      <c r="B60" s="13" t="s">
        <v>439</v>
      </c>
      <c r="C60" s="13">
        <v>1</v>
      </c>
      <c r="D60" s="14">
        <v>45020.009722222225</v>
      </c>
      <c r="E60" s="14">
        <v>45020.061805555553</v>
      </c>
      <c r="F60" s="13" t="s">
        <v>100</v>
      </c>
      <c r="G60" s="13" t="s">
        <v>86</v>
      </c>
      <c r="H60" s="13" t="s">
        <v>109</v>
      </c>
      <c r="I60" s="17">
        <v>25.21</v>
      </c>
      <c r="J60" s="13" t="s">
        <v>94</v>
      </c>
      <c r="K60" s="13">
        <v>332</v>
      </c>
      <c r="L60" s="13" t="s">
        <v>164</v>
      </c>
      <c r="M60" s="13" t="s">
        <v>19</v>
      </c>
    </row>
    <row r="61" spans="1:13" x14ac:dyDescent="0.35">
      <c r="A61" s="11" t="s">
        <v>185</v>
      </c>
      <c r="B61" s="11" t="s">
        <v>489</v>
      </c>
      <c r="C61" s="11">
        <v>6</v>
      </c>
      <c r="D61" s="12">
        <v>45020.145138888889</v>
      </c>
      <c r="E61" s="12">
        <v>45020.272916666669</v>
      </c>
      <c r="F61" s="11" t="s">
        <v>72</v>
      </c>
      <c r="G61" s="11" t="s">
        <v>86</v>
      </c>
      <c r="H61" s="11" t="s">
        <v>74</v>
      </c>
      <c r="I61" s="16">
        <v>31.33</v>
      </c>
      <c r="J61" s="11" t="s">
        <v>75</v>
      </c>
      <c r="K61" s="11">
        <v>383</v>
      </c>
      <c r="L61" s="11" t="s">
        <v>101</v>
      </c>
      <c r="M61" s="11" t="s">
        <v>21</v>
      </c>
    </row>
    <row r="62" spans="1:13" x14ac:dyDescent="0.35">
      <c r="A62" s="11" t="s">
        <v>185</v>
      </c>
      <c r="B62" s="11" t="s">
        <v>491</v>
      </c>
      <c r="C62" s="11">
        <v>6</v>
      </c>
      <c r="D62" s="12">
        <v>45021.150694444441</v>
      </c>
      <c r="E62" s="12">
        <v>45021.279861111114</v>
      </c>
      <c r="F62" s="11" t="s">
        <v>170</v>
      </c>
      <c r="G62" s="11" t="s">
        <v>163</v>
      </c>
      <c r="H62" s="11" t="s">
        <v>74</v>
      </c>
      <c r="I62" s="16">
        <v>11.14</v>
      </c>
      <c r="J62" s="11" t="s">
        <v>88</v>
      </c>
      <c r="K62" s="11">
        <v>385</v>
      </c>
      <c r="L62" s="11" t="s">
        <v>181</v>
      </c>
      <c r="M62" s="11" t="s">
        <v>12</v>
      </c>
    </row>
    <row r="63" spans="1:13" x14ac:dyDescent="0.35">
      <c r="A63" s="11" t="s">
        <v>185</v>
      </c>
      <c r="B63" s="11" t="s">
        <v>493</v>
      </c>
      <c r="C63" s="11">
        <v>5</v>
      </c>
      <c r="D63" s="12">
        <v>45021.131249999999</v>
      </c>
      <c r="E63" s="12">
        <v>45021.256944444445</v>
      </c>
      <c r="F63" s="11" t="s">
        <v>85</v>
      </c>
      <c r="G63" s="11" t="s">
        <v>86</v>
      </c>
      <c r="H63" s="11" t="s">
        <v>87</v>
      </c>
      <c r="I63" s="16">
        <v>20.84</v>
      </c>
      <c r="J63" s="11" t="s">
        <v>88</v>
      </c>
      <c r="K63" s="11">
        <v>387</v>
      </c>
      <c r="L63" s="11" t="s">
        <v>275</v>
      </c>
      <c r="M63" s="11" t="s">
        <v>15</v>
      </c>
    </row>
    <row r="64" spans="1:13" x14ac:dyDescent="0.35">
      <c r="A64" s="11" t="s">
        <v>185</v>
      </c>
      <c r="B64" s="11" t="s">
        <v>550</v>
      </c>
      <c r="C64" s="11">
        <v>5</v>
      </c>
      <c r="D64" s="12">
        <v>45021.042361111111</v>
      </c>
      <c r="E64" s="12">
        <v>45021.131249999999</v>
      </c>
      <c r="F64" s="11" t="s">
        <v>223</v>
      </c>
      <c r="G64" s="11" t="s">
        <v>163</v>
      </c>
      <c r="H64" s="11" t="s">
        <v>74</v>
      </c>
      <c r="I64" s="16">
        <v>14.28</v>
      </c>
      <c r="J64" s="11" t="s">
        <v>75</v>
      </c>
      <c r="K64" s="11">
        <v>445</v>
      </c>
      <c r="L64" s="11" t="s">
        <v>221</v>
      </c>
      <c r="M64" s="11" t="s">
        <v>17</v>
      </c>
    </row>
    <row r="65" spans="1:13" x14ac:dyDescent="0.35">
      <c r="A65" s="13" t="s">
        <v>185</v>
      </c>
      <c r="B65" s="13" t="s">
        <v>611</v>
      </c>
      <c r="C65" s="13">
        <v>1</v>
      </c>
      <c r="D65" s="14">
        <v>45022.118055555555</v>
      </c>
      <c r="E65" s="14">
        <v>45022.274305555555</v>
      </c>
      <c r="F65" s="13" t="s">
        <v>85</v>
      </c>
      <c r="G65" s="13" t="s">
        <v>86</v>
      </c>
      <c r="H65" s="13" t="s">
        <v>74</v>
      </c>
      <c r="I65" s="17">
        <v>4.28</v>
      </c>
      <c r="J65" s="13" t="s">
        <v>94</v>
      </c>
      <c r="K65" s="13">
        <v>508</v>
      </c>
      <c r="L65" s="13" t="s">
        <v>89</v>
      </c>
      <c r="M65" s="13" t="s">
        <v>33</v>
      </c>
    </row>
    <row r="66" spans="1:13" x14ac:dyDescent="0.35">
      <c r="A66" s="13" t="s">
        <v>185</v>
      </c>
      <c r="B66" s="13" t="s">
        <v>613</v>
      </c>
      <c r="C66" s="13">
        <v>4</v>
      </c>
      <c r="D66" s="14">
        <v>45022.147222222222</v>
      </c>
      <c r="E66" s="14">
        <v>45022.189583333333</v>
      </c>
      <c r="F66" s="13" t="s">
        <v>72</v>
      </c>
      <c r="G66" s="13" t="s">
        <v>86</v>
      </c>
      <c r="H66" s="13" t="s">
        <v>74</v>
      </c>
      <c r="I66" s="17">
        <v>14.97</v>
      </c>
      <c r="J66" s="13" t="s">
        <v>75</v>
      </c>
      <c r="K66" s="13">
        <v>510</v>
      </c>
      <c r="L66" s="13" t="s">
        <v>221</v>
      </c>
      <c r="M66" s="13" t="s">
        <v>21</v>
      </c>
    </row>
    <row r="67" spans="1:13" x14ac:dyDescent="0.35">
      <c r="A67" s="11" t="s">
        <v>185</v>
      </c>
      <c r="B67" s="11" t="s">
        <v>729</v>
      </c>
      <c r="C67" s="11">
        <v>1</v>
      </c>
      <c r="D67" s="12">
        <v>45022.01458333333</v>
      </c>
      <c r="E67" s="12">
        <v>45022.118750000001</v>
      </c>
      <c r="F67" s="11" t="s">
        <v>85</v>
      </c>
      <c r="G67" s="11" t="s">
        <v>73</v>
      </c>
      <c r="H67" s="11" t="s">
        <v>74</v>
      </c>
      <c r="I67" s="16">
        <v>39.71</v>
      </c>
      <c r="J67" s="11" t="s">
        <v>94</v>
      </c>
      <c r="K67" s="11">
        <v>631</v>
      </c>
      <c r="L67" s="11" t="s">
        <v>110</v>
      </c>
      <c r="M67" s="11" t="s">
        <v>35</v>
      </c>
    </row>
    <row r="68" spans="1:13" x14ac:dyDescent="0.35">
      <c r="A68" s="11" t="s">
        <v>185</v>
      </c>
      <c r="B68" s="11" t="s">
        <v>763</v>
      </c>
      <c r="C68" s="11">
        <v>5</v>
      </c>
      <c r="D68" s="12">
        <v>45023.152083333334</v>
      </c>
      <c r="E68" s="12">
        <v>45023.296527777777</v>
      </c>
      <c r="F68" s="11" t="s">
        <v>170</v>
      </c>
      <c r="G68" s="11" t="s">
        <v>86</v>
      </c>
      <c r="H68" s="11" t="s">
        <v>74</v>
      </c>
      <c r="I68" s="16">
        <v>20.49</v>
      </c>
      <c r="J68" s="11" t="s">
        <v>94</v>
      </c>
      <c r="K68" s="11">
        <v>667</v>
      </c>
      <c r="L68" s="11" t="s">
        <v>76</v>
      </c>
      <c r="M68" s="11" t="s">
        <v>21</v>
      </c>
    </row>
    <row r="69" spans="1:13" x14ac:dyDescent="0.35">
      <c r="A69" s="13" t="s">
        <v>70</v>
      </c>
      <c r="B69" s="13" t="s">
        <v>71</v>
      </c>
      <c r="C69" s="13">
        <v>5</v>
      </c>
      <c r="D69" s="14">
        <v>45017.058333333334</v>
      </c>
      <c r="E69" s="14">
        <v>45017.147222222222</v>
      </c>
      <c r="F69" s="13" t="s">
        <v>72</v>
      </c>
      <c r="G69" s="13" t="s">
        <v>73</v>
      </c>
      <c r="H69" s="13" t="s">
        <v>74</v>
      </c>
      <c r="I69" s="17">
        <v>26.57</v>
      </c>
      <c r="J69" s="13" t="s">
        <v>75</v>
      </c>
      <c r="K69" s="13">
        <v>6</v>
      </c>
      <c r="L69" s="13" t="s">
        <v>76</v>
      </c>
      <c r="M69" s="13" t="s">
        <v>31</v>
      </c>
    </row>
    <row r="70" spans="1:13" x14ac:dyDescent="0.35">
      <c r="A70" s="13" t="s">
        <v>70</v>
      </c>
      <c r="B70" s="13" t="s">
        <v>169</v>
      </c>
      <c r="C70" s="13">
        <v>4</v>
      </c>
      <c r="D70" s="14">
        <v>45017.06527777778</v>
      </c>
      <c r="E70" s="14">
        <v>45017.127083333333</v>
      </c>
      <c r="F70" s="13" t="s">
        <v>170</v>
      </c>
      <c r="G70" s="13" t="s">
        <v>86</v>
      </c>
      <c r="H70" s="13" t="s">
        <v>74</v>
      </c>
      <c r="I70" s="17">
        <v>20.02</v>
      </c>
      <c r="J70" s="13" t="s">
        <v>75</v>
      </c>
      <c r="K70" s="13">
        <v>78</v>
      </c>
      <c r="L70" s="13" t="s">
        <v>110</v>
      </c>
      <c r="M70" s="13" t="s">
        <v>29</v>
      </c>
    </row>
    <row r="71" spans="1:13" x14ac:dyDescent="0.35">
      <c r="A71" s="13" t="s">
        <v>70</v>
      </c>
      <c r="B71" s="13" t="s">
        <v>331</v>
      </c>
      <c r="C71" s="13">
        <v>6</v>
      </c>
      <c r="D71" s="14">
        <v>45018.088194444441</v>
      </c>
      <c r="E71" s="14">
        <v>45018.240972222222</v>
      </c>
      <c r="F71" s="13" t="s">
        <v>170</v>
      </c>
      <c r="G71" s="13" t="s">
        <v>86</v>
      </c>
      <c r="H71" s="13" t="s">
        <v>74</v>
      </c>
      <c r="I71" s="17">
        <v>17.61</v>
      </c>
      <c r="J71" s="13" t="s">
        <v>88</v>
      </c>
      <c r="K71" s="13">
        <v>224</v>
      </c>
      <c r="L71" s="13" t="s">
        <v>95</v>
      </c>
      <c r="M71" s="13" t="s">
        <v>47</v>
      </c>
    </row>
    <row r="72" spans="1:13" x14ac:dyDescent="0.35">
      <c r="A72" s="13" t="s">
        <v>70</v>
      </c>
      <c r="B72" s="13" t="s">
        <v>414</v>
      </c>
      <c r="C72" s="13">
        <v>4</v>
      </c>
      <c r="D72" s="14">
        <v>45019.002083333333</v>
      </c>
      <c r="E72" s="14">
        <v>45019.105555555558</v>
      </c>
      <c r="F72" s="13" t="s">
        <v>85</v>
      </c>
      <c r="G72" s="13" t="s">
        <v>86</v>
      </c>
      <c r="H72" s="13" t="s">
        <v>74</v>
      </c>
      <c r="I72" s="17">
        <v>16.96</v>
      </c>
      <c r="J72" s="13" t="s">
        <v>88</v>
      </c>
      <c r="K72" s="13">
        <v>306</v>
      </c>
      <c r="L72" s="13" t="s">
        <v>101</v>
      </c>
      <c r="M72" s="13" t="s">
        <v>33</v>
      </c>
    </row>
    <row r="73" spans="1:13" x14ac:dyDescent="0.35">
      <c r="A73" s="11" t="s">
        <v>70</v>
      </c>
      <c r="B73" s="11" t="s">
        <v>454</v>
      </c>
      <c r="C73" s="11">
        <v>4</v>
      </c>
      <c r="D73" s="12">
        <v>45020.075694444444</v>
      </c>
      <c r="E73" s="12">
        <v>45020.19027777778</v>
      </c>
      <c r="F73" s="11" t="s">
        <v>72</v>
      </c>
      <c r="G73" s="11" t="s">
        <v>86</v>
      </c>
      <c r="H73" s="11" t="s">
        <v>74</v>
      </c>
      <c r="I73" s="16">
        <v>48.52</v>
      </c>
      <c r="J73" s="11" t="s">
        <v>94</v>
      </c>
      <c r="K73" s="11">
        <v>347</v>
      </c>
      <c r="L73" s="11" t="s">
        <v>101</v>
      </c>
      <c r="M73" s="11" t="s">
        <v>31</v>
      </c>
    </row>
    <row r="74" spans="1:13" x14ac:dyDescent="0.35">
      <c r="A74" s="13" t="s">
        <v>70</v>
      </c>
      <c r="B74" s="13" t="s">
        <v>536</v>
      </c>
      <c r="C74" s="13">
        <v>3</v>
      </c>
      <c r="D74" s="14">
        <v>45021.097916666666</v>
      </c>
      <c r="E74" s="14">
        <v>45021.165972222225</v>
      </c>
      <c r="F74" s="13" t="s">
        <v>72</v>
      </c>
      <c r="G74" s="13" t="s">
        <v>86</v>
      </c>
      <c r="H74" s="13" t="s">
        <v>109</v>
      </c>
      <c r="I74" s="17">
        <v>42.09</v>
      </c>
      <c r="J74" s="13" t="s">
        <v>94</v>
      </c>
      <c r="K74" s="13">
        <v>430</v>
      </c>
      <c r="L74" s="13" t="s">
        <v>275</v>
      </c>
      <c r="M74" s="13" t="s">
        <v>49</v>
      </c>
    </row>
    <row r="75" spans="1:13" x14ac:dyDescent="0.35">
      <c r="A75" s="11" t="s">
        <v>70</v>
      </c>
      <c r="B75" s="11" t="s">
        <v>567</v>
      </c>
      <c r="C75" s="11">
        <v>2</v>
      </c>
      <c r="D75" s="12">
        <v>45021.036805555559</v>
      </c>
      <c r="E75" s="12">
        <v>45021.134027777778</v>
      </c>
      <c r="F75" s="11" t="s">
        <v>100</v>
      </c>
      <c r="G75" s="11" t="s">
        <v>86</v>
      </c>
      <c r="H75" s="11" t="s">
        <v>109</v>
      </c>
      <c r="I75" s="16">
        <v>17.07</v>
      </c>
      <c r="J75" s="11" t="s">
        <v>88</v>
      </c>
      <c r="K75" s="11">
        <v>463</v>
      </c>
      <c r="L75" s="11" t="s">
        <v>221</v>
      </c>
      <c r="M75" s="11" t="s">
        <v>15</v>
      </c>
    </row>
    <row r="76" spans="1:13" x14ac:dyDescent="0.35">
      <c r="A76" s="11" t="s">
        <v>70</v>
      </c>
      <c r="B76" s="11" t="s">
        <v>575</v>
      </c>
      <c r="C76" s="11">
        <v>6</v>
      </c>
      <c r="D76" s="12">
        <v>45021.15</v>
      </c>
      <c r="E76" s="12">
        <v>45021.234722222223</v>
      </c>
      <c r="F76" s="11" t="s">
        <v>72</v>
      </c>
      <c r="G76" s="11" t="s">
        <v>163</v>
      </c>
      <c r="H76" s="11" t="s">
        <v>109</v>
      </c>
      <c r="I76" s="16">
        <v>28.49</v>
      </c>
      <c r="J76" s="11" t="s">
        <v>94</v>
      </c>
      <c r="K76" s="11">
        <v>471</v>
      </c>
      <c r="L76" s="11" t="s">
        <v>76</v>
      </c>
      <c r="M76" s="11" t="s">
        <v>31</v>
      </c>
    </row>
    <row r="77" spans="1:13" x14ac:dyDescent="0.35">
      <c r="A77" s="13" t="s">
        <v>70</v>
      </c>
      <c r="B77" s="13" t="s">
        <v>645</v>
      </c>
      <c r="C77" s="13">
        <v>4</v>
      </c>
      <c r="D77" s="14">
        <v>45022.136805555558</v>
      </c>
      <c r="E77" s="14">
        <v>45022.197916666664</v>
      </c>
      <c r="F77" s="13" t="s">
        <v>85</v>
      </c>
      <c r="G77" s="13" t="s">
        <v>86</v>
      </c>
      <c r="H77" s="13" t="s">
        <v>74</v>
      </c>
      <c r="I77" s="17">
        <v>44.91</v>
      </c>
      <c r="J77" s="13" t="s">
        <v>88</v>
      </c>
      <c r="K77" s="13">
        <v>544</v>
      </c>
      <c r="L77" s="13" t="s">
        <v>187</v>
      </c>
      <c r="M77" s="13" t="s">
        <v>31</v>
      </c>
    </row>
    <row r="78" spans="1:13" x14ac:dyDescent="0.35">
      <c r="A78" s="11" t="s">
        <v>70</v>
      </c>
      <c r="B78" s="11" t="s">
        <v>687</v>
      </c>
      <c r="C78" s="11">
        <v>4</v>
      </c>
      <c r="D78" s="12">
        <v>45022.151388888888</v>
      </c>
      <c r="E78" s="12">
        <v>45022.195833333331</v>
      </c>
      <c r="F78" s="11" t="s">
        <v>170</v>
      </c>
      <c r="G78" s="11" t="s">
        <v>163</v>
      </c>
      <c r="H78" s="11" t="s">
        <v>74</v>
      </c>
      <c r="I78" s="16">
        <v>35.03</v>
      </c>
      <c r="J78" s="11" t="s">
        <v>88</v>
      </c>
      <c r="K78" s="11">
        <v>587</v>
      </c>
      <c r="L78" s="11" t="s">
        <v>174</v>
      </c>
      <c r="M78" s="11" t="s">
        <v>9</v>
      </c>
    </row>
    <row r="79" spans="1:13" x14ac:dyDescent="0.35">
      <c r="A79" s="13" t="s">
        <v>70</v>
      </c>
      <c r="B79" s="13" t="s">
        <v>708</v>
      </c>
      <c r="C79" s="13">
        <v>6</v>
      </c>
      <c r="D79" s="14">
        <v>45022.165277777778</v>
      </c>
      <c r="E79" s="14">
        <v>45022.305555555555</v>
      </c>
      <c r="F79" s="13" t="s">
        <v>170</v>
      </c>
      <c r="G79" s="13" t="s">
        <v>86</v>
      </c>
      <c r="H79" s="13" t="s">
        <v>74</v>
      </c>
      <c r="I79" s="17">
        <v>36.549999999999997</v>
      </c>
      <c r="J79" s="13" t="s">
        <v>94</v>
      </c>
      <c r="K79" s="13">
        <v>608</v>
      </c>
      <c r="L79" s="13" t="s">
        <v>181</v>
      </c>
      <c r="M79" s="13" t="s">
        <v>23</v>
      </c>
    </row>
    <row r="80" spans="1:13" x14ac:dyDescent="0.35">
      <c r="A80" s="13" t="s">
        <v>70</v>
      </c>
      <c r="B80" s="13" t="s">
        <v>814</v>
      </c>
      <c r="C80" s="13">
        <v>6</v>
      </c>
      <c r="D80" s="14">
        <v>45023.137499999997</v>
      </c>
      <c r="E80" s="14">
        <v>45023.29583333333</v>
      </c>
      <c r="F80" s="13" t="s">
        <v>100</v>
      </c>
      <c r="G80" s="13" t="s">
        <v>163</v>
      </c>
      <c r="H80" s="13" t="s">
        <v>74</v>
      </c>
      <c r="I80" s="17">
        <v>37.21</v>
      </c>
      <c r="J80" s="13" t="s">
        <v>75</v>
      </c>
      <c r="K80" s="13">
        <v>718</v>
      </c>
      <c r="L80" s="13" t="s">
        <v>275</v>
      </c>
      <c r="M80" s="13" t="s">
        <v>39</v>
      </c>
    </row>
    <row r="81" spans="1:13" x14ac:dyDescent="0.35">
      <c r="A81" s="11" t="s">
        <v>215</v>
      </c>
      <c r="B81" s="11" t="s">
        <v>216</v>
      </c>
      <c r="C81" s="11">
        <v>4</v>
      </c>
      <c r="D81" s="12">
        <v>45017.121527777781</v>
      </c>
      <c r="E81" s="12">
        <v>45017.239583333336</v>
      </c>
      <c r="F81" s="11" t="s">
        <v>170</v>
      </c>
      <c r="G81" s="11" t="s">
        <v>163</v>
      </c>
      <c r="H81" s="11" t="s">
        <v>74</v>
      </c>
      <c r="I81" s="16">
        <v>11.65</v>
      </c>
      <c r="J81" s="11" t="s">
        <v>88</v>
      </c>
      <c r="K81" s="11">
        <v>117</v>
      </c>
      <c r="L81" s="11" t="s">
        <v>101</v>
      </c>
      <c r="M81" s="11" t="s">
        <v>31</v>
      </c>
    </row>
    <row r="82" spans="1:13" x14ac:dyDescent="0.35">
      <c r="A82" s="13" t="s">
        <v>215</v>
      </c>
      <c r="B82" s="13" t="s">
        <v>251</v>
      </c>
      <c r="C82" s="13">
        <v>6</v>
      </c>
      <c r="D82" s="14">
        <v>45018.069444444445</v>
      </c>
      <c r="E82" s="14">
        <v>45018.120833333334</v>
      </c>
      <c r="F82" s="13" t="s">
        <v>170</v>
      </c>
      <c r="G82" s="13" t="s">
        <v>86</v>
      </c>
      <c r="H82" s="13" t="s">
        <v>74</v>
      </c>
      <c r="I82" s="17">
        <v>3.84</v>
      </c>
      <c r="J82" s="13" t="s">
        <v>94</v>
      </c>
      <c r="K82" s="13">
        <v>146</v>
      </c>
      <c r="L82" s="13" t="s">
        <v>221</v>
      </c>
      <c r="M82" s="13" t="s">
        <v>15</v>
      </c>
    </row>
    <row r="83" spans="1:13" x14ac:dyDescent="0.35">
      <c r="A83" s="11" t="s">
        <v>215</v>
      </c>
      <c r="B83" s="11" t="s">
        <v>340</v>
      </c>
      <c r="C83" s="11">
        <v>1</v>
      </c>
      <c r="D83" s="12">
        <v>45018.036111111112</v>
      </c>
      <c r="E83" s="12">
        <v>45018.11041666667</v>
      </c>
      <c r="F83" s="11" t="s">
        <v>100</v>
      </c>
      <c r="G83" s="11" t="s">
        <v>163</v>
      </c>
      <c r="H83" s="11" t="s">
        <v>109</v>
      </c>
      <c r="I83" s="16">
        <v>45.64</v>
      </c>
      <c r="J83" s="11" t="s">
        <v>75</v>
      </c>
      <c r="K83" s="11">
        <v>233</v>
      </c>
      <c r="L83" s="11" t="s">
        <v>164</v>
      </c>
      <c r="M83" s="11" t="s">
        <v>29</v>
      </c>
    </row>
    <row r="84" spans="1:13" x14ac:dyDescent="0.35">
      <c r="A84" s="13" t="s">
        <v>215</v>
      </c>
      <c r="B84" s="13" t="s">
        <v>358</v>
      </c>
      <c r="C84" s="13">
        <v>2</v>
      </c>
      <c r="D84" s="14">
        <v>45018.12222222222</v>
      </c>
      <c r="E84" s="14">
        <v>45018.272916666669</v>
      </c>
      <c r="F84" s="13" t="s">
        <v>72</v>
      </c>
      <c r="G84" s="13" t="s">
        <v>86</v>
      </c>
      <c r="H84" s="13" t="s">
        <v>74</v>
      </c>
      <c r="I84" s="17">
        <v>23.21</v>
      </c>
      <c r="J84" s="13" t="s">
        <v>75</v>
      </c>
      <c r="K84" s="13">
        <v>250</v>
      </c>
      <c r="L84" s="13" t="s">
        <v>181</v>
      </c>
      <c r="M84" s="13" t="s">
        <v>39</v>
      </c>
    </row>
    <row r="85" spans="1:13" x14ac:dyDescent="0.35">
      <c r="A85" s="11" t="s">
        <v>215</v>
      </c>
      <c r="B85" s="11" t="s">
        <v>363</v>
      </c>
      <c r="C85" s="11">
        <v>4</v>
      </c>
      <c r="D85" s="12">
        <v>45018.099305555559</v>
      </c>
      <c r="E85" s="12">
        <v>45018.165972222225</v>
      </c>
      <c r="F85" s="11" t="s">
        <v>100</v>
      </c>
      <c r="G85" s="11" t="s">
        <v>73</v>
      </c>
      <c r="H85" s="11" t="s">
        <v>87</v>
      </c>
      <c r="I85" s="16">
        <v>13.34</v>
      </c>
      <c r="J85" s="11" t="s">
        <v>94</v>
      </c>
      <c r="K85" s="11">
        <v>255</v>
      </c>
      <c r="L85" s="11" t="s">
        <v>174</v>
      </c>
      <c r="M85" s="11" t="s">
        <v>49</v>
      </c>
    </row>
    <row r="86" spans="1:13" x14ac:dyDescent="0.35">
      <c r="A86" s="11" t="s">
        <v>215</v>
      </c>
      <c r="B86" s="11" t="s">
        <v>535</v>
      </c>
      <c r="C86" s="11">
        <v>1</v>
      </c>
      <c r="D86" s="12">
        <v>45021.006944444445</v>
      </c>
      <c r="E86" s="12">
        <v>45021.156944444447</v>
      </c>
      <c r="F86" s="11" t="s">
        <v>72</v>
      </c>
      <c r="G86" s="11" t="s">
        <v>86</v>
      </c>
      <c r="H86" s="11" t="s">
        <v>74</v>
      </c>
      <c r="I86" s="16">
        <v>10.95</v>
      </c>
      <c r="J86" s="11" t="s">
        <v>94</v>
      </c>
      <c r="K86" s="11">
        <v>429</v>
      </c>
      <c r="L86" s="11" t="s">
        <v>89</v>
      </c>
      <c r="M86" s="11" t="s">
        <v>47</v>
      </c>
    </row>
    <row r="87" spans="1:13" x14ac:dyDescent="0.35">
      <c r="A87" s="11" t="s">
        <v>215</v>
      </c>
      <c r="B87" s="11" t="s">
        <v>84</v>
      </c>
      <c r="C87" s="11">
        <v>6</v>
      </c>
      <c r="D87" s="12">
        <v>45022.061111111114</v>
      </c>
      <c r="E87" s="12">
        <v>45022.20208333333</v>
      </c>
      <c r="F87" s="11" t="s">
        <v>170</v>
      </c>
      <c r="G87" s="11" t="s">
        <v>163</v>
      </c>
      <c r="H87" s="11" t="s">
        <v>74</v>
      </c>
      <c r="I87" s="16">
        <v>22.74</v>
      </c>
      <c r="J87" s="11" t="s">
        <v>88</v>
      </c>
      <c r="K87" s="11">
        <v>513</v>
      </c>
      <c r="L87" s="11" t="s">
        <v>95</v>
      </c>
      <c r="M87" s="11" t="s">
        <v>45</v>
      </c>
    </row>
    <row r="88" spans="1:13" x14ac:dyDescent="0.35">
      <c r="A88" s="13" t="s">
        <v>215</v>
      </c>
      <c r="B88" s="13" t="s">
        <v>762</v>
      </c>
      <c r="C88" s="13">
        <v>4</v>
      </c>
      <c r="D88" s="14">
        <v>45023.044444444444</v>
      </c>
      <c r="E88" s="14">
        <v>45023.206250000003</v>
      </c>
      <c r="F88" s="13" t="s">
        <v>100</v>
      </c>
      <c r="G88" s="13" t="s">
        <v>86</v>
      </c>
      <c r="H88" s="13" t="s">
        <v>74</v>
      </c>
      <c r="I88" s="17">
        <v>11.86</v>
      </c>
      <c r="J88" s="13" t="s">
        <v>75</v>
      </c>
      <c r="K88" s="13">
        <v>666</v>
      </c>
      <c r="L88" s="13" t="s">
        <v>221</v>
      </c>
      <c r="M88" s="13" t="s">
        <v>39</v>
      </c>
    </row>
    <row r="89" spans="1:13" x14ac:dyDescent="0.35">
      <c r="A89" s="11" t="s">
        <v>215</v>
      </c>
      <c r="B89" s="11" t="s">
        <v>795</v>
      </c>
      <c r="C89" s="11">
        <v>6</v>
      </c>
      <c r="D89" s="12">
        <v>45023.065972222219</v>
      </c>
      <c r="E89" s="12">
        <v>45023.12222222222</v>
      </c>
      <c r="F89" s="11" t="s">
        <v>100</v>
      </c>
      <c r="G89" s="11" t="s">
        <v>86</v>
      </c>
      <c r="H89" s="11" t="s">
        <v>74</v>
      </c>
      <c r="I89" s="16">
        <v>38.44</v>
      </c>
      <c r="J89" s="11" t="s">
        <v>94</v>
      </c>
      <c r="K89" s="11">
        <v>699</v>
      </c>
      <c r="L89" s="11" t="s">
        <v>181</v>
      </c>
      <c r="M89" s="11" t="s">
        <v>23</v>
      </c>
    </row>
    <row r="90" spans="1:13" x14ac:dyDescent="0.35">
      <c r="A90" s="13" t="s">
        <v>215</v>
      </c>
      <c r="B90" s="13" t="s">
        <v>410</v>
      </c>
      <c r="C90" s="13">
        <v>6</v>
      </c>
      <c r="D90" s="14">
        <v>45023.12222222222</v>
      </c>
      <c r="E90" s="14">
        <v>45023.177083333336</v>
      </c>
      <c r="F90" s="13" t="s">
        <v>85</v>
      </c>
      <c r="G90" s="13" t="s">
        <v>73</v>
      </c>
      <c r="H90" s="13" t="s">
        <v>87</v>
      </c>
      <c r="I90" s="17">
        <v>14.12</v>
      </c>
      <c r="J90" s="13" t="s">
        <v>75</v>
      </c>
      <c r="K90" s="13">
        <v>724</v>
      </c>
      <c r="L90" s="13" t="s">
        <v>275</v>
      </c>
      <c r="M90" s="13" t="s">
        <v>35</v>
      </c>
    </row>
    <row r="91" spans="1:13" x14ac:dyDescent="0.35">
      <c r="A91" s="11" t="s">
        <v>247</v>
      </c>
      <c r="B91" s="11" t="s">
        <v>248</v>
      </c>
      <c r="C91" s="11">
        <v>4</v>
      </c>
      <c r="D91" s="12">
        <v>45018.022222222222</v>
      </c>
      <c r="E91" s="12">
        <v>45018.1875</v>
      </c>
      <c r="F91" s="11" t="s">
        <v>72</v>
      </c>
      <c r="G91" s="11" t="s">
        <v>86</v>
      </c>
      <c r="H91" s="11" t="s">
        <v>87</v>
      </c>
      <c r="I91" s="16">
        <v>48.26</v>
      </c>
      <c r="J91" s="11" t="s">
        <v>75</v>
      </c>
      <c r="K91" s="11">
        <v>143</v>
      </c>
      <c r="L91" s="11" t="s">
        <v>76</v>
      </c>
      <c r="M91" s="11" t="s">
        <v>49</v>
      </c>
    </row>
    <row r="92" spans="1:13" x14ac:dyDescent="0.35">
      <c r="A92" s="13" t="s">
        <v>247</v>
      </c>
      <c r="B92" s="13" t="s">
        <v>305</v>
      </c>
      <c r="C92" s="13">
        <v>4</v>
      </c>
      <c r="D92" s="14">
        <v>45018.025000000001</v>
      </c>
      <c r="E92" s="14">
        <v>45018.128472222219</v>
      </c>
      <c r="F92" s="13" t="s">
        <v>223</v>
      </c>
      <c r="G92" s="13" t="s">
        <v>86</v>
      </c>
      <c r="H92" s="13" t="s">
        <v>74</v>
      </c>
      <c r="I92" s="17">
        <v>36.72</v>
      </c>
      <c r="J92" s="13" t="s">
        <v>94</v>
      </c>
      <c r="K92" s="13">
        <v>198</v>
      </c>
      <c r="L92" s="13" t="s">
        <v>181</v>
      </c>
      <c r="M92" s="13" t="s">
        <v>17</v>
      </c>
    </row>
    <row r="93" spans="1:13" x14ac:dyDescent="0.35">
      <c r="A93" s="13" t="s">
        <v>247</v>
      </c>
      <c r="B93" s="13" t="s">
        <v>566</v>
      </c>
      <c r="C93" s="13">
        <v>2</v>
      </c>
      <c r="D93" s="14">
        <v>45021.091666666667</v>
      </c>
      <c r="E93" s="14">
        <v>45021.185416666667</v>
      </c>
      <c r="F93" s="13" t="s">
        <v>100</v>
      </c>
      <c r="G93" s="13" t="s">
        <v>86</v>
      </c>
      <c r="H93" s="13" t="s">
        <v>74</v>
      </c>
      <c r="I93" s="17">
        <v>21.17</v>
      </c>
      <c r="J93" s="13" t="s">
        <v>94</v>
      </c>
      <c r="K93" s="13">
        <v>462</v>
      </c>
      <c r="L93" s="13" t="s">
        <v>181</v>
      </c>
      <c r="M93" s="13" t="s">
        <v>25</v>
      </c>
    </row>
    <row r="94" spans="1:13" x14ac:dyDescent="0.35">
      <c r="A94" s="11" t="s">
        <v>247</v>
      </c>
      <c r="B94" s="11" t="s">
        <v>585</v>
      </c>
      <c r="C94" s="11">
        <v>4</v>
      </c>
      <c r="D94" s="12">
        <v>45022.081250000003</v>
      </c>
      <c r="E94" s="12">
        <v>45022.196527777778</v>
      </c>
      <c r="F94" s="11" t="s">
        <v>223</v>
      </c>
      <c r="G94" s="11" t="s">
        <v>86</v>
      </c>
      <c r="H94" s="11" t="s">
        <v>74</v>
      </c>
      <c r="I94" s="16">
        <v>42.02</v>
      </c>
      <c r="J94" s="11" t="s">
        <v>94</v>
      </c>
      <c r="K94" s="11">
        <v>481</v>
      </c>
      <c r="L94" s="11" t="s">
        <v>76</v>
      </c>
      <c r="M94" s="11" t="s">
        <v>47</v>
      </c>
    </row>
    <row r="95" spans="1:13" x14ac:dyDescent="0.35">
      <c r="A95" s="13" t="s">
        <v>247</v>
      </c>
      <c r="B95" s="13" t="s">
        <v>586</v>
      </c>
      <c r="C95" s="13">
        <v>4</v>
      </c>
      <c r="D95" s="14">
        <v>45022.02847222222</v>
      </c>
      <c r="E95" s="14">
        <v>45022.124305555553</v>
      </c>
      <c r="F95" s="13" t="s">
        <v>170</v>
      </c>
      <c r="G95" s="13" t="s">
        <v>163</v>
      </c>
      <c r="H95" s="13" t="s">
        <v>74</v>
      </c>
      <c r="I95" s="17">
        <v>18.84</v>
      </c>
      <c r="J95" s="13" t="s">
        <v>75</v>
      </c>
      <c r="K95" s="13">
        <v>482</v>
      </c>
      <c r="L95" s="13" t="s">
        <v>110</v>
      </c>
      <c r="M95" s="13" t="s">
        <v>43</v>
      </c>
    </row>
    <row r="96" spans="1:13" x14ac:dyDescent="0.35">
      <c r="A96" s="11" t="s">
        <v>247</v>
      </c>
      <c r="B96" s="11" t="s">
        <v>680</v>
      </c>
      <c r="C96" s="11">
        <v>2</v>
      </c>
      <c r="D96" s="12">
        <v>45022.006944444445</v>
      </c>
      <c r="E96" s="12">
        <v>45022.095138888886</v>
      </c>
      <c r="F96" s="11" t="s">
        <v>170</v>
      </c>
      <c r="G96" s="11" t="s">
        <v>86</v>
      </c>
      <c r="H96" s="11" t="s">
        <v>74</v>
      </c>
      <c r="I96" s="16">
        <v>35.96</v>
      </c>
      <c r="J96" s="11" t="s">
        <v>75</v>
      </c>
      <c r="K96" s="11">
        <v>579</v>
      </c>
      <c r="L96" s="11" t="s">
        <v>221</v>
      </c>
      <c r="M96" s="11" t="s">
        <v>49</v>
      </c>
    </row>
    <row r="97" spans="1:13" x14ac:dyDescent="0.35">
      <c r="A97" s="13" t="s">
        <v>247</v>
      </c>
      <c r="B97" s="13" t="s">
        <v>741</v>
      </c>
      <c r="C97" s="13">
        <v>6</v>
      </c>
      <c r="D97" s="14">
        <v>45022.155555555553</v>
      </c>
      <c r="E97" s="14">
        <v>45022.298611111109</v>
      </c>
      <c r="F97" s="13" t="s">
        <v>223</v>
      </c>
      <c r="G97" s="13" t="s">
        <v>86</v>
      </c>
      <c r="H97" s="13" t="s">
        <v>109</v>
      </c>
      <c r="I97" s="17">
        <v>13.86</v>
      </c>
      <c r="J97" s="13" t="s">
        <v>94</v>
      </c>
      <c r="K97" s="13">
        <v>644</v>
      </c>
      <c r="L97" s="13" t="s">
        <v>187</v>
      </c>
      <c r="M97" s="13" t="s">
        <v>15</v>
      </c>
    </row>
    <row r="98" spans="1:13" x14ac:dyDescent="0.35">
      <c r="A98" s="13" t="s">
        <v>247</v>
      </c>
      <c r="B98" s="13" t="s">
        <v>745</v>
      </c>
      <c r="C98" s="13">
        <v>1</v>
      </c>
      <c r="D98" s="14">
        <v>45022.124305555553</v>
      </c>
      <c r="E98" s="14">
        <v>45022.204861111109</v>
      </c>
      <c r="F98" s="13" t="s">
        <v>100</v>
      </c>
      <c r="G98" s="13" t="s">
        <v>73</v>
      </c>
      <c r="H98" s="13" t="s">
        <v>74</v>
      </c>
      <c r="I98" s="17">
        <v>17.43</v>
      </c>
      <c r="J98" s="13" t="s">
        <v>75</v>
      </c>
      <c r="K98" s="13">
        <v>648</v>
      </c>
      <c r="L98" s="13" t="s">
        <v>89</v>
      </c>
      <c r="M98" s="13" t="s">
        <v>27</v>
      </c>
    </row>
    <row r="99" spans="1:13" x14ac:dyDescent="0.35">
      <c r="A99" s="11" t="s">
        <v>247</v>
      </c>
      <c r="B99" s="11" t="s">
        <v>358</v>
      </c>
      <c r="C99" s="11">
        <v>4</v>
      </c>
      <c r="D99" s="12">
        <v>45023.118055555555</v>
      </c>
      <c r="E99" s="12">
        <v>45023.168749999997</v>
      </c>
      <c r="F99" s="11" t="s">
        <v>72</v>
      </c>
      <c r="G99" s="11" t="s">
        <v>86</v>
      </c>
      <c r="H99" s="11" t="s">
        <v>74</v>
      </c>
      <c r="I99" s="16">
        <v>35.24</v>
      </c>
      <c r="J99" s="11" t="s">
        <v>88</v>
      </c>
      <c r="K99" s="11">
        <v>659</v>
      </c>
      <c r="L99" s="11" t="s">
        <v>76</v>
      </c>
      <c r="M99" s="11" t="s">
        <v>23</v>
      </c>
    </row>
    <row r="100" spans="1:13" x14ac:dyDescent="0.35">
      <c r="A100" s="11" t="s">
        <v>247</v>
      </c>
      <c r="B100" s="11" t="s">
        <v>799</v>
      </c>
      <c r="C100" s="11">
        <v>5</v>
      </c>
      <c r="D100" s="12">
        <v>45023.011805555558</v>
      </c>
      <c r="E100" s="12">
        <v>45023.09652777778</v>
      </c>
      <c r="F100" s="11" t="s">
        <v>223</v>
      </c>
      <c r="G100" s="11" t="s">
        <v>86</v>
      </c>
      <c r="H100" s="11" t="s">
        <v>74</v>
      </c>
      <c r="I100" s="16">
        <v>22.24</v>
      </c>
      <c r="J100" s="11" t="s">
        <v>88</v>
      </c>
      <c r="K100" s="11">
        <v>703</v>
      </c>
      <c r="L100" s="11" t="s">
        <v>275</v>
      </c>
      <c r="M100" s="11" t="s">
        <v>43</v>
      </c>
    </row>
    <row r="101" spans="1:13" x14ac:dyDescent="0.35">
      <c r="A101" s="13" t="s">
        <v>232</v>
      </c>
      <c r="B101" s="13" t="s">
        <v>233</v>
      </c>
      <c r="C101" s="13">
        <v>4</v>
      </c>
      <c r="D101" s="14">
        <v>45018.018055555556</v>
      </c>
      <c r="E101" s="14">
        <v>45018.063888888886</v>
      </c>
      <c r="F101" s="13" t="s">
        <v>100</v>
      </c>
      <c r="G101" s="13" t="s">
        <v>86</v>
      </c>
      <c r="H101" s="13" t="s">
        <v>74</v>
      </c>
      <c r="I101" s="17">
        <v>38.130000000000003</v>
      </c>
      <c r="J101" s="13" t="s">
        <v>75</v>
      </c>
      <c r="K101" s="13">
        <v>130</v>
      </c>
      <c r="L101" s="13" t="s">
        <v>110</v>
      </c>
      <c r="M101" s="13" t="s">
        <v>31</v>
      </c>
    </row>
    <row r="102" spans="1:13" x14ac:dyDescent="0.35">
      <c r="A102" s="13" t="s">
        <v>232</v>
      </c>
      <c r="B102" s="13" t="s">
        <v>281</v>
      </c>
      <c r="C102" s="13">
        <v>5</v>
      </c>
      <c r="D102" s="14">
        <v>45018.006249999999</v>
      </c>
      <c r="E102" s="14">
        <v>45018.05</v>
      </c>
      <c r="F102" s="13" t="s">
        <v>72</v>
      </c>
      <c r="G102" s="13" t="s">
        <v>86</v>
      </c>
      <c r="H102" s="13" t="s">
        <v>74</v>
      </c>
      <c r="I102" s="17">
        <v>48.24</v>
      </c>
      <c r="J102" s="13" t="s">
        <v>94</v>
      </c>
      <c r="K102" s="13">
        <v>174</v>
      </c>
      <c r="L102" s="13" t="s">
        <v>275</v>
      </c>
      <c r="M102" s="13" t="s">
        <v>12</v>
      </c>
    </row>
    <row r="103" spans="1:13" x14ac:dyDescent="0.35">
      <c r="A103" s="11" t="s">
        <v>232</v>
      </c>
      <c r="B103" s="11" t="s">
        <v>367</v>
      </c>
      <c r="C103" s="11">
        <v>5</v>
      </c>
      <c r="D103" s="12">
        <v>45018.143750000003</v>
      </c>
      <c r="E103" s="12">
        <v>45018.261111111111</v>
      </c>
      <c r="F103" s="11" t="s">
        <v>223</v>
      </c>
      <c r="G103" s="11" t="s">
        <v>86</v>
      </c>
      <c r="H103" s="11" t="s">
        <v>74</v>
      </c>
      <c r="I103" s="16">
        <v>46.72</v>
      </c>
      <c r="J103" s="11" t="s">
        <v>88</v>
      </c>
      <c r="K103" s="11">
        <v>259</v>
      </c>
      <c r="L103" s="11" t="s">
        <v>275</v>
      </c>
      <c r="M103" s="11" t="s">
        <v>17</v>
      </c>
    </row>
    <row r="104" spans="1:13" x14ac:dyDescent="0.35">
      <c r="A104" s="13" t="s">
        <v>232</v>
      </c>
      <c r="B104" s="13" t="s">
        <v>378</v>
      </c>
      <c r="C104" s="13">
        <v>1</v>
      </c>
      <c r="D104" s="14">
        <v>45019.049305555556</v>
      </c>
      <c r="E104" s="14">
        <v>45019.207638888889</v>
      </c>
      <c r="F104" s="13" t="s">
        <v>72</v>
      </c>
      <c r="G104" s="13" t="s">
        <v>86</v>
      </c>
      <c r="H104" s="13" t="s">
        <v>74</v>
      </c>
      <c r="I104" s="17">
        <v>10.130000000000001</v>
      </c>
      <c r="J104" s="13" t="s">
        <v>75</v>
      </c>
      <c r="K104" s="13">
        <v>270</v>
      </c>
      <c r="L104" s="13" t="s">
        <v>187</v>
      </c>
      <c r="M104" s="13" t="s">
        <v>37</v>
      </c>
    </row>
    <row r="105" spans="1:13" x14ac:dyDescent="0.35">
      <c r="A105" s="13" t="s">
        <v>232</v>
      </c>
      <c r="B105" s="13" t="s">
        <v>400</v>
      </c>
      <c r="C105" s="13">
        <v>3</v>
      </c>
      <c r="D105" s="14">
        <v>45019.006249999999</v>
      </c>
      <c r="E105" s="14">
        <v>45019.07708333333</v>
      </c>
      <c r="F105" s="13" t="s">
        <v>170</v>
      </c>
      <c r="G105" s="13" t="s">
        <v>73</v>
      </c>
      <c r="H105" s="13" t="s">
        <v>109</v>
      </c>
      <c r="I105" s="17">
        <v>29.72</v>
      </c>
      <c r="J105" s="13" t="s">
        <v>94</v>
      </c>
      <c r="K105" s="13">
        <v>292</v>
      </c>
      <c r="L105" s="13" t="s">
        <v>164</v>
      </c>
      <c r="M105" s="13" t="s">
        <v>27</v>
      </c>
    </row>
    <row r="106" spans="1:13" x14ac:dyDescent="0.35">
      <c r="A106" s="13" t="s">
        <v>232</v>
      </c>
      <c r="B106" s="13" t="s">
        <v>541</v>
      </c>
      <c r="C106" s="13">
        <v>3</v>
      </c>
      <c r="D106" s="14">
        <v>45021.008333333331</v>
      </c>
      <c r="E106" s="14">
        <v>45021.169444444444</v>
      </c>
      <c r="F106" s="13" t="s">
        <v>85</v>
      </c>
      <c r="G106" s="13" t="s">
        <v>86</v>
      </c>
      <c r="H106" s="13" t="s">
        <v>74</v>
      </c>
      <c r="I106" s="17">
        <v>10.14</v>
      </c>
      <c r="J106" s="13" t="s">
        <v>88</v>
      </c>
      <c r="K106" s="13">
        <v>436</v>
      </c>
      <c r="L106" s="13" t="s">
        <v>89</v>
      </c>
      <c r="M106" s="13" t="s">
        <v>27</v>
      </c>
    </row>
    <row r="107" spans="1:13" x14ac:dyDescent="0.35">
      <c r="A107" s="13" t="s">
        <v>232</v>
      </c>
      <c r="B107" s="13" t="s">
        <v>126</v>
      </c>
      <c r="C107" s="13">
        <v>5</v>
      </c>
      <c r="D107" s="14">
        <v>45022.004166666666</v>
      </c>
      <c r="E107" s="14">
        <v>45022.054166666669</v>
      </c>
      <c r="F107" s="13" t="s">
        <v>72</v>
      </c>
      <c r="G107" s="13" t="s">
        <v>86</v>
      </c>
      <c r="H107" s="13" t="s">
        <v>109</v>
      </c>
      <c r="I107" s="17">
        <v>44.54</v>
      </c>
      <c r="J107" s="13" t="s">
        <v>75</v>
      </c>
      <c r="K107" s="13">
        <v>580</v>
      </c>
      <c r="L107" s="13" t="s">
        <v>174</v>
      </c>
      <c r="M107" s="13" t="s">
        <v>25</v>
      </c>
    </row>
    <row r="108" spans="1:13" x14ac:dyDescent="0.35">
      <c r="A108" s="13" t="s">
        <v>232</v>
      </c>
      <c r="B108" s="13" t="s">
        <v>808</v>
      </c>
      <c r="C108" s="13">
        <v>5</v>
      </c>
      <c r="D108" s="14">
        <v>45023.004166666666</v>
      </c>
      <c r="E108" s="14">
        <v>45023.102083333331</v>
      </c>
      <c r="F108" s="13" t="s">
        <v>100</v>
      </c>
      <c r="G108" s="13" t="s">
        <v>163</v>
      </c>
      <c r="H108" s="13" t="s">
        <v>87</v>
      </c>
      <c r="I108" s="17">
        <v>42.21</v>
      </c>
      <c r="J108" s="13" t="s">
        <v>94</v>
      </c>
      <c r="K108" s="13">
        <v>712</v>
      </c>
      <c r="L108" s="13" t="s">
        <v>76</v>
      </c>
      <c r="M108" s="13" t="s">
        <v>9</v>
      </c>
    </row>
    <row r="109" spans="1:13" x14ac:dyDescent="0.35">
      <c r="A109" s="11" t="s">
        <v>232</v>
      </c>
      <c r="B109" s="11" t="s">
        <v>834</v>
      </c>
      <c r="C109" s="11">
        <v>5</v>
      </c>
      <c r="D109" s="12">
        <v>45023.161805555559</v>
      </c>
      <c r="E109" s="12">
        <v>45023.256944444445</v>
      </c>
      <c r="F109" s="11" t="s">
        <v>100</v>
      </c>
      <c r="G109" s="11" t="s">
        <v>86</v>
      </c>
      <c r="H109" s="11" t="s">
        <v>109</v>
      </c>
      <c r="I109" s="16">
        <v>33.69</v>
      </c>
      <c r="J109" s="11" t="s">
        <v>94</v>
      </c>
      <c r="K109" s="11">
        <v>739</v>
      </c>
      <c r="L109" s="11" t="s">
        <v>110</v>
      </c>
      <c r="M109" s="11" t="s">
        <v>41</v>
      </c>
    </row>
    <row r="110" spans="1:13" x14ac:dyDescent="0.35">
      <c r="A110" s="11" t="s">
        <v>354</v>
      </c>
      <c r="B110" s="11" t="s">
        <v>355</v>
      </c>
      <c r="C110" s="11">
        <v>6</v>
      </c>
      <c r="D110" s="12">
        <v>45018.106944444444</v>
      </c>
      <c r="E110" s="12">
        <v>45018.222916666666</v>
      </c>
      <c r="F110" s="11" t="s">
        <v>100</v>
      </c>
      <c r="G110" s="11" t="s">
        <v>86</v>
      </c>
      <c r="H110" s="11" t="s">
        <v>74</v>
      </c>
      <c r="I110" s="16">
        <v>49.07</v>
      </c>
      <c r="J110" s="11" t="s">
        <v>88</v>
      </c>
      <c r="K110" s="11">
        <v>247</v>
      </c>
      <c r="L110" s="11" t="s">
        <v>187</v>
      </c>
      <c r="M110" s="11" t="s">
        <v>25</v>
      </c>
    </row>
    <row r="111" spans="1:13" x14ac:dyDescent="0.35">
      <c r="A111" s="13" t="s">
        <v>354</v>
      </c>
      <c r="B111" s="13" t="s">
        <v>518</v>
      </c>
      <c r="C111" s="13">
        <v>4</v>
      </c>
      <c r="D111" s="14">
        <v>45021.015277777777</v>
      </c>
      <c r="E111" s="14">
        <v>45021.085416666669</v>
      </c>
      <c r="F111" s="13" t="s">
        <v>85</v>
      </c>
      <c r="G111" s="13" t="s">
        <v>73</v>
      </c>
      <c r="H111" s="13" t="s">
        <v>74</v>
      </c>
      <c r="I111" s="17">
        <v>12.94</v>
      </c>
      <c r="J111" s="13" t="s">
        <v>88</v>
      </c>
      <c r="K111" s="13">
        <v>412</v>
      </c>
      <c r="L111" s="13" t="s">
        <v>76</v>
      </c>
      <c r="M111" s="13" t="s">
        <v>15</v>
      </c>
    </row>
    <row r="112" spans="1:13" x14ac:dyDescent="0.35">
      <c r="A112" s="11" t="s">
        <v>354</v>
      </c>
      <c r="B112" s="11" t="s">
        <v>660</v>
      </c>
      <c r="C112" s="11">
        <v>1</v>
      </c>
      <c r="D112" s="12">
        <v>45022.009722222225</v>
      </c>
      <c r="E112" s="12">
        <v>45022.165972222225</v>
      </c>
      <c r="F112" s="11" t="s">
        <v>100</v>
      </c>
      <c r="G112" s="11" t="s">
        <v>86</v>
      </c>
      <c r="H112" s="11" t="s">
        <v>74</v>
      </c>
      <c r="I112" s="16">
        <v>24.36</v>
      </c>
      <c r="J112" s="11" t="s">
        <v>94</v>
      </c>
      <c r="K112" s="11">
        <v>559</v>
      </c>
      <c r="L112" s="11" t="s">
        <v>174</v>
      </c>
      <c r="M112" s="11" t="s">
        <v>25</v>
      </c>
    </row>
    <row r="113" spans="1:13" x14ac:dyDescent="0.35">
      <c r="A113" s="13" t="s">
        <v>354</v>
      </c>
      <c r="B113" s="13" t="s">
        <v>679</v>
      </c>
      <c r="C113" s="13">
        <v>6</v>
      </c>
      <c r="D113" s="14">
        <v>45022.09097222222</v>
      </c>
      <c r="E113" s="14">
        <v>45022.183333333334</v>
      </c>
      <c r="F113" s="13" t="s">
        <v>170</v>
      </c>
      <c r="G113" s="13" t="s">
        <v>86</v>
      </c>
      <c r="H113" s="13" t="s">
        <v>74</v>
      </c>
      <c r="I113" s="17">
        <v>3.28</v>
      </c>
      <c r="J113" s="13" t="s">
        <v>88</v>
      </c>
      <c r="K113" s="13">
        <v>578</v>
      </c>
      <c r="L113" s="13" t="s">
        <v>181</v>
      </c>
      <c r="M113" s="13" t="s">
        <v>12</v>
      </c>
    </row>
    <row r="114" spans="1:13" x14ac:dyDescent="0.35">
      <c r="A114" s="11" t="s">
        <v>354</v>
      </c>
      <c r="B114" s="11" t="s">
        <v>691</v>
      </c>
      <c r="C114" s="11">
        <v>6</v>
      </c>
      <c r="D114" s="12">
        <v>45022.155555555553</v>
      </c>
      <c r="E114" s="12">
        <v>45022.263194444444</v>
      </c>
      <c r="F114" s="11" t="s">
        <v>170</v>
      </c>
      <c r="G114" s="11" t="s">
        <v>163</v>
      </c>
      <c r="H114" s="11" t="s">
        <v>74</v>
      </c>
      <c r="I114" s="16">
        <v>44.33</v>
      </c>
      <c r="J114" s="11" t="s">
        <v>75</v>
      </c>
      <c r="K114" s="11">
        <v>591</v>
      </c>
      <c r="L114" s="11" t="s">
        <v>95</v>
      </c>
      <c r="M114" s="11" t="s">
        <v>19</v>
      </c>
    </row>
    <row r="115" spans="1:13" x14ac:dyDescent="0.35">
      <c r="A115" s="11" t="s">
        <v>107</v>
      </c>
      <c r="B115" s="11" t="s">
        <v>108</v>
      </c>
      <c r="C115" s="11">
        <v>5</v>
      </c>
      <c r="D115" s="12">
        <v>45017.125694444447</v>
      </c>
      <c r="E115" s="12">
        <v>45017.207638888889</v>
      </c>
      <c r="F115" s="11" t="s">
        <v>85</v>
      </c>
      <c r="G115" s="11" t="s">
        <v>73</v>
      </c>
      <c r="H115" s="11" t="s">
        <v>109</v>
      </c>
      <c r="I115" s="16">
        <v>46.15</v>
      </c>
      <c r="J115" s="11" t="s">
        <v>88</v>
      </c>
      <c r="K115" s="11">
        <v>25</v>
      </c>
      <c r="L115" s="11" t="s">
        <v>110</v>
      </c>
      <c r="M115" s="11" t="s">
        <v>37</v>
      </c>
    </row>
    <row r="116" spans="1:13" x14ac:dyDescent="0.35">
      <c r="A116" s="13" t="s">
        <v>107</v>
      </c>
      <c r="B116" s="13" t="s">
        <v>272</v>
      </c>
      <c r="C116" s="13">
        <v>1</v>
      </c>
      <c r="D116" s="14">
        <v>45018.054166666669</v>
      </c>
      <c r="E116" s="14">
        <v>45018.113888888889</v>
      </c>
      <c r="F116" s="13" t="s">
        <v>72</v>
      </c>
      <c r="G116" s="13" t="s">
        <v>86</v>
      </c>
      <c r="H116" s="13" t="s">
        <v>87</v>
      </c>
      <c r="I116" s="17">
        <v>43.95</v>
      </c>
      <c r="J116" s="13" t="s">
        <v>88</v>
      </c>
      <c r="K116" s="13">
        <v>166</v>
      </c>
      <c r="L116" s="13" t="s">
        <v>76</v>
      </c>
      <c r="M116" s="13" t="s">
        <v>41</v>
      </c>
    </row>
    <row r="117" spans="1:13" x14ac:dyDescent="0.35">
      <c r="A117" s="13" t="s">
        <v>107</v>
      </c>
      <c r="B117" s="13" t="s">
        <v>279</v>
      </c>
      <c r="C117" s="13">
        <v>3</v>
      </c>
      <c r="D117" s="14">
        <v>45018.117361111108</v>
      </c>
      <c r="E117" s="14">
        <v>45018.254166666666</v>
      </c>
      <c r="F117" s="13" t="s">
        <v>223</v>
      </c>
      <c r="G117" s="13" t="s">
        <v>86</v>
      </c>
      <c r="H117" s="13" t="s">
        <v>74</v>
      </c>
      <c r="I117" s="17">
        <v>45.17</v>
      </c>
      <c r="J117" s="13" t="s">
        <v>88</v>
      </c>
      <c r="K117" s="13">
        <v>172</v>
      </c>
      <c r="L117" s="13" t="s">
        <v>95</v>
      </c>
      <c r="M117" s="13" t="s">
        <v>37</v>
      </c>
    </row>
    <row r="118" spans="1:13" x14ac:dyDescent="0.35">
      <c r="A118" s="11" t="s">
        <v>107</v>
      </c>
      <c r="B118" s="11" t="s">
        <v>286</v>
      </c>
      <c r="C118" s="11">
        <v>2</v>
      </c>
      <c r="D118" s="12">
        <v>45018.030555555553</v>
      </c>
      <c r="E118" s="12">
        <v>45018.130555555559</v>
      </c>
      <c r="F118" s="11" t="s">
        <v>72</v>
      </c>
      <c r="G118" s="11" t="s">
        <v>163</v>
      </c>
      <c r="H118" s="11" t="s">
        <v>74</v>
      </c>
      <c r="I118" s="16">
        <v>1.33</v>
      </c>
      <c r="J118" s="11" t="s">
        <v>94</v>
      </c>
      <c r="K118" s="11">
        <v>179</v>
      </c>
      <c r="L118" s="11" t="s">
        <v>110</v>
      </c>
      <c r="M118" s="11" t="s">
        <v>15</v>
      </c>
    </row>
    <row r="119" spans="1:13" x14ac:dyDescent="0.35">
      <c r="A119" s="11" t="s">
        <v>107</v>
      </c>
      <c r="B119" s="11" t="s">
        <v>348</v>
      </c>
      <c r="C119" s="11">
        <v>4</v>
      </c>
      <c r="D119" s="12">
        <v>45018.00277777778</v>
      </c>
      <c r="E119" s="12">
        <v>45018.044444444444</v>
      </c>
      <c r="F119" s="11" t="s">
        <v>85</v>
      </c>
      <c r="G119" s="11" t="s">
        <v>86</v>
      </c>
      <c r="H119" s="11" t="s">
        <v>74</v>
      </c>
      <c r="I119" s="16">
        <v>38.97</v>
      </c>
      <c r="J119" s="11" t="s">
        <v>88</v>
      </c>
      <c r="K119" s="11">
        <v>241</v>
      </c>
      <c r="L119" s="11" t="s">
        <v>89</v>
      </c>
      <c r="M119" s="11" t="s">
        <v>45</v>
      </c>
    </row>
    <row r="120" spans="1:13" x14ac:dyDescent="0.35">
      <c r="A120" s="11" t="s">
        <v>107</v>
      </c>
      <c r="B120" s="11" t="s">
        <v>365</v>
      </c>
      <c r="C120" s="11">
        <v>5</v>
      </c>
      <c r="D120" s="12">
        <v>45018.088888888888</v>
      </c>
      <c r="E120" s="12">
        <v>45018.136805555558</v>
      </c>
      <c r="F120" s="11" t="s">
        <v>100</v>
      </c>
      <c r="G120" s="11" t="s">
        <v>86</v>
      </c>
      <c r="H120" s="11" t="s">
        <v>74</v>
      </c>
      <c r="I120" s="16">
        <v>26.78</v>
      </c>
      <c r="J120" s="11" t="s">
        <v>94</v>
      </c>
      <c r="K120" s="11">
        <v>257</v>
      </c>
      <c r="L120" s="11" t="s">
        <v>187</v>
      </c>
      <c r="M120" s="11" t="s">
        <v>41</v>
      </c>
    </row>
    <row r="121" spans="1:13" x14ac:dyDescent="0.35">
      <c r="A121" s="13" t="s">
        <v>107</v>
      </c>
      <c r="B121" s="13" t="s">
        <v>126</v>
      </c>
      <c r="C121" s="13">
        <v>2</v>
      </c>
      <c r="D121" s="14">
        <v>45021.116666666669</v>
      </c>
      <c r="E121" s="14">
        <v>45021.259027777778</v>
      </c>
      <c r="F121" s="13" t="s">
        <v>223</v>
      </c>
      <c r="G121" s="13" t="s">
        <v>86</v>
      </c>
      <c r="H121" s="13" t="s">
        <v>74</v>
      </c>
      <c r="I121" s="17">
        <v>35.24</v>
      </c>
      <c r="J121" s="13" t="s">
        <v>75</v>
      </c>
      <c r="K121" s="13">
        <v>446</v>
      </c>
      <c r="L121" s="13" t="s">
        <v>187</v>
      </c>
      <c r="M121" s="13" t="s">
        <v>43</v>
      </c>
    </row>
    <row r="122" spans="1:13" x14ac:dyDescent="0.35">
      <c r="A122" s="11" t="s">
        <v>107</v>
      </c>
      <c r="B122" s="11" t="s">
        <v>559</v>
      </c>
      <c r="C122" s="11">
        <v>6</v>
      </c>
      <c r="D122" s="12">
        <v>45021.165277777778</v>
      </c>
      <c r="E122" s="12">
        <v>45021.245833333334</v>
      </c>
      <c r="F122" s="11" t="s">
        <v>85</v>
      </c>
      <c r="G122" s="11" t="s">
        <v>163</v>
      </c>
      <c r="H122" s="11" t="s">
        <v>109</v>
      </c>
      <c r="I122" s="16">
        <v>1.97</v>
      </c>
      <c r="J122" s="11" t="s">
        <v>94</v>
      </c>
      <c r="K122" s="11">
        <v>455</v>
      </c>
      <c r="L122" s="11" t="s">
        <v>110</v>
      </c>
      <c r="M122" s="11" t="s">
        <v>9</v>
      </c>
    </row>
    <row r="123" spans="1:13" x14ac:dyDescent="0.35">
      <c r="A123" s="11" t="s">
        <v>107</v>
      </c>
      <c r="B123" s="11" t="s">
        <v>664</v>
      </c>
      <c r="C123" s="11">
        <v>3</v>
      </c>
      <c r="D123" s="12">
        <v>45022.12777777778</v>
      </c>
      <c r="E123" s="12">
        <v>45022.196527777778</v>
      </c>
      <c r="F123" s="11" t="s">
        <v>85</v>
      </c>
      <c r="G123" s="11" t="s">
        <v>163</v>
      </c>
      <c r="H123" s="11" t="s">
        <v>87</v>
      </c>
      <c r="I123" s="16">
        <v>20.07</v>
      </c>
      <c r="J123" s="11" t="s">
        <v>88</v>
      </c>
      <c r="K123" s="11">
        <v>563</v>
      </c>
      <c r="L123" s="11" t="s">
        <v>164</v>
      </c>
      <c r="M123" s="11" t="s">
        <v>17</v>
      </c>
    </row>
    <row r="124" spans="1:13" x14ac:dyDescent="0.35">
      <c r="A124" s="13" t="s">
        <v>107</v>
      </c>
      <c r="B124" s="13" t="s">
        <v>743</v>
      </c>
      <c r="C124" s="13">
        <v>2</v>
      </c>
      <c r="D124" s="14">
        <v>45022.165972222225</v>
      </c>
      <c r="E124" s="14">
        <v>45022.276388888888</v>
      </c>
      <c r="F124" s="13" t="s">
        <v>100</v>
      </c>
      <c r="G124" s="13" t="s">
        <v>86</v>
      </c>
      <c r="H124" s="13" t="s">
        <v>109</v>
      </c>
      <c r="I124" s="17">
        <v>12.59</v>
      </c>
      <c r="J124" s="13" t="s">
        <v>75</v>
      </c>
      <c r="K124" s="13">
        <v>646</v>
      </c>
      <c r="L124" s="13" t="s">
        <v>95</v>
      </c>
      <c r="M124" s="13" t="s">
        <v>31</v>
      </c>
    </row>
    <row r="125" spans="1:13" x14ac:dyDescent="0.35">
      <c r="A125" s="11" t="s">
        <v>240</v>
      </c>
      <c r="B125" s="11" t="s">
        <v>241</v>
      </c>
      <c r="C125" s="11">
        <v>3</v>
      </c>
      <c r="D125" s="12">
        <v>45018.056250000001</v>
      </c>
      <c r="E125" s="12">
        <v>45018.174305555556</v>
      </c>
      <c r="F125" s="11" t="s">
        <v>72</v>
      </c>
      <c r="G125" s="11" t="s">
        <v>163</v>
      </c>
      <c r="H125" s="11" t="s">
        <v>74</v>
      </c>
      <c r="I125" s="16">
        <v>1.24</v>
      </c>
      <c r="J125" s="11" t="s">
        <v>88</v>
      </c>
      <c r="K125" s="11">
        <v>137</v>
      </c>
      <c r="L125" s="11" t="s">
        <v>110</v>
      </c>
      <c r="M125" s="11" t="s">
        <v>43</v>
      </c>
    </row>
    <row r="126" spans="1:13" x14ac:dyDescent="0.35">
      <c r="A126" s="11" t="s">
        <v>240</v>
      </c>
      <c r="B126" s="11" t="s">
        <v>266</v>
      </c>
      <c r="C126" s="11">
        <v>6</v>
      </c>
      <c r="D126" s="12">
        <v>45018.03125</v>
      </c>
      <c r="E126" s="12">
        <v>45018.182638888888</v>
      </c>
      <c r="F126" s="11" t="s">
        <v>100</v>
      </c>
      <c r="G126" s="11" t="s">
        <v>86</v>
      </c>
      <c r="H126" s="11" t="s">
        <v>74</v>
      </c>
      <c r="I126" s="16">
        <v>18.86</v>
      </c>
      <c r="J126" s="11" t="s">
        <v>94</v>
      </c>
      <c r="K126" s="11">
        <v>161</v>
      </c>
      <c r="L126" s="11" t="s">
        <v>221</v>
      </c>
      <c r="M126" s="11" t="s">
        <v>27</v>
      </c>
    </row>
    <row r="127" spans="1:13" x14ac:dyDescent="0.35">
      <c r="A127" s="11" t="s">
        <v>240</v>
      </c>
      <c r="B127" s="11" t="s">
        <v>342</v>
      </c>
      <c r="C127" s="11">
        <v>5</v>
      </c>
      <c r="D127" s="12">
        <v>45018.015277777777</v>
      </c>
      <c r="E127" s="12">
        <v>45018.116666666669</v>
      </c>
      <c r="F127" s="11" t="s">
        <v>170</v>
      </c>
      <c r="G127" s="11" t="s">
        <v>73</v>
      </c>
      <c r="H127" s="11" t="s">
        <v>74</v>
      </c>
      <c r="I127" s="16">
        <v>26.37</v>
      </c>
      <c r="J127" s="11" t="s">
        <v>94</v>
      </c>
      <c r="K127" s="11">
        <v>235</v>
      </c>
      <c r="L127" s="11" t="s">
        <v>181</v>
      </c>
      <c r="M127" s="11" t="s">
        <v>25</v>
      </c>
    </row>
    <row r="128" spans="1:13" x14ac:dyDescent="0.35">
      <c r="A128" s="13" t="s">
        <v>240</v>
      </c>
      <c r="B128" s="13" t="s">
        <v>345</v>
      </c>
      <c r="C128" s="13">
        <v>6</v>
      </c>
      <c r="D128" s="14">
        <v>45018.095138888886</v>
      </c>
      <c r="E128" s="14">
        <v>45018.205555555556</v>
      </c>
      <c r="F128" s="13" t="s">
        <v>100</v>
      </c>
      <c r="G128" s="13" t="s">
        <v>163</v>
      </c>
      <c r="H128" s="13" t="s">
        <v>74</v>
      </c>
      <c r="I128" s="17">
        <v>33.020000000000003</v>
      </c>
      <c r="J128" s="13" t="s">
        <v>75</v>
      </c>
      <c r="K128" s="13">
        <v>238</v>
      </c>
      <c r="L128" s="13" t="s">
        <v>89</v>
      </c>
      <c r="M128" s="13" t="s">
        <v>21</v>
      </c>
    </row>
    <row r="129" spans="1:13" x14ac:dyDescent="0.35">
      <c r="A129" s="13" t="s">
        <v>240</v>
      </c>
      <c r="B129" s="13" t="s">
        <v>425</v>
      </c>
      <c r="C129" s="13">
        <v>3</v>
      </c>
      <c r="D129" s="14">
        <v>45019.147916666669</v>
      </c>
      <c r="E129" s="14">
        <v>45019.214583333334</v>
      </c>
      <c r="F129" s="13" t="s">
        <v>170</v>
      </c>
      <c r="G129" s="13" t="s">
        <v>73</v>
      </c>
      <c r="H129" s="13" t="s">
        <v>74</v>
      </c>
      <c r="I129" s="17">
        <v>10.08</v>
      </c>
      <c r="J129" s="13" t="s">
        <v>94</v>
      </c>
      <c r="K129" s="13">
        <v>318</v>
      </c>
      <c r="L129" s="13" t="s">
        <v>275</v>
      </c>
      <c r="M129" s="13" t="s">
        <v>23</v>
      </c>
    </row>
    <row r="130" spans="1:13" x14ac:dyDescent="0.35">
      <c r="A130" s="13" t="s">
        <v>240</v>
      </c>
      <c r="B130" s="13" t="s">
        <v>477</v>
      </c>
      <c r="C130" s="13">
        <v>6</v>
      </c>
      <c r="D130" s="14">
        <v>45020.097222222219</v>
      </c>
      <c r="E130" s="14">
        <v>45020.140972222223</v>
      </c>
      <c r="F130" s="13" t="s">
        <v>170</v>
      </c>
      <c r="G130" s="13" t="s">
        <v>86</v>
      </c>
      <c r="H130" s="13" t="s">
        <v>74</v>
      </c>
      <c r="I130" s="17">
        <v>47.79</v>
      </c>
      <c r="J130" s="13" t="s">
        <v>75</v>
      </c>
      <c r="K130" s="13">
        <v>370</v>
      </c>
      <c r="L130" s="13" t="s">
        <v>174</v>
      </c>
      <c r="M130" s="13" t="s">
        <v>21</v>
      </c>
    </row>
    <row r="131" spans="1:13" x14ac:dyDescent="0.35">
      <c r="A131" s="11" t="s">
        <v>240</v>
      </c>
      <c r="B131" s="11" t="s">
        <v>519</v>
      </c>
      <c r="C131" s="11">
        <v>3</v>
      </c>
      <c r="D131" s="12">
        <v>45021.10833333333</v>
      </c>
      <c r="E131" s="12">
        <v>45021.206944444442</v>
      </c>
      <c r="F131" s="11" t="s">
        <v>72</v>
      </c>
      <c r="G131" s="11" t="s">
        <v>73</v>
      </c>
      <c r="H131" s="11" t="s">
        <v>74</v>
      </c>
      <c r="I131" s="16">
        <v>23.01</v>
      </c>
      <c r="J131" s="11" t="s">
        <v>88</v>
      </c>
      <c r="K131" s="11">
        <v>413</v>
      </c>
      <c r="L131" s="11" t="s">
        <v>164</v>
      </c>
      <c r="M131" s="11" t="s">
        <v>31</v>
      </c>
    </row>
    <row r="132" spans="1:13" x14ac:dyDescent="0.35">
      <c r="A132" s="13" t="s">
        <v>240</v>
      </c>
      <c r="B132" s="13" t="s">
        <v>800</v>
      </c>
      <c r="C132" s="13">
        <v>6</v>
      </c>
      <c r="D132" s="14">
        <v>45023.069444444445</v>
      </c>
      <c r="E132" s="14">
        <v>45023.186805555553</v>
      </c>
      <c r="F132" s="13" t="s">
        <v>100</v>
      </c>
      <c r="G132" s="13" t="s">
        <v>73</v>
      </c>
      <c r="H132" s="13" t="s">
        <v>74</v>
      </c>
      <c r="I132" s="17">
        <v>33.29</v>
      </c>
      <c r="J132" s="13" t="s">
        <v>94</v>
      </c>
      <c r="K132" s="13">
        <v>704</v>
      </c>
      <c r="L132" s="13" t="s">
        <v>95</v>
      </c>
      <c r="M132" s="13" t="s">
        <v>45</v>
      </c>
    </row>
    <row r="133" spans="1:13" x14ac:dyDescent="0.35">
      <c r="A133" s="13" t="s">
        <v>267</v>
      </c>
      <c r="B133" s="13" t="s">
        <v>268</v>
      </c>
      <c r="C133" s="13">
        <v>4</v>
      </c>
      <c r="D133" s="14">
        <v>45018.039583333331</v>
      </c>
      <c r="E133" s="14">
        <v>45018.106944444444</v>
      </c>
      <c r="F133" s="13" t="s">
        <v>223</v>
      </c>
      <c r="G133" s="13" t="s">
        <v>86</v>
      </c>
      <c r="H133" s="13" t="s">
        <v>74</v>
      </c>
      <c r="I133" s="17">
        <v>17.55</v>
      </c>
      <c r="J133" s="13" t="s">
        <v>94</v>
      </c>
      <c r="K133" s="13">
        <v>162</v>
      </c>
      <c r="L133" s="13" t="s">
        <v>221</v>
      </c>
      <c r="M133" s="13" t="s">
        <v>9</v>
      </c>
    </row>
    <row r="134" spans="1:13" x14ac:dyDescent="0.35">
      <c r="A134" s="13" t="s">
        <v>267</v>
      </c>
      <c r="B134" s="13" t="s">
        <v>479</v>
      </c>
      <c r="C134" s="13">
        <v>5</v>
      </c>
      <c r="D134" s="14">
        <v>45020.115277777775</v>
      </c>
      <c r="E134" s="14">
        <v>45020.259722222225</v>
      </c>
      <c r="F134" s="13" t="s">
        <v>100</v>
      </c>
      <c r="G134" s="13" t="s">
        <v>86</v>
      </c>
      <c r="H134" s="13" t="s">
        <v>74</v>
      </c>
      <c r="I134" s="17">
        <v>17.170000000000002</v>
      </c>
      <c r="J134" s="13" t="s">
        <v>94</v>
      </c>
      <c r="K134" s="13">
        <v>372</v>
      </c>
      <c r="L134" s="13" t="s">
        <v>89</v>
      </c>
      <c r="M134" s="13" t="s">
        <v>45</v>
      </c>
    </row>
    <row r="135" spans="1:13" x14ac:dyDescent="0.35">
      <c r="A135" s="13" t="s">
        <v>267</v>
      </c>
      <c r="B135" s="13" t="s">
        <v>520</v>
      </c>
      <c r="C135" s="13">
        <v>6</v>
      </c>
      <c r="D135" s="14">
        <v>45021.154861111114</v>
      </c>
      <c r="E135" s="14">
        <v>45021.3</v>
      </c>
      <c r="F135" s="13" t="s">
        <v>85</v>
      </c>
      <c r="G135" s="13" t="s">
        <v>163</v>
      </c>
      <c r="H135" s="13" t="s">
        <v>74</v>
      </c>
      <c r="I135" s="17">
        <v>13.17</v>
      </c>
      <c r="J135" s="13" t="s">
        <v>94</v>
      </c>
      <c r="K135" s="13">
        <v>414</v>
      </c>
      <c r="L135" s="13" t="s">
        <v>181</v>
      </c>
      <c r="M135" s="13" t="s">
        <v>25</v>
      </c>
    </row>
    <row r="136" spans="1:13" x14ac:dyDescent="0.35">
      <c r="A136" s="13" t="s">
        <v>267</v>
      </c>
      <c r="B136" s="13" t="s">
        <v>704</v>
      </c>
      <c r="C136" s="13">
        <v>5</v>
      </c>
      <c r="D136" s="14">
        <v>45022.054166666669</v>
      </c>
      <c r="E136" s="14">
        <v>45022.219444444447</v>
      </c>
      <c r="F136" s="13" t="s">
        <v>100</v>
      </c>
      <c r="G136" s="13" t="s">
        <v>86</v>
      </c>
      <c r="H136" s="13" t="s">
        <v>74</v>
      </c>
      <c r="I136" s="17">
        <v>4.26</v>
      </c>
      <c r="J136" s="13" t="s">
        <v>88</v>
      </c>
      <c r="K136" s="13">
        <v>604</v>
      </c>
      <c r="L136" s="13" t="s">
        <v>187</v>
      </c>
      <c r="M136" s="13" t="s">
        <v>31</v>
      </c>
    </row>
    <row r="137" spans="1:13" x14ac:dyDescent="0.35">
      <c r="A137" s="11" t="s">
        <v>125</v>
      </c>
      <c r="B137" s="11" t="s">
        <v>126</v>
      </c>
      <c r="C137" s="11">
        <v>3</v>
      </c>
      <c r="D137" s="12">
        <v>45017.15347222222</v>
      </c>
      <c r="E137" s="12">
        <v>45017.318749999999</v>
      </c>
      <c r="F137" s="11" t="s">
        <v>100</v>
      </c>
      <c r="G137" s="11" t="s">
        <v>73</v>
      </c>
      <c r="H137" s="11" t="s">
        <v>87</v>
      </c>
      <c r="I137" s="16">
        <v>48.36</v>
      </c>
      <c r="J137" s="11" t="s">
        <v>88</v>
      </c>
      <c r="K137" s="11">
        <v>39</v>
      </c>
      <c r="L137" s="11" t="s">
        <v>95</v>
      </c>
      <c r="M137" s="11" t="s">
        <v>21</v>
      </c>
    </row>
    <row r="138" spans="1:13" x14ac:dyDescent="0.35">
      <c r="A138" s="13" t="s">
        <v>125</v>
      </c>
      <c r="B138" s="13" t="s">
        <v>203</v>
      </c>
      <c r="C138" s="13">
        <v>3</v>
      </c>
      <c r="D138" s="14">
        <v>45017.083333333336</v>
      </c>
      <c r="E138" s="14">
        <v>45017.213888888888</v>
      </c>
      <c r="F138" s="13" t="s">
        <v>72</v>
      </c>
      <c r="G138" s="13" t="s">
        <v>163</v>
      </c>
      <c r="H138" s="13" t="s">
        <v>87</v>
      </c>
      <c r="I138" s="17">
        <v>22.72</v>
      </c>
      <c r="J138" s="13" t="s">
        <v>75</v>
      </c>
      <c r="K138" s="13">
        <v>106</v>
      </c>
      <c r="L138" s="13" t="s">
        <v>174</v>
      </c>
      <c r="M138" s="13" t="s">
        <v>37</v>
      </c>
    </row>
    <row r="139" spans="1:13" x14ac:dyDescent="0.35">
      <c r="A139" s="11" t="s">
        <v>125</v>
      </c>
      <c r="B139" s="11" t="s">
        <v>288</v>
      </c>
      <c r="C139" s="11">
        <v>1</v>
      </c>
      <c r="D139" s="12">
        <v>45018.114583333336</v>
      </c>
      <c r="E139" s="12">
        <v>45018.162499999999</v>
      </c>
      <c r="F139" s="11" t="s">
        <v>223</v>
      </c>
      <c r="G139" s="11" t="s">
        <v>73</v>
      </c>
      <c r="H139" s="11" t="s">
        <v>74</v>
      </c>
      <c r="I139" s="16">
        <v>42.58</v>
      </c>
      <c r="J139" s="11" t="s">
        <v>88</v>
      </c>
      <c r="K139" s="11">
        <v>181</v>
      </c>
      <c r="L139" s="11" t="s">
        <v>221</v>
      </c>
      <c r="M139" s="11" t="s">
        <v>17</v>
      </c>
    </row>
    <row r="140" spans="1:13" x14ac:dyDescent="0.35">
      <c r="A140" s="13" t="s">
        <v>125</v>
      </c>
      <c r="B140" s="13" t="s">
        <v>327</v>
      </c>
      <c r="C140" s="13">
        <v>6</v>
      </c>
      <c r="D140" s="14">
        <v>45018.042361111111</v>
      </c>
      <c r="E140" s="14">
        <v>45018.206250000003</v>
      </c>
      <c r="F140" s="13" t="s">
        <v>85</v>
      </c>
      <c r="G140" s="13" t="s">
        <v>86</v>
      </c>
      <c r="H140" s="13" t="s">
        <v>74</v>
      </c>
      <c r="I140" s="17">
        <v>4.8499999999999996</v>
      </c>
      <c r="J140" s="13" t="s">
        <v>94</v>
      </c>
      <c r="K140" s="13">
        <v>220</v>
      </c>
      <c r="L140" s="13" t="s">
        <v>187</v>
      </c>
      <c r="M140" s="13" t="s">
        <v>9</v>
      </c>
    </row>
    <row r="141" spans="1:13" x14ac:dyDescent="0.35">
      <c r="A141" s="13" t="s">
        <v>125</v>
      </c>
      <c r="B141" s="13" t="s">
        <v>394</v>
      </c>
      <c r="C141" s="13">
        <v>6</v>
      </c>
      <c r="D141" s="14">
        <v>45019.015277777777</v>
      </c>
      <c r="E141" s="14">
        <v>45019.102777777778</v>
      </c>
      <c r="F141" s="13" t="s">
        <v>170</v>
      </c>
      <c r="G141" s="13" t="s">
        <v>86</v>
      </c>
      <c r="H141" s="13" t="s">
        <v>74</v>
      </c>
      <c r="I141" s="17">
        <v>41.96</v>
      </c>
      <c r="J141" s="13" t="s">
        <v>88</v>
      </c>
      <c r="K141" s="13">
        <v>286</v>
      </c>
      <c r="L141" s="13" t="s">
        <v>164</v>
      </c>
      <c r="M141" s="13" t="s">
        <v>37</v>
      </c>
    </row>
    <row r="142" spans="1:13" x14ac:dyDescent="0.35">
      <c r="A142" s="11" t="s">
        <v>125</v>
      </c>
      <c r="B142" s="11" t="s">
        <v>497</v>
      </c>
      <c r="C142" s="11">
        <v>1</v>
      </c>
      <c r="D142" s="12">
        <v>45021.086805555555</v>
      </c>
      <c r="E142" s="12">
        <v>45021.17291666667</v>
      </c>
      <c r="F142" s="11" t="s">
        <v>170</v>
      </c>
      <c r="G142" s="11" t="s">
        <v>86</v>
      </c>
      <c r="H142" s="11" t="s">
        <v>74</v>
      </c>
      <c r="I142" s="16">
        <v>4.8600000000000003</v>
      </c>
      <c r="J142" s="11" t="s">
        <v>94</v>
      </c>
      <c r="K142" s="11">
        <v>391</v>
      </c>
      <c r="L142" s="11" t="s">
        <v>187</v>
      </c>
      <c r="M142" s="11" t="s">
        <v>35</v>
      </c>
    </row>
    <row r="143" spans="1:13" x14ac:dyDescent="0.35">
      <c r="A143" s="11" t="s">
        <v>125</v>
      </c>
      <c r="B143" s="11" t="s">
        <v>385</v>
      </c>
      <c r="C143" s="11">
        <v>5</v>
      </c>
      <c r="D143" s="12">
        <v>45021.147916666669</v>
      </c>
      <c r="E143" s="12">
        <v>45021.309027777781</v>
      </c>
      <c r="F143" s="11" t="s">
        <v>85</v>
      </c>
      <c r="G143" s="11" t="s">
        <v>86</v>
      </c>
      <c r="H143" s="11" t="s">
        <v>74</v>
      </c>
      <c r="I143" s="16">
        <v>39.82</v>
      </c>
      <c r="J143" s="11" t="s">
        <v>75</v>
      </c>
      <c r="K143" s="11">
        <v>431</v>
      </c>
      <c r="L143" s="11" t="s">
        <v>164</v>
      </c>
      <c r="M143" s="11" t="s">
        <v>12</v>
      </c>
    </row>
    <row r="144" spans="1:13" x14ac:dyDescent="0.35">
      <c r="A144" s="11" t="s">
        <v>125</v>
      </c>
      <c r="B144" s="11" t="s">
        <v>672</v>
      </c>
      <c r="C144" s="11">
        <v>2</v>
      </c>
      <c r="D144" s="12">
        <v>45022.056250000001</v>
      </c>
      <c r="E144" s="12">
        <v>45022.120833333334</v>
      </c>
      <c r="F144" s="11" t="s">
        <v>85</v>
      </c>
      <c r="G144" s="11" t="s">
        <v>86</v>
      </c>
      <c r="H144" s="11" t="s">
        <v>74</v>
      </c>
      <c r="I144" s="16">
        <v>49.54</v>
      </c>
      <c r="J144" s="11" t="s">
        <v>75</v>
      </c>
      <c r="K144" s="11">
        <v>571</v>
      </c>
      <c r="L144" s="11" t="s">
        <v>76</v>
      </c>
      <c r="M144" s="11" t="s">
        <v>17</v>
      </c>
    </row>
    <row r="145" spans="1:13" x14ac:dyDescent="0.35">
      <c r="A145" s="11" t="s">
        <v>125</v>
      </c>
      <c r="B145" s="11" t="s">
        <v>676</v>
      </c>
      <c r="C145" s="11">
        <v>4</v>
      </c>
      <c r="D145" s="12">
        <v>45022.066666666666</v>
      </c>
      <c r="E145" s="12">
        <v>45022.197222222225</v>
      </c>
      <c r="F145" s="11" t="s">
        <v>72</v>
      </c>
      <c r="G145" s="11" t="s">
        <v>86</v>
      </c>
      <c r="H145" s="11" t="s">
        <v>74</v>
      </c>
      <c r="I145" s="16">
        <v>33.520000000000003</v>
      </c>
      <c r="J145" s="11" t="s">
        <v>75</v>
      </c>
      <c r="K145" s="11">
        <v>575</v>
      </c>
      <c r="L145" s="11" t="s">
        <v>221</v>
      </c>
      <c r="M145" s="11" t="s">
        <v>45</v>
      </c>
    </row>
    <row r="146" spans="1:13" x14ac:dyDescent="0.35">
      <c r="A146" s="11" t="s">
        <v>224</v>
      </c>
      <c r="B146" s="11" t="s">
        <v>225</v>
      </c>
      <c r="C146" s="11">
        <v>6</v>
      </c>
      <c r="D146" s="12">
        <v>45018.131249999999</v>
      </c>
      <c r="E146" s="12">
        <v>45018.173611111109</v>
      </c>
      <c r="F146" s="11" t="s">
        <v>72</v>
      </c>
      <c r="G146" s="11" t="s">
        <v>86</v>
      </c>
      <c r="H146" s="11" t="s">
        <v>109</v>
      </c>
      <c r="I146" s="16">
        <v>46.88</v>
      </c>
      <c r="J146" s="11" t="s">
        <v>94</v>
      </c>
      <c r="K146" s="11">
        <v>123</v>
      </c>
      <c r="L146" s="11" t="s">
        <v>164</v>
      </c>
      <c r="M146" s="11" t="s">
        <v>9</v>
      </c>
    </row>
    <row r="147" spans="1:13" x14ac:dyDescent="0.35">
      <c r="A147" s="11" t="s">
        <v>224</v>
      </c>
      <c r="B147" s="11" t="s">
        <v>243</v>
      </c>
      <c r="C147" s="11">
        <v>3</v>
      </c>
      <c r="D147" s="12">
        <v>45018.027777777781</v>
      </c>
      <c r="E147" s="12">
        <v>45018.193749999999</v>
      </c>
      <c r="F147" s="11" t="s">
        <v>100</v>
      </c>
      <c r="G147" s="11" t="s">
        <v>86</v>
      </c>
      <c r="H147" s="11" t="s">
        <v>74</v>
      </c>
      <c r="I147" s="16">
        <v>4.72</v>
      </c>
      <c r="J147" s="11" t="s">
        <v>75</v>
      </c>
      <c r="K147" s="11">
        <v>139</v>
      </c>
      <c r="L147" s="11" t="s">
        <v>101</v>
      </c>
      <c r="M147" s="11" t="s">
        <v>31</v>
      </c>
    </row>
    <row r="148" spans="1:13" x14ac:dyDescent="0.35">
      <c r="A148" s="13" t="s">
        <v>224</v>
      </c>
      <c r="B148" s="13" t="s">
        <v>312</v>
      </c>
      <c r="C148" s="13">
        <v>5</v>
      </c>
      <c r="D148" s="14">
        <v>45018.011805555558</v>
      </c>
      <c r="E148" s="14">
        <v>45018.100694444445</v>
      </c>
      <c r="F148" s="13" t="s">
        <v>223</v>
      </c>
      <c r="G148" s="13" t="s">
        <v>86</v>
      </c>
      <c r="H148" s="13" t="s">
        <v>87</v>
      </c>
      <c r="I148" s="17">
        <v>49.56</v>
      </c>
      <c r="J148" s="13" t="s">
        <v>75</v>
      </c>
      <c r="K148" s="13">
        <v>204</v>
      </c>
      <c r="L148" s="13" t="s">
        <v>174</v>
      </c>
      <c r="M148" s="13" t="s">
        <v>9</v>
      </c>
    </row>
    <row r="149" spans="1:13" x14ac:dyDescent="0.35">
      <c r="A149" s="13" t="s">
        <v>224</v>
      </c>
      <c r="B149" s="13" t="s">
        <v>335</v>
      </c>
      <c r="C149" s="13">
        <v>4</v>
      </c>
      <c r="D149" s="14">
        <v>45018.069444444445</v>
      </c>
      <c r="E149" s="14">
        <v>45018.168055555558</v>
      </c>
      <c r="F149" s="13" t="s">
        <v>170</v>
      </c>
      <c r="G149" s="13" t="s">
        <v>86</v>
      </c>
      <c r="H149" s="13" t="s">
        <v>74</v>
      </c>
      <c r="I149" s="17">
        <v>10.66</v>
      </c>
      <c r="J149" s="13" t="s">
        <v>88</v>
      </c>
      <c r="K149" s="13">
        <v>228</v>
      </c>
      <c r="L149" s="13" t="s">
        <v>187</v>
      </c>
      <c r="M149" s="13" t="s">
        <v>41</v>
      </c>
    </row>
    <row r="150" spans="1:13" x14ac:dyDescent="0.35">
      <c r="A150" s="11" t="s">
        <v>224</v>
      </c>
      <c r="B150" s="11" t="s">
        <v>452</v>
      </c>
      <c r="C150" s="11">
        <v>3</v>
      </c>
      <c r="D150" s="12">
        <v>45020.054166666669</v>
      </c>
      <c r="E150" s="12">
        <v>45020.179861111108</v>
      </c>
      <c r="F150" s="11" t="s">
        <v>72</v>
      </c>
      <c r="G150" s="11" t="s">
        <v>86</v>
      </c>
      <c r="H150" s="11" t="s">
        <v>74</v>
      </c>
      <c r="I150" s="16">
        <v>13.98</v>
      </c>
      <c r="J150" s="11" t="s">
        <v>88</v>
      </c>
      <c r="K150" s="11">
        <v>345</v>
      </c>
      <c r="L150" s="11" t="s">
        <v>101</v>
      </c>
      <c r="M150" s="11" t="s">
        <v>29</v>
      </c>
    </row>
    <row r="151" spans="1:13" x14ac:dyDescent="0.35">
      <c r="A151" s="13" t="s">
        <v>224</v>
      </c>
      <c r="B151" s="13" t="s">
        <v>483</v>
      </c>
      <c r="C151" s="13">
        <v>4</v>
      </c>
      <c r="D151" s="14">
        <v>45020.120138888888</v>
      </c>
      <c r="E151" s="14">
        <v>45020.216666666667</v>
      </c>
      <c r="F151" s="13" t="s">
        <v>223</v>
      </c>
      <c r="G151" s="13" t="s">
        <v>86</v>
      </c>
      <c r="H151" s="13" t="s">
        <v>87</v>
      </c>
      <c r="I151" s="17">
        <v>27.51</v>
      </c>
      <c r="J151" s="13" t="s">
        <v>88</v>
      </c>
      <c r="K151" s="13">
        <v>376</v>
      </c>
      <c r="L151" s="13" t="s">
        <v>187</v>
      </c>
      <c r="M151" s="13" t="s">
        <v>41</v>
      </c>
    </row>
    <row r="152" spans="1:13" x14ac:dyDescent="0.35">
      <c r="A152" s="11" t="s">
        <v>224</v>
      </c>
      <c r="B152" s="11" t="s">
        <v>507</v>
      </c>
      <c r="C152" s="11">
        <v>2</v>
      </c>
      <c r="D152" s="12">
        <v>45021.160416666666</v>
      </c>
      <c r="E152" s="12">
        <v>45021.289583333331</v>
      </c>
      <c r="F152" s="11" t="s">
        <v>100</v>
      </c>
      <c r="G152" s="11" t="s">
        <v>86</v>
      </c>
      <c r="H152" s="11" t="s">
        <v>74</v>
      </c>
      <c r="I152" s="16">
        <v>15.87</v>
      </c>
      <c r="J152" s="11" t="s">
        <v>88</v>
      </c>
      <c r="K152" s="11">
        <v>401</v>
      </c>
      <c r="L152" s="11" t="s">
        <v>221</v>
      </c>
      <c r="M152" s="11" t="s">
        <v>43</v>
      </c>
    </row>
    <row r="153" spans="1:13" x14ac:dyDescent="0.35">
      <c r="A153" s="11" t="s">
        <v>224</v>
      </c>
      <c r="B153" s="11" t="s">
        <v>542</v>
      </c>
      <c r="C153" s="11">
        <v>6</v>
      </c>
      <c r="D153" s="12">
        <v>45021.126388888886</v>
      </c>
      <c r="E153" s="12">
        <v>45021.225694444445</v>
      </c>
      <c r="F153" s="11" t="s">
        <v>170</v>
      </c>
      <c r="G153" s="11" t="s">
        <v>86</v>
      </c>
      <c r="H153" s="11" t="s">
        <v>74</v>
      </c>
      <c r="I153" s="16">
        <v>12.56</v>
      </c>
      <c r="J153" s="11" t="s">
        <v>94</v>
      </c>
      <c r="K153" s="11">
        <v>437</v>
      </c>
      <c r="L153" s="11" t="s">
        <v>221</v>
      </c>
      <c r="M153" s="11" t="s">
        <v>31</v>
      </c>
    </row>
    <row r="154" spans="1:13" x14ac:dyDescent="0.35">
      <c r="A154" s="13" t="s">
        <v>224</v>
      </c>
      <c r="B154" s="13" t="s">
        <v>718</v>
      </c>
      <c r="C154" s="13">
        <v>3</v>
      </c>
      <c r="D154" s="14">
        <v>45022.117361111108</v>
      </c>
      <c r="E154" s="14">
        <v>45022.254861111112</v>
      </c>
      <c r="F154" s="13" t="s">
        <v>72</v>
      </c>
      <c r="G154" s="13" t="s">
        <v>86</v>
      </c>
      <c r="H154" s="13" t="s">
        <v>74</v>
      </c>
      <c r="I154" s="17">
        <v>26.64</v>
      </c>
      <c r="J154" s="13" t="s">
        <v>94</v>
      </c>
      <c r="K154" s="13">
        <v>620</v>
      </c>
      <c r="L154" s="13" t="s">
        <v>221</v>
      </c>
      <c r="M154" s="13" t="s">
        <v>29</v>
      </c>
    </row>
    <row r="155" spans="1:13" x14ac:dyDescent="0.35">
      <c r="A155" s="13" t="s">
        <v>224</v>
      </c>
      <c r="B155" s="13" t="s">
        <v>268</v>
      </c>
      <c r="C155" s="13">
        <v>6</v>
      </c>
      <c r="D155" s="14">
        <v>45022.037499999999</v>
      </c>
      <c r="E155" s="14">
        <v>45022.094444444447</v>
      </c>
      <c r="F155" s="13" t="s">
        <v>170</v>
      </c>
      <c r="G155" s="13" t="s">
        <v>73</v>
      </c>
      <c r="H155" s="13" t="s">
        <v>74</v>
      </c>
      <c r="I155" s="17">
        <v>30.71</v>
      </c>
      <c r="J155" s="13" t="s">
        <v>88</v>
      </c>
      <c r="K155" s="13">
        <v>638</v>
      </c>
      <c r="L155" s="13" t="s">
        <v>164</v>
      </c>
      <c r="M155" s="13" t="s">
        <v>12</v>
      </c>
    </row>
    <row r="156" spans="1:13" x14ac:dyDescent="0.35">
      <c r="A156" s="11" t="s">
        <v>224</v>
      </c>
      <c r="B156" s="11" t="s">
        <v>842</v>
      </c>
      <c r="C156" s="11">
        <v>3</v>
      </c>
      <c r="D156" s="12">
        <v>45023.120138888888</v>
      </c>
      <c r="E156" s="12">
        <v>45023.200694444444</v>
      </c>
      <c r="F156" s="11" t="s">
        <v>223</v>
      </c>
      <c r="G156" s="11" t="s">
        <v>163</v>
      </c>
      <c r="H156" s="11" t="s">
        <v>109</v>
      </c>
      <c r="I156" s="16">
        <v>37.229999999999997</v>
      </c>
      <c r="J156" s="11" t="s">
        <v>94</v>
      </c>
      <c r="K156" s="11">
        <v>747</v>
      </c>
      <c r="L156" s="11" t="s">
        <v>174</v>
      </c>
      <c r="M156" s="11" t="s">
        <v>49</v>
      </c>
    </row>
    <row r="157" spans="1:13" x14ac:dyDescent="0.35">
      <c r="A157" s="11" t="s">
        <v>132</v>
      </c>
      <c r="B157" s="11" t="s">
        <v>133</v>
      </c>
      <c r="C157" s="11">
        <v>2</v>
      </c>
      <c r="D157" s="12">
        <v>45017.09375</v>
      </c>
      <c r="E157" s="12">
        <v>45017.167361111111</v>
      </c>
      <c r="F157" s="11" t="s">
        <v>100</v>
      </c>
      <c r="G157" s="11" t="s">
        <v>86</v>
      </c>
      <c r="H157" s="11" t="s">
        <v>74</v>
      </c>
      <c r="I157" s="16">
        <v>25.41</v>
      </c>
      <c r="J157" s="11" t="s">
        <v>94</v>
      </c>
      <c r="K157" s="11">
        <v>45</v>
      </c>
      <c r="L157" s="11" t="s">
        <v>76</v>
      </c>
      <c r="M157" s="11" t="s">
        <v>45</v>
      </c>
    </row>
    <row r="158" spans="1:13" x14ac:dyDescent="0.35">
      <c r="A158" s="11" t="s">
        <v>132</v>
      </c>
      <c r="B158" s="11" t="s">
        <v>173</v>
      </c>
      <c r="C158" s="11">
        <v>4</v>
      </c>
      <c r="D158" s="12">
        <v>45017.152777777781</v>
      </c>
      <c r="E158" s="12">
        <v>45017.271527777775</v>
      </c>
      <c r="F158" s="11" t="s">
        <v>85</v>
      </c>
      <c r="G158" s="11" t="s">
        <v>73</v>
      </c>
      <c r="H158" s="11" t="s">
        <v>74</v>
      </c>
      <c r="I158" s="16">
        <v>23.69</v>
      </c>
      <c r="J158" s="11" t="s">
        <v>88</v>
      </c>
      <c r="K158" s="11">
        <v>81</v>
      </c>
      <c r="L158" s="11" t="s">
        <v>174</v>
      </c>
      <c r="M158" s="11" t="s">
        <v>15</v>
      </c>
    </row>
    <row r="159" spans="1:13" x14ac:dyDescent="0.35">
      <c r="A159" s="13" t="s">
        <v>132</v>
      </c>
      <c r="B159" s="13" t="s">
        <v>274</v>
      </c>
      <c r="C159" s="13">
        <v>4</v>
      </c>
      <c r="D159" s="14">
        <v>45018.086805555555</v>
      </c>
      <c r="E159" s="14">
        <v>45018.140972222223</v>
      </c>
      <c r="F159" s="13" t="s">
        <v>223</v>
      </c>
      <c r="G159" s="13" t="s">
        <v>86</v>
      </c>
      <c r="H159" s="13" t="s">
        <v>74</v>
      </c>
      <c r="I159" s="17">
        <v>17.09</v>
      </c>
      <c r="J159" s="13" t="s">
        <v>94</v>
      </c>
      <c r="K159" s="13">
        <v>168</v>
      </c>
      <c r="L159" s="13" t="s">
        <v>275</v>
      </c>
      <c r="M159" s="13" t="s">
        <v>35</v>
      </c>
    </row>
    <row r="160" spans="1:13" x14ac:dyDescent="0.35">
      <c r="A160" s="13" t="s">
        <v>132</v>
      </c>
      <c r="B160" s="13" t="s">
        <v>299</v>
      </c>
      <c r="C160" s="13">
        <v>4</v>
      </c>
      <c r="D160" s="14">
        <v>45018.10833333333</v>
      </c>
      <c r="E160" s="14">
        <v>45018.203472222223</v>
      </c>
      <c r="F160" s="13" t="s">
        <v>100</v>
      </c>
      <c r="G160" s="13" t="s">
        <v>163</v>
      </c>
      <c r="H160" s="13" t="s">
        <v>87</v>
      </c>
      <c r="I160" s="17">
        <v>15.99</v>
      </c>
      <c r="J160" s="13" t="s">
        <v>75</v>
      </c>
      <c r="K160" s="13">
        <v>192</v>
      </c>
      <c r="L160" s="13" t="s">
        <v>101</v>
      </c>
      <c r="M160" s="13" t="s">
        <v>49</v>
      </c>
    </row>
    <row r="161" spans="1:13" x14ac:dyDescent="0.35">
      <c r="A161" s="11" t="s">
        <v>132</v>
      </c>
      <c r="B161" s="11" t="s">
        <v>740</v>
      </c>
      <c r="C161" s="11">
        <v>2</v>
      </c>
      <c r="D161" s="12">
        <v>45022.011805555558</v>
      </c>
      <c r="E161" s="12">
        <v>45022.080555555556</v>
      </c>
      <c r="F161" s="11" t="s">
        <v>100</v>
      </c>
      <c r="G161" s="11" t="s">
        <v>163</v>
      </c>
      <c r="H161" s="11" t="s">
        <v>109</v>
      </c>
      <c r="I161" s="16">
        <v>28.81</v>
      </c>
      <c r="J161" s="11" t="s">
        <v>88</v>
      </c>
      <c r="K161" s="11">
        <v>643</v>
      </c>
      <c r="L161" s="11" t="s">
        <v>174</v>
      </c>
      <c r="M161" s="11" t="s">
        <v>25</v>
      </c>
    </row>
    <row r="162" spans="1:13" x14ac:dyDescent="0.35">
      <c r="A162" s="11" t="s">
        <v>132</v>
      </c>
      <c r="B162" s="11" t="s">
        <v>822</v>
      </c>
      <c r="C162" s="11">
        <v>6</v>
      </c>
      <c r="D162" s="12">
        <v>45023.021527777775</v>
      </c>
      <c r="E162" s="12">
        <v>45023.126388888886</v>
      </c>
      <c r="F162" s="11" t="s">
        <v>100</v>
      </c>
      <c r="G162" s="11" t="s">
        <v>73</v>
      </c>
      <c r="H162" s="11" t="s">
        <v>109</v>
      </c>
      <c r="I162" s="16">
        <v>13.24</v>
      </c>
      <c r="J162" s="11" t="s">
        <v>94</v>
      </c>
      <c r="K162" s="11">
        <v>727</v>
      </c>
      <c r="L162" s="11" t="s">
        <v>110</v>
      </c>
      <c r="M162" s="11" t="s">
        <v>39</v>
      </c>
    </row>
    <row r="163" spans="1:13" x14ac:dyDescent="0.35">
      <c r="A163" s="11" t="s">
        <v>132</v>
      </c>
      <c r="B163" s="11" t="s">
        <v>826</v>
      </c>
      <c r="C163" s="11">
        <v>3</v>
      </c>
      <c r="D163" s="12">
        <v>45023.136111111111</v>
      </c>
      <c r="E163" s="12">
        <v>45023.267361111109</v>
      </c>
      <c r="F163" s="11" t="s">
        <v>100</v>
      </c>
      <c r="G163" s="11" t="s">
        <v>86</v>
      </c>
      <c r="H163" s="11" t="s">
        <v>74</v>
      </c>
      <c r="I163" s="16">
        <v>14.35</v>
      </c>
      <c r="J163" s="11" t="s">
        <v>94</v>
      </c>
      <c r="K163" s="11">
        <v>731</v>
      </c>
      <c r="L163" s="11" t="s">
        <v>101</v>
      </c>
      <c r="M163" s="11" t="s">
        <v>33</v>
      </c>
    </row>
    <row r="164" spans="1:13" x14ac:dyDescent="0.35">
      <c r="A164" s="11" t="s">
        <v>98</v>
      </c>
      <c r="B164" s="11" t="s">
        <v>99</v>
      </c>
      <c r="C164" s="11">
        <v>3</v>
      </c>
      <c r="D164" s="12">
        <v>45017.024305555555</v>
      </c>
      <c r="E164" s="12">
        <v>45017.145138888889</v>
      </c>
      <c r="F164" s="11" t="s">
        <v>100</v>
      </c>
      <c r="G164" s="11" t="s">
        <v>86</v>
      </c>
      <c r="H164" s="11" t="s">
        <v>74</v>
      </c>
      <c r="I164" s="16">
        <v>17.45</v>
      </c>
      <c r="J164" s="11" t="s">
        <v>75</v>
      </c>
      <c r="K164" s="11">
        <v>19</v>
      </c>
      <c r="L164" s="11" t="s">
        <v>101</v>
      </c>
      <c r="M164" s="11" t="s">
        <v>19</v>
      </c>
    </row>
    <row r="165" spans="1:13" x14ac:dyDescent="0.35">
      <c r="A165" s="13" t="s">
        <v>98</v>
      </c>
      <c r="B165" s="13" t="s">
        <v>289</v>
      </c>
      <c r="C165" s="13">
        <v>2</v>
      </c>
      <c r="D165" s="14">
        <v>45018.161805555559</v>
      </c>
      <c r="E165" s="14">
        <v>45018.270833333336</v>
      </c>
      <c r="F165" s="13" t="s">
        <v>170</v>
      </c>
      <c r="G165" s="13" t="s">
        <v>86</v>
      </c>
      <c r="H165" s="13" t="s">
        <v>109</v>
      </c>
      <c r="I165" s="17">
        <v>38.36</v>
      </c>
      <c r="J165" s="13" t="s">
        <v>75</v>
      </c>
      <c r="K165" s="13">
        <v>182</v>
      </c>
      <c r="L165" s="13" t="s">
        <v>221</v>
      </c>
      <c r="M165" s="13" t="s">
        <v>29</v>
      </c>
    </row>
    <row r="166" spans="1:13" x14ac:dyDescent="0.35">
      <c r="A166" s="11" t="s">
        <v>98</v>
      </c>
      <c r="B166" s="11" t="s">
        <v>389</v>
      </c>
      <c r="C166" s="11">
        <v>2</v>
      </c>
      <c r="D166" s="12">
        <v>45019.161111111112</v>
      </c>
      <c r="E166" s="12">
        <v>45019.326388888891</v>
      </c>
      <c r="F166" s="11" t="s">
        <v>72</v>
      </c>
      <c r="G166" s="11" t="s">
        <v>163</v>
      </c>
      <c r="H166" s="11" t="s">
        <v>87</v>
      </c>
      <c r="I166" s="16">
        <v>4.43</v>
      </c>
      <c r="J166" s="11" t="s">
        <v>88</v>
      </c>
      <c r="K166" s="11">
        <v>281</v>
      </c>
      <c r="L166" s="11" t="s">
        <v>76</v>
      </c>
      <c r="M166" s="11" t="s">
        <v>25</v>
      </c>
    </row>
    <row r="167" spans="1:13" x14ac:dyDescent="0.35">
      <c r="A167" s="11" t="s">
        <v>98</v>
      </c>
      <c r="B167" s="11" t="s">
        <v>393</v>
      </c>
      <c r="C167" s="11">
        <v>6</v>
      </c>
      <c r="D167" s="12">
        <v>45019.127083333333</v>
      </c>
      <c r="E167" s="12">
        <v>45019.253472222219</v>
      </c>
      <c r="F167" s="11" t="s">
        <v>72</v>
      </c>
      <c r="G167" s="11" t="s">
        <v>86</v>
      </c>
      <c r="H167" s="11" t="s">
        <v>109</v>
      </c>
      <c r="I167" s="16">
        <v>10.94</v>
      </c>
      <c r="J167" s="11" t="s">
        <v>94</v>
      </c>
      <c r="K167" s="11">
        <v>285</v>
      </c>
      <c r="L167" s="11" t="s">
        <v>181</v>
      </c>
      <c r="M167" s="11" t="s">
        <v>43</v>
      </c>
    </row>
    <row r="168" spans="1:13" x14ac:dyDescent="0.35">
      <c r="A168" s="13" t="s">
        <v>98</v>
      </c>
      <c r="B168" s="13" t="s">
        <v>481</v>
      </c>
      <c r="C168" s="13">
        <v>3</v>
      </c>
      <c r="D168" s="14">
        <v>45020.138194444444</v>
      </c>
      <c r="E168" s="14">
        <v>45020.183333333334</v>
      </c>
      <c r="F168" s="13" t="s">
        <v>100</v>
      </c>
      <c r="G168" s="13" t="s">
        <v>86</v>
      </c>
      <c r="H168" s="13" t="s">
        <v>74</v>
      </c>
      <c r="I168" s="17">
        <v>33.35</v>
      </c>
      <c r="J168" s="13" t="s">
        <v>75</v>
      </c>
      <c r="K168" s="13">
        <v>374</v>
      </c>
      <c r="L168" s="13" t="s">
        <v>221</v>
      </c>
      <c r="M168" s="13" t="s">
        <v>31</v>
      </c>
    </row>
    <row r="169" spans="1:13" x14ac:dyDescent="0.35">
      <c r="A169" s="11" t="s">
        <v>98</v>
      </c>
      <c r="B169" s="11" t="s">
        <v>482</v>
      </c>
      <c r="C169" s="11">
        <v>1</v>
      </c>
      <c r="D169" s="12">
        <v>45020.011805555558</v>
      </c>
      <c r="E169" s="12">
        <v>45020.131249999999</v>
      </c>
      <c r="F169" s="11" t="s">
        <v>170</v>
      </c>
      <c r="G169" s="11" t="s">
        <v>86</v>
      </c>
      <c r="H169" s="11" t="s">
        <v>74</v>
      </c>
      <c r="I169" s="16">
        <v>2.23</v>
      </c>
      <c r="J169" s="11" t="s">
        <v>94</v>
      </c>
      <c r="K169" s="11">
        <v>375</v>
      </c>
      <c r="L169" s="11" t="s">
        <v>181</v>
      </c>
      <c r="M169" s="11" t="s">
        <v>15</v>
      </c>
    </row>
    <row r="170" spans="1:13" x14ac:dyDescent="0.35">
      <c r="A170" s="11" t="s">
        <v>98</v>
      </c>
      <c r="B170" s="11" t="s">
        <v>531</v>
      </c>
      <c r="C170" s="11">
        <v>3</v>
      </c>
      <c r="D170" s="12">
        <v>45021.058333333334</v>
      </c>
      <c r="E170" s="12">
        <v>45021.15625</v>
      </c>
      <c r="F170" s="11" t="s">
        <v>100</v>
      </c>
      <c r="G170" s="11" t="s">
        <v>86</v>
      </c>
      <c r="H170" s="11" t="s">
        <v>74</v>
      </c>
      <c r="I170" s="16">
        <v>49.43</v>
      </c>
      <c r="J170" s="11" t="s">
        <v>94</v>
      </c>
      <c r="K170" s="11">
        <v>425</v>
      </c>
      <c r="L170" s="11" t="s">
        <v>76</v>
      </c>
      <c r="M170" s="11" t="s">
        <v>29</v>
      </c>
    </row>
    <row r="171" spans="1:13" x14ac:dyDescent="0.35">
      <c r="A171" s="13" t="s">
        <v>98</v>
      </c>
      <c r="B171" s="13" t="s">
        <v>588</v>
      </c>
      <c r="C171" s="13">
        <v>2</v>
      </c>
      <c r="D171" s="14">
        <v>45022.064583333333</v>
      </c>
      <c r="E171" s="14">
        <v>45022.188194444447</v>
      </c>
      <c r="F171" s="13" t="s">
        <v>72</v>
      </c>
      <c r="G171" s="13" t="s">
        <v>86</v>
      </c>
      <c r="H171" s="13" t="s">
        <v>74</v>
      </c>
      <c r="I171" s="17">
        <v>22.76</v>
      </c>
      <c r="J171" s="13" t="s">
        <v>75</v>
      </c>
      <c r="K171" s="13">
        <v>484</v>
      </c>
      <c r="L171" s="13" t="s">
        <v>101</v>
      </c>
      <c r="M171" s="13" t="s">
        <v>49</v>
      </c>
    </row>
    <row r="172" spans="1:13" x14ac:dyDescent="0.35">
      <c r="A172" s="13" t="s">
        <v>98</v>
      </c>
      <c r="B172" s="13" t="s">
        <v>609</v>
      </c>
      <c r="C172" s="13">
        <v>2</v>
      </c>
      <c r="D172" s="14">
        <v>45022.084027777775</v>
      </c>
      <c r="E172" s="14">
        <v>45022.168055555558</v>
      </c>
      <c r="F172" s="13" t="s">
        <v>170</v>
      </c>
      <c r="G172" s="13" t="s">
        <v>73</v>
      </c>
      <c r="H172" s="13" t="s">
        <v>74</v>
      </c>
      <c r="I172" s="17">
        <v>11.65</v>
      </c>
      <c r="J172" s="13" t="s">
        <v>88</v>
      </c>
      <c r="K172" s="13">
        <v>506</v>
      </c>
      <c r="L172" s="13" t="s">
        <v>221</v>
      </c>
      <c r="M172" s="13" t="s">
        <v>31</v>
      </c>
    </row>
    <row r="173" spans="1:13" x14ac:dyDescent="0.35">
      <c r="A173" s="11" t="s">
        <v>98</v>
      </c>
      <c r="B173" s="11" t="s">
        <v>233</v>
      </c>
      <c r="C173" s="11">
        <v>6</v>
      </c>
      <c r="D173" s="12">
        <v>45022.01666666667</v>
      </c>
      <c r="E173" s="12">
        <v>45022.089583333334</v>
      </c>
      <c r="F173" s="11" t="s">
        <v>170</v>
      </c>
      <c r="G173" s="11" t="s">
        <v>163</v>
      </c>
      <c r="H173" s="11" t="s">
        <v>109</v>
      </c>
      <c r="I173" s="16">
        <v>28.68</v>
      </c>
      <c r="J173" s="11" t="s">
        <v>88</v>
      </c>
      <c r="K173" s="11">
        <v>537</v>
      </c>
      <c r="L173" s="11" t="s">
        <v>76</v>
      </c>
      <c r="M173" s="11" t="s">
        <v>43</v>
      </c>
    </row>
    <row r="174" spans="1:13" x14ac:dyDescent="0.35">
      <c r="A174" s="13" t="s">
        <v>177</v>
      </c>
      <c r="B174" s="13" t="s">
        <v>178</v>
      </c>
      <c r="C174" s="13">
        <v>5</v>
      </c>
      <c r="D174" s="14">
        <v>45017.070833333331</v>
      </c>
      <c r="E174" s="14">
        <v>45017.137499999997</v>
      </c>
      <c r="F174" s="13" t="s">
        <v>72</v>
      </c>
      <c r="G174" s="13" t="s">
        <v>86</v>
      </c>
      <c r="H174" s="13" t="s">
        <v>74</v>
      </c>
      <c r="I174" s="17">
        <v>15.11</v>
      </c>
      <c r="J174" s="13" t="s">
        <v>88</v>
      </c>
      <c r="K174" s="13">
        <v>84</v>
      </c>
      <c r="L174" s="13" t="s">
        <v>76</v>
      </c>
      <c r="M174" s="13" t="s">
        <v>12</v>
      </c>
    </row>
    <row r="175" spans="1:13" x14ac:dyDescent="0.35">
      <c r="A175" s="11" t="s">
        <v>177</v>
      </c>
      <c r="B175" s="11" t="s">
        <v>330</v>
      </c>
      <c r="C175" s="11">
        <v>2</v>
      </c>
      <c r="D175" s="12">
        <v>45018.052777777775</v>
      </c>
      <c r="E175" s="12">
        <v>45018.118055555555</v>
      </c>
      <c r="F175" s="11" t="s">
        <v>85</v>
      </c>
      <c r="G175" s="11" t="s">
        <v>73</v>
      </c>
      <c r="H175" s="11" t="s">
        <v>74</v>
      </c>
      <c r="I175" s="16">
        <v>49.62</v>
      </c>
      <c r="J175" s="11" t="s">
        <v>94</v>
      </c>
      <c r="K175" s="11">
        <v>223</v>
      </c>
      <c r="L175" s="11" t="s">
        <v>164</v>
      </c>
      <c r="M175" s="11" t="s">
        <v>33</v>
      </c>
    </row>
    <row r="176" spans="1:13" x14ac:dyDescent="0.35">
      <c r="A176" s="11" t="s">
        <v>177</v>
      </c>
      <c r="B176" s="11" t="s">
        <v>391</v>
      </c>
      <c r="C176" s="11">
        <v>5</v>
      </c>
      <c r="D176" s="12">
        <v>45019.044444444444</v>
      </c>
      <c r="E176" s="12">
        <v>45019.199999999997</v>
      </c>
      <c r="F176" s="11" t="s">
        <v>85</v>
      </c>
      <c r="G176" s="11" t="s">
        <v>73</v>
      </c>
      <c r="H176" s="11" t="s">
        <v>74</v>
      </c>
      <c r="I176" s="16">
        <v>43.07</v>
      </c>
      <c r="J176" s="11" t="s">
        <v>75</v>
      </c>
      <c r="K176" s="11">
        <v>283</v>
      </c>
      <c r="L176" s="11" t="s">
        <v>89</v>
      </c>
      <c r="M176" s="11" t="s">
        <v>47</v>
      </c>
    </row>
    <row r="177" spans="1:13" x14ac:dyDescent="0.35">
      <c r="A177" s="13" t="s">
        <v>177</v>
      </c>
      <c r="B177" s="13" t="s">
        <v>398</v>
      </c>
      <c r="C177" s="13">
        <v>3</v>
      </c>
      <c r="D177" s="14">
        <v>45019.087500000001</v>
      </c>
      <c r="E177" s="14">
        <v>45019.189583333333</v>
      </c>
      <c r="F177" s="13" t="s">
        <v>170</v>
      </c>
      <c r="G177" s="13" t="s">
        <v>86</v>
      </c>
      <c r="H177" s="13" t="s">
        <v>74</v>
      </c>
      <c r="I177" s="17">
        <v>14.59</v>
      </c>
      <c r="J177" s="13" t="s">
        <v>88</v>
      </c>
      <c r="K177" s="13">
        <v>290</v>
      </c>
      <c r="L177" s="13" t="s">
        <v>181</v>
      </c>
      <c r="M177" s="13" t="s">
        <v>19</v>
      </c>
    </row>
    <row r="178" spans="1:13" x14ac:dyDescent="0.35">
      <c r="A178" s="11" t="s">
        <v>177</v>
      </c>
      <c r="B178" s="11" t="s">
        <v>495</v>
      </c>
      <c r="C178" s="11">
        <v>5</v>
      </c>
      <c r="D178" s="12">
        <v>45021.001388888886</v>
      </c>
      <c r="E178" s="12">
        <v>45021.09375</v>
      </c>
      <c r="F178" s="11" t="s">
        <v>170</v>
      </c>
      <c r="G178" s="11" t="s">
        <v>86</v>
      </c>
      <c r="H178" s="11" t="s">
        <v>74</v>
      </c>
      <c r="I178" s="16">
        <v>39.14</v>
      </c>
      <c r="J178" s="11" t="s">
        <v>94</v>
      </c>
      <c r="K178" s="11">
        <v>389</v>
      </c>
      <c r="L178" s="11" t="s">
        <v>275</v>
      </c>
      <c r="M178" s="11" t="s">
        <v>25</v>
      </c>
    </row>
    <row r="179" spans="1:13" x14ac:dyDescent="0.35">
      <c r="A179" s="11" t="s">
        <v>177</v>
      </c>
      <c r="B179" s="11" t="s">
        <v>617</v>
      </c>
      <c r="C179" s="11">
        <v>2</v>
      </c>
      <c r="D179" s="12">
        <v>45022.040277777778</v>
      </c>
      <c r="E179" s="12">
        <v>45022.085416666669</v>
      </c>
      <c r="F179" s="11" t="s">
        <v>100</v>
      </c>
      <c r="G179" s="11" t="s">
        <v>86</v>
      </c>
      <c r="H179" s="11" t="s">
        <v>74</v>
      </c>
      <c r="I179" s="16">
        <v>43.79</v>
      </c>
      <c r="J179" s="11" t="s">
        <v>88</v>
      </c>
      <c r="K179" s="11">
        <v>515</v>
      </c>
      <c r="L179" s="11" t="s">
        <v>101</v>
      </c>
      <c r="M179" s="11" t="s">
        <v>45</v>
      </c>
    </row>
    <row r="180" spans="1:13" x14ac:dyDescent="0.35">
      <c r="A180" s="11" t="s">
        <v>177</v>
      </c>
      <c r="B180" s="11" t="s">
        <v>629</v>
      </c>
      <c r="C180" s="11">
        <v>4</v>
      </c>
      <c r="D180" s="12">
        <v>45022.15347222222</v>
      </c>
      <c r="E180" s="12">
        <v>45022.246527777781</v>
      </c>
      <c r="F180" s="11" t="s">
        <v>223</v>
      </c>
      <c r="G180" s="11" t="s">
        <v>163</v>
      </c>
      <c r="H180" s="11" t="s">
        <v>87</v>
      </c>
      <c r="I180" s="16">
        <v>22.95</v>
      </c>
      <c r="J180" s="11" t="s">
        <v>88</v>
      </c>
      <c r="K180" s="11">
        <v>527</v>
      </c>
      <c r="L180" s="11" t="s">
        <v>181</v>
      </c>
      <c r="M180" s="11" t="s">
        <v>17</v>
      </c>
    </row>
    <row r="181" spans="1:13" x14ac:dyDescent="0.35">
      <c r="A181" s="11" t="s">
        <v>177</v>
      </c>
      <c r="B181" s="11" t="s">
        <v>703</v>
      </c>
      <c r="C181" s="11">
        <v>6</v>
      </c>
      <c r="D181" s="12">
        <v>45022.035416666666</v>
      </c>
      <c r="E181" s="12">
        <v>45022.181250000001</v>
      </c>
      <c r="F181" s="11" t="s">
        <v>223</v>
      </c>
      <c r="G181" s="11" t="s">
        <v>86</v>
      </c>
      <c r="H181" s="11" t="s">
        <v>74</v>
      </c>
      <c r="I181" s="16">
        <v>2.42</v>
      </c>
      <c r="J181" s="11" t="s">
        <v>75</v>
      </c>
      <c r="K181" s="11">
        <v>603</v>
      </c>
      <c r="L181" s="11" t="s">
        <v>174</v>
      </c>
      <c r="M181" s="11" t="s">
        <v>15</v>
      </c>
    </row>
    <row r="182" spans="1:13" x14ac:dyDescent="0.35">
      <c r="A182" s="13" t="s">
        <v>177</v>
      </c>
      <c r="B182" s="13" t="s">
        <v>439</v>
      </c>
      <c r="C182" s="13">
        <v>6</v>
      </c>
      <c r="D182" s="14">
        <v>45022.105555555558</v>
      </c>
      <c r="E182" s="14">
        <v>45022.192361111112</v>
      </c>
      <c r="F182" s="13" t="s">
        <v>223</v>
      </c>
      <c r="G182" s="13" t="s">
        <v>163</v>
      </c>
      <c r="H182" s="13" t="s">
        <v>109</v>
      </c>
      <c r="I182" s="17">
        <v>26.48</v>
      </c>
      <c r="J182" s="13" t="s">
        <v>94</v>
      </c>
      <c r="K182" s="13">
        <v>614</v>
      </c>
      <c r="L182" s="13" t="s">
        <v>275</v>
      </c>
      <c r="M182" s="13" t="s">
        <v>9</v>
      </c>
    </row>
    <row r="183" spans="1:13" x14ac:dyDescent="0.35">
      <c r="A183" s="11" t="s">
        <v>177</v>
      </c>
      <c r="B183" s="11" t="s">
        <v>787</v>
      </c>
      <c r="C183" s="11">
        <v>4</v>
      </c>
      <c r="D183" s="12">
        <v>45023.071527777778</v>
      </c>
      <c r="E183" s="12">
        <v>45023.220138888886</v>
      </c>
      <c r="F183" s="11" t="s">
        <v>170</v>
      </c>
      <c r="G183" s="11" t="s">
        <v>73</v>
      </c>
      <c r="H183" s="11" t="s">
        <v>109</v>
      </c>
      <c r="I183" s="16">
        <v>1.39</v>
      </c>
      <c r="J183" s="11" t="s">
        <v>88</v>
      </c>
      <c r="K183" s="11">
        <v>691</v>
      </c>
      <c r="L183" s="11" t="s">
        <v>110</v>
      </c>
      <c r="M183" s="11" t="s">
        <v>35</v>
      </c>
    </row>
    <row r="184" spans="1:13" x14ac:dyDescent="0.35">
      <c r="A184" s="13" t="s">
        <v>92</v>
      </c>
      <c r="B184" s="13" t="s">
        <v>93</v>
      </c>
      <c r="C184" s="13">
        <v>5</v>
      </c>
      <c r="D184" s="14">
        <v>45017.104861111111</v>
      </c>
      <c r="E184" s="14">
        <v>45017.183333333334</v>
      </c>
      <c r="F184" s="13" t="s">
        <v>72</v>
      </c>
      <c r="G184" s="13" t="s">
        <v>86</v>
      </c>
      <c r="H184" s="13" t="s">
        <v>87</v>
      </c>
      <c r="I184" s="17">
        <v>3.79</v>
      </c>
      <c r="J184" s="13" t="s">
        <v>94</v>
      </c>
      <c r="K184" s="13">
        <v>16</v>
      </c>
      <c r="L184" s="13" t="s">
        <v>95</v>
      </c>
      <c r="M184" s="13" t="s">
        <v>27</v>
      </c>
    </row>
    <row r="185" spans="1:13" x14ac:dyDescent="0.35">
      <c r="A185" s="11" t="s">
        <v>92</v>
      </c>
      <c r="B185" s="11" t="s">
        <v>123</v>
      </c>
      <c r="C185" s="11">
        <v>1</v>
      </c>
      <c r="D185" s="12">
        <v>45017.14166666667</v>
      </c>
      <c r="E185" s="12">
        <v>45017.251388888886</v>
      </c>
      <c r="F185" s="11" t="s">
        <v>85</v>
      </c>
      <c r="G185" s="11" t="s">
        <v>73</v>
      </c>
      <c r="H185" s="11" t="s">
        <v>74</v>
      </c>
      <c r="I185" s="16">
        <v>10.39</v>
      </c>
      <c r="J185" s="11" t="s">
        <v>88</v>
      </c>
      <c r="K185" s="11">
        <v>37</v>
      </c>
      <c r="L185" s="11" t="s">
        <v>89</v>
      </c>
      <c r="M185" s="11" t="s">
        <v>43</v>
      </c>
    </row>
    <row r="186" spans="1:13" x14ac:dyDescent="0.35">
      <c r="A186" s="13" t="s">
        <v>92</v>
      </c>
      <c r="B186" s="13" t="s">
        <v>180</v>
      </c>
      <c r="C186" s="13">
        <v>3</v>
      </c>
      <c r="D186" s="14">
        <v>45017.001388888886</v>
      </c>
      <c r="E186" s="14">
        <v>45017.088888888888</v>
      </c>
      <c r="F186" s="13" t="s">
        <v>85</v>
      </c>
      <c r="G186" s="13" t="s">
        <v>86</v>
      </c>
      <c r="H186" s="13" t="s">
        <v>109</v>
      </c>
      <c r="I186" s="17">
        <v>11.84</v>
      </c>
      <c r="J186" s="13" t="s">
        <v>75</v>
      </c>
      <c r="K186" s="13">
        <v>86</v>
      </c>
      <c r="L186" s="13" t="s">
        <v>181</v>
      </c>
      <c r="M186" s="13" t="s">
        <v>49</v>
      </c>
    </row>
    <row r="187" spans="1:13" x14ac:dyDescent="0.35">
      <c r="A187" s="13" t="s">
        <v>92</v>
      </c>
      <c r="B187" s="13" t="s">
        <v>283</v>
      </c>
      <c r="C187" s="13">
        <v>4</v>
      </c>
      <c r="D187" s="14">
        <v>45018.102083333331</v>
      </c>
      <c r="E187" s="14">
        <v>45018.188888888886</v>
      </c>
      <c r="F187" s="13" t="s">
        <v>100</v>
      </c>
      <c r="G187" s="13" t="s">
        <v>86</v>
      </c>
      <c r="H187" s="13" t="s">
        <v>74</v>
      </c>
      <c r="I187" s="17">
        <v>3.05</v>
      </c>
      <c r="J187" s="13" t="s">
        <v>88</v>
      </c>
      <c r="K187" s="13">
        <v>176</v>
      </c>
      <c r="L187" s="13" t="s">
        <v>101</v>
      </c>
      <c r="M187" s="13" t="s">
        <v>43</v>
      </c>
    </row>
    <row r="188" spans="1:13" x14ac:dyDescent="0.35">
      <c r="A188" s="13" t="s">
        <v>92</v>
      </c>
      <c r="B188" s="13" t="s">
        <v>368</v>
      </c>
      <c r="C188" s="13">
        <v>6</v>
      </c>
      <c r="D188" s="14">
        <v>45018.057638888888</v>
      </c>
      <c r="E188" s="14">
        <v>45018.193055555559</v>
      </c>
      <c r="F188" s="13" t="s">
        <v>85</v>
      </c>
      <c r="G188" s="13" t="s">
        <v>86</v>
      </c>
      <c r="H188" s="13" t="s">
        <v>87</v>
      </c>
      <c r="I188" s="17">
        <v>47.55</v>
      </c>
      <c r="J188" s="13" t="s">
        <v>88</v>
      </c>
      <c r="K188" s="13">
        <v>260</v>
      </c>
      <c r="L188" s="13" t="s">
        <v>174</v>
      </c>
      <c r="M188" s="13" t="s">
        <v>41</v>
      </c>
    </row>
    <row r="189" spans="1:13" x14ac:dyDescent="0.35">
      <c r="A189" s="11" t="s">
        <v>92</v>
      </c>
      <c r="B189" s="11" t="s">
        <v>93</v>
      </c>
      <c r="C189" s="11">
        <v>5</v>
      </c>
      <c r="D189" s="12">
        <v>45019.131249999999</v>
      </c>
      <c r="E189" s="12">
        <v>45019.23541666667</v>
      </c>
      <c r="F189" s="11" t="s">
        <v>223</v>
      </c>
      <c r="G189" s="11" t="s">
        <v>86</v>
      </c>
      <c r="H189" s="11" t="s">
        <v>87</v>
      </c>
      <c r="I189" s="16">
        <v>31.66</v>
      </c>
      <c r="J189" s="11" t="s">
        <v>75</v>
      </c>
      <c r="K189" s="11">
        <v>307</v>
      </c>
      <c r="L189" s="11" t="s">
        <v>76</v>
      </c>
      <c r="M189" s="11" t="s">
        <v>43</v>
      </c>
    </row>
    <row r="190" spans="1:13" x14ac:dyDescent="0.35">
      <c r="A190" s="13" t="s">
        <v>92</v>
      </c>
      <c r="B190" s="13" t="s">
        <v>421</v>
      </c>
      <c r="C190" s="13">
        <v>5</v>
      </c>
      <c r="D190" s="14">
        <v>45019.031944444447</v>
      </c>
      <c r="E190" s="14">
        <v>45019.161805555559</v>
      </c>
      <c r="F190" s="13" t="s">
        <v>72</v>
      </c>
      <c r="G190" s="13" t="s">
        <v>86</v>
      </c>
      <c r="H190" s="13" t="s">
        <v>109</v>
      </c>
      <c r="I190" s="17">
        <v>32.18</v>
      </c>
      <c r="J190" s="13" t="s">
        <v>88</v>
      </c>
      <c r="K190" s="13">
        <v>314</v>
      </c>
      <c r="L190" s="13" t="s">
        <v>101</v>
      </c>
      <c r="M190" s="13" t="s">
        <v>17</v>
      </c>
    </row>
    <row r="191" spans="1:13" x14ac:dyDescent="0.35">
      <c r="A191" s="13" t="s">
        <v>92</v>
      </c>
      <c r="B191" s="13" t="s">
        <v>162</v>
      </c>
      <c r="C191" s="13">
        <v>6</v>
      </c>
      <c r="D191" s="14">
        <v>45020.131249999999</v>
      </c>
      <c r="E191" s="14">
        <v>45020.268750000003</v>
      </c>
      <c r="F191" s="13" t="s">
        <v>100</v>
      </c>
      <c r="G191" s="13" t="s">
        <v>73</v>
      </c>
      <c r="H191" s="13" t="s">
        <v>109</v>
      </c>
      <c r="I191" s="17">
        <v>1.98</v>
      </c>
      <c r="J191" s="13" t="s">
        <v>94</v>
      </c>
      <c r="K191" s="13">
        <v>382</v>
      </c>
      <c r="L191" s="13" t="s">
        <v>187</v>
      </c>
      <c r="M191" s="13" t="s">
        <v>23</v>
      </c>
    </row>
    <row r="192" spans="1:13" x14ac:dyDescent="0.35">
      <c r="A192" s="13" t="s">
        <v>92</v>
      </c>
      <c r="B192" s="13" t="s">
        <v>522</v>
      </c>
      <c r="C192" s="13">
        <v>2</v>
      </c>
      <c r="D192" s="14">
        <v>45021.127083333333</v>
      </c>
      <c r="E192" s="14">
        <v>45021.275694444441</v>
      </c>
      <c r="F192" s="13" t="s">
        <v>223</v>
      </c>
      <c r="G192" s="13" t="s">
        <v>73</v>
      </c>
      <c r="H192" s="13" t="s">
        <v>74</v>
      </c>
      <c r="I192" s="17">
        <v>1.29</v>
      </c>
      <c r="J192" s="13" t="s">
        <v>94</v>
      </c>
      <c r="K192" s="13">
        <v>416</v>
      </c>
      <c r="L192" s="13" t="s">
        <v>174</v>
      </c>
      <c r="M192" s="13" t="s">
        <v>49</v>
      </c>
    </row>
    <row r="193" spans="1:13" x14ac:dyDescent="0.35">
      <c r="A193" s="11" t="s">
        <v>92</v>
      </c>
      <c r="B193" s="11" t="s">
        <v>563</v>
      </c>
      <c r="C193" s="11">
        <v>1</v>
      </c>
      <c r="D193" s="12">
        <v>45021.01666666667</v>
      </c>
      <c r="E193" s="12">
        <v>45021.091666666667</v>
      </c>
      <c r="F193" s="11" t="s">
        <v>223</v>
      </c>
      <c r="G193" s="11" t="s">
        <v>86</v>
      </c>
      <c r="H193" s="11" t="s">
        <v>74</v>
      </c>
      <c r="I193" s="16">
        <v>32.770000000000003</v>
      </c>
      <c r="J193" s="11" t="s">
        <v>88</v>
      </c>
      <c r="K193" s="11">
        <v>459</v>
      </c>
      <c r="L193" s="11" t="s">
        <v>164</v>
      </c>
      <c r="M193" s="11" t="s">
        <v>27</v>
      </c>
    </row>
    <row r="194" spans="1:13" x14ac:dyDescent="0.35">
      <c r="A194" s="13" t="s">
        <v>92</v>
      </c>
      <c r="B194" s="13" t="s">
        <v>536</v>
      </c>
      <c r="C194" s="13">
        <v>3</v>
      </c>
      <c r="D194" s="14">
        <v>45022.011805555558</v>
      </c>
      <c r="E194" s="14">
        <v>45022.156944444447</v>
      </c>
      <c r="F194" s="13" t="s">
        <v>170</v>
      </c>
      <c r="G194" s="13" t="s">
        <v>86</v>
      </c>
      <c r="H194" s="13" t="s">
        <v>74</v>
      </c>
      <c r="I194" s="17">
        <v>21.99</v>
      </c>
      <c r="J194" s="13" t="s">
        <v>75</v>
      </c>
      <c r="K194" s="13">
        <v>498</v>
      </c>
      <c r="L194" s="13" t="s">
        <v>181</v>
      </c>
      <c r="M194" s="13" t="s">
        <v>29</v>
      </c>
    </row>
    <row r="195" spans="1:13" x14ac:dyDescent="0.35">
      <c r="A195" s="11" t="s">
        <v>92</v>
      </c>
      <c r="B195" s="11" t="s">
        <v>656</v>
      </c>
      <c r="C195" s="11">
        <v>1</v>
      </c>
      <c r="D195" s="12">
        <v>45022.082638888889</v>
      </c>
      <c r="E195" s="12">
        <v>45022.209722222222</v>
      </c>
      <c r="F195" s="11" t="s">
        <v>100</v>
      </c>
      <c r="G195" s="11" t="s">
        <v>163</v>
      </c>
      <c r="H195" s="11" t="s">
        <v>87</v>
      </c>
      <c r="I195" s="16">
        <v>41.08</v>
      </c>
      <c r="J195" s="11" t="s">
        <v>75</v>
      </c>
      <c r="K195" s="11">
        <v>555</v>
      </c>
      <c r="L195" s="11" t="s">
        <v>89</v>
      </c>
      <c r="M195" s="11" t="s">
        <v>12</v>
      </c>
    </row>
    <row r="196" spans="1:13" x14ac:dyDescent="0.35">
      <c r="A196" s="13" t="s">
        <v>92</v>
      </c>
      <c r="B196" s="13" t="s">
        <v>802</v>
      </c>
      <c r="C196" s="13">
        <v>6</v>
      </c>
      <c r="D196" s="14">
        <v>45023.051388888889</v>
      </c>
      <c r="E196" s="14">
        <v>45023.20416666667</v>
      </c>
      <c r="F196" s="13" t="s">
        <v>223</v>
      </c>
      <c r="G196" s="13" t="s">
        <v>86</v>
      </c>
      <c r="H196" s="13" t="s">
        <v>74</v>
      </c>
      <c r="I196" s="17">
        <v>44.45</v>
      </c>
      <c r="J196" s="13" t="s">
        <v>88</v>
      </c>
      <c r="K196" s="13">
        <v>706</v>
      </c>
      <c r="L196" s="13" t="s">
        <v>164</v>
      </c>
      <c r="M196" s="13" t="s">
        <v>45</v>
      </c>
    </row>
    <row r="197" spans="1:13" x14ac:dyDescent="0.35">
      <c r="A197" s="13">
        <v>1</v>
      </c>
      <c r="B197" s="13" t="s">
        <v>1137</v>
      </c>
      <c r="C197" s="13">
        <v>6</v>
      </c>
      <c r="D197" s="14">
        <v>45022.043055555558</v>
      </c>
      <c r="E197" s="14">
        <v>45022.186805555553</v>
      </c>
      <c r="F197" s="13" t="s">
        <v>72</v>
      </c>
      <c r="G197" s="13" t="s">
        <v>73</v>
      </c>
      <c r="H197" s="13" t="s">
        <v>74</v>
      </c>
      <c r="I197" s="17">
        <v>23.59</v>
      </c>
      <c r="J197" s="13" t="s">
        <v>94</v>
      </c>
      <c r="K197" s="13">
        <v>534</v>
      </c>
      <c r="L197" s="13" t="s">
        <v>89</v>
      </c>
      <c r="M197" s="13" t="s">
        <v>1632</v>
      </c>
    </row>
    <row r="198" spans="1:13" x14ac:dyDescent="0.35">
      <c r="A198" s="11">
        <v>1</v>
      </c>
      <c r="B198" s="11" t="s">
        <v>507</v>
      </c>
      <c r="C198" s="11">
        <v>1</v>
      </c>
      <c r="D198" s="12">
        <v>45019.033333333333</v>
      </c>
      <c r="E198" s="12">
        <v>45019.165972222225</v>
      </c>
      <c r="F198" s="11" t="s">
        <v>223</v>
      </c>
      <c r="G198" s="11" t="s">
        <v>86</v>
      </c>
      <c r="H198" s="11" t="s">
        <v>87</v>
      </c>
      <c r="I198" s="16">
        <v>30.05</v>
      </c>
      <c r="J198" s="11" t="s">
        <v>75</v>
      </c>
      <c r="K198" s="11">
        <v>319</v>
      </c>
      <c r="L198" s="11" t="s">
        <v>95</v>
      </c>
      <c r="M198" s="11" t="s">
        <v>1496</v>
      </c>
    </row>
    <row r="199" spans="1:13" x14ac:dyDescent="0.35">
      <c r="A199" s="11">
        <v>1</v>
      </c>
      <c r="B199" s="11" t="s">
        <v>1191</v>
      </c>
      <c r="C199" s="11">
        <v>2</v>
      </c>
      <c r="D199" s="12">
        <v>45023.035416666666</v>
      </c>
      <c r="E199" s="12">
        <v>45023.171527777777</v>
      </c>
      <c r="F199" s="11" t="s">
        <v>223</v>
      </c>
      <c r="G199" s="11" t="s">
        <v>86</v>
      </c>
      <c r="H199" s="11" t="s">
        <v>87</v>
      </c>
      <c r="I199" s="16">
        <v>44.2</v>
      </c>
      <c r="J199" s="11" t="s">
        <v>94</v>
      </c>
      <c r="K199" s="11">
        <v>657</v>
      </c>
      <c r="L199" s="11" t="s">
        <v>101</v>
      </c>
      <c r="M199" s="11" t="s">
        <v>1715</v>
      </c>
    </row>
    <row r="200" spans="1:13" x14ac:dyDescent="0.35">
      <c r="A200" s="13">
        <v>1</v>
      </c>
      <c r="B200" s="13" t="s">
        <v>1119</v>
      </c>
      <c r="C200" s="13">
        <v>5</v>
      </c>
      <c r="D200" s="14">
        <v>45022.143055555556</v>
      </c>
      <c r="E200" s="14">
        <v>45022.304861111108</v>
      </c>
      <c r="F200" s="13" t="s">
        <v>85</v>
      </c>
      <c r="G200" s="13" t="s">
        <v>163</v>
      </c>
      <c r="H200" s="13" t="s">
        <v>87</v>
      </c>
      <c r="I200" s="17">
        <v>18.63</v>
      </c>
      <c r="J200" s="13" t="s">
        <v>94</v>
      </c>
      <c r="K200" s="13">
        <v>480</v>
      </c>
      <c r="L200" s="13" t="s">
        <v>174</v>
      </c>
      <c r="M200" s="13" t="s">
        <v>1602</v>
      </c>
    </row>
    <row r="201" spans="1:13" x14ac:dyDescent="0.35">
      <c r="A201" s="13">
        <v>1</v>
      </c>
      <c r="B201" s="13" t="s">
        <v>1084</v>
      </c>
      <c r="C201" s="13">
        <v>3</v>
      </c>
      <c r="D201" s="14">
        <v>45021.115972222222</v>
      </c>
      <c r="E201" s="14">
        <v>45021.224305555559</v>
      </c>
      <c r="F201" s="13" t="s">
        <v>72</v>
      </c>
      <c r="G201" s="13" t="s">
        <v>73</v>
      </c>
      <c r="H201" s="13" t="s">
        <v>74</v>
      </c>
      <c r="I201" s="17">
        <v>43.65</v>
      </c>
      <c r="J201" s="13" t="s">
        <v>94</v>
      </c>
      <c r="K201" s="13">
        <v>410</v>
      </c>
      <c r="L201" s="13" t="s">
        <v>76</v>
      </c>
      <c r="M201" s="13" t="s">
        <v>1554</v>
      </c>
    </row>
    <row r="202" spans="1:13" x14ac:dyDescent="0.35">
      <c r="A202" s="13">
        <v>1</v>
      </c>
      <c r="B202" s="13" t="s">
        <v>567</v>
      </c>
      <c r="C202" s="13">
        <v>2</v>
      </c>
      <c r="D202" s="14">
        <v>45022.138888888891</v>
      </c>
      <c r="E202" s="14">
        <v>45022.206250000003</v>
      </c>
      <c r="F202" s="13" t="s">
        <v>85</v>
      </c>
      <c r="G202" s="13" t="s">
        <v>86</v>
      </c>
      <c r="H202" s="13" t="s">
        <v>74</v>
      </c>
      <c r="I202" s="17">
        <v>26.79</v>
      </c>
      <c r="J202" s="13" t="s">
        <v>75</v>
      </c>
      <c r="K202" s="13">
        <v>490</v>
      </c>
      <c r="L202" s="13" t="s">
        <v>110</v>
      </c>
      <c r="M202" s="13" t="s">
        <v>1607</v>
      </c>
    </row>
    <row r="203" spans="1:13" x14ac:dyDescent="0.35">
      <c r="A203" s="11">
        <v>1</v>
      </c>
      <c r="B203" s="11" t="s">
        <v>980</v>
      </c>
      <c r="C203" s="11">
        <v>2</v>
      </c>
      <c r="D203" s="12">
        <v>45018.152777777781</v>
      </c>
      <c r="E203" s="12">
        <v>45018.226388888892</v>
      </c>
      <c r="F203" s="11" t="s">
        <v>223</v>
      </c>
      <c r="G203" s="11" t="s">
        <v>86</v>
      </c>
      <c r="H203" s="11" t="s">
        <v>109</v>
      </c>
      <c r="I203" s="16">
        <v>11.13</v>
      </c>
      <c r="J203" s="11" t="s">
        <v>94</v>
      </c>
      <c r="K203" s="11">
        <v>211</v>
      </c>
      <c r="L203" s="11" t="s">
        <v>164</v>
      </c>
      <c r="M203" s="11" t="s">
        <v>1421</v>
      </c>
    </row>
    <row r="204" spans="1:13" x14ac:dyDescent="0.35">
      <c r="A204" s="11">
        <v>1</v>
      </c>
      <c r="B204" s="11" t="s">
        <v>342</v>
      </c>
      <c r="C204" s="11">
        <v>5</v>
      </c>
      <c r="D204" s="12">
        <v>45022.081250000003</v>
      </c>
      <c r="E204" s="12">
        <v>45022.149305555555</v>
      </c>
      <c r="F204" s="11" t="s">
        <v>100</v>
      </c>
      <c r="G204" s="11" t="s">
        <v>163</v>
      </c>
      <c r="H204" s="11" t="s">
        <v>87</v>
      </c>
      <c r="I204" s="16">
        <v>23.56</v>
      </c>
      <c r="J204" s="11" t="s">
        <v>94</v>
      </c>
      <c r="K204" s="11">
        <v>613</v>
      </c>
      <c r="L204" s="11" t="s">
        <v>181</v>
      </c>
      <c r="M204" s="11" t="s">
        <v>1686</v>
      </c>
    </row>
    <row r="205" spans="1:13" x14ac:dyDescent="0.35">
      <c r="A205" s="11">
        <v>1</v>
      </c>
      <c r="B205" s="11" t="s">
        <v>922</v>
      </c>
      <c r="C205" s="11">
        <v>5</v>
      </c>
      <c r="D205" s="12">
        <v>45017.009722222225</v>
      </c>
      <c r="E205" s="12">
        <v>45017.09375</v>
      </c>
      <c r="F205" s="11" t="s">
        <v>72</v>
      </c>
      <c r="G205" s="11" t="s">
        <v>86</v>
      </c>
      <c r="H205" s="11" t="s">
        <v>74</v>
      </c>
      <c r="I205" s="16">
        <v>15.09</v>
      </c>
      <c r="J205" s="11" t="s">
        <v>75</v>
      </c>
      <c r="K205" s="11">
        <v>101</v>
      </c>
      <c r="L205" s="11" t="s">
        <v>275</v>
      </c>
      <c r="M205" s="11" t="s">
        <v>1345</v>
      </c>
    </row>
    <row r="206" spans="1:13" x14ac:dyDescent="0.35">
      <c r="A206" s="11">
        <v>1</v>
      </c>
      <c r="B206" s="11" t="s">
        <v>725</v>
      </c>
      <c r="C206" s="11">
        <v>3</v>
      </c>
      <c r="D206" s="12">
        <v>45022.134722222225</v>
      </c>
      <c r="E206" s="12">
        <v>45022.222222222219</v>
      </c>
      <c r="F206" s="11" t="s">
        <v>85</v>
      </c>
      <c r="G206" s="11" t="s">
        <v>73</v>
      </c>
      <c r="H206" s="11" t="s">
        <v>109</v>
      </c>
      <c r="I206" s="16">
        <v>20.09</v>
      </c>
      <c r="J206" s="11" t="s">
        <v>75</v>
      </c>
      <c r="K206" s="11">
        <v>533</v>
      </c>
      <c r="L206" s="11" t="s">
        <v>187</v>
      </c>
      <c r="M206" s="11" t="s">
        <v>1542</v>
      </c>
    </row>
    <row r="207" spans="1:13" x14ac:dyDescent="0.35">
      <c r="A207" s="13">
        <v>1</v>
      </c>
      <c r="B207" s="13" t="s">
        <v>1091</v>
      </c>
      <c r="C207" s="13">
        <v>3</v>
      </c>
      <c r="D207" s="14">
        <v>45021.143055555556</v>
      </c>
      <c r="E207" s="14">
        <v>45021.203472222223</v>
      </c>
      <c r="F207" s="13" t="s">
        <v>223</v>
      </c>
      <c r="G207" s="13" t="s">
        <v>86</v>
      </c>
      <c r="H207" s="13" t="s">
        <v>74</v>
      </c>
      <c r="I207" s="17">
        <v>39.619999999999997</v>
      </c>
      <c r="J207" s="13" t="s">
        <v>75</v>
      </c>
      <c r="K207" s="13">
        <v>454</v>
      </c>
      <c r="L207" s="13" t="s">
        <v>110</v>
      </c>
      <c r="M207" s="13" t="s">
        <v>1582</v>
      </c>
    </row>
    <row r="208" spans="1:13" x14ac:dyDescent="0.35">
      <c r="A208" s="13">
        <v>1</v>
      </c>
      <c r="B208" s="13" t="s">
        <v>948</v>
      </c>
      <c r="C208" s="13">
        <v>3</v>
      </c>
      <c r="D208" s="14">
        <v>45022.106944444444</v>
      </c>
      <c r="E208" s="14">
        <v>45022.265277777777</v>
      </c>
      <c r="F208" s="13" t="s">
        <v>223</v>
      </c>
      <c r="G208" s="13" t="s">
        <v>86</v>
      </c>
      <c r="H208" s="13" t="s">
        <v>74</v>
      </c>
      <c r="I208" s="17">
        <v>39.42</v>
      </c>
      <c r="J208" s="13" t="s">
        <v>94</v>
      </c>
      <c r="K208" s="13">
        <v>496</v>
      </c>
      <c r="L208" s="13" t="s">
        <v>164</v>
      </c>
      <c r="M208" s="13" t="s">
        <v>1611</v>
      </c>
    </row>
    <row r="209" spans="1:13" x14ac:dyDescent="0.35">
      <c r="A209" s="11">
        <v>1</v>
      </c>
      <c r="B209" s="11" t="s">
        <v>875</v>
      </c>
      <c r="C209" s="11">
        <v>5</v>
      </c>
      <c r="D209" s="12">
        <v>45017.113888888889</v>
      </c>
      <c r="E209" s="12">
        <v>45017.17291666667</v>
      </c>
      <c r="F209" s="11" t="s">
        <v>85</v>
      </c>
      <c r="G209" s="11" t="s">
        <v>73</v>
      </c>
      <c r="H209" s="11" t="s">
        <v>74</v>
      </c>
      <c r="I209" s="16">
        <v>38.46</v>
      </c>
      <c r="J209" s="11" t="s">
        <v>75</v>
      </c>
      <c r="K209" s="11">
        <v>23</v>
      </c>
      <c r="L209" s="11" t="s">
        <v>101</v>
      </c>
      <c r="M209" s="11" t="s">
        <v>1280</v>
      </c>
    </row>
    <row r="210" spans="1:13" x14ac:dyDescent="0.35">
      <c r="A210" s="13">
        <v>1</v>
      </c>
      <c r="B210" s="13" t="s">
        <v>1117</v>
      </c>
      <c r="C210" s="13">
        <v>2</v>
      </c>
      <c r="D210" s="14">
        <v>45022.134722222225</v>
      </c>
      <c r="E210" s="14">
        <v>45022.254166666666</v>
      </c>
      <c r="F210" s="13" t="s">
        <v>85</v>
      </c>
      <c r="G210" s="13" t="s">
        <v>86</v>
      </c>
      <c r="H210" s="13" t="s">
        <v>74</v>
      </c>
      <c r="I210" s="17">
        <v>31.58</v>
      </c>
      <c r="J210" s="13" t="s">
        <v>88</v>
      </c>
      <c r="K210" s="13">
        <v>606</v>
      </c>
      <c r="L210" s="13" t="s">
        <v>275</v>
      </c>
      <c r="M210" s="13" t="s">
        <v>1682</v>
      </c>
    </row>
    <row r="211" spans="1:13" x14ac:dyDescent="0.35">
      <c r="A211" s="11">
        <v>1</v>
      </c>
      <c r="B211" s="11" t="s">
        <v>1112</v>
      </c>
      <c r="C211" s="11">
        <v>2</v>
      </c>
      <c r="D211" s="12">
        <v>45021.122916666667</v>
      </c>
      <c r="E211" s="12">
        <v>45021.223611111112</v>
      </c>
      <c r="F211" s="11" t="s">
        <v>223</v>
      </c>
      <c r="G211" s="11" t="s">
        <v>73</v>
      </c>
      <c r="H211" s="11" t="s">
        <v>74</v>
      </c>
      <c r="I211" s="16">
        <v>25.26</v>
      </c>
      <c r="J211" s="11" t="s">
        <v>94</v>
      </c>
      <c r="K211" s="11">
        <v>469</v>
      </c>
      <c r="L211" s="11" t="s">
        <v>110</v>
      </c>
      <c r="M211" s="11" t="s">
        <v>1592</v>
      </c>
    </row>
    <row r="212" spans="1:13" x14ac:dyDescent="0.35">
      <c r="A212" s="11">
        <v>1</v>
      </c>
      <c r="B212" s="11" t="s">
        <v>916</v>
      </c>
      <c r="C212" s="11">
        <v>5</v>
      </c>
      <c r="D212" s="12">
        <v>45017.151388888888</v>
      </c>
      <c r="E212" s="12">
        <v>45017.224999999999</v>
      </c>
      <c r="F212" s="11" t="s">
        <v>85</v>
      </c>
      <c r="G212" s="11" t="s">
        <v>86</v>
      </c>
      <c r="H212" s="11" t="s">
        <v>74</v>
      </c>
      <c r="I212" s="16">
        <v>39.1</v>
      </c>
      <c r="J212" s="11" t="s">
        <v>94</v>
      </c>
      <c r="K212" s="11">
        <v>91</v>
      </c>
      <c r="L212" s="11" t="s">
        <v>181</v>
      </c>
      <c r="M212" s="11" t="s">
        <v>1336</v>
      </c>
    </row>
    <row r="213" spans="1:13" x14ac:dyDescent="0.35">
      <c r="A213" s="11">
        <v>1</v>
      </c>
      <c r="B213" s="11" t="s">
        <v>1058</v>
      </c>
      <c r="C213" s="11">
        <v>6</v>
      </c>
      <c r="D213" s="12">
        <v>45020.161111111112</v>
      </c>
      <c r="E213" s="12">
        <v>45020.256249999999</v>
      </c>
      <c r="F213" s="11" t="s">
        <v>223</v>
      </c>
      <c r="G213" s="11" t="s">
        <v>163</v>
      </c>
      <c r="H213" s="11" t="s">
        <v>74</v>
      </c>
      <c r="I213" s="16">
        <v>48.93</v>
      </c>
      <c r="J213" s="11" t="s">
        <v>75</v>
      </c>
      <c r="K213" s="11">
        <v>351</v>
      </c>
      <c r="L213" s="11" t="s">
        <v>89</v>
      </c>
      <c r="M213" s="11" t="s">
        <v>1491</v>
      </c>
    </row>
    <row r="214" spans="1:13" x14ac:dyDescent="0.35">
      <c r="A214" s="13">
        <v>1</v>
      </c>
      <c r="B214" s="13" t="s">
        <v>1073</v>
      </c>
      <c r="C214" s="13">
        <v>5</v>
      </c>
      <c r="D214" s="14">
        <v>45020.007638888892</v>
      </c>
      <c r="E214" s="14">
        <v>45020.106249999997</v>
      </c>
      <c r="F214" s="13" t="s">
        <v>223</v>
      </c>
      <c r="G214" s="13" t="s">
        <v>163</v>
      </c>
      <c r="H214" s="13" t="s">
        <v>109</v>
      </c>
      <c r="I214" s="17">
        <v>39.32</v>
      </c>
      <c r="J214" s="13" t="s">
        <v>94</v>
      </c>
      <c r="K214" s="13">
        <v>384</v>
      </c>
      <c r="L214" s="13" t="s">
        <v>275</v>
      </c>
      <c r="M214" s="13" t="s">
        <v>1538</v>
      </c>
    </row>
    <row r="215" spans="1:13" x14ac:dyDescent="0.35">
      <c r="A215" s="11">
        <v>1</v>
      </c>
      <c r="B215" s="11" t="s">
        <v>1030</v>
      </c>
      <c r="C215" s="11">
        <v>2</v>
      </c>
      <c r="D215" s="12">
        <v>45019.03125</v>
      </c>
      <c r="E215" s="12">
        <v>45019.175694444442</v>
      </c>
      <c r="F215" s="11" t="s">
        <v>223</v>
      </c>
      <c r="G215" s="11" t="s">
        <v>86</v>
      </c>
      <c r="H215" s="11" t="s">
        <v>74</v>
      </c>
      <c r="I215" s="16">
        <v>37.92</v>
      </c>
      <c r="J215" s="11" t="s">
        <v>94</v>
      </c>
      <c r="K215" s="11">
        <v>305</v>
      </c>
      <c r="L215" s="11" t="s">
        <v>101</v>
      </c>
      <c r="M215" s="11" t="s">
        <v>1486</v>
      </c>
    </row>
    <row r="216" spans="1:13" x14ac:dyDescent="0.35">
      <c r="A216" s="11">
        <v>1</v>
      </c>
      <c r="B216" s="11" t="s">
        <v>889</v>
      </c>
      <c r="C216" s="11">
        <v>3</v>
      </c>
      <c r="D216" s="12">
        <v>45022.029166666667</v>
      </c>
      <c r="E216" s="12">
        <v>45022.1875</v>
      </c>
      <c r="F216" s="11" t="s">
        <v>170</v>
      </c>
      <c r="G216" s="11" t="s">
        <v>86</v>
      </c>
      <c r="H216" s="11" t="s">
        <v>109</v>
      </c>
      <c r="I216" s="16">
        <v>39.58</v>
      </c>
      <c r="J216" s="11" t="s">
        <v>94</v>
      </c>
      <c r="K216" s="11">
        <v>479</v>
      </c>
      <c r="L216" s="11" t="s">
        <v>164</v>
      </c>
      <c r="M216" s="11" t="s">
        <v>1601</v>
      </c>
    </row>
    <row r="217" spans="1:13" x14ac:dyDescent="0.35">
      <c r="A217" s="13">
        <v>1</v>
      </c>
      <c r="B217" s="13" t="s">
        <v>672</v>
      </c>
      <c r="C217" s="13">
        <v>1</v>
      </c>
      <c r="D217" s="14">
        <v>45017.083333333336</v>
      </c>
      <c r="E217" s="14">
        <v>45017.170138888891</v>
      </c>
      <c r="F217" s="13" t="s">
        <v>170</v>
      </c>
      <c r="G217" s="13" t="s">
        <v>86</v>
      </c>
      <c r="H217" s="13" t="s">
        <v>87</v>
      </c>
      <c r="I217" s="17">
        <v>13.68</v>
      </c>
      <c r="J217" s="13" t="s">
        <v>75</v>
      </c>
      <c r="K217" s="13">
        <v>40</v>
      </c>
      <c r="L217" s="13" t="s">
        <v>164</v>
      </c>
      <c r="M217" s="13" t="s">
        <v>1293</v>
      </c>
    </row>
    <row r="218" spans="1:13" x14ac:dyDescent="0.35">
      <c r="A218" s="13">
        <v>1</v>
      </c>
      <c r="B218" s="13" t="s">
        <v>660</v>
      </c>
      <c r="C218" s="13">
        <v>3</v>
      </c>
      <c r="D218" s="14">
        <v>45017.055555555555</v>
      </c>
      <c r="E218" s="14">
        <v>45017.206250000003</v>
      </c>
      <c r="F218" s="13" t="s">
        <v>85</v>
      </c>
      <c r="G218" s="13" t="s">
        <v>86</v>
      </c>
      <c r="H218" s="13" t="s">
        <v>109</v>
      </c>
      <c r="I218" s="17">
        <v>43.2</v>
      </c>
      <c r="J218" s="13" t="s">
        <v>75</v>
      </c>
      <c r="K218" s="13">
        <v>56</v>
      </c>
      <c r="L218" s="13" t="s">
        <v>187</v>
      </c>
      <c r="M218" s="13" t="s">
        <v>1287</v>
      </c>
    </row>
    <row r="219" spans="1:13" x14ac:dyDescent="0.35">
      <c r="A219" s="13">
        <v>1</v>
      </c>
      <c r="B219" s="13" t="s">
        <v>1059</v>
      </c>
      <c r="C219" s="13">
        <v>4</v>
      </c>
      <c r="D219" s="14">
        <v>45022.080555555556</v>
      </c>
      <c r="E219" s="14">
        <v>45022.143055555556</v>
      </c>
      <c r="F219" s="13" t="s">
        <v>223</v>
      </c>
      <c r="G219" s="13" t="s">
        <v>73</v>
      </c>
      <c r="H219" s="13" t="s">
        <v>74</v>
      </c>
      <c r="I219" s="17">
        <v>38</v>
      </c>
      <c r="J219" s="13" t="s">
        <v>94</v>
      </c>
      <c r="K219" s="13">
        <v>624</v>
      </c>
      <c r="L219" s="13" t="s">
        <v>164</v>
      </c>
      <c r="M219" s="13" t="s">
        <v>1692</v>
      </c>
    </row>
    <row r="220" spans="1:13" x14ac:dyDescent="0.35">
      <c r="A220" s="13">
        <v>1</v>
      </c>
      <c r="B220" s="13" t="s">
        <v>1199</v>
      </c>
      <c r="C220" s="13">
        <v>3</v>
      </c>
      <c r="D220" s="14">
        <v>45023.002083333333</v>
      </c>
      <c r="E220" s="14">
        <v>45023.0625</v>
      </c>
      <c r="F220" s="13" t="s">
        <v>85</v>
      </c>
      <c r="G220" s="13" t="s">
        <v>73</v>
      </c>
      <c r="H220" s="13" t="s">
        <v>74</v>
      </c>
      <c r="I220" s="17">
        <v>41.29</v>
      </c>
      <c r="J220" s="13" t="s">
        <v>75</v>
      </c>
      <c r="K220" s="13">
        <v>674</v>
      </c>
      <c r="L220" s="13" t="s">
        <v>221</v>
      </c>
      <c r="M220" s="13" t="s">
        <v>1729</v>
      </c>
    </row>
    <row r="221" spans="1:13" x14ac:dyDescent="0.35">
      <c r="A221" s="11">
        <v>1</v>
      </c>
      <c r="B221" s="11" t="s">
        <v>1135</v>
      </c>
      <c r="C221" s="11">
        <v>2</v>
      </c>
      <c r="D221" s="12">
        <v>45022.081944444442</v>
      </c>
      <c r="E221" s="12">
        <v>45022.195833333331</v>
      </c>
      <c r="F221" s="11" t="s">
        <v>170</v>
      </c>
      <c r="G221" s="11" t="s">
        <v>86</v>
      </c>
      <c r="H221" s="11" t="s">
        <v>74</v>
      </c>
      <c r="I221" s="16">
        <v>25.91</v>
      </c>
      <c r="J221" s="11" t="s">
        <v>88</v>
      </c>
      <c r="K221" s="11">
        <v>529</v>
      </c>
      <c r="L221" s="11" t="s">
        <v>181</v>
      </c>
      <c r="M221" s="11" t="s">
        <v>1628</v>
      </c>
    </row>
    <row r="222" spans="1:13" x14ac:dyDescent="0.35">
      <c r="A222" s="13">
        <v>1</v>
      </c>
      <c r="B222" s="13" t="s">
        <v>1154</v>
      </c>
      <c r="C222" s="13">
        <v>6</v>
      </c>
      <c r="D222" s="14">
        <v>45022.111111111109</v>
      </c>
      <c r="E222" s="14">
        <v>45022.185416666667</v>
      </c>
      <c r="F222" s="13" t="s">
        <v>85</v>
      </c>
      <c r="G222" s="13" t="s">
        <v>86</v>
      </c>
      <c r="H222" s="13" t="s">
        <v>74</v>
      </c>
      <c r="I222" s="17">
        <v>38.4</v>
      </c>
      <c r="J222" s="13" t="s">
        <v>75</v>
      </c>
      <c r="K222" s="13">
        <v>570</v>
      </c>
      <c r="L222" s="13" t="s">
        <v>110</v>
      </c>
      <c r="M222" s="13" t="s">
        <v>1572</v>
      </c>
    </row>
    <row r="223" spans="1:13" x14ac:dyDescent="0.35">
      <c r="A223" s="13">
        <v>1</v>
      </c>
      <c r="B223" s="13" t="s">
        <v>1098</v>
      </c>
      <c r="C223" s="13">
        <v>6</v>
      </c>
      <c r="D223" s="14">
        <v>45022.047222222223</v>
      </c>
      <c r="E223" s="14">
        <v>45022.11041666667</v>
      </c>
      <c r="F223" s="13" t="s">
        <v>170</v>
      </c>
      <c r="G223" s="13" t="s">
        <v>86</v>
      </c>
      <c r="H223" s="13" t="s">
        <v>74</v>
      </c>
      <c r="I223" s="17">
        <v>28.33</v>
      </c>
      <c r="J223" s="13" t="s">
        <v>88</v>
      </c>
      <c r="K223" s="13">
        <v>550</v>
      </c>
      <c r="L223" s="13" t="s">
        <v>89</v>
      </c>
      <c r="M223" s="13" t="s">
        <v>1646</v>
      </c>
    </row>
    <row r="224" spans="1:13" x14ac:dyDescent="0.35">
      <c r="A224" s="11">
        <v>1</v>
      </c>
      <c r="B224" s="11" t="s">
        <v>704</v>
      </c>
      <c r="C224" s="11">
        <v>5</v>
      </c>
      <c r="D224" s="12">
        <v>45018.106249999997</v>
      </c>
      <c r="E224" s="12">
        <v>45018.200694444444</v>
      </c>
      <c r="F224" s="11" t="s">
        <v>170</v>
      </c>
      <c r="G224" s="11" t="s">
        <v>86</v>
      </c>
      <c r="H224" s="11" t="s">
        <v>74</v>
      </c>
      <c r="I224" s="16">
        <v>46.96</v>
      </c>
      <c r="J224" s="11" t="s">
        <v>75</v>
      </c>
      <c r="K224" s="11">
        <v>219</v>
      </c>
      <c r="L224" s="11" t="s">
        <v>275</v>
      </c>
      <c r="M224" s="11" t="s">
        <v>1348</v>
      </c>
    </row>
    <row r="225" spans="1:13" x14ac:dyDescent="0.35">
      <c r="A225" s="11">
        <v>10</v>
      </c>
      <c r="B225" s="11" t="s">
        <v>929</v>
      </c>
      <c r="C225" s="11">
        <v>2</v>
      </c>
      <c r="D225" s="12">
        <v>45017.059027777781</v>
      </c>
      <c r="E225" s="12">
        <v>45017.101388888892</v>
      </c>
      <c r="F225" s="11" t="s">
        <v>72</v>
      </c>
      <c r="G225" s="11" t="s">
        <v>163</v>
      </c>
      <c r="H225" s="11" t="s">
        <v>74</v>
      </c>
      <c r="I225" s="16">
        <v>42.95</v>
      </c>
      <c r="J225" s="11" t="s">
        <v>75</v>
      </c>
      <c r="K225" s="11">
        <v>109</v>
      </c>
      <c r="L225" s="11" t="s">
        <v>187</v>
      </c>
      <c r="M225" s="11" t="s">
        <v>1352</v>
      </c>
    </row>
    <row r="226" spans="1:13" x14ac:dyDescent="0.35">
      <c r="A226" s="13">
        <v>10</v>
      </c>
      <c r="B226" s="13" t="s">
        <v>979</v>
      </c>
      <c r="C226" s="13">
        <v>4</v>
      </c>
      <c r="D226" s="14">
        <v>45018.113194444442</v>
      </c>
      <c r="E226" s="14">
        <v>45018.186805555553</v>
      </c>
      <c r="F226" s="13" t="s">
        <v>100</v>
      </c>
      <c r="G226" s="13" t="s">
        <v>163</v>
      </c>
      <c r="H226" s="13" t="s">
        <v>74</v>
      </c>
      <c r="I226" s="17">
        <v>14.67</v>
      </c>
      <c r="J226" s="13" t="s">
        <v>75</v>
      </c>
      <c r="K226" s="13">
        <v>210</v>
      </c>
      <c r="L226" s="13" t="s">
        <v>275</v>
      </c>
      <c r="M226" s="13" t="s">
        <v>1420</v>
      </c>
    </row>
    <row r="227" spans="1:13" x14ac:dyDescent="0.35">
      <c r="A227" s="11">
        <v>10</v>
      </c>
      <c r="B227" s="11" t="s">
        <v>958</v>
      </c>
      <c r="C227" s="11">
        <v>3</v>
      </c>
      <c r="D227" s="12">
        <v>45018.097916666666</v>
      </c>
      <c r="E227" s="12">
        <v>45018.216666666667</v>
      </c>
      <c r="F227" s="11" t="s">
        <v>170</v>
      </c>
      <c r="G227" s="11" t="s">
        <v>73</v>
      </c>
      <c r="H227" s="11" t="s">
        <v>74</v>
      </c>
      <c r="I227" s="16">
        <v>41.9</v>
      </c>
      <c r="J227" s="11" t="s">
        <v>88</v>
      </c>
      <c r="K227" s="11">
        <v>165</v>
      </c>
      <c r="L227" s="11" t="s">
        <v>76</v>
      </c>
      <c r="M227" s="11" t="s">
        <v>1390</v>
      </c>
    </row>
    <row r="228" spans="1:13" x14ac:dyDescent="0.35">
      <c r="A228" s="11">
        <v>10</v>
      </c>
      <c r="B228" s="11" t="s">
        <v>1089</v>
      </c>
      <c r="C228" s="11">
        <v>1</v>
      </c>
      <c r="D228" s="12">
        <v>45021.067361111112</v>
      </c>
      <c r="E228" s="12">
        <v>45021.171527777777</v>
      </c>
      <c r="F228" s="11" t="s">
        <v>223</v>
      </c>
      <c r="G228" s="11" t="s">
        <v>86</v>
      </c>
      <c r="H228" s="11" t="s">
        <v>74</v>
      </c>
      <c r="I228" s="16">
        <v>17.57</v>
      </c>
      <c r="J228" s="11" t="s">
        <v>88</v>
      </c>
      <c r="K228" s="11">
        <v>421</v>
      </c>
      <c r="L228" s="11" t="s">
        <v>101</v>
      </c>
      <c r="M228" s="11" t="s">
        <v>1561</v>
      </c>
    </row>
    <row r="229" spans="1:13" x14ac:dyDescent="0.35">
      <c r="A229" s="13">
        <v>10</v>
      </c>
      <c r="B229" s="13" t="s">
        <v>884</v>
      </c>
      <c r="C229" s="13">
        <v>6</v>
      </c>
      <c r="D229" s="14">
        <v>45017.109722222223</v>
      </c>
      <c r="E229" s="14">
        <v>45017.161805555559</v>
      </c>
      <c r="F229" s="13" t="s">
        <v>72</v>
      </c>
      <c r="G229" s="13" t="s">
        <v>86</v>
      </c>
      <c r="H229" s="13" t="s">
        <v>109</v>
      </c>
      <c r="I229" s="17">
        <v>16.309999999999999</v>
      </c>
      <c r="J229" s="13" t="s">
        <v>94</v>
      </c>
      <c r="K229" s="13">
        <v>38</v>
      </c>
      <c r="L229" s="13" t="s">
        <v>101</v>
      </c>
      <c r="M229" s="13" t="s">
        <v>1292</v>
      </c>
    </row>
    <row r="230" spans="1:13" x14ac:dyDescent="0.35">
      <c r="A230" s="13">
        <v>10</v>
      </c>
      <c r="B230" s="13" t="s">
        <v>1149</v>
      </c>
      <c r="C230" s="13">
        <v>6</v>
      </c>
      <c r="D230" s="14">
        <v>45022.0625</v>
      </c>
      <c r="E230" s="14">
        <v>45022.121527777781</v>
      </c>
      <c r="F230" s="13" t="s">
        <v>170</v>
      </c>
      <c r="G230" s="13" t="s">
        <v>86</v>
      </c>
      <c r="H230" s="13" t="s">
        <v>109</v>
      </c>
      <c r="I230" s="17">
        <v>19.600000000000001</v>
      </c>
      <c r="J230" s="13" t="s">
        <v>88</v>
      </c>
      <c r="K230" s="13">
        <v>554</v>
      </c>
      <c r="L230" s="13" t="s">
        <v>181</v>
      </c>
      <c r="M230" s="13" t="s">
        <v>1650</v>
      </c>
    </row>
    <row r="231" spans="1:13" x14ac:dyDescent="0.35">
      <c r="A231" s="11">
        <v>10</v>
      </c>
      <c r="B231" s="11" t="s">
        <v>867</v>
      </c>
      <c r="C231" s="11">
        <v>4</v>
      </c>
      <c r="D231" s="12">
        <v>45021.051388888889</v>
      </c>
      <c r="E231" s="12">
        <v>45021.131249999999</v>
      </c>
      <c r="F231" s="11" t="s">
        <v>72</v>
      </c>
      <c r="G231" s="11" t="s">
        <v>86</v>
      </c>
      <c r="H231" s="11" t="s">
        <v>74</v>
      </c>
      <c r="I231" s="16">
        <v>45.77</v>
      </c>
      <c r="J231" s="11" t="s">
        <v>94</v>
      </c>
      <c r="K231" s="11">
        <v>433</v>
      </c>
      <c r="L231" s="11" t="s">
        <v>95</v>
      </c>
      <c r="M231" s="11" t="s">
        <v>1569</v>
      </c>
    </row>
    <row r="232" spans="1:13" x14ac:dyDescent="0.35">
      <c r="A232" s="11">
        <v>10</v>
      </c>
      <c r="B232" s="11" t="s">
        <v>1216</v>
      </c>
      <c r="C232" s="11">
        <v>4</v>
      </c>
      <c r="D232" s="12">
        <v>45023.074999999997</v>
      </c>
      <c r="E232" s="12">
        <v>45023.138888888891</v>
      </c>
      <c r="F232" s="11" t="s">
        <v>72</v>
      </c>
      <c r="G232" s="11" t="s">
        <v>86</v>
      </c>
      <c r="H232" s="11" t="s">
        <v>87</v>
      </c>
      <c r="I232" s="16">
        <v>18.66</v>
      </c>
      <c r="J232" s="11" t="s">
        <v>88</v>
      </c>
      <c r="K232" s="11">
        <v>725</v>
      </c>
      <c r="L232" s="11" t="s">
        <v>101</v>
      </c>
      <c r="M232" s="11" t="s">
        <v>1762</v>
      </c>
    </row>
    <row r="233" spans="1:13" x14ac:dyDescent="0.35">
      <c r="A233" s="11">
        <v>10</v>
      </c>
      <c r="B233" s="11" t="s">
        <v>879</v>
      </c>
      <c r="C233" s="11">
        <v>1</v>
      </c>
      <c r="D233" s="12">
        <v>45022.058333333334</v>
      </c>
      <c r="E233" s="12">
        <v>45022.145138888889</v>
      </c>
      <c r="F233" s="11" t="s">
        <v>85</v>
      </c>
      <c r="G233" s="11" t="s">
        <v>86</v>
      </c>
      <c r="H233" s="11" t="s">
        <v>74</v>
      </c>
      <c r="I233" s="16">
        <v>28.9</v>
      </c>
      <c r="J233" s="11" t="s">
        <v>88</v>
      </c>
      <c r="K233" s="11">
        <v>607</v>
      </c>
      <c r="L233" s="11" t="s">
        <v>221</v>
      </c>
      <c r="M233" s="11" t="s">
        <v>1514</v>
      </c>
    </row>
    <row r="234" spans="1:13" x14ac:dyDescent="0.35">
      <c r="A234" s="13">
        <v>10</v>
      </c>
      <c r="B234" s="13" t="s">
        <v>948</v>
      </c>
      <c r="C234" s="13">
        <v>6</v>
      </c>
      <c r="D234" s="14">
        <v>45018.161111111112</v>
      </c>
      <c r="E234" s="14">
        <v>45018.249305555553</v>
      </c>
      <c r="F234" s="13" t="s">
        <v>170</v>
      </c>
      <c r="G234" s="13" t="s">
        <v>86</v>
      </c>
      <c r="H234" s="13" t="s">
        <v>109</v>
      </c>
      <c r="I234" s="17">
        <v>46.26</v>
      </c>
      <c r="J234" s="13" t="s">
        <v>88</v>
      </c>
      <c r="K234" s="13">
        <v>148</v>
      </c>
      <c r="L234" s="13" t="s">
        <v>110</v>
      </c>
      <c r="M234" s="13" t="s">
        <v>1377</v>
      </c>
    </row>
    <row r="235" spans="1:13" x14ac:dyDescent="0.35">
      <c r="A235" s="13">
        <v>10</v>
      </c>
      <c r="B235" s="13" t="s">
        <v>492</v>
      </c>
      <c r="C235" s="13">
        <v>6</v>
      </c>
      <c r="D235" s="14">
        <v>45020.076388888891</v>
      </c>
      <c r="E235" s="14">
        <v>45020.164583333331</v>
      </c>
      <c r="F235" s="13" t="s">
        <v>170</v>
      </c>
      <c r="G235" s="13" t="s">
        <v>163</v>
      </c>
      <c r="H235" s="13" t="s">
        <v>74</v>
      </c>
      <c r="I235" s="17">
        <v>32.17</v>
      </c>
      <c r="J235" s="13" t="s">
        <v>88</v>
      </c>
      <c r="K235" s="13">
        <v>330</v>
      </c>
      <c r="L235" s="13" t="s">
        <v>95</v>
      </c>
      <c r="M235" s="13" t="s">
        <v>1506</v>
      </c>
    </row>
    <row r="236" spans="1:13" x14ac:dyDescent="0.35">
      <c r="A236" s="11">
        <v>10</v>
      </c>
      <c r="B236" s="11" t="s">
        <v>1161</v>
      </c>
      <c r="C236" s="11">
        <v>4</v>
      </c>
      <c r="D236" s="12">
        <v>45022.134722222225</v>
      </c>
      <c r="E236" s="12">
        <v>45022.247916666667</v>
      </c>
      <c r="F236" s="11" t="s">
        <v>72</v>
      </c>
      <c r="G236" s="11" t="s">
        <v>86</v>
      </c>
      <c r="H236" s="11" t="s">
        <v>109</v>
      </c>
      <c r="I236" s="16">
        <v>28.96</v>
      </c>
      <c r="J236" s="11" t="s">
        <v>75</v>
      </c>
      <c r="K236" s="11">
        <v>589</v>
      </c>
      <c r="L236" s="11" t="s">
        <v>174</v>
      </c>
      <c r="M236" s="11" t="s">
        <v>1669</v>
      </c>
    </row>
    <row r="237" spans="1:13" x14ac:dyDescent="0.35">
      <c r="A237" s="13">
        <v>10</v>
      </c>
      <c r="B237" s="13" t="s">
        <v>1203</v>
      </c>
      <c r="C237" s="13">
        <v>6</v>
      </c>
      <c r="D237" s="14">
        <v>45023.145138888889</v>
      </c>
      <c r="E237" s="14">
        <v>45023.194444444445</v>
      </c>
      <c r="F237" s="13" t="s">
        <v>72</v>
      </c>
      <c r="G237" s="13" t="s">
        <v>73</v>
      </c>
      <c r="H237" s="13" t="s">
        <v>74</v>
      </c>
      <c r="I237" s="17">
        <v>48.15</v>
      </c>
      <c r="J237" s="13" t="s">
        <v>88</v>
      </c>
      <c r="K237" s="13">
        <v>684</v>
      </c>
      <c r="L237" s="13" t="s">
        <v>101</v>
      </c>
      <c r="M237" s="13" t="s">
        <v>1738</v>
      </c>
    </row>
    <row r="238" spans="1:13" x14ac:dyDescent="0.35">
      <c r="A238" s="13">
        <v>10</v>
      </c>
      <c r="B238" s="13" t="s">
        <v>964</v>
      </c>
      <c r="C238" s="13">
        <v>1</v>
      </c>
      <c r="D238" s="14">
        <v>45018.097916666666</v>
      </c>
      <c r="E238" s="14">
        <v>45018.214583333334</v>
      </c>
      <c r="F238" s="13" t="s">
        <v>100</v>
      </c>
      <c r="G238" s="13" t="s">
        <v>73</v>
      </c>
      <c r="H238" s="13" t="s">
        <v>74</v>
      </c>
      <c r="I238" s="17">
        <v>46.61</v>
      </c>
      <c r="J238" s="13" t="s">
        <v>94</v>
      </c>
      <c r="K238" s="13">
        <v>180</v>
      </c>
      <c r="L238" s="13" t="s">
        <v>89</v>
      </c>
      <c r="M238" s="13" t="s">
        <v>1399</v>
      </c>
    </row>
    <row r="239" spans="1:13" x14ac:dyDescent="0.35">
      <c r="A239" s="11">
        <v>10</v>
      </c>
      <c r="B239" s="11" t="s">
        <v>367</v>
      </c>
      <c r="C239" s="11">
        <v>5</v>
      </c>
      <c r="D239" s="12">
        <v>45017.15902777778</v>
      </c>
      <c r="E239" s="12">
        <v>45017.265277777777</v>
      </c>
      <c r="F239" s="11" t="s">
        <v>100</v>
      </c>
      <c r="G239" s="11" t="s">
        <v>86</v>
      </c>
      <c r="H239" s="11" t="s">
        <v>74</v>
      </c>
      <c r="I239" s="16">
        <v>42.87</v>
      </c>
      <c r="J239" s="11" t="s">
        <v>88</v>
      </c>
      <c r="K239" s="11">
        <v>61</v>
      </c>
      <c r="L239" s="11" t="s">
        <v>101</v>
      </c>
      <c r="M239" s="11" t="s">
        <v>1312</v>
      </c>
    </row>
    <row r="240" spans="1:13" x14ac:dyDescent="0.35">
      <c r="A240" s="13">
        <v>10</v>
      </c>
      <c r="B240" s="13" t="s">
        <v>743</v>
      </c>
      <c r="C240" s="13">
        <v>1</v>
      </c>
      <c r="D240" s="14">
        <v>45017.074305555558</v>
      </c>
      <c r="E240" s="14">
        <v>45017.152083333334</v>
      </c>
      <c r="F240" s="13" t="s">
        <v>85</v>
      </c>
      <c r="G240" s="13" t="s">
        <v>86</v>
      </c>
      <c r="H240" s="13" t="s">
        <v>74</v>
      </c>
      <c r="I240" s="17">
        <v>27.97</v>
      </c>
      <c r="J240" s="13" t="s">
        <v>75</v>
      </c>
      <c r="K240" s="13">
        <v>46</v>
      </c>
      <c r="L240" s="13" t="s">
        <v>101</v>
      </c>
      <c r="M240" s="13" t="s">
        <v>1298</v>
      </c>
    </row>
    <row r="241" spans="1:13" x14ac:dyDescent="0.35">
      <c r="A241" s="13">
        <v>10</v>
      </c>
      <c r="B241" s="13" t="s">
        <v>559</v>
      </c>
      <c r="C241" s="13">
        <v>6</v>
      </c>
      <c r="D241" s="14">
        <v>45018.128472222219</v>
      </c>
      <c r="E241" s="14">
        <v>45018.240972222222</v>
      </c>
      <c r="F241" s="13" t="s">
        <v>223</v>
      </c>
      <c r="G241" s="13" t="s">
        <v>73</v>
      </c>
      <c r="H241" s="13" t="s">
        <v>74</v>
      </c>
      <c r="I241" s="17">
        <v>36.43</v>
      </c>
      <c r="J241" s="13" t="s">
        <v>94</v>
      </c>
      <c r="K241" s="13">
        <v>254</v>
      </c>
      <c r="L241" s="13" t="s">
        <v>221</v>
      </c>
      <c r="M241" s="13" t="s">
        <v>1451</v>
      </c>
    </row>
    <row r="242" spans="1:13" x14ac:dyDescent="0.35">
      <c r="A242" s="11">
        <v>10</v>
      </c>
      <c r="B242" s="11" t="s">
        <v>1197</v>
      </c>
      <c r="C242" s="11">
        <v>4</v>
      </c>
      <c r="D242" s="12">
        <v>45023.042361111111</v>
      </c>
      <c r="E242" s="12">
        <v>45023.19027777778</v>
      </c>
      <c r="F242" s="11" t="s">
        <v>170</v>
      </c>
      <c r="G242" s="11" t="s">
        <v>86</v>
      </c>
      <c r="H242" s="11" t="s">
        <v>74</v>
      </c>
      <c r="I242" s="16">
        <v>10.68</v>
      </c>
      <c r="J242" s="11" t="s">
        <v>75</v>
      </c>
      <c r="K242" s="11">
        <v>669</v>
      </c>
      <c r="L242" s="11" t="s">
        <v>275</v>
      </c>
      <c r="M242" s="11" t="s">
        <v>1724</v>
      </c>
    </row>
    <row r="243" spans="1:13" x14ac:dyDescent="0.35">
      <c r="A243" s="13">
        <v>10</v>
      </c>
      <c r="B243" s="13" t="s">
        <v>1121</v>
      </c>
      <c r="C243" s="13">
        <v>4</v>
      </c>
      <c r="D243" s="14">
        <v>45022</v>
      </c>
      <c r="E243" s="14">
        <v>45022.081944444442</v>
      </c>
      <c r="F243" s="13" t="s">
        <v>170</v>
      </c>
      <c r="G243" s="13" t="s">
        <v>86</v>
      </c>
      <c r="H243" s="13" t="s">
        <v>109</v>
      </c>
      <c r="I243" s="17">
        <v>37.380000000000003</v>
      </c>
      <c r="J243" s="13" t="s">
        <v>75</v>
      </c>
      <c r="K243" s="13">
        <v>488</v>
      </c>
      <c r="L243" s="13" t="s">
        <v>164</v>
      </c>
      <c r="M243" s="13" t="s">
        <v>1606</v>
      </c>
    </row>
    <row r="244" spans="1:13" x14ac:dyDescent="0.35">
      <c r="A244" s="11">
        <v>10</v>
      </c>
      <c r="B244" s="11" t="s">
        <v>862</v>
      </c>
      <c r="C244" s="11">
        <v>6</v>
      </c>
      <c r="D244" s="12">
        <v>45017.046527777777</v>
      </c>
      <c r="E244" s="12">
        <v>45017.159722222219</v>
      </c>
      <c r="F244" s="11" t="s">
        <v>170</v>
      </c>
      <c r="G244" s="11" t="s">
        <v>86</v>
      </c>
      <c r="H244" s="11" t="s">
        <v>109</v>
      </c>
      <c r="I244" s="16">
        <v>48.55</v>
      </c>
      <c r="J244" s="11" t="s">
        <v>94</v>
      </c>
      <c r="K244" s="11">
        <v>1</v>
      </c>
      <c r="L244" s="11" t="s">
        <v>181</v>
      </c>
      <c r="M244" s="11" t="s">
        <v>1262</v>
      </c>
    </row>
    <row r="245" spans="1:13" x14ac:dyDescent="0.35">
      <c r="A245" s="11">
        <v>10</v>
      </c>
      <c r="B245" s="11" t="s">
        <v>1228</v>
      </c>
      <c r="C245" s="11">
        <v>3</v>
      </c>
      <c r="D245" s="12">
        <v>45023.047222222223</v>
      </c>
      <c r="E245" s="12">
        <v>45023.164583333331</v>
      </c>
      <c r="F245" s="11" t="s">
        <v>100</v>
      </c>
      <c r="G245" s="11" t="s">
        <v>163</v>
      </c>
      <c r="H245" s="11" t="s">
        <v>74</v>
      </c>
      <c r="I245" s="16">
        <v>15.98</v>
      </c>
      <c r="J245" s="11" t="s">
        <v>94</v>
      </c>
      <c r="K245" s="11">
        <v>767</v>
      </c>
      <c r="L245" s="11" t="s">
        <v>187</v>
      </c>
      <c r="M245" s="11" t="s">
        <v>1788</v>
      </c>
    </row>
    <row r="246" spans="1:13" x14ac:dyDescent="0.35">
      <c r="A246" s="13">
        <v>10</v>
      </c>
      <c r="B246" s="13" t="s">
        <v>1163</v>
      </c>
      <c r="C246" s="13">
        <v>6</v>
      </c>
      <c r="D246" s="14">
        <v>45023.05</v>
      </c>
      <c r="E246" s="14">
        <v>45023.152083333334</v>
      </c>
      <c r="F246" s="13" t="s">
        <v>223</v>
      </c>
      <c r="G246" s="13" t="s">
        <v>86</v>
      </c>
      <c r="H246" s="13" t="s">
        <v>87</v>
      </c>
      <c r="I246" s="17">
        <v>15.83</v>
      </c>
      <c r="J246" s="13" t="s">
        <v>94</v>
      </c>
      <c r="K246" s="13">
        <v>686</v>
      </c>
      <c r="L246" s="13" t="s">
        <v>221</v>
      </c>
      <c r="M246" s="13" t="s">
        <v>1739</v>
      </c>
    </row>
    <row r="247" spans="1:13" x14ac:dyDescent="0.35">
      <c r="A247" s="13">
        <v>10</v>
      </c>
      <c r="B247" s="13" t="s">
        <v>1094</v>
      </c>
      <c r="C247" s="13">
        <v>2</v>
      </c>
      <c r="D247" s="14">
        <v>45021.146527777775</v>
      </c>
      <c r="E247" s="14">
        <v>45021.245833333334</v>
      </c>
      <c r="F247" s="13" t="s">
        <v>72</v>
      </c>
      <c r="G247" s="13" t="s">
        <v>73</v>
      </c>
      <c r="H247" s="13" t="s">
        <v>74</v>
      </c>
      <c r="I247" s="17">
        <v>18.71</v>
      </c>
      <c r="J247" s="13" t="s">
        <v>75</v>
      </c>
      <c r="K247" s="13">
        <v>432</v>
      </c>
      <c r="L247" s="13" t="s">
        <v>110</v>
      </c>
      <c r="M247" s="13" t="s">
        <v>1568</v>
      </c>
    </row>
    <row r="248" spans="1:13" x14ac:dyDescent="0.35">
      <c r="A248" s="11">
        <v>10</v>
      </c>
      <c r="B248" s="11" t="s">
        <v>885</v>
      </c>
      <c r="C248" s="11">
        <v>1</v>
      </c>
      <c r="D248" s="12">
        <v>45018.129166666666</v>
      </c>
      <c r="E248" s="12">
        <v>45018.226388888892</v>
      </c>
      <c r="F248" s="11" t="s">
        <v>100</v>
      </c>
      <c r="G248" s="11" t="s">
        <v>163</v>
      </c>
      <c r="H248" s="11" t="s">
        <v>109</v>
      </c>
      <c r="I248" s="16">
        <v>42.84</v>
      </c>
      <c r="J248" s="11" t="s">
        <v>88</v>
      </c>
      <c r="K248" s="11">
        <v>153</v>
      </c>
      <c r="L248" s="11" t="s">
        <v>221</v>
      </c>
      <c r="M248" s="11" t="s">
        <v>1381</v>
      </c>
    </row>
    <row r="249" spans="1:13" x14ac:dyDescent="0.35">
      <c r="A249" s="11">
        <v>10</v>
      </c>
      <c r="B249" s="11" t="s">
        <v>868</v>
      </c>
      <c r="C249" s="11">
        <v>3</v>
      </c>
      <c r="D249" s="12">
        <v>45019.099305555559</v>
      </c>
      <c r="E249" s="12">
        <v>45019.240277777775</v>
      </c>
      <c r="F249" s="11" t="s">
        <v>223</v>
      </c>
      <c r="G249" s="11" t="s">
        <v>163</v>
      </c>
      <c r="H249" s="11" t="s">
        <v>109</v>
      </c>
      <c r="I249" s="16">
        <v>43.14</v>
      </c>
      <c r="J249" s="11" t="s">
        <v>94</v>
      </c>
      <c r="K249" s="11">
        <v>313</v>
      </c>
      <c r="L249" s="11" t="s">
        <v>181</v>
      </c>
      <c r="M249" s="11" t="s">
        <v>1492</v>
      </c>
    </row>
    <row r="250" spans="1:13" x14ac:dyDescent="0.35">
      <c r="A250" s="13">
        <v>11</v>
      </c>
      <c r="B250" s="13" t="s">
        <v>943</v>
      </c>
      <c r="C250" s="13">
        <v>4</v>
      </c>
      <c r="D250" s="14">
        <v>45018.15902777778</v>
      </c>
      <c r="E250" s="14">
        <v>45018.270138888889</v>
      </c>
      <c r="F250" s="13" t="s">
        <v>100</v>
      </c>
      <c r="G250" s="13" t="s">
        <v>86</v>
      </c>
      <c r="H250" s="13" t="s">
        <v>87</v>
      </c>
      <c r="I250" s="17">
        <v>32.130000000000003</v>
      </c>
      <c r="J250" s="13" t="s">
        <v>75</v>
      </c>
      <c r="K250" s="13">
        <v>140</v>
      </c>
      <c r="L250" s="13" t="s">
        <v>221</v>
      </c>
      <c r="M250" s="13" t="s">
        <v>1372</v>
      </c>
    </row>
    <row r="251" spans="1:13" x14ac:dyDescent="0.35">
      <c r="A251" s="11">
        <v>11</v>
      </c>
      <c r="B251" s="11" t="s">
        <v>1047</v>
      </c>
      <c r="C251" s="11">
        <v>2</v>
      </c>
      <c r="D251" s="12">
        <v>45020.068055555559</v>
      </c>
      <c r="E251" s="12">
        <v>45020.188194444447</v>
      </c>
      <c r="F251" s="11" t="s">
        <v>85</v>
      </c>
      <c r="G251" s="11" t="s">
        <v>73</v>
      </c>
      <c r="H251" s="11" t="s">
        <v>74</v>
      </c>
      <c r="I251" s="16">
        <v>19.28</v>
      </c>
      <c r="J251" s="11" t="s">
        <v>94</v>
      </c>
      <c r="K251" s="11">
        <v>337</v>
      </c>
      <c r="L251" s="11" t="s">
        <v>89</v>
      </c>
      <c r="M251" s="11" t="s">
        <v>1511</v>
      </c>
    </row>
    <row r="252" spans="1:13" x14ac:dyDescent="0.35">
      <c r="A252" s="13">
        <v>11</v>
      </c>
      <c r="B252" s="13" t="s">
        <v>1025</v>
      </c>
      <c r="C252" s="13">
        <v>4</v>
      </c>
      <c r="D252" s="14">
        <v>45019.134722222225</v>
      </c>
      <c r="E252" s="14">
        <v>45019.228472222225</v>
      </c>
      <c r="F252" s="13" t="s">
        <v>85</v>
      </c>
      <c r="G252" s="13" t="s">
        <v>163</v>
      </c>
      <c r="H252" s="13" t="s">
        <v>74</v>
      </c>
      <c r="I252" s="17">
        <v>23.24</v>
      </c>
      <c r="J252" s="13" t="s">
        <v>94</v>
      </c>
      <c r="K252" s="13">
        <v>298</v>
      </c>
      <c r="L252" s="13" t="s">
        <v>95</v>
      </c>
      <c r="M252" s="13" t="s">
        <v>1480</v>
      </c>
    </row>
    <row r="253" spans="1:13" x14ac:dyDescent="0.35">
      <c r="A253" s="13">
        <v>11</v>
      </c>
      <c r="B253" s="13" t="s">
        <v>1136</v>
      </c>
      <c r="C253" s="13">
        <v>3</v>
      </c>
      <c r="D253" s="14">
        <v>45023.147916666669</v>
      </c>
      <c r="E253" s="14">
        <v>45023.209722222222</v>
      </c>
      <c r="F253" s="13" t="s">
        <v>170</v>
      </c>
      <c r="G253" s="13" t="s">
        <v>86</v>
      </c>
      <c r="H253" s="13" t="s">
        <v>109</v>
      </c>
      <c r="I253" s="17">
        <v>38.21</v>
      </c>
      <c r="J253" s="13" t="s">
        <v>75</v>
      </c>
      <c r="K253" s="13">
        <v>650</v>
      </c>
      <c r="L253" s="13" t="s">
        <v>164</v>
      </c>
      <c r="M253" s="13" t="s">
        <v>1710</v>
      </c>
    </row>
    <row r="254" spans="1:13" x14ac:dyDescent="0.35">
      <c r="A254" s="11">
        <v>11</v>
      </c>
      <c r="B254" s="11" t="s">
        <v>1012</v>
      </c>
      <c r="C254" s="11">
        <v>2</v>
      </c>
      <c r="D254" s="12">
        <v>45019.123611111114</v>
      </c>
      <c r="E254" s="12">
        <v>45019.177083333336</v>
      </c>
      <c r="F254" s="11" t="s">
        <v>100</v>
      </c>
      <c r="G254" s="11" t="s">
        <v>86</v>
      </c>
      <c r="H254" s="11" t="s">
        <v>109</v>
      </c>
      <c r="I254" s="16">
        <v>39.17</v>
      </c>
      <c r="J254" s="11" t="s">
        <v>75</v>
      </c>
      <c r="K254" s="11">
        <v>269</v>
      </c>
      <c r="L254" s="11" t="s">
        <v>275</v>
      </c>
      <c r="M254" s="11" t="s">
        <v>1460</v>
      </c>
    </row>
    <row r="255" spans="1:13" x14ac:dyDescent="0.35">
      <c r="A255" s="11">
        <v>11</v>
      </c>
      <c r="B255" s="11" t="s">
        <v>961</v>
      </c>
      <c r="C255" s="11">
        <v>3</v>
      </c>
      <c r="D255" s="12">
        <v>45018.012499999997</v>
      </c>
      <c r="E255" s="12">
        <v>45018.154861111114</v>
      </c>
      <c r="F255" s="11" t="s">
        <v>72</v>
      </c>
      <c r="G255" s="11" t="s">
        <v>86</v>
      </c>
      <c r="H255" s="11" t="s">
        <v>74</v>
      </c>
      <c r="I255" s="16">
        <v>48.73</v>
      </c>
      <c r="J255" s="11" t="s">
        <v>88</v>
      </c>
      <c r="K255" s="11">
        <v>173</v>
      </c>
      <c r="L255" s="11" t="s">
        <v>101</v>
      </c>
      <c r="M255" s="11" t="s">
        <v>1395</v>
      </c>
    </row>
    <row r="256" spans="1:13" x14ac:dyDescent="0.35">
      <c r="A256" s="13">
        <v>11</v>
      </c>
      <c r="B256" s="13" t="s">
        <v>1018</v>
      </c>
      <c r="C256" s="13">
        <v>4</v>
      </c>
      <c r="D256" s="14">
        <v>45019.102777777778</v>
      </c>
      <c r="E256" s="14">
        <v>45019.192361111112</v>
      </c>
      <c r="F256" s="13" t="s">
        <v>85</v>
      </c>
      <c r="G256" s="13" t="s">
        <v>86</v>
      </c>
      <c r="H256" s="13" t="s">
        <v>109</v>
      </c>
      <c r="I256" s="17">
        <v>29.99</v>
      </c>
      <c r="J256" s="13" t="s">
        <v>88</v>
      </c>
      <c r="K256" s="13">
        <v>284</v>
      </c>
      <c r="L256" s="13" t="s">
        <v>76</v>
      </c>
      <c r="M256" s="13" t="s">
        <v>1470</v>
      </c>
    </row>
    <row r="257" spans="1:13" x14ac:dyDescent="0.35">
      <c r="A257" s="11">
        <v>11</v>
      </c>
      <c r="B257" s="11" t="s">
        <v>972</v>
      </c>
      <c r="C257" s="11">
        <v>5</v>
      </c>
      <c r="D257" s="12">
        <v>45018.080555555556</v>
      </c>
      <c r="E257" s="12">
        <v>45018.236111111109</v>
      </c>
      <c r="F257" s="11" t="s">
        <v>100</v>
      </c>
      <c r="G257" s="11" t="s">
        <v>73</v>
      </c>
      <c r="H257" s="11" t="s">
        <v>109</v>
      </c>
      <c r="I257" s="16">
        <v>13.26</v>
      </c>
      <c r="J257" s="11" t="s">
        <v>75</v>
      </c>
      <c r="K257" s="11">
        <v>199</v>
      </c>
      <c r="L257" s="11" t="s">
        <v>221</v>
      </c>
      <c r="M257" s="11" t="s">
        <v>1412</v>
      </c>
    </row>
    <row r="258" spans="1:13" x14ac:dyDescent="0.35">
      <c r="A258" s="13">
        <v>11</v>
      </c>
      <c r="B258" s="13" t="s">
        <v>1224</v>
      </c>
      <c r="C258" s="13">
        <v>1</v>
      </c>
      <c r="D258" s="14">
        <v>45023.161805555559</v>
      </c>
      <c r="E258" s="14">
        <v>45023.32708333333</v>
      </c>
      <c r="F258" s="13" t="s">
        <v>223</v>
      </c>
      <c r="G258" s="13" t="s">
        <v>73</v>
      </c>
      <c r="H258" s="13" t="s">
        <v>74</v>
      </c>
      <c r="I258" s="17">
        <v>31.75</v>
      </c>
      <c r="J258" s="13" t="s">
        <v>75</v>
      </c>
      <c r="K258" s="13">
        <v>756</v>
      </c>
      <c r="L258" s="13" t="s">
        <v>76</v>
      </c>
      <c r="M258" s="13" t="s">
        <v>1781</v>
      </c>
    </row>
    <row r="259" spans="1:13" x14ac:dyDescent="0.35">
      <c r="A259" s="13">
        <v>11</v>
      </c>
      <c r="B259" s="13" t="s">
        <v>1147</v>
      </c>
      <c r="C259" s="13">
        <v>6</v>
      </c>
      <c r="D259" s="14">
        <v>45022.018055555556</v>
      </c>
      <c r="E259" s="14">
        <v>45022.162499999999</v>
      </c>
      <c r="F259" s="13" t="s">
        <v>170</v>
      </c>
      <c r="G259" s="13" t="s">
        <v>73</v>
      </c>
      <c r="H259" s="13" t="s">
        <v>109</v>
      </c>
      <c r="I259" s="17">
        <v>10.28</v>
      </c>
      <c r="J259" s="13" t="s">
        <v>75</v>
      </c>
      <c r="K259" s="13">
        <v>552</v>
      </c>
      <c r="L259" s="13" t="s">
        <v>181</v>
      </c>
      <c r="M259" s="13" t="s">
        <v>1648</v>
      </c>
    </row>
    <row r="260" spans="1:13" x14ac:dyDescent="0.35">
      <c r="A260" s="11">
        <v>11</v>
      </c>
      <c r="B260" s="11" t="s">
        <v>1088</v>
      </c>
      <c r="C260" s="11">
        <v>4</v>
      </c>
      <c r="D260" s="12">
        <v>45021.134722222225</v>
      </c>
      <c r="E260" s="12">
        <v>45021.238194444442</v>
      </c>
      <c r="F260" s="11" t="s">
        <v>85</v>
      </c>
      <c r="G260" s="11" t="s">
        <v>86</v>
      </c>
      <c r="H260" s="11" t="s">
        <v>74</v>
      </c>
      <c r="I260" s="16">
        <v>14.09</v>
      </c>
      <c r="J260" s="11" t="s">
        <v>88</v>
      </c>
      <c r="K260" s="11">
        <v>419</v>
      </c>
      <c r="L260" s="11" t="s">
        <v>164</v>
      </c>
      <c r="M260" s="11" t="s">
        <v>1559</v>
      </c>
    </row>
    <row r="261" spans="1:13" x14ac:dyDescent="0.35">
      <c r="A261" s="11">
        <v>11</v>
      </c>
      <c r="B261" s="11" t="s">
        <v>896</v>
      </c>
      <c r="C261" s="11">
        <v>5</v>
      </c>
      <c r="D261" s="12">
        <v>45019.010416666664</v>
      </c>
      <c r="E261" s="12">
        <v>45019.107638888891</v>
      </c>
      <c r="F261" s="11" t="s">
        <v>100</v>
      </c>
      <c r="G261" s="11" t="s">
        <v>73</v>
      </c>
      <c r="H261" s="11" t="s">
        <v>74</v>
      </c>
      <c r="I261" s="16">
        <v>43.53</v>
      </c>
      <c r="J261" s="11" t="s">
        <v>75</v>
      </c>
      <c r="K261" s="11">
        <v>279</v>
      </c>
      <c r="L261" s="11" t="s">
        <v>275</v>
      </c>
      <c r="M261" s="11" t="s">
        <v>1467</v>
      </c>
    </row>
    <row r="262" spans="1:13" x14ac:dyDescent="0.35">
      <c r="A262" s="11">
        <v>11</v>
      </c>
      <c r="B262" s="11" t="s">
        <v>969</v>
      </c>
      <c r="C262" s="11">
        <v>4</v>
      </c>
      <c r="D262" s="12">
        <v>45018.158333333333</v>
      </c>
      <c r="E262" s="12">
        <v>45018.256944444445</v>
      </c>
      <c r="F262" s="11" t="s">
        <v>100</v>
      </c>
      <c r="G262" s="11" t="s">
        <v>86</v>
      </c>
      <c r="H262" s="11" t="s">
        <v>74</v>
      </c>
      <c r="I262" s="16">
        <v>41.66</v>
      </c>
      <c r="J262" s="11" t="s">
        <v>94</v>
      </c>
      <c r="K262" s="11">
        <v>189</v>
      </c>
      <c r="L262" s="11" t="s">
        <v>181</v>
      </c>
      <c r="M262" s="11" t="s">
        <v>1405</v>
      </c>
    </row>
    <row r="263" spans="1:13" x14ac:dyDescent="0.35">
      <c r="A263" s="11">
        <v>11</v>
      </c>
      <c r="B263" s="11" t="s">
        <v>367</v>
      </c>
      <c r="C263" s="11">
        <v>4</v>
      </c>
      <c r="D263" s="12">
        <v>45017.029166666667</v>
      </c>
      <c r="E263" s="12">
        <v>45017.09652777778</v>
      </c>
      <c r="F263" s="11" t="s">
        <v>85</v>
      </c>
      <c r="G263" s="11" t="s">
        <v>163</v>
      </c>
      <c r="H263" s="11" t="s">
        <v>109</v>
      </c>
      <c r="I263" s="16">
        <v>12.28</v>
      </c>
      <c r="J263" s="11" t="s">
        <v>75</v>
      </c>
      <c r="K263" s="11">
        <v>89</v>
      </c>
      <c r="L263" s="11" t="s">
        <v>174</v>
      </c>
      <c r="M263" s="11" t="s">
        <v>1335</v>
      </c>
    </row>
    <row r="264" spans="1:13" x14ac:dyDescent="0.35">
      <c r="A264" s="11">
        <v>11</v>
      </c>
      <c r="B264" s="11" t="s">
        <v>1167</v>
      </c>
      <c r="C264" s="11">
        <v>3</v>
      </c>
      <c r="D264" s="12">
        <v>45022.023611111108</v>
      </c>
      <c r="E264" s="12">
        <v>45022.181250000001</v>
      </c>
      <c r="F264" s="11" t="s">
        <v>100</v>
      </c>
      <c r="G264" s="11" t="s">
        <v>86</v>
      </c>
      <c r="H264" s="11" t="s">
        <v>74</v>
      </c>
      <c r="I264" s="16">
        <v>30.97</v>
      </c>
      <c r="J264" s="11" t="s">
        <v>75</v>
      </c>
      <c r="K264" s="11">
        <v>599</v>
      </c>
      <c r="L264" s="11" t="s">
        <v>221</v>
      </c>
      <c r="M264" s="11" t="s">
        <v>1678</v>
      </c>
    </row>
    <row r="265" spans="1:13" x14ac:dyDescent="0.35">
      <c r="A265" s="11">
        <v>11</v>
      </c>
      <c r="B265" s="11" t="s">
        <v>998</v>
      </c>
      <c r="C265" s="11">
        <v>1</v>
      </c>
      <c r="D265" s="12">
        <v>45018.146527777775</v>
      </c>
      <c r="E265" s="12">
        <v>45018.289583333331</v>
      </c>
      <c r="F265" s="11" t="s">
        <v>223</v>
      </c>
      <c r="G265" s="11" t="s">
        <v>86</v>
      </c>
      <c r="H265" s="11" t="s">
        <v>74</v>
      </c>
      <c r="I265" s="16">
        <v>14.82</v>
      </c>
      <c r="J265" s="11" t="s">
        <v>94</v>
      </c>
      <c r="K265" s="11">
        <v>245</v>
      </c>
      <c r="L265" s="11" t="s">
        <v>95</v>
      </c>
      <c r="M265" s="11" t="s">
        <v>1444</v>
      </c>
    </row>
    <row r="266" spans="1:13" x14ac:dyDescent="0.35">
      <c r="A266" s="11">
        <v>11</v>
      </c>
      <c r="B266" s="11" t="s">
        <v>927</v>
      </c>
      <c r="C266" s="11">
        <v>5</v>
      </c>
      <c r="D266" s="12">
        <v>45017.061805555553</v>
      </c>
      <c r="E266" s="12">
        <v>45017.123611111114</v>
      </c>
      <c r="F266" s="11" t="s">
        <v>100</v>
      </c>
      <c r="G266" s="11" t="s">
        <v>86</v>
      </c>
      <c r="H266" s="11" t="s">
        <v>109</v>
      </c>
      <c r="I266" s="16">
        <v>48.77</v>
      </c>
      <c r="J266" s="11" t="s">
        <v>94</v>
      </c>
      <c r="K266" s="11">
        <v>107</v>
      </c>
      <c r="L266" s="11" t="s">
        <v>95</v>
      </c>
      <c r="M266" s="11" t="s">
        <v>1350</v>
      </c>
    </row>
    <row r="267" spans="1:13" x14ac:dyDescent="0.35">
      <c r="A267" s="13">
        <v>11</v>
      </c>
      <c r="B267" s="13" t="s">
        <v>1172</v>
      </c>
      <c r="C267" s="13">
        <v>4</v>
      </c>
      <c r="D267" s="14">
        <v>45022.05</v>
      </c>
      <c r="E267" s="14">
        <v>45022.208333333336</v>
      </c>
      <c r="F267" s="13" t="s">
        <v>85</v>
      </c>
      <c r="G267" s="13" t="s">
        <v>86</v>
      </c>
      <c r="H267" s="13" t="s">
        <v>74</v>
      </c>
      <c r="I267" s="17">
        <v>23.54</v>
      </c>
      <c r="J267" s="13" t="s">
        <v>94</v>
      </c>
      <c r="K267" s="13">
        <v>612</v>
      </c>
      <c r="L267" s="13" t="s">
        <v>221</v>
      </c>
      <c r="M267" s="13" t="s">
        <v>1685</v>
      </c>
    </row>
    <row r="268" spans="1:13" x14ac:dyDescent="0.35">
      <c r="A268" s="13">
        <v>11</v>
      </c>
      <c r="B268" s="13" t="s">
        <v>963</v>
      </c>
      <c r="C268" s="13">
        <v>6</v>
      </c>
      <c r="D268" s="14">
        <v>45018.078472222223</v>
      </c>
      <c r="E268" s="14">
        <v>45018.220833333333</v>
      </c>
      <c r="F268" s="13" t="s">
        <v>170</v>
      </c>
      <c r="G268" s="13" t="s">
        <v>73</v>
      </c>
      <c r="H268" s="13" t="s">
        <v>74</v>
      </c>
      <c r="I268" s="17">
        <v>31.6</v>
      </c>
      <c r="J268" s="13" t="s">
        <v>94</v>
      </c>
      <c r="K268" s="13">
        <v>178</v>
      </c>
      <c r="L268" s="13" t="s">
        <v>275</v>
      </c>
      <c r="M268" s="13" t="s">
        <v>1398</v>
      </c>
    </row>
    <row r="269" spans="1:13" x14ac:dyDescent="0.35">
      <c r="A269" s="13">
        <v>11</v>
      </c>
      <c r="B269" s="13" t="s">
        <v>965</v>
      </c>
      <c r="C269" s="13">
        <v>2</v>
      </c>
      <c r="D269" s="14">
        <v>45023.102777777778</v>
      </c>
      <c r="E269" s="14">
        <v>45023.238194444442</v>
      </c>
      <c r="F269" s="13" t="s">
        <v>85</v>
      </c>
      <c r="G269" s="13" t="s">
        <v>163</v>
      </c>
      <c r="H269" s="13" t="s">
        <v>74</v>
      </c>
      <c r="I269" s="17">
        <v>41.38</v>
      </c>
      <c r="J269" s="13" t="s">
        <v>94</v>
      </c>
      <c r="K269" s="13">
        <v>726</v>
      </c>
      <c r="L269" s="13" t="s">
        <v>181</v>
      </c>
      <c r="M269" s="13" t="s">
        <v>1763</v>
      </c>
    </row>
    <row r="270" spans="1:13" x14ac:dyDescent="0.35">
      <c r="A270" s="13">
        <v>11</v>
      </c>
      <c r="B270" s="13" t="s">
        <v>973</v>
      </c>
      <c r="C270" s="13">
        <v>4</v>
      </c>
      <c r="D270" s="14">
        <v>45018.107638888891</v>
      </c>
      <c r="E270" s="14">
        <v>45018.226388888892</v>
      </c>
      <c r="F270" s="13" t="s">
        <v>170</v>
      </c>
      <c r="G270" s="13" t="s">
        <v>86</v>
      </c>
      <c r="H270" s="13" t="s">
        <v>74</v>
      </c>
      <c r="I270" s="17">
        <v>48.73</v>
      </c>
      <c r="J270" s="13" t="s">
        <v>94</v>
      </c>
      <c r="K270" s="13">
        <v>200</v>
      </c>
      <c r="L270" s="13" t="s">
        <v>110</v>
      </c>
      <c r="M270" s="13" t="s">
        <v>1413</v>
      </c>
    </row>
    <row r="271" spans="1:13" x14ac:dyDescent="0.35">
      <c r="A271" s="11">
        <v>11</v>
      </c>
      <c r="B271" s="11" t="s">
        <v>783</v>
      </c>
      <c r="C271" s="11">
        <v>6</v>
      </c>
      <c r="D271" s="12">
        <v>45022.125694444447</v>
      </c>
      <c r="E271" s="12">
        <v>45022.284722222219</v>
      </c>
      <c r="F271" s="11" t="s">
        <v>100</v>
      </c>
      <c r="G271" s="11" t="s">
        <v>163</v>
      </c>
      <c r="H271" s="11" t="s">
        <v>74</v>
      </c>
      <c r="I271" s="16">
        <v>33.96</v>
      </c>
      <c r="J271" s="11" t="s">
        <v>75</v>
      </c>
      <c r="K271" s="11">
        <v>495</v>
      </c>
      <c r="L271" s="11" t="s">
        <v>275</v>
      </c>
      <c r="M271" s="11" t="s">
        <v>1610</v>
      </c>
    </row>
    <row r="272" spans="1:13" x14ac:dyDescent="0.35">
      <c r="A272" s="11">
        <v>11</v>
      </c>
      <c r="B272" s="11" t="s">
        <v>703</v>
      </c>
      <c r="C272" s="11">
        <v>1</v>
      </c>
      <c r="D272" s="12">
        <v>45018.041666666664</v>
      </c>
      <c r="E272" s="12">
        <v>45018.125694444447</v>
      </c>
      <c r="F272" s="11" t="s">
        <v>85</v>
      </c>
      <c r="G272" s="11" t="s">
        <v>73</v>
      </c>
      <c r="H272" s="11" t="s">
        <v>74</v>
      </c>
      <c r="I272" s="16">
        <v>34.700000000000003</v>
      </c>
      <c r="J272" s="11" t="s">
        <v>88</v>
      </c>
      <c r="K272" s="11">
        <v>135</v>
      </c>
      <c r="L272" s="11" t="s">
        <v>89</v>
      </c>
      <c r="M272" s="11" t="s">
        <v>1370</v>
      </c>
    </row>
    <row r="273" spans="1:13" x14ac:dyDescent="0.35">
      <c r="A273" s="11">
        <v>11</v>
      </c>
      <c r="B273" s="11" t="s">
        <v>1017</v>
      </c>
      <c r="C273" s="11">
        <v>4</v>
      </c>
      <c r="D273" s="12">
        <v>45023.102083333331</v>
      </c>
      <c r="E273" s="12">
        <v>45023.193055555559</v>
      </c>
      <c r="F273" s="11" t="s">
        <v>72</v>
      </c>
      <c r="G273" s="11" t="s">
        <v>86</v>
      </c>
      <c r="H273" s="11" t="s">
        <v>109</v>
      </c>
      <c r="I273" s="16">
        <v>26.24</v>
      </c>
      <c r="J273" s="11" t="s">
        <v>75</v>
      </c>
      <c r="K273" s="11">
        <v>753</v>
      </c>
      <c r="L273" s="11" t="s">
        <v>101</v>
      </c>
      <c r="M273" s="11" t="s">
        <v>1778</v>
      </c>
    </row>
    <row r="274" spans="1:13" x14ac:dyDescent="0.35">
      <c r="A274" s="11">
        <v>11</v>
      </c>
      <c r="B274" s="11" t="s">
        <v>931</v>
      </c>
      <c r="C274" s="11">
        <v>2</v>
      </c>
      <c r="D274" s="12">
        <v>45020.02847222222</v>
      </c>
      <c r="E274" s="12">
        <v>45020.173611111109</v>
      </c>
      <c r="F274" s="11" t="s">
        <v>100</v>
      </c>
      <c r="G274" s="11" t="s">
        <v>86</v>
      </c>
      <c r="H274" s="11" t="s">
        <v>74</v>
      </c>
      <c r="I274" s="16">
        <v>12.2</v>
      </c>
      <c r="J274" s="11" t="s">
        <v>94</v>
      </c>
      <c r="K274" s="11">
        <v>359</v>
      </c>
      <c r="L274" s="11" t="s">
        <v>76</v>
      </c>
      <c r="M274" s="11" t="s">
        <v>1523</v>
      </c>
    </row>
    <row r="275" spans="1:13" x14ac:dyDescent="0.35">
      <c r="A275" s="13">
        <v>11</v>
      </c>
      <c r="B275" s="13" t="s">
        <v>952</v>
      </c>
      <c r="C275" s="13">
        <v>6</v>
      </c>
      <c r="D275" s="14">
        <v>45018.089583333334</v>
      </c>
      <c r="E275" s="14">
        <v>45018.15</v>
      </c>
      <c r="F275" s="13" t="s">
        <v>223</v>
      </c>
      <c r="G275" s="13" t="s">
        <v>163</v>
      </c>
      <c r="H275" s="13" t="s">
        <v>74</v>
      </c>
      <c r="I275" s="17">
        <v>17.2</v>
      </c>
      <c r="J275" s="13" t="s">
        <v>75</v>
      </c>
      <c r="K275" s="13">
        <v>154</v>
      </c>
      <c r="L275" s="13" t="s">
        <v>187</v>
      </c>
      <c r="M275" s="13" t="s">
        <v>1382</v>
      </c>
    </row>
    <row r="276" spans="1:13" x14ac:dyDescent="0.35">
      <c r="A276" s="13">
        <v>11</v>
      </c>
      <c r="B276" s="13" t="s">
        <v>868</v>
      </c>
      <c r="C276" s="13">
        <v>1</v>
      </c>
      <c r="D276" s="14">
        <v>45017.09097222222</v>
      </c>
      <c r="E276" s="14">
        <v>45017.200694444444</v>
      </c>
      <c r="F276" s="13" t="s">
        <v>100</v>
      </c>
      <c r="G276" s="13" t="s">
        <v>163</v>
      </c>
      <c r="H276" s="13" t="s">
        <v>74</v>
      </c>
      <c r="I276" s="17">
        <v>49.18</v>
      </c>
      <c r="J276" s="13" t="s">
        <v>94</v>
      </c>
      <c r="K276" s="13">
        <v>8</v>
      </c>
      <c r="L276" s="13" t="s">
        <v>221</v>
      </c>
      <c r="M276" s="13" t="s">
        <v>1268</v>
      </c>
    </row>
    <row r="277" spans="1:13" x14ac:dyDescent="0.35">
      <c r="A277" s="13">
        <v>11</v>
      </c>
      <c r="B277" s="13" t="s">
        <v>868</v>
      </c>
      <c r="C277" s="13">
        <v>1</v>
      </c>
      <c r="D277" s="14">
        <v>45023.082638888889</v>
      </c>
      <c r="E277" s="14">
        <v>45023.242361111108</v>
      </c>
      <c r="F277" s="13" t="s">
        <v>223</v>
      </c>
      <c r="G277" s="13" t="s">
        <v>86</v>
      </c>
      <c r="H277" s="13" t="s">
        <v>74</v>
      </c>
      <c r="I277" s="17">
        <v>26.5</v>
      </c>
      <c r="J277" s="13" t="s">
        <v>75</v>
      </c>
      <c r="K277" s="13">
        <v>744</v>
      </c>
      <c r="L277" s="13" t="s">
        <v>181</v>
      </c>
      <c r="M277" s="13" t="s">
        <v>1284</v>
      </c>
    </row>
    <row r="278" spans="1:13" x14ac:dyDescent="0.35">
      <c r="A278" s="13">
        <v>11</v>
      </c>
      <c r="B278" s="13" t="s">
        <v>1076</v>
      </c>
      <c r="C278" s="13">
        <v>1</v>
      </c>
      <c r="D278" s="14">
        <v>45021.022222222222</v>
      </c>
      <c r="E278" s="14">
        <v>45021.15</v>
      </c>
      <c r="F278" s="13" t="s">
        <v>100</v>
      </c>
      <c r="G278" s="13" t="s">
        <v>73</v>
      </c>
      <c r="H278" s="13" t="s">
        <v>87</v>
      </c>
      <c r="I278" s="17">
        <v>34.5</v>
      </c>
      <c r="J278" s="13" t="s">
        <v>75</v>
      </c>
      <c r="K278" s="13">
        <v>396</v>
      </c>
      <c r="L278" s="13" t="s">
        <v>76</v>
      </c>
      <c r="M278" s="13" t="s">
        <v>1542</v>
      </c>
    </row>
    <row r="279" spans="1:13" x14ac:dyDescent="0.35">
      <c r="A279" s="13">
        <v>12</v>
      </c>
      <c r="B279" s="13" t="s">
        <v>1090</v>
      </c>
      <c r="C279" s="13">
        <v>6</v>
      </c>
      <c r="D279" s="14">
        <v>45021.025000000001</v>
      </c>
      <c r="E279" s="14">
        <v>45021.131249999999</v>
      </c>
      <c r="F279" s="13" t="s">
        <v>100</v>
      </c>
      <c r="G279" s="13" t="s">
        <v>86</v>
      </c>
      <c r="H279" s="13" t="s">
        <v>74</v>
      </c>
      <c r="I279" s="17">
        <v>39.72</v>
      </c>
      <c r="J279" s="13" t="s">
        <v>94</v>
      </c>
      <c r="K279" s="13">
        <v>422</v>
      </c>
      <c r="L279" s="13" t="s">
        <v>181</v>
      </c>
      <c r="M279" s="13" t="s">
        <v>1562</v>
      </c>
    </row>
    <row r="280" spans="1:13" x14ac:dyDescent="0.35">
      <c r="A280" s="11">
        <v>12</v>
      </c>
      <c r="B280" s="11" t="s">
        <v>929</v>
      </c>
      <c r="C280" s="11">
        <v>2</v>
      </c>
      <c r="D280" s="12">
        <v>45023.065972222219</v>
      </c>
      <c r="E280" s="12">
        <v>45023.200694444444</v>
      </c>
      <c r="F280" s="11" t="s">
        <v>72</v>
      </c>
      <c r="G280" s="11" t="s">
        <v>163</v>
      </c>
      <c r="H280" s="11" t="s">
        <v>87</v>
      </c>
      <c r="I280" s="16">
        <v>27.79</v>
      </c>
      <c r="J280" s="11" t="s">
        <v>75</v>
      </c>
      <c r="K280" s="11">
        <v>723</v>
      </c>
      <c r="L280" s="11" t="s">
        <v>101</v>
      </c>
      <c r="M280" s="11" t="s">
        <v>1761</v>
      </c>
    </row>
    <row r="281" spans="1:13" x14ac:dyDescent="0.35">
      <c r="A281" s="13">
        <v>12</v>
      </c>
      <c r="B281" s="13" t="s">
        <v>994</v>
      </c>
      <c r="C281" s="13">
        <v>2</v>
      </c>
      <c r="D281" s="14">
        <v>45018.036111111112</v>
      </c>
      <c r="E281" s="14">
        <v>45018.101388888892</v>
      </c>
      <c r="F281" s="13" t="s">
        <v>170</v>
      </c>
      <c r="G281" s="13" t="s">
        <v>86</v>
      </c>
      <c r="H281" s="13" t="s">
        <v>74</v>
      </c>
      <c r="I281" s="17">
        <v>39.81</v>
      </c>
      <c r="J281" s="13" t="s">
        <v>75</v>
      </c>
      <c r="K281" s="13">
        <v>236</v>
      </c>
      <c r="L281" s="13" t="s">
        <v>164</v>
      </c>
      <c r="M281" s="13" t="s">
        <v>1438</v>
      </c>
    </row>
    <row r="282" spans="1:13" x14ac:dyDescent="0.35">
      <c r="A282" s="13">
        <v>12</v>
      </c>
      <c r="B282" s="13" t="s">
        <v>1169</v>
      </c>
      <c r="C282" s="13">
        <v>3</v>
      </c>
      <c r="D282" s="14">
        <v>45022.161111111112</v>
      </c>
      <c r="E282" s="14">
        <v>45022.291666666664</v>
      </c>
      <c r="F282" s="13" t="s">
        <v>100</v>
      </c>
      <c r="G282" s="13" t="s">
        <v>86</v>
      </c>
      <c r="H282" s="13" t="s">
        <v>87</v>
      </c>
      <c r="I282" s="17">
        <v>16.5</v>
      </c>
      <c r="J282" s="13" t="s">
        <v>94</v>
      </c>
      <c r="K282" s="13">
        <v>602</v>
      </c>
      <c r="L282" s="13" t="s">
        <v>181</v>
      </c>
      <c r="M282" s="13" t="s">
        <v>1680</v>
      </c>
    </row>
    <row r="283" spans="1:13" x14ac:dyDescent="0.35">
      <c r="A283" s="11">
        <v>12</v>
      </c>
      <c r="B283" s="11" t="s">
        <v>1025</v>
      </c>
      <c r="C283" s="11">
        <v>2</v>
      </c>
      <c r="D283" s="12">
        <v>45022.064583333333</v>
      </c>
      <c r="E283" s="12">
        <v>45022.226388888892</v>
      </c>
      <c r="F283" s="11" t="s">
        <v>223</v>
      </c>
      <c r="G283" s="11" t="s">
        <v>86</v>
      </c>
      <c r="H283" s="11" t="s">
        <v>74</v>
      </c>
      <c r="I283" s="16">
        <v>35.340000000000003</v>
      </c>
      <c r="J283" s="11" t="s">
        <v>75</v>
      </c>
      <c r="K283" s="11">
        <v>549</v>
      </c>
      <c r="L283" s="11" t="s">
        <v>110</v>
      </c>
      <c r="M283" s="11" t="s">
        <v>1645</v>
      </c>
    </row>
    <row r="284" spans="1:13" x14ac:dyDescent="0.35">
      <c r="A284" s="11">
        <v>12</v>
      </c>
      <c r="B284" s="11" t="s">
        <v>874</v>
      </c>
      <c r="C284" s="11">
        <v>2</v>
      </c>
      <c r="D284" s="12">
        <v>45017.152083333334</v>
      </c>
      <c r="E284" s="12">
        <v>45017.244444444441</v>
      </c>
      <c r="F284" s="11" t="s">
        <v>170</v>
      </c>
      <c r="G284" s="11" t="s">
        <v>86</v>
      </c>
      <c r="H284" s="11" t="s">
        <v>74</v>
      </c>
      <c r="I284" s="16">
        <v>20.53</v>
      </c>
      <c r="J284" s="11" t="s">
        <v>94</v>
      </c>
      <c r="K284" s="11">
        <v>21</v>
      </c>
      <c r="L284" s="11" t="s">
        <v>174</v>
      </c>
      <c r="M284" s="11" t="s">
        <v>1278</v>
      </c>
    </row>
    <row r="285" spans="1:13" x14ac:dyDescent="0.35">
      <c r="A285" s="13">
        <v>12</v>
      </c>
      <c r="B285" s="13" t="s">
        <v>1044</v>
      </c>
      <c r="C285" s="13">
        <v>4</v>
      </c>
      <c r="D285" s="14">
        <v>45020.118750000001</v>
      </c>
      <c r="E285" s="14">
        <v>45020.271527777775</v>
      </c>
      <c r="F285" s="13" t="s">
        <v>223</v>
      </c>
      <c r="G285" s="13" t="s">
        <v>163</v>
      </c>
      <c r="H285" s="13" t="s">
        <v>74</v>
      </c>
      <c r="I285" s="17">
        <v>17.5</v>
      </c>
      <c r="J285" s="13" t="s">
        <v>75</v>
      </c>
      <c r="K285" s="13">
        <v>334</v>
      </c>
      <c r="L285" s="13" t="s">
        <v>164</v>
      </c>
      <c r="M285" s="13" t="s">
        <v>1508</v>
      </c>
    </row>
    <row r="286" spans="1:13" x14ac:dyDescent="0.35">
      <c r="A286" s="11">
        <v>12</v>
      </c>
      <c r="B286" s="11" t="s">
        <v>394</v>
      </c>
      <c r="C286" s="11">
        <v>5</v>
      </c>
      <c r="D286" s="12">
        <v>45017.138194444444</v>
      </c>
      <c r="E286" s="12">
        <v>45017.254861111112</v>
      </c>
      <c r="F286" s="11" t="s">
        <v>100</v>
      </c>
      <c r="G286" s="11" t="s">
        <v>73</v>
      </c>
      <c r="H286" s="11" t="s">
        <v>74</v>
      </c>
      <c r="I286" s="16">
        <v>24.68</v>
      </c>
      <c r="J286" s="11" t="s">
        <v>88</v>
      </c>
      <c r="K286" s="11">
        <v>95</v>
      </c>
      <c r="L286" s="11" t="s">
        <v>181</v>
      </c>
      <c r="M286" s="11" t="s">
        <v>1339</v>
      </c>
    </row>
    <row r="287" spans="1:13" x14ac:dyDescent="0.35">
      <c r="A287" s="11">
        <v>12</v>
      </c>
      <c r="B287" s="11" t="s">
        <v>970</v>
      </c>
      <c r="C287" s="11">
        <v>6</v>
      </c>
      <c r="D287" s="12">
        <v>45018</v>
      </c>
      <c r="E287" s="12">
        <v>45018.10833333333</v>
      </c>
      <c r="F287" s="11" t="s">
        <v>100</v>
      </c>
      <c r="G287" s="11" t="s">
        <v>86</v>
      </c>
      <c r="H287" s="11" t="s">
        <v>74</v>
      </c>
      <c r="I287" s="16">
        <v>24.36</v>
      </c>
      <c r="J287" s="11" t="s">
        <v>88</v>
      </c>
      <c r="K287" s="11">
        <v>191</v>
      </c>
      <c r="L287" s="11" t="s">
        <v>221</v>
      </c>
      <c r="M287" s="11" t="s">
        <v>1407</v>
      </c>
    </row>
    <row r="288" spans="1:13" x14ac:dyDescent="0.35">
      <c r="A288" s="11">
        <v>12</v>
      </c>
      <c r="B288" s="11" t="s">
        <v>922</v>
      </c>
      <c r="C288" s="11">
        <v>6</v>
      </c>
      <c r="D288" s="12">
        <v>45017.154861111114</v>
      </c>
      <c r="E288" s="12">
        <v>45017.268055555556</v>
      </c>
      <c r="F288" s="11" t="s">
        <v>223</v>
      </c>
      <c r="G288" s="11" t="s">
        <v>73</v>
      </c>
      <c r="H288" s="11" t="s">
        <v>109</v>
      </c>
      <c r="I288" s="16">
        <v>46.46</v>
      </c>
      <c r="J288" s="11" t="s">
        <v>88</v>
      </c>
      <c r="K288" s="11">
        <v>115</v>
      </c>
      <c r="L288" s="11" t="s">
        <v>174</v>
      </c>
      <c r="M288" s="11" t="s">
        <v>1356</v>
      </c>
    </row>
    <row r="289" spans="1:13" x14ac:dyDescent="0.35">
      <c r="A289" s="11">
        <v>12</v>
      </c>
      <c r="B289" s="11" t="s">
        <v>725</v>
      </c>
      <c r="C289" s="11">
        <v>5</v>
      </c>
      <c r="D289" s="12">
        <v>45020.124305555553</v>
      </c>
      <c r="E289" s="12">
        <v>45020.191666666666</v>
      </c>
      <c r="F289" s="11" t="s">
        <v>85</v>
      </c>
      <c r="G289" s="11" t="s">
        <v>73</v>
      </c>
      <c r="H289" s="11" t="s">
        <v>74</v>
      </c>
      <c r="I289" s="16">
        <v>15.08</v>
      </c>
      <c r="J289" s="11" t="s">
        <v>94</v>
      </c>
      <c r="K289" s="11">
        <v>327</v>
      </c>
      <c r="L289" s="11" t="s">
        <v>110</v>
      </c>
      <c r="M289" s="11" t="s">
        <v>1504</v>
      </c>
    </row>
    <row r="290" spans="1:13" x14ac:dyDescent="0.35">
      <c r="A290" s="11">
        <v>12</v>
      </c>
      <c r="B290" s="11" t="s">
        <v>682</v>
      </c>
      <c r="C290" s="11">
        <v>3</v>
      </c>
      <c r="D290" s="12">
        <v>45023.074999999997</v>
      </c>
      <c r="E290" s="12">
        <v>45023.120138888888</v>
      </c>
      <c r="F290" s="11" t="s">
        <v>100</v>
      </c>
      <c r="G290" s="11" t="s">
        <v>86</v>
      </c>
      <c r="H290" s="11" t="s">
        <v>74</v>
      </c>
      <c r="I290" s="16">
        <v>43.07</v>
      </c>
      <c r="J290" s="11" t="s">
        <v>75</v>
      </c>
      <c r="K290" s="11">
        <v>705</v>
      </c>
      <c r="L290" s="11" t="s">
        <v>275</v>
      </c>
      <c r="M290" s="11" t="s">
        <v>1473</v>
      </c>
    </row>
    <row r="291" spans="1:13" x14ac:dyDescent="0.35">
      <c r="A291" s="11">
        <v>12</v>
      </c>
      <c r="B291" s="11" t="s">
        <v>1212</v>
      </c>
      <c r="C291" s="11">
        <v>6</v>
      </c>
      <c r="D291" s="12">
        <v>45023.072916666664</v>
      </c>
      <c r="E291" s="12">
        <v>45023.177083333336</v>
      </c>
      <c r="F291" s="11" t="s">
        <v>170</v>
      </c>
      <c r="G291" s="11" t="s">
        <v>86</v>
      </c>
      <c r="H291" s="11" t="s">
        <v>109</v>
      </c>
      <c r="I291" s="16">
        <v>39.909999999999997</v>
      </c>
      <c r="J291" s="11" t="s">
        <v>88</v>
      </c>
      <c r="K291" s="11">
        <v>715</v>
      </c>
      <c r="L291" s="11" t="s">
        <v>76</v>
      </c>
      <c r="M291" s="11" t="s">
        <v>1754</v>
      </c>
    </row>
    <row r="292" spans="1:13" x14ac:dyDescent="0.35">
      <c r="A292" s="13">
        <v>12</v>
      </c>
      <c r="B292" s="13" t="s">
        <v>1009</v>
      </c>
      <c r="C292" s="13">
        <v>4</v>
      </c>
      <c r="D292" s="14">
        <v>45023.071527777778</v>
      </c>
      <c r="E292" s="14">
        <v>45023.195138888892</v>
      </c>
      <c r="F292" s="13" t="s">
        <v>223</v>
      </c>
      <c r="G292" s="13" t="s">
        <v>163</v>
      </c>
      <c r="H292" s="13" t="s">
        <v>74</v>
      </c>
      <c r="I292" s="17">
        <v>18.61</v>
      </c>
      <c r="J292" s="13" t="s">
        <v>94</v>
      </c>
      <c r="K292" s="13">
        <v>668</v>
      </c>
      <c r="L292" s="13" t="s">
        <v>95</v>
      </c>
      <c r="M292" s="13" t="s">
        <v>1723</v>
      </c>
    </row>
    <row r="293" spans="1:13" x14ac:dyDescent="0.35">
      <c r="A293" s="13">
        <v>12</v>
      </c>
      <c r="B293" s="13" t="s">
        <v>918</v>
      </c>
      <c r="C293" s="13">
        <v>1</v>
      </c>
      <c r="D293" s="14">
        <v>45017.077777777777</v>
      </c>
      <c r="E293" s="14">
        <v>45017.203472222223</v>
      </c>
      <c r="F293" s="13" t="s">
        <v>72</v>
      </c>
      <c r="G293" s="13" t="s">
        <v>86</v>
      </c>
      <c r="H293" s="13" t="s">
        <v>74</v>
      </c>
      <c r="I293" s="17">
        <v>28.36</v>
      </c>
      <c r="J293" s="13" t="s">
        <v>88</v>
      </c>
      <c r="K293" s="13">
        <v>94</v>
      </c>
      <c r="L293" s="13" t="s">
        <v>101</v>
      </c>
      <c r="M293" s="13" t="s">
        <v>1338</v>
      </c>
    </row>
    <row r="294" spans="1:13" x14ac:dyDescent="0.35">
      <c r="A294" s="11">
        <v>12</v>
      </c>
      <c r="B294" s="11" t="s">
        <v>1066</v>
      </c>
      <c r="C294" s="11">
        <v>2</v>
      </c>
      <c r="D294" s="12">
        <v>45020.036805555559</v>
      </c>
      <c r="E294" s="12">
        <v>45020.15625</v>
      </c>
      <c r="F294" s="11" t="s">
        <v>170</v>
      </c>
      <c r="G294" s="11" t="s">
        <v>73</v>
      </c>
      <c r="H294" s="11" t="s">
        <v>74</v>
      </c>
      <c r="I294" s="16">
        <v>12.62</v>
      </c>
      <c r="J294" s="11" t="s">
        <v>75</v>
      </c>
      <c r="K294" s="11">
        <v>367</v>
      </c>
      <c r="L294" s="11" t="s">
        <v>101</v>
      </c>
      <c r="M294" s="11" t="s">
        <v>1529</v>
      </c>
    </row>
    <row r="295" spans="1:13" x14ac:dyDescent="0.35">
      <c r="A295" s="13">
        <v>12</v>
      </c>
      <c r="B295" s="13" t="s">
        <v>1038</v>
      </c>
      <c r="C295" s="13">
        <v>1</v>
      </c>
      <c r="D295" s="14">
        <v>45019.15347222222</v>
      </c>
      <c r="E295" s="14">
        <v>45019.240972222222</v>
      </c>
      <c r="F295" s="13" t="s">
        <v>100</v>
      </c>
      <c r="G295" s="13" t="s">
        <v>73</v>
      </c>
      <c r="H295" s="13" t="s">
        <v>74</v>
      </c>
      <c r="I295" s="17">
        <v>24.69</v>
      </c>
      <c r="J295" s="13" t="s">
        <v>88</v>
      </c>
      <c r="K295" s="13">
        <v>322</v>
      </c>
      <c r="L295" s="13" t="s">
        <v>187</v>
      </c>
      <c r="M295" s="13" t="s">
        <v>1499</v>
      </c>
    </row>
    <row r="296" spans="1:13" x14ac:dyDescent="0.35">
      <c r="A296" s="13">
        <v>12</v>
      </c>
      <c r="B296" s="13" t="s">
        <v>960</v>
      </c>
      <c r="C296" s="13">
        <v>2</v>
      </c>
      <c r="D296" s="14">
        <v>45018.109027777777</v>
      </c>
      <c r="E296" s="14">
        <v>45018.226388888892</v>
      </c>
      <c r="F296" s="13" t="s">
        <v>100</v>
      </c>
      <c r="G296" s="13" t="s">
        <v>73</v>
      </c>
      <c r="H296" s="13" t="s">
        <v>74</v>
      </c>
      <c r="I296" s="17">
        <v>25.98</v>
      </c>
      <c r="J296" s="13" t="s">
        <v>75</v>
      </c>
      <c r="K296" s="13">
        <v>170</v>
      </c>
      <c r="L296" s="13" t="s">
        <v>110</v>
      </c>
      <c r="M296" s="13" t="s">
        <v>1393</v>
      </c>
    </row>
    <row r="297" spans="1:13" x14ac:dyDescent="0.35">
      <c r="A297" s="13">
        <v>12</v>
      </c>
      <c r="B297" s="13" t="s">
        <v>926</v>
      </c>
      <c r="C297" s="13">
        <v>6</v>
      </c>
      <c r="D297" s="14">
        <v>45023.058333333334</v>
      </c>
      <c r="E297" s="14">
        <v>45023.160416666666</v>
      </c>
      <c r="F297" s="13" t="s">
        <v>72</v>
      </c>
      <c r="G297" s="13" t="s">
        <v>73</v>
      </c>
      <c r="H297" s="13" t="s">
        <v>74</v>
      </c>
      <c r="I297" s="17">
        <v>29.19</v>
      </c>
      <c r="J297" s="13" t="s">
        <v>94</v>
      </c>
      <c r="K297" s="13">
        <v>672</v>
      </c>
      <c r="L297" s="13" t="s">
        <v>101</v>
      </c>
      <c r="M297" s="13" t="s">
        <v>1727</v>
      </c>
    </row>
    <row r="298" spans="1:13" x14ac:dyDescent="0.35">
      <c r="A298" s="11">
        <v>12</v>
      </c>
      <c r="B298" s="11" t="s">
        <v>1185</v>
      </c>
      <c r="C298" s="11">
        <v>2</v>
      </c>
      <c r="D298" s="12">
        <v>45022.121527777781</v>
      </c>
      <c r="E298" s="12">
        <v>45022.267361111109</v>
      </c>
      <c r="F298" s="11" t="s">
        <v>100</v>
      </c>
      <c r="G298" s="11" t="s">
        <v>86</v>
      </c>
      <c r="H298" s="11" t="s">
        <v>74</v>
      </c>
      <c r="I298" s="16">
        <v>42.79</v>
      </c>
      <c r="J298" s="11" t="s">
        <v>94</v>
      </c>
      <c r="K298" s="11">
        <v>647</v>
      </c>
      <c r="L298" s="11" t="s">
        <v>95</v>
      </c>
      <c r="M298" s="11" t="s">
        <v>1708</v>
      </c>
    </row>
    <row r="299" spans="1:13" x14ac:dyDescent="0.35">
      <c r="A299" s="11">
        <v>12</v>
      </c>
      <c r="B299" s="11" t="s">
        <v>1153</v>
      </c>
      <c r="C299" s="11">
        <v>5</v>
      </c>
      <c r="D299" s="12">
        <v>45022.061111111114</v>
      </c>
      <c r="E299" s="12">
        <v>45022.128472222219</v>
      </c>
      <c r="F299" s="11" t="s">
        <v>223</v>
      </c>
      <c r="G299" s="11" t="s">
        <v>86</v>
      </c>
      <c r="H299" s="11" t="s">
        <v>74</v>
      </c>
      <c r="I299" s="16">
        <v>28.52</v>
      </c>
      <c r="J299" s="11" t="s">
        <v>94</v>
      </c>
      <c r="K299" s="11">
        <v>569</v>
      </c>
      <c r="L299" s="11" t="s">
        <v>95</v>
      </c>
      <c r="M299" s="11" t="s">
        <v>1659</v>
      </c>
    </row>
    <row r="300" spans="1:13" x14ac:dyDescent="0.35">
      <c r="A300" s="13">
        <v>12</v>
      </c>
      <c r="B300" s="13" t="s">
        <v>999</v>
      </c>
      <c r="C300" s="13">
        <v>6</v>
      </c>
      <c r="D300" s="14">
        <v>45018.018055555556</v>
      </c>
      <c r="E300" s="14">
        <v>45018.095833333333</v>
      </c>
      <c r="F300" s="13" t="s">
        <v>100</v>
      </c>
      <c r="G300" s="13" t="s">
        <v>86</v>
      </c>
      <c r="H300" s="13" t="s">
        <v>109</v>
      </c>
      <c r="I300" s="17">
        <v>18.690000000000001</v>
      </c>
      <c r="J300" s="13" t="s">
        <v>88</v>
      </c>
      <c r="K300" s="13">
        <v>248</v>
      </c>
      <c r="L300" s="13" t="s">
        <v>101</v>
      </c>
      <c r="M300" s="13" t="s">
        <v>1446</v>
      </c>
    </row>
    <row r="301" spans="1:13" x14ac:dyDescent="0.35">
      <c r="A301" s="11">
        <v>12</v>
      </c>
      <c r="B301" s="11" t="s">
        <v>890</v>
      </c>
      <c r="C301" s="11">
        <v>1</v>
      </c>
      <c r="D301" s="12">
        <v>45017.070833333331</v>
      </c>
      <c r="E301" s="12">
        <v>45017.126388888886</v>
      </c>
      <c r="F301" s="11" t="s">
        <v>85</v>
      </c>
      <c r="G301" s="11" t="s">
        <v>73</v>
      </c>
      <c r="H301" s="11" t="s">
        <v>74</v>
      </c>
      <c r="I301" s="16">
        <v>37.08</v>
      </c>
      <c r="J301" s="11" t="s">
        <v>94</v>
      </c>
      <c r="K301" s="11">
        <v>51</v>
      </c>
      <c r="L301" s="11" t="s">
        <v>181</v>
      </c>
      <c r="M301" s="11" t="s">
        <v>1303</v>
      </c>
    </row>
    <row r="302" spans="1:13" x14ac:dyDescent="0.35">
      <c r="A302" s="13">
        <v>12</v>
      </c>
      <c r="B302" s="13" t="s">
        <v>1056</v>
      </c>
      <c r="C302" s="13">
        <v>4</v>
      </c>
      <c r="D302" s="14">
        <v>45023.074305555558</v>
      </c>
      <c r="E302" s="14">
        <v>45023.197222222225</v>
      </c>
      <c r="F302" s="13" t="s">
        <v>100</v>
      </c>
      <c r="G302" s="13" t="s">
        <v>73</v>
      </c>
      <c r="H302" s="13" t="s">
        <v>74</v>
      </c>
      <c r="I302" s="17">
        <v>44.73</v>
      </c>
      <c r="J302" s="13" t="s">
        <v>88</v>
      </c>
      <c r="K302" s="13">
        <v>716</v>
      </c>
      <c r="L302" s="13" t="s">
        <v>89</v>
      </c>
      <c r="M302" s="13" t="s">
        <v>1755</v>
      </c>
    </row>
    <row r="303" spans="1:13" x14ac:dyDescent="0.35">
      <c r="A303" s="11">
        <v>12</v>
      </c>
      <c r="B303" s="11" t="s">
        <v>1223</v>
      </c>
      <c r="C303" s="11">
        <v>3</v>
      </c>
      <c r="D303" s="12">
        <v>45023.084027777775</v>
      </c>
      <c r="E303" s="12">
        <v>45023.185416666667</v>
      </c>
      <c r="F303" s="11" t="s">
        <v>100</v>
      </c>
      <c r="G303" s="11" t="s">
        <v>86</v>
      </c>
      <c r="H303" s="11" t="s">
        <v>74</v>
      </c>
      <c r="I303" s="16">
        <v>26.65</v>
      </c>
      <c r="J303" s="11" t="s">
        <v>88</v>
      </c>
      <c r="K303" s="11">
        <v>755</v>
      </c>
      <c r="L303" s="11" t="s">
        <v>89</v>
      </c>
      <c r="M303" s="11" t="s">
        <v>1780</v>
      </c>
    </row>
    <row r="304" spans="1:13" x14ac:dyDescent="0.35">
      <c r="A304" s="13">
        <v>12</v>
      </c>
      <c r="B304" s="13" t="s">
        <v>1217</v>
      </c>
      <c r="C304" s="13">
        <v>3</v>
      </c>
      <c r="D304" s="14">
        <v>45023.136805555558</v>
      </c>
      <c r="E304" s="14">
        <v>45023.300694444442</v>
      </c>
      <c r="F304" s="13" t="s">
        <v>72</v>
      </c>
      <c r="G304" s="13" t="s">
        <v>86</v>
      </c>
      <c r="H304" s="13" t="s">
        <v>74</v>
      </c>
      <c r="I304" s="17">
        <v>43.35</v>
      </c>
      <c r="J304" s="13" t="s">
        <v>94</v>
      </c>
      <c r="K304" s="13">
        <v>732</v>
      </c>
      <c r="L304" s="13" t="s">
        <v>89</v>
      </c>
      <c r="M304" s="13" t="s">
        <v>1765</v>
      </c>
    </row>
    <row r="305" spans="1:13" x14ac:dyDescent="0.35">
      <c r="A305" s="13">
        <v>12</v>
      </c>
      <c r="B305" s="13" t="s">
        <v>1004</v>
      </c>
      <c r="C305" s="13">
        <v>1</v>
      </c>
      <c r="D305" s="14">
        <v>45018.027083333334</v>
      </c>
      <c r="E305" s="14">
        <v>45018.188888888886</v>
      </c>
      <c r="F305" s="13" t="s">
        <v>100</v>
      </c>
      <c r="G305" s="13" t="s">
        <v>163</v>
      </c>
      <c r="H305" s="13" t="s">
        <v>74</v>
      </c>
      <c r="I305" s="17">
        <v>47.99</v>
      </c>
      <c r="J305" s="13" t="s">
        <v>94</v>
      </c>
      <c r="K305" s="13">
        <v>258</v>
      </c>
      <c r="L305" s="13" t="s">
        <v>95</v>
      </c>
      <c r="M305" s="13" t="s">
        <v>1452</v>
      </c>
    </row>
    <row r="306" spans="1:13" x14ac:dyDescent="0.35">
      <c r="A306" s="11">
        <v>12</v>
      </c>
      <c r="B306" s="11" t="s">
        <v>1053</v>
      </c>
      <c r="C306" s="11">
        <v>1</v>
      </c>
      <c r="D306" s="12">
        <v>45020.163888888892</v>
      </c>
      <c r="E306" s="12">
        <v>45020.239583333336</v>
      </c>
      <c r="F306" s="11" t="s">
        <v>85</v>
      </c>
      <c r="G306" s="11" t="s">
        <v>86</v>
      </c>
      <c r="H306" s="11" t="s">
        <v>74</v>
      </c>
      <c r="I306" s="16">
        <v>23.01</v>
      </c>
      <c r="J306" s="11" t="s">
        <v>88</v>
      </c>
      <c r="K306" s="11">
        <v>343</v>
      </c>
      <c r="L306" s="11" t="s">
        <v>76</v>
      </c>
      <c r="M306" s="11" t="s">
        <v>1516</v>
      </c>
    </row>
    <row r="307" spans="1:13" x14ac:dyDescent="0.35">
      <c r="A307" s="11">
        <v>12</v>
      </c>
      <c r="B307" s="11" t="s">
        <v>995</v>
      </c>
      <c r="C307" s="11">
        <v>6</v>
      </c>
      <c r="D307" s="12">
        <v>45018.115277777775</v>
      </c>
      <c r="E307" s="12">
        <v>45018.254861111112</v>
      </c>
      <c r="F307" s="11" t="s">
        <v>72</v>
      </c>
      <c r="G307" s="11" t="s">
        <v>86</v>
      </c>
      <c r="H307" s="11" t="s">
        <v>87</v>
      </c>
      <c r="I307" s="16">
        <v>11.76</v>
      </c>
      <c r="J307" s="11" t="s">
        <v>94</v>
      </c>
      <c r="K307" s="11">
        <v>239</v>
      </c>
      <c r="L307" s="11" t="s">
        <v>89</v>
      </c>
      <c r="M307" s="11" t="s">
        <v>1440</v>
      </c>
    </row>
    <row r="308" spans="1:13" x14ac:dyDescent="0.35">
      <c r="A308" s="11">
        <v>12</v>
      </c>
      <c r="B308" s="11" t="s">
        <v>1001</v>
      </c>
      <c r="C308" s="11">
        <v>6</v>
      </c>
      <c r="D308" s="12">
        <v>45018.055555555555</v>
      </c>
      <c r="E308" s="12">
        <v>45018.183333333334</v>
      </c>
      <c r="F308" s="11" t="s">
        <v>223</v>
      </c>
      <c r="G308" s="11" t="s">
        <v>86</v>
      </c>
      <c r="H308" s="11" t="s">
        <v>74</v>
      </c>
      <c r="I308" s="16">
        <v>13.69</v>
      </c>
      <c r="J308" s="11" t="s">
        <v>88</v>
      </c>
      <c r="K308" s="11">
        <v>251</v>
      </c>
      <c r="L308" s="11" t="s">
        <v>174</v>
      </c>
      <c r="M308" s="11" t="s">
        <v>1448</v>
      </c>
    </row>
    <row r="309" spans="1:13" x14ac:dyDescent="0.35">
      <c r="A309" s="13">
        <v>12</v>
      </c>
      <c r="B309" s="13" t="s">
        <v>1189</v>
      </c>
      <c r="C309" s="13">
        <v>5</v>
      </c>
      <c r="D309" s="14">
        <v>45023.001388888886</v>
      </c>
      <c r="E309" s="14">
        <v>45023.072222222225</v>
      </c>
      <c r="F309" s="13" t="s">
        <v>85</v>
      </c>
      <c r="G309" s="13" t="s">
        <v>73</v>
      </c>
      <c r="H309" s="13" t="s">
        <v>74</v>
      </c>
      <c r="I309" s="17">
        <v>23.98</v>
      </c>
      <c r="J309" s="13" t="s">
        <v>88</v>
      </c>
      <c r="K309" s="13">
        <v>654</v>
      </c>
      <c r="L309" s="13" t="s">
        <v>174</v>
      </c>
      <c r="M309" s="13" t="s">
        <v>1309</v>
      </c>
    </row>
    <row r="310" spans="1:13" x14ac:dyDescent="0.35">
      <c r="A310" s="13">
        <v>12</v>
      </c>
      <c r="B310" s="13" t="s">
        <v>1060</v>
      </c>
      <c r="C310" s="13">
        <v>6</v>
      </c>
      <c r="D310" s="14">
        <v>45020.018055555556</v>
      </c>
      <c r="E310" s="14">
        <v>45020.14166666667</v>
      </c>
      <c r="F310" s="13" t="s">
        <v>85</v>
      </c>
      <c r="G310" s="13" t="s">
        <v>163</v>
      </c>
      <c r="H310" s="13" t="s">
        <v>74</v>
      </c>
      <c r="I310" s="17">
        <v>29.58</v>
      </c>
      <c r="J310" s="13" t="s">
        <v>88</v>
      </c>
      <c r="K310" s="13">
        <v>354</v>
      </c>
      <c r="L310" s="13" t="s">
        <v>221</v>
      </c>
      <c r="M310" s="13" t="s">
        <v>1520</v>
      </c>
    </row>
    <row r="311" spans="1:13" x14ac:dyDescent="0.35">
      <c r="A311" s="13">
        <v>12</v>
      </c>
      <c r="B311" s="13" t="s">
        <v>997</v>
      </c>
      <c r="C311" s="13">
        <v>2</v>
      </c>
      <c r="D311" s="14">
        <v>45018.154166666667</v>
      </c>
      <c r="E311" s="14">
        <v>45018.214583333334</v>
      </c>
      <c r="F311" s="13" t="s">
        <v>100</v>
      </c>
      <c r="G311" s="13" t="s">
        <v>86</v>
      </c>
      <c r="H311" s="13" t="s">
        <v>74</v>
      </c>
      <c r="I311" s="17">
        <v>31.29</v>
      </c>
      <c r="J311" s="13" t="s">
        <v>94</v>
      </c>
      <c r="K311" s="13">
        <v>242</v>
      </c>
      <c r="L311" s="13" t="s">
        <v>275</v>
      </c>
      <c r="M311" s="13" t="s">
        <v>1442</v>
      </c>
    </row>
    <row r="312" spans="1:13" x14ac:dyDescent="0.35">
      <c r="A312" s="13">
        <v>13</v>
      </c>
      <c r="B312" s="13" t="s">
        <v>1067</v>
      </c>
      <c r="C312" s="13">
        <v>1</v>
      </c>
      <c r="D312" s="14">
        <v>45020.14166666667</v>
      </c>
      <c r="E312" s="14">
        <v>45020.231249999997</v>
      </c>
      <c r="F312" s="13" t="s">
        <v>223</v>
      </c>
      <c r="G312" s="13" t="s">
        <v>163</v>
      </c>
      <c r="H312" s="13" t="s">
        <v>109</v>
      </c>
      <c r="I312" s="17">
        <v>37.65</v>
      </c>
      <c r="J312" s="13" t="s">
        <v>88</v>
      </c>
      <c r="K312" s="13">
        <v>368</v>
      </c>
      <c r="L312" s="13" t="s">
        <v>110</v>
      </c>
      <c r="M312" s="13" t="s">
        <v>1530</v>
      </c>
    </row>
    <row r="313" spans="1:13" x14ac:dyDescent="0.35">
      <c r="A313" s="13">
        <v>13</v>
      </c>
      <c r="B313" s="13" t="s">
        <v>597</v>
      </c>
      <c r="C313" s="13">
        <v>1</v>
      </c>
      <c r="D313" s="14">
        <v>45017.023611111108</v>
      </c>
      <c r="E313" s="14">
        <v>45017.072916666664</v>
      </c>
      <c r="F313" s="13" t="s">
        <v>85</v>
      </c>
      <c r="G313" s="13" t="s">
        <v>73</v>
      </c>
      <c r="H313" s="13" t="s">
        <v>109</v>
      </c>
      <c r="I313" s="17">
        <v>49.32</v>
      </c>
      <c r="J313" s="13" t="s">
        <v>75</v>
      </c>
      <c r="K313" s="13">
        <v>118</v>
      </c>
      <c r="L313" s="13" t="s">
        <v>95</v>
      </c>
      <c r="M313" s="13" t="s">
        <v>1358</v>
      </c>
    </row>
    <row r="314" spans="1:13" x14ac:dyDescent="0.35">
      <c r="A314" s="11">
        <v>13</v>
      </c>
      <c r="B314" s="11" t="s">
        <v>795</v>
      </c>
      <c r="C314" s="11">
        <v>6</v>
      </c>
      <c r="D314" s="12">
        <v>45021.044444444444</v>
      </c>
      <c r="E314" s="12">
        <v>45021.140972222223</v>
      </c>
      <c r="F314" s="11" t="s">
        <v>100</v>
      </c>
      <c r="G314" s="11" t="s">
        <v>86</v>
      </c>
      <c r="H314" s="11" t="s">
        <v>87</v>
      </c>
      <c r="I314" s="16">
        <v>23.31</v>
      </c>
      <c r="J314" s="11" t="s">
        <v>88</v>
      </c>
      <c r="K314" s="11">
        <v>441</v>
      </c>
      <c r="L314" s="11" t="s">
        <v>181</v>
      </c>
      <c r="M314" s="11" t="s">
        <v>1283</v>
      </c>
    </row>
    <row r="315" spans="1:13" x14ac:dyDescent="0.35">
      <c r="A315" s="11">
        <v>13</v>
      </c>
      <c r="B315" s="11" t="s">
        <v>1075</v>
      </c>
      <c r="C315" s="11">
        <v>3</v>
      </c>
      <c r="D315" s="12">
        <v>45021.106249999997</v>
      </c>
      <c r="E315" s="12">
        <v>45021.220138888886</v>
      </c>
      <c r="F315" s="11" t="s">
        <v>72</v>
      </c>
      <c r="G315" s="11" t="s">
        <v>86</v>
      </c>
      <c r="H315" s="11" t="s">
        <v>74</v>
      </c>
      <c r="I315" s="16">
        <v>12.54</v>
      </c>
      <c r="J315" s="11" t="s">
        <v>88</v>
      </c>
      <c r="K315" s="11">
        <v>393</v>
      </c>
      <c r="L315" s="11" t="s">
        <v>110</v>
      </c>
      <c r="M315" s="11" t="s">
        <v>1541</v>
      </c>
    </row>
    <row r="316" spans="1:13" x14ac:dyDescent="0.35">
      <c r="A316" s="11">
        <v>13</v>
      </c>
      <c r="B316" s="11" t="s">
        <v>1188</v>
      </c>
      <c r="C316" s="11">
        <v>5</v>
      </c>
      <c r="D316" s="12">
        <v>45023.104861111111</v>
      </c>
      <c r="E316" s="12">
        <v>45023.180555555555</v>
      </c>
      <c r="F316" s="11" t="s">
        <v>223</v>
      </c>
      <c r="G316" s="11" t="s">
        <v>86</v>
      </c>
      <c r="H316" s="11" t="s">
        <v>74</v>
      </c>
      <c r="I316" s="16">
        <v>34.33</v>
      </c>
      <c r="J316" s="11" t="s">
        <v>75</v>
      </c>
      <c r="K316" s="11">
        <v>653</v>
      </c>
      <c r="L316" s="11" t="s">
        <v>275</v>
      </c>
      <c r="M316" s="11" t="s">
        <v>1713</v>
      </c>
    </row>
    <row r="317" spans="1:13" x14ac:dyDescent="0.35">
      <c r="A317" s="13">
        <v>13</v>
      </c>
      <c r="B317" s="13" t="s">
        <v>1104</v>
      </c>
      <c r="C317" s="13">
        <v>6</v>
      </c>
      <c r="D317" s="14">
        <v>45021.091666666667</v>
      </c>
      <c r="E317" s="14">
        <v>45021.21875</v>
      </c>
      <c r="F317" s="13" t="s">
        <v>72</v>
      </c>
      <c r="G317" s="13" t="s">
        <v>86</v>
      </c>
      <c r="H317" s="13" t="s">
        <v>74</v>
      </c>
      <c r="I317" s="17">
        <v>21.94</v>
      </c>
      <c r="J317" s="13" t="s">
        <v>75</v>
      </c>
      <c r="K317" s="13">
        <v>456</v>
      </c>
      <c r="L317" s="13" t="s">
        <v>164</v>
      </c>
      <c r="M317" s="13" t="s">
        <v>1583</v>
      </c>
    </row>
    <row r="318" spans="1:13" x14ac:dyDescent="0.35">
      <c r="A318" s="11">
        <v>13</v>
      </c>
      <c r="B318" s="11" t="s">
        <v>1171</v>
      </c>
      <c r="C318" s="11">
        <v>1</v>
      </c>
      <c r="D318" s="12">
        <v>45022.163194444445</v>
      </c>
      <c r="E318" s="12">
        <v>45022.321527777778</v>
      </c>
      <c r="F318" s="11" t="s">
        <v>223</v>
      </c>
      <c r="G318" s="11" t="s">
        <v>86</v>
      </c>
      <c r="H318" s="11" t="s">
        <v>74</v>
      </c>
      <c r="I318" s="16">
        <v>44.28</v>
      </c>
      <c r="J318" s="11" t="s">
        <v>88</v>
      </c>
      <c r="K318" s="11">
        <v>611</v>
      </c>
      <c r="L318" s="11" t="s">
        <v>89</v>
      </c>
      <c r="M318" s="11" t="s">
        <v>1684</v>
      </c>
    </row>
    <row r="319" spans="1:13" x14ac:dyDescent="0.35">
      <c r="A319" s="11">
        <v>13</v>
      </c>
      <c r="B319" s="11" t="s">
        <v>881</v>
      </c>
      <c r="C319" s="11">
        <v>3</v>
      </c>
      <c r="D319" s="12">
        <v>45017.118750000001</v>
      </c>
      <c r="E319" s="12">
        <v>45017.251388888886</v>
      </c>
      <c r="F319" s="11" t="s">
        <v>100</v>
      </c>
      <c r="G319" s="11" t="s">
        <v>163</v>
      </c>
      <c r="H319" s="11" t="s">
        <v>74</v>
      </c>
      <c r="I319" s="16">
        <v>19.809999999999999</v>
      </c>
      <c r="J319" s="11" t="s">
        <v>88</v>
      </c>
      <c r="K319" s="11">
        <v>31</v>
      </c>
      <c r="L319" s="11" t="s">
        <v>164</v>
      </c>
      <c r="M319" s="11" t="s">
        <v>1287</v>
      </c>
    </row>
    <row r="320" spans="1:13" x14ac:dyDescent="0.35">
      <c r="A320" s="11">
        <v>13</v>
      </c>
      <c r="B320" s="11" t="s">
        <v>566</v>
      </c>
      <c r="C320" s="11">
        <v>5</v>
      </c>
      <c r="D320" s="12">
        <v>45022.055555555555</v>
      </c>
      <c r="E320" s="12">
        <v>45022.220138888886</v>
      </c>
      <c r="F320" s="11" t="s">
        <v>100</v>
      </c>
      <c r="G320" s="11" t="s">
        <v>86</v>
      </c>
      <c r="H320" s="11" t="s">
        <v>74</v>
      </c>
      <c r="I320" s="16">
        <v>38.18</v>
      </c>
      <c r="J320" s="11" t="s">
        <v>75</v>
      </c>
      <c r="K320" s="11">
        <v>617</v>
      </c>
      <c r="L320" s="11" t="s">
        <v>174</v>
      </c>
      <c r="M320" s="11" t="s">
        <v>1489</v>
      </c>
    </row>
    <row r="321" spans="1:13" x14ac:dyDescent="0.35">
      <c r="A321" s="11">
        <v>13</v>
      </c>
      <c r="B321" s="11" t="s">
        <v>981</v>
      </c>
      <c r="C321" s="11">
        <v>6</v>
      </c>
      <c r="D321" s="12">
        <v>45018.073611111111</v>
      </c>
      <c r="E321" s="12">
        <v>45018.206944444442</v>
      </c>
      <c r="F321" s="11" t="s">
        <v>85</v>
      </c>
      <c r="G321" s="11" t="s">
        <v>86</v>
      </c>
      <c r="H321" s="11" t="s">
        <v>74</v>
      </c>
      <c r="I321" s="16">
        <v>28.1</v>
      </c>
      <c r="J321" s="11" t="s">
        <v>75</v>
      </c>
      <c r="K321" s="11">
        <v>213</v>
      </c>
      <c r="L321" s="11" t="s">
        <v>76</v>
      </c>
      <c r="M321" s="11" t="s">
        <v>1423</v>
      </c>
    </row>
    <row r="322" spans="1:13" x14ac:dyDescent="0.35">
      <c r="A322" s="13">
        <v>13</v>
      </c>
      <c r="B322" s="13" t="s">
        <v>1091</v>
      </c>
      <c r="C322" s="13">
        <v>3</v>
      </c>
      <c r="D322" s="14">
        <v>45021.047222222223</v>
      </c>
      <c r="E322" s="14">
        <v>45021.136805555558</v>
      </c>
      <c r="F322" s="13" t="s">
        <v>100</v>
      </c>
      <c r="G322" s="13" t="s">
        <v>73</v>
      </c>
      <c r="H322" s="13" t="s">
        <v>87</v>
      </c>
      <c r="I322" s="17">
        <v>11.02</v>
      </c>
      <c r="J322" s="13" t="s">
        <v>94</v>
      </c>
      <c r="K322" s="13">
        <v>424</v>
      </c>
      <c r="L322" s="13" t="s">
        <v>110</v>
      </c>
      <c r="M322" s="13" t="s">
        <v>1564</v>
      </c>
    </row>
    <row r="323" spans="1:13" x14ac:dyDescent="0.35">
      <c r="A323" s="11">
        <v>13</v>
      </c>
      <c r="B323" s="11" t="s">
        <v>924</v>
      </c>
      <c r="C323" s="11">
        <v>3</v>
      </c>
      <c r="D323" s="12">
        <v>45017.070833333331</v>
      </c>
      <c r="E323" s="12">
        <v>45017.215277777781</v>
      </c>
      <c r="F323" s="11" t="s">
        <v>72</v>
      </c>
      <c r="G323" s="11" t="s">
        <v>86</v>
      </c>
      <c r="H323" s="11" t="s">
        <v>109</v>
      </c>
      <c r="I323" s="16">
        <v>26.75</v>
      </c>
      <c r="J323" s="11" t="s">
        <v>94</v>
      </c>
      <c r="K323" s="11">
        <v>103</v>
      </c>
      <c r="L323" s="11" t="s">
        <v>89</v>
      </c>
      <c r="M323" s="11" t="s">
        <v>1347</v>
      </c>
    </row>
    <row r="324" spans="1:13" x14ac:dyDescent="0.35">
      <c r="A324" s="11">
        <v>13</v>
      </c>
      <c r="B324" s="11" t="s">
        <v>1086</v>
      </c>
      <c r="C324" s="11">
        <v>1</v>
      </c>
      <c r="D324" s="12">
        <v>45022.03125</v>
      </c>
      <c r="E324" s="12">
        <v>45022.131944444445</v>
      </c>
      <c r="F324" s="11" t="s">
        <v>170</v>
      </c>
      <c r="G324" s="11" t="s">
        <v>86</v>
      </c>
      <c r="H324" s="11" t="s">
        <v>87</v>
      </c>
      <c r="I324" s="16">
        <v>22.05</v>
      </c>
      <c r="J324" s="11" t="s">
        <v>75</v>
      </c>
      <c r="K324" s="11">
        <v>623</v>
      </c>
      <c r="L324" s="11" t="s">
        <v>174</v>
      </c>
      <c r="M324" s="11" t="s">
        <v>1691</v>
      </c>
    </row>
    <row r="325" spans="1:13" x14ac:dyDescent="0.35">
      <c r="A325" s="13">
        <v>13</v>
      </c>
      <c r="B325" s="13" t="s">
        <v>1117</v>
      </c>
      <c r="C325" s="13">
        <v>2</v>
      </c>
      <c r="D325" s="14">
        <v>45022.002083333333</v>
      </c>
      <c r="E325" s="14">
        <v>45022.074305555558</v>
      </c>
      <c r="F325" s="13" t="s">
        <v>170</v>
      </c>
      <c r="G325" s="13" t="s">
        <v>163</v>
      </c>
      <c r="H325" s="13" t="s">
        <v>109</v>
      </c>
      <c r="I325" s="17">
        <v>43.53</v>
      </c>
      <c r="J325" s="13" t="s">
        <v>88</v>
      </c>
      <c r="K325" s="13">
        <v>476</v>
      </c>
      <c r="L325" s="13" t="s">
        <v>221</v>
      </c>
      <c r="M325" s="13" t="s">
        <v>1598</v>
      </c>
    </row>
    <row r="326" spans="1:13" x14ac:dyDescent="0.35">
      <c r="A326" s="13">
        <v>13</v>
      </c>
      <c r="B326" s="13" t="s">
        <v>1215</v>
      </c>
      <c r="C326" s="13">
        <v>5</v>
      </c>
      <c r="D326" s="14">
        <v>45023.118750000001</v>
      </c>
      <c r="E326" s="14">
        <v>45023.172222222223</v>
      </c>
      <c r="F326" s="13" t="s">
        <v>100</v>
      </c>
      <c r="G326" s="13" t="s">
        <v>86</v>
      </c>
      <c r="H326" s="13" t="s">
        <v>74</v>
      </c>
      <c r="I326" s="17">
        <v>20.62</v>
      </c>
      <c r="J326" s="13" t="s">
        <v>75</v>
      </c>
      <c r="K326" s="13">
        <v>722</v>
      </c>
      <c r="L326" s="13" t="s">
        <v>187</v>
      </c>
      <c r="M326" s="13" t="s">
        <v>1760</v>
      </c>
    </row>
    <row r="327" spans="1:13" x14ac:dyDescent="0.35">
      <c r="A327" s="13">
        <v>13</v>
      </c>
      <c r="B327" s="13" t="s">
        <v>486</v>
      </c>
      <c r="C327" s="13">
        <v>6</v>
      </c>
      <c r="D327" s="14">
        <v>45018.027777777781</v>
      </c>
      <c r="E327" s="14">
        <v>45018.176388888889</v>
      </c>
      <c r="F327" s="13" t="s">
        <v>223</v>
      </c>
      <c r="G327" s="13" t="s">
        <v>86</v>
      </c>
      <c r="H327" s="13" t="s">
        <v>74</v>
      </c>
      <c r="I327" s="17">
        <v>17.55</v>
      </c>
      <c r="J327" s="13" t="s">
        <v>94</v>
      </c>
      <c r="K327" s="13">
        <v>186</v>
      </c>
      <c r="L327" s="13" t="s">
        <v>110</v>
      </c>
      <c r="M327" s="13" t="s">
        <v>1403</v>
      </c>
    </row>
    <row r="328" spans="1:13" x14ac:dyDescent="0.35">
      <c r="A328" s="13">
        <v>13</v>
      </c>
      <c r="B328" s="13" t="s">
        <v>1208</v>
      </c>
      <c r="C328" s="13">
        <v>2</v>
      </c>
      <c r="D328" s="14">
        <v>45023.104166666664</v>
      </c>
      <c r="E328" s="14">
        <v>45023.21875</v>
      </c>
      <c r="F328" s="13" t="s">
        <v>170</v>
      </c>
      <c r="G328" s="13" t="s">
        <v>73</v>
      </c>
      <c r="H328" s="13" t="s">
        <v>74</v>
      </c>
      <c r="I328" s="17">
        <v>47.07</v>
      </c>
      <c r="J328" s="13" t="s">
        <v>75</v>
      </c>
      <c r="K328" s="13">
        <v>702</v>
      </c>
      <c r="L328" s="13" t="s">
        <v>89</v>
      </c>
      <c r="M328" s="13" t="s">
        <v>1748</v>
      </c>
    </row>
    <row r="329" spans="1:13" x14ac:dyDescent="0.35">
      <c r="A329" s="11">
        <v>13</v>
      </c>
      <c r="B329" s="11" t="s">
        <v>954</v>
      </c>
      <c r="C329" s="11">
        <v>5</v>
      </c>
      <c r="D329" s="12">
        <v>45018.140277777777</v>
      </c>
      <c r="E329" s="12">
        <v>45018.260416666664</v>
      </c>
      <c r="F329" s="11" t="s">
        <v>170</v>
      </c>
      <c r="G329" s="11" t="s">
        <v>163</v>
      </c>
      <c r="H329" s="11" t="s">
        <v>74</v>
      </c>
      <c r="I329" s="16">
        <v>28.48</v>
      </c>
      <c r="J329" s="11" t="s">
        <v>88</v>
      </c>
      <c r="K329" s="11">
        <v>157</v>
      </c>
      <c r="L329" s="11" t="s">
        <v>76</v>
      </c>
      <c r="M329" s="11" t="s">
        <v>1384</v>
      </c>
    </row>
    <row r="330" spans="1:13" x14ac:dyDescent="0.35">
      <c r="A330" s="11">
        <v>13</v>
      </c>
      <c r="B330" s="11" t="s">
        <v>1049</v>
      </c>
      <c r="C330" s="11">
        <v>2</v>
      </c>
      <c r="D330" s="12">
        <v>45020</v>
      </c>
      <c r="E330" s="12">
        <v>45020.084027777775</v>
      </c>
      <c r="F330" s="11" t="s">
        <v>170</v>
      </c>
      <c r="G330" s="11" t="s">
        <v>163</v>
      </c>
      <c r="H330" s="11" t="s">
        <v>109</v>
      </c>
      <c r="I330" s="16">
        <v>19.600000000000001</v>
      </c>
      <c r="J330" s="11" t="s">
        <v>94</v>
      </c>
      <c r="K330" s="11">
        <v>339</v>
      </c>
      <c r="L330" s="11" t="s">
        <v>76</v>
      </c>
      <c r="M330" s="11" t="s">
        <v>1513</v>
      </c>
    </row>
    <row r="331" spans="1:13" x14ac:dyDescent="0.35">
      <c r="A331" s="13">
        <v>13</v>
      </c>
      <c r="B331" s="13" t="s">
        <v>892</v>
      </c>
      <c r="C331" s="13">
        <v>3</v>
      </c>
      <c r="D331" s="14">
        <v>45022.074999999997</v>
      </c>
      <c r="E331" s="14">
        <v>45022.226388888892</v>
      </c>
      <c r="F331" s="13" t="s">
        <v>170</v>
      </c>
      <c r="G331" s="13" t="s">
        <v>163</v>
      </c>
      <c r="H331" s="13" t="s">
        <v>109</v>
      </c>
      <c r="I331" s="17">
        <v>17.95</v>
      </c>
      <c r="J331" s="13" t="s">
        <v>94</v>
      </c>
      <c r="K331" s="13">
        <v>532</v>
      </c>
      <c r="L331" s="13" t="s">
        <v>164</v>
      </c>
      <c r="M331" s="13" t="s">
        <v>1631</v>
      </c>
    </row>
    <row r="332" spans="1:13" x14ac:dyDescent="0.35">
      <c r="A332" s="11">
        <v>13</v>
      </c>
      <c r="B332" s="11" t="s">
        <v>1056</v>
      </c>
      <c r="C332" s="11">
        <v>1</v>
      </c>
      <c r="D332" s="12">
        <v>45020.158333333333</v>
      </c>
      <c r="E332" s="12">
        <v>45020.313194444447</v>
      </c>
      <c r="F332" s="11" t="s">
        <v>85</v>
      </c>
      <c r="G332" s="11" t="s">
        <v>163</v>
      </c>
      <c r="H332" s="11" t="s">
        <v>74</v>
      </c>
      <c r="I332" s="16">
        <v>40.630000000000003</v>
      </c>
      <c r="J332" s="11" t="s">
        <v>88</v>
      </c>
      <c r="K332" s="11">
        <v>349</v>
      </c>
      <c r="L332" s="11" t="s">
        <v>89</v>
      </c>
      <c r="M332" s="11" t="s">
        <v>1518</v>
      </c>
    </row>
    <row r="333" spans="1:13" x14ac:dyDescent="0.35">
      <c r="A333" s="11">
        <v>13</v>
      </c>
      <c r="B333" s="11" t="s">
        <v>1115</v>
      </c>
      <c r="C333" s="11">
        <v>4</v>
      </c>
      <c r="D333" s="12">
        <v>45022.15</v>
      </c>
      <c r="E333" s="12">
        <v>45022.294444444444</v>
      </c>
      <c r="F333" s="11" t="s">
        <v>100</v>
      </c>
      <c r="G333" s="11" t="s">
        <v>86</v>
      </c>
      <c r="H333" s="11" t="s">
        <v>109</v>
      </c>
      <c r="I333" s="16">
        <v>15.63</v>
      </c>
      <c r="J333" s="11" t="s">
        <v>88</v>
      </c>
      <c r="K333" s="11">
        <v>473</v>
      </c>
      <c r="L333" s="11" t="s">
        <v>221</v>
      </c>
      <c r="M333" s="11" t="s">
        <v>1595</v>
      </c>
    </row>
    <row r="334" spans="1:13" x14ac:dyDescent="0.35">
      <c r="A334" s="13">
        <v>13</v>
      </c>
      <c r="B334" s="13" t="s">
        <v>985</v>
      </c>
      <c r="C334" s="13">
        <v>3</v>
      </c>
      <c r="D334" s="14">
        <v>45018.018750000003</v>
      </c>
      <c r="E334" s="14">
        <v>45018.15347222222</v>
      </c>
      <c r="F334" s="13" t="s">
        <v>85</v>
      </c>
      <c r="G334" s="13" t="s">
        <v>86</v>
      </c>
      <c r="H334" s="13" t="s">
        <v>74</v>
      </c>
      <c r="I334" s="17">
        <v>23.34</v>
      </c>
      <c r="J334" s="13" t="s">
        <v>88</v>
      </c>
      <c r="K334" s="13">
        <v>218</v>
      </c>
      <c r="L334" s="13" t="s">
        <v>164</v>
      </c>
      <c r="M334" s="13" t="s">
        <v>1427</v>
      </c>
    </row>
    <row r="335" spans="1:13" x14ac:dyDescent="0.35">
      <c r="A335" s="11">
        <v>13</v>
      </c>
      <c r="B335" s="11" t="s">
        <v>902</v>
      </c>
      <c r="C335" s="11">
        <v>6</v>
      </c>
      <c r="D335" s="12">
        <v>45022.145833333336</v>
      </c>
      <c r="E335" s="12">
        <v>45022.290277777778</v>
      </c>
      <c r="F335" s="11" t="s">
        <v>170</v>
      </c>
      <c r="G335" s="11" t="s">
        <v>86</v>
      </c>
      <c r="H335" s="11" t="s">
        <v>109</v>
      </c>
      <c r="I335" s="16">
        <v>29.93</v>
      </c>
      <c r="J335" s="11" t="s">
        <v>94</v>
      </c>
      <c r="K335" s="11">
        <v>497</v>
      </c>
      <c r="L335" s="11" t="s">
        <v>164</v>
      </c>
      <c r="M335" s="11" t="s">
        <v>1612</v>
      </c>
    </row>
    <row r="336" spans="1:13" x14ac:dyDescent="0.35">
      <c r="A336" s="11">
        <v>13</v>
      </c>
      <c r="B336" s="11" t="s">
        <v>1042</v>
      </c>
      <c r="C336" s="11">
        <v>1</v>
      </c>
      <c r="D336" s="12">
        <v>45020.018055555556</v>
      </c>
      <c r="E336" s="12">
        <v>45020.111805555556</v>
      </c>
      <c r="F336" s="11" t="s">
        <v>100</v>
      </c>
      <c r="G336" s="11" t="s">
        <v>86</v>
      </c>
      <c r="H336" s="11" t="s">
        <v>74</v>
      </c>
      <c r="I336" s="16">
        <v>38.89</v>
      </c>
      <c r="J336" s="11" t="s">
        <v>88</v>
      </c>
      <c r="K336" s="11">
        <v>329</v>
      </c>
      <c r="L336" s="11" t="s">
        <v>95</v>
      </c>
      <c r="M336" s="11" t="s">
        <v>1505</v>
      </c>
    </row>
    <row r="337" spans="1:13" x14ac:dyDescent="0.35">
      <c r="A337" s="13">
        <v>13</v>
      </c>
      <c r="B337" s="13" t="s">
        <v>1017</v>
      </c>
      <c r="C337" s="13">
        <v>5</v>
      </c>
      <c r="D337" s="14">
        <v>45020.109027777777</v>
      </c>
      <c r="E337" s="14">
        <v>45020.247916666667</v>
      </c>
      <c r="F337" s="13" t="s">
        <v>85</v>
      </c>
      <c r="G337" s="13" t="s">
        <v>73</v>
      </c>
      <c r="H337" s="13" t="s">
        <v>74</v>
      </c>
      <c r="I337" s="17">
        <v>42.1</v>
      </c>
      <c r="J337" s="13" t="s">
        <v>94</v>
      </c>
      <c r="K337" s="13">
        <v>358</v>
      </c>
      <c r="L337" s="13" t="s">
        <v>174</v>
      </c>
      <c r="M337" s="13" t="s">
        <v>1522</v>
      </c>
    </row>
    <row r="338" spans="1:13" x14ac:dyDescent="0.35">
      <c r="A338" s="11">
        <v>13</v>
      </c>
      <c r="B338" s="11" t="s">
        <v>883</v>
      </c>
      <c r="C338" s="11">
        <v>2</v>
      </c>
      <c r="D338" s="12">
        <v>45017.137499999997</v>
      </c>
      <c r="E338" s="12">
        <v>45017.246527777781</v>
      </c>
      <c r="F338" s="11" t="s">
        <v>170</v>
      </c>
      <c r="G338" s="11" t="s">
        <v>86</v>
      </c>
      <c r="H338" s="11" t="s">
        <v>74</v>
      </c>
      <c r="I338" s="16">
        <v>15.75</v>
      </c>
      <c r="J338" s="11" t="s">
        <v>88</v>
      </c>
      <c r="K338" s="11">
        <v>35</v>
      </c>
      <c r="L338" s="11" t="s">
        <v>76</v>
      </c>
      <c r="M338" s="11" t="s">
        <v>1291</v>
      </c>
    </row>
    <row r="339" spans="1:13" x14ac:dyDescent="0.35">
      <c r="A339" s="11">
        <v>13</v>
      </c>
      <c r="B339" s="11" t="s">
        <v>667</v>
      </c>
      <c r="C339" s="11">
        <v>1</v>
      </c>
      <c r="D339" s="12">
        <v>45022.113194444442</v>
      </c>
      <c r="E339" s="12">
        <v>45022.260416666664</v>
      </c>
      <c r="F339" s="11" t="s">
        <v>72</v>
      </c>
      <c r="G339" s="11" t="s">
        <v>73</v>
      </c>
      <c r="H339" s="11" t="s">
        <v>74</v>
      </c>
      <c r="I339" s="16">
        <v>16.809999999999999</v>
      </c>
      <c r="J339" s="11" t="s">
        <v>75</v>
      </c>
      <c r="K339" s="11">
        <v>601</v>
      </c>
      <c r="L339" s="11" t="s">
        <v>76</v>
      </c>
      <c r="M339" s="11" t="s">
        <v>1679</v>
      </c>
    </row>
    <row r="340" spans="1:13" x14ac:dyDescent="0.35">
      <c r="A340" s="13">
        <v>13</v>
      </c>
      <c r="B340" s="13" t="s">
        <v>1098</v>
      </c>
      <c r="C340" s="13">
        <v>1</v>
      </c>
      <c r="D340" s="14">
        <v>45021.082638888889</v>
      </c>
      <c r="E340" s="14">
        <v>45021.241666666669</v>
      </c>
      <c r="F340" s="13" t="s">
        <v>100</v>
      </c>
      <c r="G340" s="13" t="s">
        <v>86</v>
      </c>
      <c r="H340" s="13" t="s">
        <v>74</v>
      </c>
      <c r="I340" s="17">
        <v>38.85</v>
      </c>
      <c r="J340" s="13" t="s">
        <v>88</v>
      </c>
      <c r="K340" s="13">
        <v>440</v>
      </c>
      <c r="L340" s="13" t="s">
        <v>164</v>
      </c>
      <c r="M340" s="13" t="s">
        <v>1573</v>
      </c>
    </row>
    <row r="341" spans="1:13" x14ac:dyDescent="0.35">
      <c r="A341" s="13">
        <v>13</v>
      </c>
      <c r="B341" s="13" t="s">
        <v>800</v>
      </c>
      <c r="C341" s="13">
        <v>2</v>
      </c>
      <c r="D341" s="14">
        <v>45023.131944444445</v>
      </c>
      <c r="E341" s="14">
        <v>45023.268750000003</v>
      </c>
      <c r="F341" s="13" t="s">
        <v>223</v>
      </c>
      <c r="G341" s="13" t="s">
        <v>86</v>
      </c>
      <c r="H341" s="13" t="s">
        <v>74</v>
      </c>
      <c r="I341" s="17">
        <v>44.9</v>
      </c>
      <c r="J341" s="13" t="s">
        <v>88</v>
      </c>
      <c r="K341" s="13">
        <v>746</v>
      </c>
      <c r="L341" s="13" t="s">
        <v>101</v>
      </c>
      <c r="M341" s="13" t="s">
        <v>1592</v>
      </c>
    </row>
    <row r="342" spans="1:13" x14ac:dyDescent="0.35">
      <c r="A342" s="11">
        <v>14</v>
      </c>
      <c r="B342" s="11" t="s">
        <v>1204</v>
      </c>
      <c r="C342" s="11">
        <v>1</v>
      </c>
      <c r="D342" s="12">
        <v>45023.025000000001</v>
      </c>
      <c r="E342" s="12">
        <v>45023.098611111112</v>
      </c>
      <c r="F342" s="11" t="s">
        <v>223</v>
      </c>
      <c r="G342" s="11" t="s">
        <v>86</v>
      </c>
      <c r="H342" s="11" t="s">
        <v>74</v>
      </c>
      <c r="I342" s="16">
        <v>10.25</v>
      </c>
      <c r="J342" s="11" t="s">
        <v>88</v>
      </c>
      <c r="K342" s="11">
        <v>689</v>
      </c>
      <c r="L342" s="11" t="s">
        <v>221</v>
      </c>
      <c r="M342" s="11" t="s">
        <v>1740</v>
      </c>
    </row>
    <row r="343" spans="1:13" x14ac:dyDescent="0.35">
      <c r="A343" s="11">
        <v>14</v>
      </c>
      <c r="B343" s="11" t="s">
        <v>1075</v>
      </c>
      <c r="C343" s="11">
        <v>4</v>
      </c>
      <c r="D343" s="12">
        <v>45023.020138888889</v>
      </c>
      <c r="E343" s="12">
        <v>45023.182638888888</v>
      </c>
      <c r="F343" s="11" t="s">
        <v>100</v>
      </c>
      <c r="G343" s="11" t="s">
        <v>86</v>
      </c>
      <c r="H343" s="11" t="s">
        <v>109</v>
      </c>
      <c r="I343" s="16">
        <v>40.31</v>
      </c>
      <c r="J343" s="11" t="s">
        <v>88</v>
      </c>
      <c r="K343" s="11">
        <v>741</v>
      </c>
      <c r="L343" s="11" t="s">
        <v>174</v>
      </c>
      <c r="M343" s="11" t="s">
        <v>1772</v>
      </c>
    </row>
    <row r="344" spans="1:13" x14ac:dyDescent="0.35">
      <c r="A344" s="11">
        <v>14</v>
      </c>
      <c r="B344" s="11" t="s">
        <v>871</v>
      </c>
      <c r="C344" s="11">
        <v>6</v>
      </c>
      <c r="D344" s="12">
        <v>45017.006249999999</v>
      </c>
      <c r="E344" s="12">
        <v>45017.143750000003</v>
      </c>
      <c r="F344" s="11" t="s">
        <v>100</v>
      </c>
      <c r="G344" s="11" t="s">
        <v>163</v>
      </c>
      <c r="H344" s="11" t="s">
        <v>74</v>
      </c>
      <c r="I344" s="16">
        <v>12.17</v>
      </c>
      <c r="J344" s="11" t="s">
        <v>75</v>
      </c>
      <c r="K344" s="11">
        <v>17</v>
      </c>
      <c r="L344" s="11" t="s">
        <v>187</v>
      </c>
      <c r="M344" s="11" t="s">
        <v>1275</v>
      </c>
    </row>
    <row r="345" spans="1:13" x14ac:dyDescent="0.35">
      <c r="A345" s="13">
        <v>14</v>
      </c>
      <c r="B345" s="13" t="s">
        <v>342</v>
      </c>
      <c r="C345" s="13">
        <v>1</v>
      </c>
      <c r="D345" s="14">
        <v>45017.017361111109</v>
      </c>
      <c r="E345" s="14">
        <v>45017.073611111111</v>
      </c>
      <c r="F345" s="13" t="s">
        <v>100</v>
      </c>
      <c r="G345" s="13" t="s">
        <v>86</v>
      </c>
      <c r="H345" s="13" t="s">
        <v>74</v>
      </c>
      <c r="I345" s="17">
        <v>49.58</v>
      </c>
      <c r="J345" s="13" t="s">
        <v>94</v>
      </c>
      <c r="K345" s="13">
        <v>42</v>
      </c>
      <c r="L345" s="13" t="s">
        <v>95</v>
      </c>
      <c r="M345" s="13" t="s">
        <v>1295</v>
      </c>
    </row>
    <row r="346" spans="1:13" x14ac:dyDescent="0.35">
      <c r="A346" s="13">
        <v>14</v>
      </c>
      <c r="B346" s="13" t="s">
        <v>944</v>
      </c>
      <c r="C346" s="13">
        <v>3</v>
      </c>
      <c r="D346" s="14">
        <v>45018.086805555555</v>
      </c>
      <c r="E346" s="14">
        <v>45018.170138888891</v>
      </c>
      <c r="F346" s="13" t="s">
        <v>72</v>
      </c>
      <c r="G346" s="13" t="s">
        <v>86</v>
      </c>
      <c r="H346" s="13" t="s">
        <v>74</v>
      </c>
      <c r="I346" s="17">
        <v>16.29</v>
      </c>
      <c r="J346" s="13" t="s">
        <v>88</v>
      </c>
      <c r="K346" s="13">
        <v>142</v>
      </c>
      <c r="L346" s="13" t="s">
        <v>164</v>
      </c>
      <c r="M346" s="13" t="s">
        <v>1373</v>
      </c>
    </row>
    <row r="347" spans="1:13" x14ac:dyDescent="0.35">
      <c r="A347" s="11">
        <v>14</v>
      </c>
      <c r="B347" s="11" t="s">
        <v>312</v>
      </c>
      <c r="C347" s="11">
        <v>6</v>
      </c>
      <c r="D347" s="12">
        <v>45023.023611111108</v>
      </c>
      <c r="E347" s="12">
        <v>45023.109027777777</v>
      </c>
      <c r="F347" s="11" t="s">
        <v>100</v>
      </c>
      <c r="G347" s="11" t="s">
        <v>86</v>
      </c>
      <c r="H347" s="11" t="s">
        <v>74</v>
      </c>
      <c r="I347" s="16">
        <v>12.57</v>
      </c>
      <c r="J347" s="11" t="s">
        <v>88</v>
      </c>
      <c r="K347" s="11">
        <v>677</v>
      </c>
      <c r="L347" s="11" t="s">
        <v>95</v>
      </c>
      <c r="M347" s="11" t="s">
        <v>1732</v>
      </c>
    </row>
    <row r="348" spans="1:13" x14ac:dyDescent="0.35">
      <c r="A348" s="11">
        <v>14</v>
      </c>
      <c r="B348" s="11" t="s">
        <v>959</v>
      </c>
      <c r="C348" s="11">
        <v>6</v>
      </c>
      <c r="D348" s="12">
        <v>45023.152777777781</v>
      </c>
      <c r="E348" s="12">
        <v>45023.227777777778</v>
      </c>
      <c r="F348" s="11" t="s">
        <v>72</v>
      </c>
      <c r="G348" s="11" t="s">
        <v>73</v>
      </c>
      <c r="H348" s="11" t="s">
        <v>74</v>
      </c>
      <c r="I348" s="16">
        <v>35.090000000000003</v>
      </c>
      <c r="J348" s="11" t="s">
        <v>75</v>
      </c>
      <c r="K348" s="11">
        <v>733</v>
      </c>
      <c r="L348" s="11" t="s">
        <v>164</v>
      </c>
      <c r="M348" s="11" t="s">
        <v>1766</v>
      </c>
    </row>
    <row r="349" spans="1:13" x14ac:dyDescent="0.35">
      <c r="A349" s="13">
        <v>14</v>
      </c>
      <c r="B349" s="13" t="s">
        <v>778</v>
      </c>
      <c r="C349" s="13">
        <v>6</v>
      </c>
      <c r="D349" s="14">
        <v>45018.107638888891</v>
      </c>
      <c r="E349" s="14">
        <v>45018.152777777781</v>
      </c>
      <c r="F349" s="13" t="s">
        <v>72</v>
      </c>
      <c r="G349" s="13" t="s">
        <v>86</v>
      </c>
      <c r="H349" s="13" t="s">
        <v>109</v>
      </c>
      <c r="I349" s="17">
        <v>18.850000000000001</v>
      </c>
      <c r="J349" s="13" t="s">
        <v>88</v>
      </c>
      <c r="K349" s="13">
        <v>212</v>
      </c>
      <c r="L349" s="13" t="s">
        <v>76</v>
      </c>
      <c r="M349" s="13" t="s">
        <v>1422</v>
      </c>
    </row>
    <row r="350" spans="1:13" x14ac:dyDescent="0.35">
      <c r="A350" s="13">
        <v>14</v>
      </c>
      <c r="B350" s="13" t="s">
        <v>880</v>
      </c>
      <c r="C350" s="13">
        <v>4</v>
      </c>
      <c r="D350" s="14">
        <v>45017.121527777781</v>
      </c>
      <c r="E350" s="14">
        <v>45017.259027777778</v>
      </c>
      <c r="F350" s="13" t="s">
        <v>72</v>
      </c>
      <c r="G350" s="13" t="s">
        <v>86</v>
      </c>
      <c r="H350" s="13" t="s">
        <v>87</v>
      </c>
      <c r="I350" s="17">
        <v>26.29</v>
      </c>
      <c r="J350" s="13" t="s">
        <v>75</v>
      </c>
      <c r="K350" s="13">
        <v>30</v>
      </c>
      <c r="L350" s="13" t="s">
        <v>275</v>
      </c>
      <c r="M350" s="13" t="s">
        <v>1286</v>
      </c>
    </row>
    <row r="351" spans="1:13" x14ac:dyDescent="0.35">
      <c r="A351" s="13">
        <v>14</v>
      </c>
      <c r="B351" s="13" t="s">
        <v>925</v>
      </c>
      <c r="C351" s="13">
        <v>4</v>
      </c>
      <c r="D351" s="14">
        <v>45017.061111111114</v>
      </c>
      <c r="E351" s="14">
        <v>45017.113888888889</v>
      </c>
      <c r="F351" s="13" t="s">
        <v>170</v>
      </c>
      <c r="G351" s="13" t="s">
        <v>163</v>
      </c>
      <c r="H351" s="13" t="s">
        <v>109</v>
      </c>
      <c r="I351" s="17">
        <v>11.12</v>
      </c>
      <c r="J351" s="13" t="s">
        <v>94</v>
      </c>
      <c r="K351" s="13">
        <v>104</v>
      </c>
      <c r="L351" s="13" t="s">
        <v>174</v>
      </c>
      <c r="M351" s="13" t="s">
        <v>1348</v>
      </c>
    </row>
    <row r="352" spans="1:13" x14ac:dyDescent="0.35">
      <c r="A352" s="13">
        <v>14</v>
      </c>
      <c r="B352" s="13" t="s">
        <v>1010</v>
      </c>
      <c r="C352" s="13">
        <v>4</v>
      </c>
      <c r="D352" s="14">
        <v>45022.138194444444</v>
      </c>
      <c r="E352" s="14">
        <v>45022.231249999997</v>
      </c>
      <c r="F352" s="13" t="s">
        <v>72</v>
      </c>
      <c r="G352" s="13" t="s">
        <v>73</v>
      </c>
      <c r="H352" s="13" t="s">
        <v>109</v>
      </c>
      <c r="I352" s="17">
        <v>41.35</v>
      </c>
      <c r="J352" s="13" t="s">
        <v>75</v>
      </c>
      <c r="K352" s="13">
        <v>538</v>
      </c>
      <c r="L352" s="13" t="s">
        <v>110</v>
      </c>
      <c r="M352" s="13" t="s">
        <v>1635</v>
      </c>
    </row>
    <row r="353" spans="1:13" x14ac:dyDescent="0.35">
      <c r="A353" s="13">
        <v>14</v>
      </c>
      <c r="B353" s="13" t="s">
        <v>1182</v>
      </c>
      <c r="C353" s="13">
        <v>3</v>
      </c>
      <c r="D353" s="14">
        <v>45022.02847222222</v>
      </c>
      <c r="E353" s="14">
        <v>45022.076388888891</v>
      </c>
      <c r="F353" s="13" t="s">
        <v>170</v>
      </c>
      <c r="G353" s="13" t="s">
        <v>86</v>
      </c>
      <c r="H353" s="13" t="s">
        <v>109</v>
      </c>
      <c r="I353" s="17">
        <v>49.29</v>
      </c>
      <c r="J353" s="13" t="s">
        <v>75</v>
      </c>
      <c r="K353" s="13">
        <v>640</v>
      </c>
      <c r="L353" s="13" t="s">
        <v>275</v>
      </c>
      <c r="M353" s="13" t="s">
        <v>1704</v>
      </c>
    </row>
    <row r="354" spans="1:13" x14ac:dyDescent="0.35">
      <c r="A354" s="13">
        <v>14</v>
      </c>
      <c r="B354" s="13" t="s">
        <v>1074</v>
      </c>
      <c r="C354" s="13">
        <v>3</v>
      </c>
      <c r="D354" s="14">
        <v>45021.022916666669</v>
      </c>
      <c r="E354" s="14">
        <v>45021.172222222223</v>
      </c>
      <c r="F354" s="13" t="s">
        <v>100</v>
      </c>
      <c r="G354" s="13" t="s">
        <v>86</v>
      </c>
      <c r="H354" s="13" t="s">
        <v>74</v>
      </c>
      <c r="I354" s="17">
        <v>32.729999999999997</v>
      </c>
      <c r="J354" s="13" t="s">
        <v>88</v>
      </c>
      <c r="K354" s="13">
        <v>392</v>
      </c>
      <c r="L354" s="13" t="s">
        <v>95</v>
      </c>
      <c r="M354" s="13" t="s">
        <v>1396</v>
      </c>
    </row>
    <row r="355" spans="1:13" x14ac:dyDescent="0.35">
      <c r="A355" s="13">
        <v>14</v>
      </c>
      <c r="B355" s="13" t="s">
        <v>1011</v>
      </c>
      <c r="C355" s="13">
        <v>1</v>
      </c>
      <c r="D355" s="14">
        <v>45019.031944444447</v>
      </c>
      <c r="E355" s="14">
        <v>45019.155555555553</v>
      </c>
      <c r="F355" s="13" t="s">
        <v>170</v>
      </c>
      <c r="G355" s="13" t="s">
        <v>86</v>
      </c>
      <c r="H355" s="13" t="s">
        <v>109</v>
      </c>
      <c r="I355" s="17">
        <v>23.16</v>
      </c>
      <c r="J355" s="13" t="s">
        <v>75</v>
      </c>
      <c r="K355" s="13">
        <v>268</v>
      </c>
      <c r="L355" s="13" t="s">
        <v>174</v>
      </c>
      <c r="M355" s="13" t="s">
        <v>1459</v>
      </c>
    </row>
    <row r="356" spans="1:13" x14ac:dyDescent="0.35">
      <c r="A356" s="13">
        <v>14</v>
      </c>
      <c r="B356" s="13" t="s">
        <v>814</v>
      </c>
      <c r="C356" s="13">
        <v>4</v>
      </c>
      <c r="D356" s="14">
        <v>45020.068749999999</v>
      </c>
      <c r="E356" s="14">
        <v>45020.231944444444</v>
      </c>
      <c r="F356" s="13" t="s">
        <v>223</v>
      </c>
      <c r="G356" s="13" t="s">
        <v>163</v>
      </c>
      <c r="H356" s="13" t="s">
        <v>109</v>
      </c>
      <c r="I356" s="17">
        <v>13.85</v>
      </c>
      <c r="J356" s="13" t="s">
        <v>88</v>
      </c>
      <c r="K356" s="13">
        <v>326</v>
      </c>
      <c r="L356" s="13" t="s">
        <v>76</v>
      </c>
      <c r="M356" s="13" t="s">
        <v>1503</v>
      </c>
    </row>
    <row r="357" spans="1:13" x14ac:dyDescent="0.35">
      <c r="A357" s="11">
        <v>14</v>
      </c>
      <c r="B357" s="11" t="s">
        <v>926</v>
      </c>
      <c r="C357" s="11">
        <v>6</v>
      </c>
      <c r="D357" s="12">
        <v>45017.054166666669</v>
      </c>
      <c r="E357" s="12">
        <v>45017.166666666664</v>
      </c>
      <c r="F357" s="11" t="s">
        <v>170</v>
      </c>
      <c r="G357" s="11" t="s">
        <v>86</v>
      </c>
      <c r="H357" s="11" t="s">
        <v>74</v>
      </c>
      <c r="I357" s="16">
        <v>15.64</v>
      </c>
      <c r="J357" s="11" t="s">
        <v>75</v>
      </c>
      <c r="K357" s="11">
        <v>105</v>
      </c>
      <c r="L357" s="11" t="s">
        <v>89</v>
      </c>
      <c r="M357" s="11" t="s">
        <v>1349</v>
      </c>
    </row>
    <row r="358" spans="1:13" x14ac:dyDescent="0.35">
      <c r="A358" s="11">
        <v>14</v>
      </c>
      <c r="B358" s="11" t="s">
        <v>1081</v>
      </c>
      <c r="C358" s="11">
        <v>5</v>
      </c>
      <c r="D358" s="12">
        <v>45021.09375</v>
      </c>
      <c r="E358" s="12">
        <v>45021.21875</v>
      </c>
      <c r="F358" s="11" t="s">
        <v>223</v>
      </c>
      <c r="G358" s="11" t="s">
        <v>86</v>
      </c>
      <c r="H358" s="11" t="s">
        <v>74</v>
      </c>
      <c r="I358" s="16">
        <v>14.76</v>
      </c>
      <c r="J358" s="11" t="s">
        <v>75</v>
      </c>
      <c r="K358" s="11">
        <v>403</v>
      </c>
      <c r="L358" s="11" t="s">
        <v>101</v>
      </c>
      <c r="M358" s="11" t="s">
        <v>1548</v>
      </c>
    </row>
    <row r="359" spans="1:13" x14ac:dyDescent="0.35">
      <c r="A359" s="11">
        <v>14</v>
      </c>
      <c r="B359" s="11" t="s">
        <v>1045</v>
      </c>
      <c r="C359" s="11">
        <v>3</v>
      </c>
      <c r="D359" s="12">
        <v>45020.080555555556</v>
      </c>
      <c r="E359" s="12">
        <v>45020.131249999999</v>
      </c>
      <c r="F359" s="11" t="s">
        <v>72</v>
      </c>
      <c r="G359" s="11" t="s">
        <v>86</v>
      </c>
      <c r="H359" s="11" t="s">
        <v>109</v>
      </c>
      <c r="I359" s="16">
        <v>41.56</v>
      </c>
      <c r="J359" s="11" t="s">
        <v>75</v>
      </c>
      <c r="K359" s="11">
        <v>335</v>
      </c>
      <c r="L359" s="11" t="s">
        <v>89</v>
      </c>
      <c r="M359" s="11" t="s">
        <v>1509</v>
      </c>
    </row>
    <row r="360" spans="1:13" x14ac:dyDescent="0.35">
      <c r="A360" s="13">
        <v>14</v>
      </c>
      <c r="B360" s="13" t="s">
        <v>1111</v>
      </c>
      <c r="C360" s="13">
        <v>6</v>
      </c>
      <c r="D360" s="14">
        <v>45021.124305555553</v>
      </c>
      <c r="E360" s="14">
        <v>45021.239583333336</v>
      </c>
      <c r="F360" s="13" t="s">
        <v>100</v>
      </c>
      <c r="G360" s="13" t="s">
        <v>163</v>
      </c>
      <c r="H360" s="13" t="s">
        <v>74</v>
      </c>
      <c r="I360" s="17">
        <v>14.28</v>
      </c>
      <c r="J360" s="13" t="s">
        <v>94</v>
      </c>
      <c r="K360" s="13">
        <v>468</v>
      </c>
      <c r="L360" s="13" t="s">
        <v>164</v>
      </c>
      <c r="M360" s="13" t="s">
        <v>1591</v>
      </c>
    </row>
    <row r="361" spans="1:13" x14ac:dyDescent="0.35">
      <c r="A361" s="13">
        <v>14</v>
      </c>
      <c r="B361" s="13" t="s">
        <v>1024</v>
      </c>
      <c r="C361" s="13">
        <v>1</v>
      </c>
      <c r="D361" s="14">
        <v>45019.117361111108</v>
      </c>
      <c r="E361" s="14">
        <v>45019.248611111114</v>
      </c>
      <c r="F361" s="13" t="s">
        <v>100</v>
      </c>
      <c r="G361" s="13" t="s">
        <v>73</v>
      </c>
      <c r="H361" s="13" t="s">
        <v>74</v>
      </c>
      <c r="I361" s="17">
        <v>29.07</v>
      </c>
      <c r="J361" s="13" t="s">
        <v>88</v>
      </c>
      <c r="K361" s="13">
        <v>296</v>
      </c>
      <c r="L361" s="13" t="s">
        <v>181</v>
      </c>
      <c r="M361" s="13" t="s">
        <v>1478</v>
      </c>
    </row>
    <row r="362" spans="1:13" x14ac:dyDescent="0.35">
      <c r="A362" s="11">
        <v>14</v>
      </c>
      <c r="B362" s="11" t="s">
        <v>1051</v>
      </c>
      <c r="C362" s="11">
        <v>5</v>
      </c>
      <c r="D362" s="12">
        <v>45020.086805555555</v>
      </c>
      <c r="E362" s="12">
        <v>45020.179861111108</v>
      </c>
      <c r="F362" s="11" t="s">
        <v>170</v>
      </c>
      <c r="G362" s="11" t="s">
        <v>163</v>
      </c>
      <c r="H362" s="11" t="s">
        <v>74</v>
      </c>
      <c r="I362" s="16">
        <v>47.05</v>
      </c>
      <c r="J362" s="11" t="s">
        <v>75</v>
      </c>
      <c r="K362" s="11">
        <v>341</v>
      </c>
      <c r="L362" s="11" t="s">
        <v>76</v>
      </c>
      <c r="M362" s="11" t="s">
        <v>1515</v>
      </c>
    </row>
    <row r="363" spans="1:13" x14ac:dyDescent="0.35">
      <c r="A363" s="13">
        <v>14</v>
      </c>
      <c r="B363" s="13" t="s">
        <v>1179</v>
      </c>
      <c r="C363" s="13">
        <v>3</v>
      </c>
      <c r="D363" s="14">
        <v>45022.149305555555</v>
      </c>
      <c r="E363" s="14">
        <v>45022.241666666669</v>
      </c>
      <c r="F363" s="13" t="s">
        <v>85</v>
      </c>
      <c r="G363" s="13" t="s">
        <v>73</v>
      </c>
      <c r="H363" s="13" t="s">
        <v>109</v>
      </c>
      <c r="I363" s="17">
        <v>32.86</v>
      </c>
      <c r="J363" s="13" t="s">
        <v>75</v>
      </c>
      <c r="K363" s="13">
        <v>636</v>
      </c>
      <c r="L363" s="13" t="s">
        <v>187</v>
      </c>
      <c r="M363" s="13" t="s">
        <v>1701</v>
      </c>
    </row>
    <row r="364" spans="1:13" x14ac:dyDescent="0.35">
      <c r="A364" s="11">
        <v>14</v>
      </c>
      <c r="B364" s="11" t="s">
        <v>542</v>
      </c>
      <c r="C364" s="11">
        <v>1</v>
      </c>
      <c r="D364" s="12">
        <v>45019.008333333331</v>
      </c>
      <c r="E364" s="12">
        <v>45019.145138888889</v>
      </c>
      <c r="F364" s="11" t="s">
        <v>100</v>
      </c>
      <c r="G364" s="11" t="s">
        <v>86</v>
      </c>
      <c r="H364" s="11" t="s">
        <v>74</v>
      </c>
      <c r="I364" s="16">
        <v>20.6</v>
      </c>
      <c r="J364" s="11" t="s">
        <v>75</v>
      </c>
      <c r="K364" s="11">
        <v>315</v>
      </c>
      <c r="L364" s="11" t="s">
        <v>101</v>
      </c>
      <c r="M364" s="11" t="s">
        <v>1493</v>
      </c>
    </row>
    <row r="365" spans="1:13" x14ac:dyDescent="0.35">
      <c r="A365" s="11">
        <v>14</v>
      </c>
      <c r="B365" s="11" t="s">
        <v>936</v>
      </c>
      <c r="C365" s="11">
        <v>2</v>
      </c>
      <c r="D365" s="12">
        <v>45018.12222222222</v>
      </c>
      <c r="E365" s="12">
        <v>45018.259027777778</v>
      </c>
      <c r="F365" s="11" t="s">
        <v>170</v>
      </c>
      <c r="G365" s="11" t="s">
        <v>86</v>
      </c>
      <c r="H365" s="11" t="s">
        <v>74</v>
      </c>
      <c r="I365" s="16">
        <v>24.66</v>
      </c>
      <c r="J365" s="11" t="s">
        <v>75</v>
      </c>
      <c r="K365" s="11">
        <v>125</v>
      </c>
      <c r="L365" s="11" t="s">
        <v>95</v>
      </c>
      <c r="M365" s="11" t="s">
        <v>1362</v>
      </c>
    </row>
    <row r="366" spans="1:13" x14ac:dyDescent="0.35">
      <c r="A366" s="13">
        <v>14</v>
      </c>
      <c r="B366" s="13" t="s">
        <v>1016</v>
      </c>
      <c r="C366" s="13">
        <v>6</v>
      </c>
      <c r="D366" s="14">
        <v>45019.020833333336</v>
      </c>
      <c r="E366" s="14">
        <v>45019.111805555556</v>
      </c>
      <c r="F366" s="13" t="s">
        <v>85</v>
      </c>
      <c r="G366" s="13" t="s">
        <v>86</v>
      </c>
      <c r="H366" s="13" t="s">
        <v>74</v>
      </c>
      <c r="I366" s="17">
        <v>36.08</v>
      </c>
      <c r="J366" s="13" t="s">
        <v>94</v>
      </c>
      <c r="K366" s="13">
        <v>280</v>
      </c>
      <c r="L366" s="13" t="s">
        <v>187</v>
      </c>
      <c r="M366" s="13" t="s">
        <v>1468</v>
      </c>
    </row>
    <row r="367" spans="1:13" x14ac:dyDescent="0.35">
      <c r="A367" s="11">
        <v>14</v>
      </c>
      <c r="B367" s="11" t="s">
        <v>914</v>
      </c>
      <c r="C367" s="11">
        <v>3</v>
      </c>
      <c r="D367" s="12">
        <v>45018.060416666667</v>
      </c>
      <c r="E367" s="12">
        <v>45018.12777777778</v>
      </c>
      <c r="F367" s="11" t="s">
        <v>170</v>
      </c>
      <c r="G367" s="11" t="s">
        <v>86</v>
      </c>
      <c r="H367" s="11" t="s">
        <v>74</v>
      </c>
      <c r="I367" s="16">
        <v>27.94</v>
      </c>
      <c r="J367" s="11" t="s">
        <v>94</v>
      </c>
      <c r="K367" s="11">
        <v>175</v>
      </c>
      <c r="L367" s="11" t="s">
        <v>110</v>
      </c>
      <c r="M367" s="11" t="s">
        <v>1396</v>
      </c>
    </row>
    <row r="368" spans="1:13" x14ac:dyDescent="0.35">
      <c r="A368" s="13">
        <v>14</v>
      </c>
      <c r="B368" s="13" t="s">
        <v>1176</v>
      </c>
      <c r="C368" s="13">
        <v>4</v>
      </c>
      <c r="D368" s="14">
        <v>45022.114583333336</v>
      </c>
      <c r="E368" s="14">
        <v>45022.173611111109</v>
      </c>
      <c r="F368" s="13" t="s">
        <v>72</v>
      </c>
      <c r="G368" s="13" t="s">
        <v>163</v>
      </c>
      <c r="H368" s="13" t="s">
        <v>74</v>
      </c>
      <c r="I368" s="17">
        <v>19.239999999999998</v>
      </c>
      <c r="J368" s="13" t="s">
        <v>75</v>
      </c>
      <c r="K368" s="13">
        <v>626</v>
      </c>
      <c r="L368" s="13" t="s">
        <v>164</v>
      </c>
      <c r="M368" s="13" t="s">
        <v>1694</v>
      </c>
    </row>
    <row r="369" spans="1:13" x14ac:dyDescent="0.35">
      <c r="A369" s="13">
        <v>14</v>
      </c>
      <c r="B369" s="13" t="s">
        <v>1168</v>
      </c>
      <c r="C369" s="13">
        <v>4</v>
      </c>
      <c r="D369" s="14">
        <v>45022.165277777778</v>
      </c>
      <c r="E369" s="14">
        <v>45022.209027777775</v>
      </c>
      <c r="F369" s="13" t="s">
        <v>170</v>
      </c>
      <c r="G369" s="13" t="s">
        <v>86</v>
      </c>
      <c r="H369" s="13" t="s">
        <v>109</v>
      </c>
      <c r="I369" s="17">
        <v>41.35</v>
      </c>
      <c r="J369" s="13" t="s">
        <v>88</v>
      </c>
      <c r="K369" s="13">
        <v>600</v>
      </c>
      <c r="L369" s="13" t="s">
        <v>101</v>
      </c>
      <c r="M369" s="13" t="s">
        <v>1271</v>
      </c>
    </row>
    <row r="370" spans="1:13" x14ac:dyDescent="0.35">
      <c r="A370" s="11">
        <v>14</v>
      </c>
      <c r="B370" s="11" t="s">
        <v>1148</v>
      </c>
      <c r="C370" s="11">
        <v>2</v>
      </c>
      <c r="D370" s="12">
        <v>45022.114583333336</v>
      </c>
      <c r="E370" s="12">
        <v>45022.224999999999</v>
      </c>
      <c r="F370" s="11" t="s">
        <v>170</v>
      </c>
      <c r="G370" s="11" t="s">
        <v>86</v>
      </c>
      <c r="H370" s="11" t="s">
        <v>74</v>
      </c>
      <c r="I370" s="16">
        <v>44.38</v>
      </c>
      <c r="J370" s="11" t="s">
        <v>75</v>
      </c>
      <c r="K370" s="11">
        <v>553</v>
      </c>
      <c r="L370" s="11" t="s">
        <v>89</v>
      </c>
      <c r="M370" s="11" t="s">
        <v>1649</v>
      </c>
    </row>
    <row r="371" spans="1:13" x14ac:dyDescent="0.35">
      <c r="A371" s="11">
        <v>14</v>
      </c>
      <c r="B371" s="11" t="s">
        <v>679</v>
      </c>
      <c r="C371" s="11">
        <v>1</v>
      </c>
      <c r="D371" s="12">
        <v>45018.09375</v>
      </c>
      <c r="E371" s="12">
        <v>45018.259722222225</v>
      </c>
      <c r="F371" s="11" t="s">
        <v>100</v>
      </c>
      <c r="G371" s="11" t="s">
        <v>86</v>
      </c>
      <c r="H371" s="11" t="s">
        <v>109</v>
      </c>
      <c r="I371" s="16">
        <v>26.49</v>
      </c>
      <c r="J371" s="11" t="s">
        <v>75</v>
      </c>
      <c r="K371" s="11">
        <v>205</v>
      </c>
      <c r="L371" s="11" t="s">
        <v>101</v>
      </c>
      <c r="M371" s="11" t="s">
        <v>1416</v>
      </c>
    </row>
    <row r="372" spans="1:13" x14ac:dyDescent="0.35">
      <c r="A372" s="13">
        <v>14</v>
      </c>
      <c r="B372" s="13" t="s">
        <v>1031</v>
      </c>
      <c r="C372" s="13">
        <v>6</v>
      </c>
      <c r="D372" s="14">
        <v>45019.079861111109</v>
      </c>
      <c r="E372" s="14">
        <v>45019.193749999999</v>
      </c>
      <c r="F372" s="13" t="s">
        <v>100</v>
      </c>
      <c r="G372" s="13" t="s">
        <v>86</v>
      </c>
      <c r="H372" s="13" t="s">
        <v>74</v>
      </c>
      <c r="I372" s="17">
        <v>33.79</v>
      </c>
      <c r="J372" s="13" t="s">
        <v>94</v>
      </c>
      <c r="K372" s="13">
        <v>308</v>
      </c>
      <c r="L372" s="13" t="s">
        <v>174</v>
      </c>
      <c r="M372" s="13" t="s">
        <v>1487</v>
      </c>
    </row>
    <row r="373" spans="1:13" x14ac:dyDescent="0.35">
      <c r="A373" s="11">
        <v>14</v>
      </c>
      <c r="B373" s="11" t="s">
        <v>340</v>
      </c>
      <c r="C373" s="11">
        <v>1</v>
      </c>
      <c r="D373" s="12">
        <v>45017.156944444447</v>
      </c>
      <c r="E373" s="12">
        <v>45017.272916666669</v>
      </c>
      <c r="F373" s="11" t="s">
        <v>223</v>
      </c>
      <c r="G373" s="11" t="s">
        <v>86</v>
      </c>
      <c r="H373" s="11" t="s">
        <v>74</v>
      </c>
      <c r="I373" s="16">
        <v>32.89</v>
      </c>
      <c r="J373" s="11" t="s">
        <v>75</v>
      </c>
      <c r="K373" s="11">
        <v>11</v>
      </c>
      <c r="L373" s="11" t="s">
        <v>76</v>
      </c>
      <c r="M373" s="11" t="s">
        <v>1271</v>
      </c>
    </row>
    <row r="374" spans="1:13" x14ac:dyDescent="0.35">
      <c r="A374" s="13">
        <v>14</v>
      </c>
      <c r="B374" s="13" t="s">
        <v>1218</v>
      </c>
      <c r="C374" s="13">
        <v>2</v>
      </c>
      <c r="D374" s="14">
        <v>45023.102083333331</v>
      </c>
      <c r="E374" s="14">
        <v>45023.206250000003</v>
      </c>
      <c r="F374" s="13" t="s">
        <v>100</v>
      </c>
      <c r="G374" s="13" t="s">
        <v>86</v>
      </c>
      <c r="H374" s="13" t="s">
        <v>87</v>
      </c>
      <c r="I374" s="17">
        <v>46.82</v>
      </c>
      <c r="J374" s="13" t="s">
        <v>75</v>
      </c>
      <c r="K374" s="13">
        <v>734</v>
      </c>
      <c r="L374" s="13" t="s">
        <v>275</v>
      </c>
      <c r="M374" s="13" t="s">
        <v>1767</v>
      </c>
    </row>
    <row r="375" spans="1:13" x14ac:dyDescent="0.35">
      <c r="A375" s="13">
        <v>14</v>
      </c>
      <c r="B375" s="13" t="s">
        <v>870</v>
      </c>
      <c r="C375" s="13">
        <v>6</v>
      </c>
      <c r="D375" s="14">
        <v>45017.00277777778</v>
      </c>
      <c r="E375" s="14">
        <v>45017.140972222223</v>
      </c>
      <c r="F375" s="13" t="s">
        <v>72</v>
      </c>
      <c r="G375" s="13" t="s">
        <v>73</v>
      </c>
      <c r="H375" s="13" t="s">
        <v>74</v>
      </c>
      <c r="I375" s="17">
        <v>45.27</v>
      </c>
      <c r="J375" s="13" t="s">
        <v>88</v>
      </c>
      <c r="K375" s="13">
        <v>12</v>
      </c>
      <c r="L375" s="13" t="s">
        <v>110</v>
      </c>
      <c r="M375" s="13" t="s">
        <v>1272</v>
      </c>
    </row>
    <row r="376" spans="1:13" x14ac:dyDescent="0.35">
      <c r="A376" s="11">
        <v>14</v>
      </c>
      <c r="B376" s="11" t="s">
        <v>1085</v>
      </c>
      <c r="C376" s="11">
        <v>4</v>
      </c>
      <c r="D376" s="12">
        <v>45021.027083333334</v>
      </c>
      <c r="E376" s="12">
        <v>45021.190972222219</v>
      </c>
      <c r="F376" s="11" t="s">
        <v>72</v>
      </c>
      <c r="G376" s="11" t="s">
        <v>73</v>
      </c>
      <c r="H376" s="11" t="s">
        <v>74</v>
      </c>
      <c r="I376" s="16">
        <v>20.51</v>
      </c>
      <c r="J376" s="11" t="s">
        <v>88</v>
      </c>
      <c r="K376" s="11">
        <v>415</v>
      </c>
      <c r="L376" s="11" t="s">
        <v>89</v>
      </c>
      <c r="M376" s="11" t="s">
        <v>1556</v>
      </c>
    </row>
    <row r="377" spans="1:13" x14ac:dyDescent="0.35">
      <c r="A377" s="13">
        <v>14</v>
      </c>
      <c r="B377" s="13" t="s">
        <v>1000</v>
      </c>
      <c r="C377" s="13">
        <v>5</v>
      </c>
      <c r="D377" s="14">
        <v>45021.020138888889</v>
      </c>
      <c r="E377" s="14">
        <v>45021.109027777777</v>
      </c>
      <c r="F377" s="13" t="s">
        <v>100</v>
      </c>
      <c r="G377" s="13" t="s">
        <v>73</v>
      </c>
      <c r="H377" s="13" t="s">
        <v>87</v>
      </c>
      <c r="I377" s="17">
        <v>34.03</v>
      </c>
      <c r="J377" s="13" t="s">
        <v>88</v>
      </c>
      <c r="K377" s="13">
        <v>406</v>
      </c>
      <c r="L377" s="13" t="s">
        <v>181</v>
      </c>
      <c r="M377" s="13" t="s">
        <v>1551</v>
      </c>
    </row>
    <row r="378" spans="1:13" x14ac:dyDescent="0.35">
      <c r="A378" s="13">
        <v>14</v>
      </c>
      <c r="B378" s="13" t="s">
        <v>1134</v>
      </c>
      <c r="C378" s="13">
        <v>2</v>
      </c>
      <c r="D378" s="14">
        <v>45022.074305555558</v>
      </c>
      <c r="E378" s="14">
        <v>45022.158333333333</v>
      </c>
      <c r="F378" s="13" t="s">
        <v>100</v>
      </c>
      <c r="G378" s="13" t="s">
        <v>86</v>
      </c>
      <c r="H378" s="13" t="s">
        <v>109</v>
      </c>
      <c r="I378" s="17">
        <v>15.62</v>
      </c>
      <c r="J378" s="13" t="s">
        <v>94</v>
      </c>
      <c r="K378" s="13">
        <v>528</v>
      </c>
      <c r="L378" s="13" t="s">
        <v>95</v>
      </c>
      <c r="M378" s="13" t="s">
        <v>1627</v>
      </c>
    </row>
    <row r="379" spans="1:13" x14ac:dyDescent="0.35">
      <c r="A379" s="13">
        <v>14</v>
      </c>
      <c r="B379" s="13" t="s">
        <v>1143</v>
      </c>
      <c r="C379" s="13">
        <v>5</v>
      </c>
      <c r="D379" s="14">
        <v>45023.004166666666</v>
      </c>
      <c r="E379" s="14">
        <v>45023.101388888892</v>
      </c>
      <c r="F379" s="13" t="s">
        <v>100</v>
      </c>
      <c r="G379" s="13" t="s">
        <v>86</v>
      </c>
      <c r="H379" s="13" t="s">
        <v>109</v>
      </c>
      <c r="I379" s="17">
        <v>23.26</v>
      </c>
      <c r="J379" s="13" t="s">
        <v>88</v>
      </c>
      <c r="K379" s="13">
        <v>652</v>
      </c>
      <c r="L379" s="13" t="s">
        <v>174</v>
      </c>
      <c r="M379" s="13" t="s">
        <v>1712</v>
      </c>
    </row>
    <row r="380" spans="1:13" x14ac:dyDescent="0.35">
      <c r="A380" s="11">
        <v>14</v>
      </c>
      <c r="B380" s="11" t="s">
        <v>990</v>
      </c>
      <c r="C380" s="11">
        <v>3</v>
      </c>
      <c r="D380" s="12">
        <v>45018.106944444444</v>
      </c>
      <c r="E380" s="12">
        <v>45018.1875</v>
      </c>
      <c r="F380" s="11" t="s">
        <v>100</v>
      </c>
      <c r="G380" s="11" t="s">
        <v>73</v>
      </c>
      <c r="H380" s="11" t="s">
        <v>74</v>
      </c>
      <c r="I380" s="16">
        <v>28.58</v>
      </c>
      <c r="J380" s="11" t="s">
        <v>94</v>
      </c>
      <c r="K380" s="11">
        <v>229</v>
      </c>
      <c r="L380" s="11" t="s">
        <v>95</v>
      </c>
      <c r="M380" s="11" t="s">
        <v>1433</v>
      </c>
    </row>
    <row r="381" spans="1:13" x14ac:dyDescent="0.35">
      <c r="A381" s="11">
        <v>14</v>
      </c>
      <c r="B381" s="11" t="s">
        <v>1028</v>
      </c>
      <c r="C381" s="11">
        <v>5</v>
      </c>
      <c r="D381" s="12">
        <v>45019.151388888888</v>
      </c>
      <c r="E381" s="12">
        <v>45019.26666666667</v>
      </c>
      <c r="F381" s="11" t="s">
        <v>85</v>
      </c>
      <c r="G381" s="11" t="s">
        <v>163</v>
      </c>
      <c r="H381" s="11" t="s">
        <v>109</v>
      </c>
      <c r="I381" s="16">
        <v>16.489999999999998</v>
      </c>
      <c r="J381" s="11" t="s">
        <v>88</v>
      </c>
      <c r="K381" s="11">
        <v>303</v>
      </c>
      <c r="L381" s="11" t="s">
        <v>89</v>
      </c>
      <c r="M381" s="11" t="s">
        <v>1484</v>
      </c>
    </row>
    <row r="382" spans="1:13" x14ac:dyDescent="0.35">
      <c r="A382" s="11">
        <v>14</v>
      </c>
      <c r="B382" s="11" t="s">
        <v>920</v>
      </c>
      <c r="C382" s="11">
        <v>2</v>
      </c>
      <c r="D382" s="12">
        <v>45017.073611111111</v>
      </c>
      <c r="E382" s="12">
        <v>45017.127083333333</v>
      </c>
      <c r="F382" s="11" t="s">
        <v>100</v>
      </c>
      <c r="G382" s="11" t="s">
        <v>73</v>
      </c>
      <c r="H382" s="11" t="s">
        <v>74</v>
      </c>
      <c r="I382" s="16">
        <v>19.22</v>
      </c>
      <c r="J382" s="11" t="s">
        <v>88</v>
      </c>
      <c r="K382" s="11">
        <v>97</v>
      </c>
      <c r="L382" s="11" t="s">
        <v>187</v>
      </c>
      <c r="M382" s="11" t="s">
        <v>1341</v>
      </c>
    </row>
    <row r="383" spans="1:13" x14ac:dyDescent="0.35">
      <c r="A383" s="13">
        <v>15</v>
      </c>
      <c r="B383" s="13" t="s">
        <v>882</v>
      </c>
      <c r="C383" s="13">
        <v>1</v>
      </c>
      <c r="D383" s="14">
        <v>45017.094444444447</v>
      </c>
      <c r="E383" s="14">
        <v>45017.254861111112</v>
      </c>
      <c r="F383" s="13" t="s">
        <v>72</v>
      </c>
      <c r="G383" s="13" t="s">
        <v>163</v>
      </c>
      <c r="H383" s="13" t="s">
        <v>74</v>
      </c>
      <c r="I383" s="17">
        <v>13.08</v>
      </c>
      <c r="J383" s="13" t="s">
        <v>75</v>
      </c>
      <c r="K383" s="13">
        <v>34</v>
      </c>
      <c r="L383" s="13" t="s">
        <v>76</v>
      </c>
      <c r="M383" s="13" t="s">
        <v>1290</v>
      </c>
    </row>
    <row r="384" spans="1:13" x14ac:dyDescent="0.35">
      <c r="A384" s="11">
        <v>15</v>
      </c>
      <c r="B384" s="11" t="s">
        <v>1083</v>
      </c>
      <c r="C384" s="11">
        <v>5</v>
      </c>
      <c r="D384" s="12">
        <v>45021.079861111109</v>
      </c>
      <c r="E384" s="12">
        <v>45021.125694444447</v>
      </c>
      <c r="F384" s="11" t="s">
        <v>223</v>
      </c>
      <c r="G384" s="11" t="s">
        <v>86</v>
      </c>
      <c r="H384" s="11" t="s">
        <v>74</v>
      </c>
      <c r="I384" s="16">
        <v>48.7</v>
      </c>
      <c r="J384" s="11" t="s">
        <v>94</v>
      </c>
      <c r="K384" s="11">
        <v>409</v>
      </c>
      <c r="L384" s="11" t="s">
        <v>101</v>
      </c>
      <c r="M384" s="11" t="s">
        <v>1553</v>
      </c>
    </row>
    <row r="385" spans="1:13" x14ac:dyDescent="0.35">
      <c r="A385" s="11">
        <v>15</v>
      </c>
      <c r="B385" s="11" t="s">
        <v>1110</v>
      </c>
      <c r="C385" s="11">
        <v>3</v>
      </c>
      <c r="D385" s="12">
        <v>45021.112500000003</v>
      </c>
      <c r="E385" s="12">
        <v>45021.176388888889</v>
      </c>
      <c r="F385" s="11" t="s">
        <v>223</v>
      </c>
      <c r="G385" s="11" t="s">
        <v>86</v>
      </c>
      <c r="H385" s="11" t="s">
        <v>109</v>
      </c>
      <c r="I385" s="16">
        <v>42.31</v>
      </c>
      <c r="J385" s="11" t="s">
        <v>94</v>
      </c>
      <c r="K385" s="11">
        <v>467</v>
      </c>
      <c r="L385" s="11" t="s">
        <v>76</v>
      </c>
      <c r="M385" s="11" t="s">
        <v>1590</v>
      </c>
    </row>
    <row r="386" spans="1:13" x14ac:dyDescent="0.35">
      <c r="A386" s="13">
        <v>15</v>
      </c>
      <c r="B386" s="13" t="s">
        <v>1149</v>
      </c>
      <c r="C386" s="13">
        <v>2</v>
      </c>
      <c r="D386" s="14">
        <v>45022.097222222219</v>
      </c>
      <c r="E386" s="14">
        <v>45022.248611111114</v>
      </c>
      <c r="F386" s="13" t="s">
        <v>170</v>
      </c>
      <c r="G386" s="13" t="s">
        <v>73</v>
      </c>
      <c r="H386" s="13" t="s">
        <v>87</v>
      </c>
      <c r="I386" s="17">
        <v>33.93</v>
      </c>
      <c r="J386" s="13" t="s">
        <v>75</v>
      </c>
      <c r="K386" s="13">
        <v>588</v>
      </c>
      <c r="L386" s="13" t="s">
        <v>221</v>
      </c>
      <c r="M386" s="13" t="s">
        <v>1668</v>
      </c>
    </row>
    <row r="387" spans="1:13" x14ac:dyDescent="0.35">
      <c r="A387" s="13">
        <v>15</v>
      </c>
      <c r="B387" s="13" t="s">
        <v>1054</v>
      </c>
      <c r="C387" s="13">
        <v>3</v>
      </c>
      <c r="D387" s="14">
        <v>45020.031944444447</v>
      </c>
      <c r="E387" s="14">
        <v>45020.086111111108</v>
      </c>
      <c r="F387" s="13" t="s">
        <v>100</v>
      </c>
      <c r="G387" s="13" t="s">
        <v>86</v>
      </c>
      <c r="H387" s="13" t="s">
        <v>74</v>
      </c>
      <c r="I387" s="17">
        <v>33.01</v>
      </c>
      <c r="J387" s="13" t="s">
        <v>88</v>
      </c>
      <c r="K387" s="13">
        <v>344</v>
      </c>
      <c r="L387" s="13" t="s">
        <v>101</v>
      </c>
      <c r="M387" s="13" t="s">
        <v>1517</v>
      </c>
    </row>
    <row r="388" spans="1:13" x14ac:dyDescent="0.35">
      <c r="A388" s="11">
        <v>15</v>
      </c>
      <c r="B388" s="11" t="s">
        <v>1020</v>
      </c>
      <c r="C388" s="11">
        <v>5</v>
      </c>
      <c r="D388" s="12">
        <v>45019.130555555559</v>
      </c>
      <c r="E388" s="12">
        <v>45019.265972222223</v>
      </c>
      <c r="F388" s="11" t="s">
        <v>85</v>
      </c>
      <c r="G388" s="11" t="s">
        <v>86</v>
      </c>
      <c r="H388" s="11" t="s">
        <v>109</v>
      </c>
      <c r="I388" s="16">
        <v>26.56</v>
      </c>
      <c r="J388" s="11" t="s">
        <v>75</v>
      </c>
      <c r="K388" s="11">
        <v>289</v>
      </c>
      <c r="L388" s="11" t="s">
        <v>181</v>
      </c>
      <c r="M388" s="11" t="s">
        <v>1473</v>
      </c>
    </row>
    <row r="389" spans="1:13" x14ac:dyDescent="0.35">
      <c r="A389" s="11">
        <v>15</v>
      </c>
      <c r="B389" s="11" t="s">
        <v>913</v>
      </c>
      <c r="C389" s="11">
        <v>1</v>
      </c>
      <c r="D389" s="12">
        <v>45017.154166666667</v>
      </c>
      <c r="E389" s="12">
        <v>45017.277083333334</v>
      </c>
      <c r="F389" s="11" t="s">
        <v>223</v>
      </c>
      <c r="G389" s="11" t="s">
        <v>73</v>
      </c>
      <c r="H389" s="11" t="s">
        <v>74</v>
      </c>
      <c r="I389" s="16">
        <v>24.94</v>
      </c>
      <c r="J389" s="11" t="s">
        <v>88</v>
      </c>
      <c r="K389" s="11">
        <v>83</v>
      </c>
      <c r="L389" s="11" t="s">
        <v>164</v>
      </c>
      <c r="M389" s="11" t="s">
        <v>1331</v>
      </c>
    </row>
    <row r="390" spans="1:13" x14ac:dyDescent="0.35">
      <c r="A390" s="13">
        <v>15</v>
      </c>
      <c r="B390" s="13" t="s">
        <v>1050</v>
      </c>
      <c r="C390" s="13">
        <v>1</v>
      </c>
      <c r="D390" s="14">
        <v>45020.05</v>
      </c>
      <c r="E390" s="14">
        <v>45020.193055555559</v>
      </c>
      <c r="F390" s="13" t="s">
        <v>170</v>
      </c>
      <c r="G390" s="13" t="s">
        <v>86</v>
      </c>
      <c r="H390" s="13" t="s">
        <v>74</v>
      </c>
      <c r="I390" s="17">
        <v>38.520000000000003</v>
      </c>
      <c r="J390" s="13" t="s">
        <v>75</v>
      </c>
      <c r="K390" s="13">
        <v>340</v>
      </c>
      <c r="L390" s="13" t="s">
        <v>181</v>
      </c>
      <c r="M390" s="13" t="s">
        <v>1514</v>
      </c>
    </row>
    <row r="391" spans="1:13" x14ac:dyDescent="0.35">
      <c r="A391" s="11">
        <v>15</v>
      </c>
      <c r="B391" s="11" t="s">
        <v>1077</v>
      </c>
      <c r="C391" s="11">
        <v>4</v>
      </c>
      <c r="D391" s="12">
        <v>45023.155555555553</v>
      </c>
      <c r="E391" s="12">
        <v>45023.313194444447</v>
      </c>
      <c r="F391" s="11" t="s">
        <v>170</v>
      </c>
      <c r="G391" s="11" t="s">
        <v>86</v>
      </c>
      <c r="H391" s="11" t="s">
        <v>74</v>
      </c>
      <c r="I391" s="16">
        <v>28.31</v>
      </c>
      <c r="J391" s="11" t="s">
        <v>75</v>
      </c>
      <c r="K391" s="11">
        <v>693</v>
      </c>
      <c r="L391" s="11" t="s">
        <v>187</v>
      </c>
      <c r="M391" s="11" t="s">
        <v>1743</v>
      </c>
    </row>
    <row r="392" spans="1:13" x14ac:dyDescent="0.35">
      <c r="A392" s="13">
        <v>15</v>
      </c>
      <c r="B392" s="13" t="s">
        <v>1099</v>
      </c>
      <c r="C392" s="13">
        <v>3</v>
      </c>
      <c r="D392" s="14">
        <v>45021.086111111108</v>
      </c>
      <c r="E392" s="14">
        <v>45021.137499999997</v>
      </c>
      <c r="F392" s="13" t="s">
        <v>72</v>
      </c>
      <c r="G392" s="13" t="s">
        <v>73</v>
      </c>
      <c r="H392" s="13" t="s">
        <v>74</v>
      </c>
      <c r="I392" s="17">
        <v>21.07</v>
      </c>
      <c r="J392" s="13" t="s">
        <v>88</v>
      </c>
      <c r="K392" s="13">
        <v>442</v>
      </c>
      <c r="L392" s="13" t="s">
        <v>174</v>
      </c>
      <c r="M392" s="13" t="s">
        <v>1574</v>
      </c>
    </row>
    <row r="393" spans="1:13" x14ac:dyDescent="0.35">
      <c r="A393" s="13">
        <v>15</v>
      </c>
      <c r="B393" s="13" t="s">
        <v>1120</v>
      </c>
      <c r="C393" s="13">
        <v>3</v>
      </c>
      <c r="D393" s="14">
        <v>45022.115972222222</v>
      </c>
      <c r="E393" s="14">
        <v>45022.258333333331</v>
      </c>
      <c r="F393" s="13" t="s">
        <v>223</v>
      </c>
      <c r="G393" s="13" t="s">
        <v>163</v>
      </c>
      <c r="H393" s="13" t="s">
        <v>109</v>
      </c>
      <c r="I393" s="17">
        <v>12.66</v>
      </c>
      <c r="J393" s="13" t="s">
        <v>88</v>
      </c>
      <c r="K393" s="13">
        <v>486</v>
      </c>
      <c r="L393" s="13" t="s">
        <v>110</v>
      </c>
      <c r="M393" s="13" t="s">
        <v>1604</v>
      </c>
    </row>
    <row r="394" spans="1:13" x14ac:dyDescent="0.35">
      <c r="A394" s="13">
        <v>15</v>
      </c>
      <c r="B394" s="13" t="s">
        <v>1064</v>
      </c>
      <c r="C394" s="13">
        <v>2</v>
      </c>
      <c r="D394" s="14">
        <v>45020.159722222219</v>
      </c>
      <c r="E394" s="14">
        <v>45020.298611111109</v>
      </c>
      <c r="F394" s="13" t="s">
        <v>85</v>
      </c>
      <c r="G394" s="13" t="s">
        <v>86</v>
      </c>
      <c r="H394" s="13" t="s">
        <v>109</v>
      </c>
      <c r="I394" s="17">
        <v>48.28</v>
      </c>
      <c r="J394" s="13" t="s">
        <v>94</v>
      </c>
      <c r="K394" s="13">
        <v>364</v>
      </c>
      <c r="L394" s="13" t="s">
        <v>89</v>
      </c>
      <c r="M394" s="13" t="s">
        <v>1527</v>
      </c>
    </row>
    <row r="395" spans="1:13" x14ac:dyDescent="0.35">
      <c r="A395" s="13">
        <v>15</v>
      </c>
      <c r="B395" s="13" t="s">
        <v>1194</v>
      </c>
      <c r="C395" s="13">
        <v>4</v>
      </c>
      <c r="D395" s="14">
        <v>45023.084027777775</v>
      </c>
      <c r="E395" s="14">
        <v>45023.209722222222</v>
      </c>
      <c r="F395" s="13" t="s">
        <v>223</v>
      </c>
      <c r="G395" s="13" t="s">
        <v>86</v>
      </c>
      <c r="H395" s="13" t="s">
        <v>74</v>
      </c>
      <c r="I395" s="17">
        <v>11.64</v>
      </c>
      <c r="J395" s="13" t="s">
        <v>75</v>
      </c>
      <c r="K395" s="13">
        <v>662</v>
      </c>
      <c r="L395" s="13" t="s">
        <v>95</v>
      </c>
      <c r="M395" s="13" t="s">
        <v>1719</v>
      </c>
    </row>
    <row r="396" spans="1:13" x14ac:dyDescent="0.35">
      <c r="A396" s="13">
        <v>15</v>
      </c>
      <c r="B396" s="13" t="s">
        <v>1015</v>
      </c>
      <c r="C396" s="13">
        <v>6</v>
      </c>
      <c r="D396" s="14">
        <v>45019.107638888891</v>
      </c>
      <c r="E396" s="14">
        <v>45019.231944444444</v>
      </c>
      <c r="F396" s="13" t="s">
        <v>72</v>
      </c>
      <c r="G396" s="13" t="s">
        <v>86</v>
      </c>
      <c r="H396" s="13" t="s">
        <v>109</v>
      </c>
      <c r="I396" s="17">
        <v>20.98</v>
      </c>
      <c r="J396" s="13" t="s">
        <v>94</v>
      </c>
      <c r="K396" s="13">
        <v>276</v>
      </c>
      <c r="L396" s="13" t="s">
        <v>187</v>
      </c>
      <c r="M396" s="13" t="s">
        <v>1465</v>
      </c>
    </row>
    <row r="397" spans="1:13" x14ac:dyDescent="0.35">
      <c r="A397" s="13">
        <v>15</v>
      </c>
      <c r="B397" s="13" t="s">
        <v>963</v>
      </c>
      <c r="C397" s="13">
        <v>2</v>
      </c>
      <c r="D397" s="14">
        <v>45020.085416666669</v>
      </c>
      <c r="E397" s="14">
        <v>45020.249305555553</v>
      </c>
      <c r="F397" s="13" t="s">
        <v>223</v>
      </c>
      <c r="G397" s="13" t="s">
        <v>86</v>
      </c>
      <c r="H397" s="13" t="s">
        <v>74</v>
      </c>
      <c r="I397" s="17">
        <v>47.21</v>
      </c>
      <c r="J397" s="13" t="s">
        <v>75</v>
      </c>
      <c r="K397" s="13">
        <v>362</v>
      </c>
      <c r="L397" s="13" t="s">
        <v>174</v>
      </c>
      <c r="M397" s="13" t="s">
        <v>1525</v>
      </c>
    </row>
    <row r="398" spans="1:13" x14ac:dyDescent="0.35">
      <c r="A398" s="13">
        <v>15</v>
      </c>
      <c r="B398" s="13" t="s">
        <v>1184</v>
      </c>
      <c r="C398" s="13">
        <v>1</v>
      </c>
      <c r="D398" s="14">
        <v>45022.10833333333</v>
      </c>
      <c r="E398" s="14">
        <v>45022.224999999999</v>
      </c>
      <c r="F398" s="13" t="s">
        <v>100</v>
      </c>
      <c r="G398" s="13" t="s">
        <v>86</v>
      </c>
      <c r="H398" s="13" t="s">
        <v>74</v>
      </c>
      <c r="I398" s="17">
        <v>11.11</v>
      </c>
      <c r="J398" s="13" t="s">
        <v>88</v>
      </c>
      <c r="K398" s="13">
        <v>642</v>
      </c>
      <c r="L398" s="13" t="s">
        <v>164</v>
      </c>
      <c r="M398" s="13" t="s">
        <v>1706</v>
      </c>
    </row>
    <row r="399" spans="1:13" x14ac:dyDescent="0.35">
      <c r="A399" s="13">
        <v>15</v>
      </c>
      <c r="B399" s="13" t="s">
        <v>1126</v>
      </c>
      <c r="C399" s="13">
        <v>1</v>
      </c>
      <c r="D399" s="14">
        <v>45023.035416666666</v>
      </c>
      <c r="E399" s="14">
        <v>45023.086111111108</v>
      </c>
      <c r="F399" s="13" t="s">
        <v>170</v>
      </c>
      <c r="G399" s="13" t="s">
        <v>86</v>
      </c>
      <c r="H399" s="13" t="s">
        <v>74</v>
      </c>
      <c r="I399" s="17">
        <v>17.37</v>
      </c>
      <c r="J399" s="13" t="s">
        <v>88</v>
      </c>
      <c r="K399" s="13">
        <v>738</v>
      </c>
      <c r="L399" s="13" t="s">
        <v>181</v>
      </c>
      <c r="M399" s="13" t="s">
        <v>1770</v>
      </c>
    </row>
    <row r="400" spans="1:13" x14ac:dyDescent="0.35">
      <c r="A400" s="11">
        <v>15</v>
      </c>
      <c r="B400" s="11" t="s">
        <v>203</v>
      </c>
      <c r="C400" s="11">
        <v>3</v>
      </c>
      <c r="D400" s="12">
        <v>45022.039583333331</v>
      </c>
      <c r="E400" s="12">
        <v>45022.147222222222</v>
      </c>
      <c r="F400" s="11" t="s">
        <v>223</v>
      </c>
      <c r="G400" s="11" t="s">
        <v>163</v>
      </c>
      <c r="H400" s="11" t="s">
        <v>74</v>
      </c>
      <c r="I400" s="16">
        <v>39.450000000000003</v>
      </c>
      <c r="J400" s="11" t="s">
        <v>75</v>
      </c>
      <c r="K400" s="11">
        <v>535</v>
      </c>
      <c r="L400" s="11" t="s">
        <v>101</v>
      </c>
      <c r="M400" s="11" t="s">
        <v>1633</v>
      </c>
    </row>
    <row r="401" spans="1:13" x14ac:dyDescent="0.35">
      <c r="A401" s="11">
        <v>15</v>
      </c>
      <c r="B401" s="11" t="s">
        <v>624</v>
      </c>
      <c r="C401" s="11">
        <v>5</v>
      </c>
      <c r="D401" s="12">
        <v>45017.085416666669</v>
      </c>
      <c r="E401" s="12">
        <v>45017.184027777781</v>
      </c>
      <c r="F401" s="11" t="s">
        <v>100</v>
      </c>
      <c r="G401" s="11" t="s">
        <v>86</v>
      </c>
      <c r="H401" s="11" t="s">
        <v>109</v>
      </c>
      <c r="I401" s="16">
        <v>46.85</v>
      </c>
      <c r="J401" s="11" t="s">
        <v>75</v>
      </c>
      <c r="K401" s="11">
        <v>9</v>
      </c>
      <c r="L401" s="11" t="s">
        <v>95</v>
      </c>
      <c r="M401" s="11" t="s">
        <v>1269</v>
      </c>
    </row>
    <row r="402" spans="1:13" x14ac:dyDescent="0.35">
      <c r="A402" s="11">
        <v>15</v>
      </c>
      <c r="B402" s="11" t="s">
        <v>1071</v>
      </c>
      <c r="C402" s="11">
        <v>4</v>
      </c>
      <c r="D402" s="12">
        <v>45022.082638888889</v>
      </c>
      <c r="E402" s="12">
        <v>45022.219444444447</v>
      </c>
      <c r="F402" s="11" t="s">
        <v>72</v>
      </c>
      <c r="G402" s="11" t="s">
        <v>86</v>
      </c>
      <c r="H402" s="11" t="s">
        <v>109</v>
      </c>
      <c r="I402" s="16">
        <v>42.83</v>
      </c>
      <c r="J402" s="11" t="s">
        <v>88</v>
      </c>
      <c r="K402" s="11">
        <v>567</v>
      </c>
      <c r="L402" s="11" t="s">
        <v>101</v>
      </c>
      <c r="M402" s="11" t="s">
        <v>1658</v>
      </c>
    </row>
    <row r="403" spans="1:13" x14ac:dyDescent="0.35">
      <c r="A403" s="11">
        <v>15</v>
      </c>
      <c r="B403" s="11" t="s">
        <v>1209</v>
      </c>
      <c r="C403" s="11">
        <v>1</v>
      </c>
      <c r="D403" s="12">
        <v>45023.128472222219</v>
      </c>
      <c r="E403" s="12">
        <v>45023.224305555559</v>
      </c>
      <c r="F403" s="11" t="s">
        <v>100</v>
      </c>
      <c r="G403" s="11" t="s">
        <v>163</v>
      </c>
      <c r="H403" s="11" t="s">
        <v>74</v>
      </c>
      <c r="I403" s="16">
        <v>40.39</v>
      </c>
      <c r="J403" s="11" t="s">
        <v>94</v>
      </c>
      <c r="K403" s="11">
        <v>707</v>
      </c>
      <c r="L403" s="11" t="s">
        <v>174</v>
      </c>
      <c r="M403" s="11" t="s">
        <v>1749</v>
      </c>
    </row>
    <row r="404" spans="1:13" x14ac:dyDescent="0.35">
      <c r="A404" s="11">
        <v>15</v>
      </c>
      <c r="B404" s="11" t="s">
        <v>1097</v>
      </c>
      <c r="C404" s="11">
        <v>1</v>
      </c>
      <c r="D404" s="12">
        <v>45021</v>
      </c>
      <c r="E404" s="12">
        <v>45021.057638888888</v>
      </c>
      <c r="F404" s="11" t="s">
        <v>170</v>
      </c>
      <c r="G404" s="11" t="s">
        <v>73</v>
      </c>
      <c r="H404" s="11" t="s">
        <v>74</v>
      </c>
      <c r="I404" s="16">
        <v>25.56</v>
      </c>
      <c r="J404" s="11" t="s">
        <v>75</v>
      </c>
      <c r="K404" s="11">
        <v>439</v>
      </c>
      <c r="L404" s="11" t="s">
        <v>95</v>
      </c>
      <c r="M404" s="11" t="s">
        <v>1572</v>
      </c>
    </row>
    <row r="405" spans="1:13" x14ac:dyDescent="0.35">
      <c r="A405" s="13">
        <v>15</v>
      </c>
      <c r="B405" s="13" t="s">
        <v>1095</v>
      </c>
      <c r="C405" s="13">
        <v>4</v>
      </c>
      <c r="D405" s="14">
        <v>45021.010416666664</v>
      </c>
      <c r="E405" s="14">
        <v>45021.163194444445</v>
      </c>
      <c r="F405" s="13" t="s">
        <v>72</v>
      </c>
      <c r="G405" s="13" t="s">
        <v>86</v>
      </c>
      <c r="H405" s="13" t="s">
        <v>74</v>
      </c>
      <c r="I405" s="17">
        <v>37.15</v>
      </c>
      <c r="J405" s="13" t="s">
        <v>94</v>
      </c>
      <c r="K405" s="13">
        <v>434</v>
      </c>
      <c r="L405" s="13" t="s">
        <v>95</v>
      </c>
      <c r="M405" s="13" t="s">
        <v>1570</v>
      </c>
    </row>
    <row r="406" spans="1:13" x14ac:dyDescent="0.35">
      <c r="A406" s="13">
        <v>15</v>
      </c>
      <c r="B406" s="13" t="s">
        <v>667</v>
      </c>
      <c r="C406" s="13">
        <v>1</v>
      </c>
      <c r="D406" s="14">
        <v>45017.094444444447</v>
      </c>
      <c r="E406" s="14">
        <v>45017.199305555558</v>
      </c>
      <c r="F406" s="13" t="s">
        <v>72</v>
      </c>
      <c r="G406" s="13" t="s">
        <v>86</v>
      </c>
      <c r="H406" s="13" t="s">
        <v>74</v>
      </c>
      <c r="I406" s="17">
        <v>45.41</v>
      </c>
      <c r="J406" s="13" t="s">
        <v>75</v>
      </c>
      <c r="K406" s="13">
        <v>22</v>
      </c>
      <c r="L406" s="13" t="s">
        <v>187</v>
      </c>
      <c r="M406" s="13" t="s">
        <v>1279</v>
      </c>
    </row>
    <row r="407" spans="1:13" x14ac:dyDescent="0.35">
      <c r="A407" s="13">
        <v>15</v>
      </c>
      <c r="B407" s="13" t="s">
        <v>1134</v>
      </c>
      <c r="C407" s="13">
        <v>4</v>
      </c>
      <c r="D407" s="14">
        <v>45023.113194444442</v>
      </c>
      <c r="E407" s="14">
        <v>45023.238194444442</v>
      </c>
      <c r="F407" s="13" t="s">
        <v>85</v>
      </c>
      <c r="G407" s="13" t="s">
        <v>73</v>
      </c>
      <c r="H407" s="13" t="s">
        <v>109</v>
      </c>
      <c r="I407" s="17">
        <v>37.22</v>
      </c>
      <c r="J407" s="13" t="s">
        <v>94</v>
      </c>
      <c r="K407" s="13">
        <v>690</v>
      </c>
      <c r="L407" s="13" t="s">
        <v>181</v>
      </c>
      <c r="M407" s="13" t="s">
        <v>1741</v>
      </c>
    </row>
    <row r="408" spans="1:13" x14ac:dyDescent="0.35">
      <c r="A408" s="13">
        <v>15</v>
      </c>
      <c r="B408" s="13" t="s">
        <v>1019</v>
      </c>
      <c r="C408" s="13">
        <v>3</v>
      </c>
      <c r="D408" s="14">
        <v>45019.088888888888</v>
      </c>
      <c r="E408" s="14">
        <v>45019.231249999997</v>
      </c>
      <c r="F408" s="13" t="s">
        <v>85</v>
      </c>
      <c r="G408" s="13" t="s">
        <v>73</v>
      </c>
      <c r="H408" s="13" t="s">
        <v>74</v>
      </c>
      <c r="I408" s="17">
        <v>13.3</v>
      </c>
      <c r="J408" s="13" t="s">
        <v>94</v>
      </c>
      <c r="K408" s="13">
        <v>288</v>
      </c>
      <c r="L408" s="13" t="s">
        <v>174</v>
      </c>
      <c r="M408" s="13" t="s">
        <v>1472</v>
      </c>
    </row>
    <row r="409" spans="1:13" x14ac:dyDescent="0.35">
      <c r="A409" s="11">
        <v>16</v>
      </c>
      <c r="B409" s="11" t="s">
        <v>483</v>
      </c>
      <c r="C409" s="11">
        <v>1</v>
      </c>
      <c r="D409" s="12">
        <v>45020.078472222223</v>
      </c>
      <c r="E409" s="12">
        <v>45020.227777777778</v>
      </c>
      <c r="F409" s="11" t="s">
        <v>100</v>
      </c>
      <c r="G409" s="11" t="s">
        <v>73</v>
      </c>
      <c r="H409" s="11" t="s">
        <v>87</v>
      </c>
      <c r="I409" s="16">
        <v>41.73</v>
      </c>
      <c r="J409" s="11" t="s">
        <v>75</v>
      </c>
      <c r="K409" s="11">
        <v>361</v>
      </c>
      <c r="L409" s="11" t="s">
        <v>110</v>
      </c>
      <c r="M409" s="11" t="s">
        <v>1337</v>
      </c>
    </row>
    <row r="410" spans="1:13" x14ac:dyDescent="0.35">
      <c r="A410" s="13">
        <v>16</v>
      </c>
      <c r="B410" s="13" t="s">
        <v>1062</v>
      </c>
      <c r="C410" s="13">
        <v>3</v>
      </c>
      <c r="D410" s="14">
        <v>45020.048611111109</v>
      </c>
      <c r="E410" s="14">
        <v>45020.206944444442</v>
      </c>
      <c r="F410" s="13" t="s">
        <v>170</v>
      </c>
      <c r="G410" s="13" t="s">
        <v>86</v>
      </c>
      <c r="H410" s="13" t="s">
        <v>74</v>
      </c>
      <c r="I410" s="17">
        <v>39.26</v>
      </c>
      <c r="J410" s="13" t="s">
        <v>88</v>
      </c>
      <c r="K410" s="13">
        <v>360</v>
      </c>
      <c r="L410" s="13" t="s">
        <v>76</v>
      </c>
      <c r="M410" s="13" t="s">
        <v>1524</v>
      </c>
    </row>
    <row r="411" spans="1:13" x14ac:dyDescent="0.35">
      <c r="A411" s="11">
        <v>16</v>
      </c>
      <c r="B411" s="11" t="s">
        <v>1178</v>
      </c>
      <c r="C411" s="11">
        <v>5</v>
      </c>
      <c r="D411" s="12">
        <v>45022.154861111114</v>
      </c>
      <c r="E411" s="12">
        <v>45022.227777777778</v>
      </c>
      <c r="F411" s="11" t="s">
        <v>170</v>
      </c>
      <c r="G411" s="11" t="s">
        <v>86</v>
      </c>
      <c r="H411" s="11" t="s">
        <v>74</v>
      </c>
      <c r="I411" s="16">
        <v>11.19</v>
      </c>
      <c r="J411" s="11" t="s">
        <v>94</v>
      </c>
      <c r="K411" s="11">
        <v>633</v>
      </c>
      <c r="L411" s="11" t="s">
        <v>95</v>
      </c>
      <c r="M411" s="11" t="s">
        <v>1699</v>
      </c>
    </row>
    <row r="412" spans="1:13" x14ac:dyDescent="0.35">
      <c r="A412" s="13">
        <v>16</v>
      </c>
      <c r="B412" s="13" t="s">
        <v>1133</v>
      </c>
      <c r="C412" s="13">
        <v>4</v>
      </c>
      <c r="D412" s="14">
        <v>45022.002083333333</v>
      </c>
      <c r="E412" s="14">
        <v>45022.105555555558</v>
      </c>
      <c r="F412" s="13" t="s">
        <v>170</v>
      </c>
      <c r="G412" s="13" t="s">
        <v>86</v>
      </c>
      <c r="H412" s="13" t="s">
        <v>74</v>
      </c>
      <c r="I412" s="17">
        <v>26.91</v>
      </c>
      <c r="J412" s="13" t="s">
        <v>88</v>
      </c>
      <c r="K412" s="13">
        <v>524</v>
      </c>
      <c r="L412" s="13" t="s">
        <v>76</v>
      </c>
      <c r="M412" s="13" t="s">
        <v>1564</v>
      </c>
    </row>
    <row r="413" spans="1:13" x14ac:dyDescent="0.35">
      <c r="A413" s="13">
        <v>16</v>
      </c>
      <c r="B413" s="13" t="s">
        <v>1198</v>
      </c>
      <c r="C413" s="13">
        <v>6</v>
      </c>
      <c r="D413" s="14">
        <v>45023.077777777777</v>
      </c>
      <c r="E413" s="14">
        <v>45023.133333333331</v>
      </c>
      <c r="F413" s="13" t="s">
        <v>100</v>
      </c>
      <c r="G413" s="13" t="s">
        <v>86</v>
      </c>
      <c r="H413" s="13" t="s">
        <v>87</v>
      </c>
      <c r="I413" s="17">
        <v>37.93</v>
      </c>
      <c r="J413" s="13" t="s">
        <v>88</v>
      </c>
      <c r="K413" s="13">
        <v>670</v>
      </c>
      <c r="L413" s="13" t="s">
        <v>95</v>
      </c>
      <c r="M413" s="13" t="s">
        <v>1725</v>
      </c>
    </row>
    <row r="414" spans="1:13" x14ac:dyDescent="0.35">
      <c r="A414" s="11">
        <v>16</v>
      </c>
      <c r="B414" s="11" t="s">
        <v>792</v>
      </c>
      <c r="C414" s="11">
        <v>6</v>
      </c>
      <c r="D414" s="12">
        <v>45018.078472222223</v>
      </c>
      <c r="E414" s="12">
        <v>45018.12777777778</v>
      </c>
      <c r="F414" s="11" t="s">
        <v>100</v>
      </c>
      <c r="G414" s="11" t="s">
        <v>73</v>
      </c>
      <c r="H414" s="11" t="s">
        <v>74</v>
      </c>
      <c r="I414" s="16">
        <v>46.56</v>
      </c>
      <c r="J414" s="11" t="s">
        <v>75</v>
      </c>
      <c r="K414" s="11">
        <v>171</v>
      </c>
      <c r="L414" s="11" t="s">
        <v>89</v>
      </c>
      <c r="M414" s="11" t="s">
        <v>1394</v>
      </c>
    </row>
    <row r="415" spans="1:13" x14ac:dyDescent="0.35">
      <c r="A415" s="13">
        <v>16</v>
      </c>
      <c r="B415" s="13" t="s">
        <v>1220</v>
      </c>
      <c r="C415" s="13">
        <v>6</v>
      </c>
      <c r="D415" s="14">
        <v>45023.15902777778</v>
      </c>
      <c r="E415" s="14">
        <v>45023.26666666667</v>
      </c>
      <c r="F415" s="13" t="s">
        <v>223</v>
      </c>
      <c r="G415" s="13" t="s">
        <v>86</v>
      </c>
      <c r="H415" s="13" t="s">
        <v>109</v>
      </c>
      <c r="I415" s="17">
        <v>16.05</v>
      </c>
      <c r="J415" s="13" t="s">
        <v>94</v>
      </c>
      <c r="K415" s="13">
        <v>740</v>
      </c>
      <c r="L415" s="13" t="s">
        <v>187</v>
      </c>
      <c r="M415" s="13" t="s">
        <v>1771</v>
      </c>
    </row>
    <row r="416" spans="1:13" x14ac:dyDescent="0.35">
      <c r="A416" s="11">
        <v>16</v>
      </c>
      <c r="B416" s="11" t="s">
        <v>302</v>
      </c>
      <c r="C416" s="11">
        <v>3</v>
      </c>
      <c r="D416" s="12">
        <v>45022.143750000003</v>
      </c>
      <c r="E416" s="12">
        <v>45022.301388888889</v>
      </c>
      <c r="F416" s="11" t="s">
        <v>170</v>
      </c>
      <c r="G416" s="11" t="s">
        <v>86</v>
      </c>
      <c r="H416" s="11" t="s">
        <v>74</v>
      </c>
      <c r="I416" s="16">
        <v>32.869999999999997</v>
      </c>
      <c r="J416" s="11" t="s">
        <v>88</v>
      </c>
      <c r="K416" s="11">
        <v>525</v>
      </c>
      <c r="L416" s="11" t="s">
        <v>275</v>
      </c>
      <c r="M416" s="11" t="s">
        <v>1626</v>
      </c>
    </row>
    <row r="417" spans="1:13" x14ac:dyDescent="0.35">
      <c r="A417" s="11">
        <v>16</v>
      </c>
      <c r="B417" s="11" t="s">
        <v>1122</v>
      </c>
      <c r="C417" s="11">
        <v>1</v>
      </c>
      <c r="D417" s="12">
        <v>45022.035416666666</v>
      </c>
      <c r="E417" s="12">
        <v>45022.160416666666</v>
      </c>
      <c r="F417" s="11" t="s">
        <v>223</v>
      </c>
      <c r="G417" s="11" t="s">
        <v>86</v>
      </c>
      <c r="H417" s="11" t="s">
        <v>74</v>
      </c>
      <c r="I417" s="16">
        <v>45.46</v>
      </c>
      <c r="J417" s="11" t="s">
        <v>88</v>
      </c>
      <c r="K417" s="11">
        <v>597</v>
      </c>
      <c r="L417" s="11" t="s">
        <v>95</v>
      </c>
      <c r="M417" s="11" t="s">
        <v>1676</v>
      </c>
    </row>
    <row r="418" spans="1:13" x14ac:dyDescent="0.35">
      <c r="A418" s="11">
        <v>16</v>
      </c>
      <c r="B418" s="11" t="s">
        <v>1022</v>
      </c>
      <c r="C418" s="11">
        <v>4</v>
      </c>
      <c r="D418" s="12">
        <v>45019.121527777781</v>
      </c>
      <c r="E418" s="12">
        <v>45019.190972222219</v>
      </c>
      <c r="F418" s="11" t="s">
        <v>170</v>
      </c>
      <c r="G418" s="11" t="s">
        <v>86</v>
      </c>
      <c r="H418" s="11" t="s">
        <v>109</v>
      </c>
      <c r="I418" s="16">
        <v>33.11</v>
      </c>
      <c r="J418" s="11" t="s">
        <v>94</v>
      </c>
      <c r="K418" s="11">
        <v>293</v>
      </c>
      <c r="L418" s="11" t="s">
        <v>164</v>
      </c>
      <c r="M418" s="11" t="s">
        <v>1475</v>
      </c>
    </row>
    <row r="419" spans="1:13" x14ac:dyDescent="0.35">
      <c r="A419" s="13">
        <v>16</v>
      </c>
      <c r="B419" s="13" t="s">
        <v>905</v>
      </c>
      <c r="C419" s="13">
        <v>1</v>
      </c>
      <c r="D419" s="14">
        <v>45021.056250000001</v>
      </c>
      <c r="E419" s="14">
        <v>45021.193749999999</v>
      </c>
      <c r="F419" s="13" t="s">
        <v>72</v>
      </c>
      <c r="G419" s="13" t="s">
        <v>86</v>
      </c>
      <c r="H419" s="13" t="s">
        <v>74</v>
      </c>
      <c r="I419" s="17">
        <v>48.5</v>
      </c>
      <c r="J419" s="13" t="s">
        <v>94</v>
      </c>
      <c r="K419" s="13">
        <v>464</v>
      </c>
      <c r="L419" s="13" t="s">
        <v>101</v>
      </c>
      <c r="M419" s="13" t="s">
        <v>1587</v>
      </c>
    </row>
    <row r="420" spans="1:13" x14ac:dyDescent="0.35">
      <c r="A420" s="13">
        <v>16</v>
      </c>
      <c r="B420" s="13" t="s">
        <v>974</v>
      </c>
      <c r="C420" s="13">
        <v>5</v>
      </c>
      <c r="D420" s="14">
        <v>45018.040277777778</v>
      </c>
      <c r="E420" s="14">
        <v>45018.083333333336</v>
      </c>
      <c r="F420" s="13" t="s">
        <v>170</v>
      </c>
      <c r="G420" s="13" t="s">
        <v>86</v>
      </c>
      <c r="H420" s="13" t="s">
        <v>74</v>
      </c>
      <c r="I420" s="17">
        <v>24.19</v>
      </c>
      <c r="J420" s="13" t="s">
        <v>88</v>
      </c>
      <c r="K420" s="13">
        <v>202</v>
      </c>
      <c r="L420" s="13" t="s">
        <v>95</v>
      </c>
      <c r="M420" s="13" t="s">
        <v>1414</v>
      </c>
    </row>
    <row r="421" spans="1:13" x14ac:dyDescent="0.35">
      <c r="A421" s="13">
        <v>16</v>
      </c>
      <c r="B421" s="13" t="s">
        <v>912</v>
      </c>
      <c r="C421" s="13">
        <v>3</v>
      </c>
      <c r="D421" s="14">
        <v>45017.142361111109</v>
      </c>
      <c r="E421" s="14">
        <v>45017.298611111109</v>
      </c>
      <c r="F421" s="13" t="s">
        <v>85</v>
      </c>
      <c r="G421" s="13" t="s">
        <v>163</v>
      </c>
      <c r="H421" s="13" t="s">
        <v>74</v>
      </c>
      <c r="I421" s="17">
        <v>38.6</v>
      </c>
      <c r="J421" s="13" t="s">
        <v>75</v>
      </c>
      <c r="K421" s="13">
        <v>82</v>
      </c>
      <c r="L421" s="13" t="s">
        <v>221</v>
      </c>
      <c r="M421" s="13" t="s">
        <v>1330</v>
      </c>
    </row>
    <row r="422" spans="1:13" x14ac:dyDescent="0.35">
      <c r="A422" s="11">
        <v>16</v>
      </c>
      <c r="B422" s="11" t="s">
        <v>955</v>
      </c>
      <c r="C422" s="11">
        <v>1</v>
      </c>
      <c r="D422" s="12">
        <v>45018.006944444445</v>
      </c>
      <c r="E422" s="12">
        <v>45018.052083333336</v>
      </c>
      <c r="F422" s="11" t="s">
        <v>170</v>
      </c>
      <c r="G422" s="11" t="s">
        <v>163</v>
      </c>
      <c r="H422" s="11" t="s">
        <v>74</v>
      </c>
      <c r="I422" s="16">
        <v>47.81</v>
      </c>
      <c r="J422" s="11" t="s">
        <v>88</v>
      </c>
      <c r="K422" s="11">
        <v>159</v>
      </c>
      <c r="L422" s="11" t="s">
        <v>89</v>
      </c>
      <c r="M422" s="11" t="s">
        <v>1386</v>
      </c>
    </row>
    <row r="423" spans="1:13" x14ac:dyDescent="0.35">
      <c r="A423" s="11">
        <v>16</v>
      </c>
      <c r="B423" s="11" t="s">
        <v>1187</v>
      </c>
      <c r="C423" s="11">
        <v>4</v>
      </c>
      <c r="D423" s="12">
        <v>45023.086111111108</v>
      </c>
      <c r="E423" s="12">
        <v>45023.238888888889</v>
      </c>
      <c r="F423" s="11" t="s">
        <v>72</v>
      </c>
      <c r="G423" s="11" t="s">
        <v>73</v>
      </c>
      <c r="H423" s="11" t="s">
        <v>74</v>
      </c>
      <c r="I423" s="16">
        <v>20.27</v>
      </c>
      <c r="J423" s="11" t="s">
        <v>75</v>
      </c>
      <c r="K423" s="11">
        <v>651</v>
      </c>
      <c r="L423" s="11" t="s">
        <v>164</v>
      </c>
      <c r="M423" s="11" t="s">
        <v>1711</v>
      </c>
    </row>
    <row r="424" spans="1:13" x14ac:dyDescent="0.35">
      <c r="A424" s="13">
        <v>16</v>
      </c>
      <c r="B424" s="13" t="s">
        <v>1177</v>
      </c>
      <c r="C424" s="13">
        <v>2</v>
      </c>
      <c r="D424" s="14">
        <v>45022.010416666664</v>
      </c>
      <c r="E424" s="14">
        <v>45022.121527777781</v>
      </c>
      <c r="F424" s="13" t="s">
        <v>170</v>
      </c>
      <c r="G424" s="13" t="s">
        <v>163</v>
      </c>
      <c r="H424" s="13" t="s">
        <v>74</v>
      </c>
      <c r="I424" s="17">
        <v>22.41</v>
      </c>
      <c r="J424" s="13" t="s">
        <v>75</v>
      </c>
      <c r="K424" s="13">
        <v>632</v>
      </c>
      <c r="L424" s="13" t="s">
        <v>187</v>
      </c>
      <c r="M424" s="13" t="s">
        <v>1698</v>
      </c>
    </row>
    <row r="425" spans="1:13" x14ac:dyDescent="0.35">
      <c r="A425" s="11">
        <v>16</v>
      </c>
      <c r="B425" s="11" t="s">
        <v>892</v>
      </c>
      <c r="C425" s="11">
        <v>5</v>
      </c>
      <c r="D425" s="12">
        <v>45017.125694444447</v>
      </c>
      <c r="E425" s="12">
        <v>45017.197222222225</v>
      </c>
      <c r="F425" s="11" t="s">
        <v>85</v>
      </c>
      <c r="G425" s="11" t="s">
        <v>86</v>
      </c>
      <c r="H425" s="11" t="s">
        <v>109</v>
      </c>
      <c r="I425" s="16">
        <v>36.880000000000003</v>
      </c>
      <c r="J425" s="11" t="s">
        <v>75</v>
      </c>
      <c r="K425" s="11">
        <v>53</v>
      </c>
      <c r="L425" s="11" t="s">
        <v>221</v>
      </c>
      <c r="M425" s="11" t="s">
        <v>1305</v>
      </c>
    </row>
    <row r="426" spans="1:13" x14ac:dyDescent="0.35">
      <c r="A426" s="11">
        <v>16</v>
      </c>
      <c r="B426" s="11" t="s">
        <v>939</v>
      </c>
      <c r="C426" s="11">
        <v>5</v>
      </c>
      <c r="D426" s="12">
        <v>45018.02847222222</v>
      </c>
      <c r="E426" s="12">
        <v>45018.111805555556</v>
      </c>
      <c r="F426" s="11" t="s">
        <v>100</v>
      </c>
      <c r="G426" s="11" t="s">
        <v>86</v>
      </c>
      <c r="H426" s="11" t="s">
        <v>74</v>
      </c>
      <c r="I426" s="16">
        <v>49.3</v>
      </c>
      <c r="J426" s="11" t="s">
        <v>94</v>
      </c>
      <c r="K426" s="11">
        <v>129</v>
      </c>
      <c r="L426" s="11" t="s">
        <v>76</v>
      </c>
      <c r="M426" s="11" t="s">
        <v>1365</v>
      </c>
    </row>
    <row r="427" spans="1:13" x14ac:dyDescent="0.35">
      <c r="A427" s="11">
        <v>16</v>
      </c>
      <c r="B427" s="11" t="s">
        <v>251</v>
      </c>
      <c r="C427" s="11">
        <v>2</v>
      </c>
      <c r="D427" s="12">
        <v>45018.115972222222</v>
      </c>
      <c r="E427" s="12">
        <v>45018.268055555556</v>
      </c>
      <c r="F427" s="11" t="s">
        <v>223</v>
      </c>
      <c r="G427" s="11" t="s">
        <v>163</v>
      </c>
      <c r="H427" s="11" t="s">
        <v>74</v>
      </c>
      <c r="I427" s="16">
        <v>28.07</v>
      </c>
      <c r="J427" s="11" t="s">
        <v>75</v>
      </c>
      <c r="K427" s="11">
        <v>185</v>
      </c>
      <c r="L427" s="11" t="s">
        <v>174</v>
      </c>
      <c r="M427" s="11" t="s">
        <v>1402</v>
      </c>
    </row>
    <row r="428" spans="1:13" x14ac:dyDescent="0.35">
      <c r="A428" s="13">
        <v>16</v>
      </c>
      <c r="B428" s="13" t="s">
        <v>977</v>
      </c>
      <c r="C428" s="13">
        <v>4</v>
      </c>
      <c r="D428" s="14">
        <v>45018.147916666669</v>
      </c>
      <c r="E428" s="14">
        <v>45018.275000000001</v>
      </c>
      <c r="F428" s="13" t="s">
        <v>223</v>
      </c>
      <c r="G428" s="13" t="s">
        <v>86</v>
      </c>
      <c r="H428" s="13" t="s">
        <v>109</v>
      </c>
      <c r="I428" s="17">
        <v>36.700000000000003</v>
      </c>
      <c r="J428" s="13" t="s">
        <v>88</v>
      </c>
      <c r="K428" s="13">
        <v>208</v>
      </c>
      <c r="L428" s="13" t="s">
        <v>76</v>
      </c>
      <c r="M428" s="13" t="s">
        <v>1418</v>
      </c>
    </row>
    <row r="429" spans="1:13" x14ac:dyDescent="0.35">
      <c r="A429" s="11">
        <v>16</v>
      </c>
      <c r="B429" s="11" t="s">
        <v>986</v>
      </c>
      <c r="C429" s="11">
        <v>1</v>
      </c>
      <c r="D429" s="12">
        <v>45018.07708333333</v>
      </c>
      <c r="E429" s="12">
        <v>45018.128472222219</v>
      </c>
      <c r="F429" s="11" t="s">
        <v>170</v>
      </c>
      <c r="G429" s="11" t="s">
        <v>86</v>
      </c>
      <c r="H429" s="11" t="s">
        <v>74</v>
      </c>
      <c r="I429" s="16">
        <v>17.829999999999998</v>
      </c>
      <c r="J429" s="11" t="s">
        <v>75</v>
      </c>
      <c r="K429" s="11">
        <v>221</v>
      </c>
      <c r="L429" s="11" t="s">
        <v>101</v>
      </c>
      <c r="M429" s="11" t="s">
        <v>1428</v>
      </c>
    </row>
    <row r="430" spans="1:13" x14ac:dyDescent="0.35">
      <c r="A430" s="11">
        <v>16</v>
      </c>
      <c r="B430" s="11" t="s">
        <v>910</v>
      </c>
      <c r="C430" s="11">
        <v>2</v>
      </c>
      <c r="D430" s="12">
        <v>45017.06527777778</v>
      </c>
      <c r="E430" s="12">
        <v>45017.213888888888</v>
      </c>
      <c r="F430" s="11" t="s">
        <v>170</v>
      </c>
      <c r="G430" s="11" t="s">
        <v>86</v>
      </c>
      <c r="H430" s="11" t="s">
        <v>74</v>
      </c>
      <c r="I430" s="16">
        <v>34.01</v>
      </c>
      <c r="J430" s="11" t="s">
        <v>75</v>
      </c>
      <c r="K430" s="11">
        <v>79</v>
      </c>
      <c r="L430" s="11" t="s">
        <v>275</v>
      </c>
      <c r="M430" s="11" t="s">
        <v>1328</v>
      </c>
    </row>
    <row r="431" spans="1:13" x14ac:dyDescent="0.35">
      <c r="A431" s="13">
        <v>16</v>
      </c>
      <c r="B431" s="13" t="s">
        <v>459</v>
      </c>
      <c r="C431" s="13">
        <v>6</v>
      </c>
      <c r="D431" s="14">
        <v>45017.012499999997</v>
      </c>
      <c r="E431" s="14">
        <v>45017.081944444442</v>
      </c>
      <c r="F431" s="13" t="s">
        <v>100</v>
      </c>
      <c r="G431" s="13" t="s">
        <v>86</v>
      </c>
      <c r="H431" s="13" t="s">
        <v>87</v>
      </c>
      <c r="I431" s="17">
        <v>48.76</v>
      </c>
      <c r="J431" s="13" t="s">
        <v>75</v>
      </c>
      <c r="K431" s="13">
        <v>14</v>
      </c>
      <c r="L431" s="13" t="s">
        <v>76</v>
      </c>
      <c r="M431" s="13" t="s">
        <v>1273</v>
      </c>
    </row>
    <row r="432" spans="1:13" x14ac:dyDescent="0.35">
      <c r="A432" s="13">
        <v>16</v>
      </c>
      <c r="B432" s="13" t="s">
        <v>935</v>
      </c>
      <c r="C432" s="13">
        <v>5</v>
      </c>
      <c r="D432" s="14">
        <v>45018.152083333334</v>
      </c>
      <c r="E432" s="14">
        <v>45018.223611111112</v>
      </c>
      <c r="F432" s="13" t="s">
        <v>170</v>
      </c>
      <c r="G432" s="13" t="s">
        <v>86</v>
      </c>
      <c r="H432" s="13" t="s">
        <v>109</v>
      </c>
      <c r="I432" s="17">
        <v>10.85</v>
      </c>
      <c r="J432" s="13" t="s">
        <v>75</v>
      </c>
      <c r="K432" s="13">
        <v>124</v>
      </c>
      <c r="L432" s="13" t="s">
        <v>181</v>
      </c>
      <c r="M432" s="13" t="s">
        <v>1361</v>
      </c>
    </row>
    <row r="433" spans="1:13" x14ac:dyDescent="0.35">
      <c r="A433" s="13">
        <v>16</v>
      </c>
      <c r="B433" s="13" t="s">
        <v>919</v>
      </c>
      <c r="C433" s="13">
        <v>5</v>
      </c>
      <c r="D433" s="14">
        <v>45017.082638888889</v>
      </c>
      <c r="E433" s="14">
        <v>45017.226388888892</v>
      </c>
      <c r="F433" s="13" t="s">
        <v>72</v>
      </c>
      <c r="G433" s="13" t="s">
        <v>163</v>
      </c>
      <c r="H433" s="13" t="s">
        <v>74</v>
      </c>
      <c r="I433" s="17">
        <v>33.630000000000003</v>
      </c>
      <c r="J433" s="13" t="s">
        <v>75</v>
      </c>
      <c r="K433" s="13">
        <v>96</v>
      </c>
      <c r="L433" s="13" t="s">
        <v>95</v>
      </c>
      <c r="M433" s="13" t="s">
        <v>1340</v>
      </c>
    </row>
    <row r="434" spans="1:13" x14ac:dyDescent="0.35">
      <c r="A434" s="13">
        <v>16</v>
      </c>
      <c r="B434" s="13" t="s">
        <v>1055</v>
      </c>
      <c r="C434" s="13">
        <v>2</v>
      </c>
      <c r="D434" s="14">
        <v>45020.053472222222</v>
      </c>
      <c r="E434" s="14">
        <v>45020.207638888889</v>
      </c>
      <c r="F434" s="13" t="s">
        <v>100</v>
      </c>
      <c r="G434" s="13" t="s">
        <v>86</v>
      </c>
      <c r="H434" s="13" t="s">
        <v>74</v>
      </c>
      <c r="I434" s="17">
        <v>30.78</v>
      </c>
      <c r="J434" s="13" t="s">
        <v>88</v>
      </c>
      <c r="K434" s="13">
        <v>348</v>
      </c>
      <c r="L434" s="13" t="s">
        <v>221</v>
      </c>
      <c r="M434" s="13" t="s">
        <v>1286</v>
      </c>
    </row>
    <row r="435" spans="1:13" x14ac:dyDescent="0.35">
      <c r="A435" s="11">
        <v>16</v>
      </c>
      <c r="B435" s="11" t="s">
        <v>933</v>
      </c>
      <c r="C435" s="11">
        <v>4</v>
      </c>
      <c r="D435" s="12">
        <v>45023.140277777777</v>
      </c>
      <c r="E435" s="12">
        <v>45023.286111111112</v>
      </c>
      <c r="F435" s="11" t="s">
        <v>72</v>
      </c>
      <c r="G435" s="11" t="s">
        <v>73</v>
      </c>
      <c r="H435" s="11" t="s">
        <v>74</v>
      </c>
      <c r="I435" s="16">
        <v>32.54</v>
      </c>
      <c r="J435" s="11" t="s">
        <v>88</v>
      </c>
      <c r="K435" s="11">
        <v>661</v>
      </c>
      <c r="L435" s="11" t="s">
        <v>164</v>
      </c>
      <c r="M435" s="11" t="s">
        <v>1718</v>
      </c>
    </row>
    <row r="436" spans="1:13" x14ac:dyDescent="0.35">
      <c r="A436" s="11">
        <v>16</v>
      </c>
      <c r="B436" s="11" t="s">
        <v>1213</v>
      </c>
      <c r="C436" s="11">
        <v>3</v>
      </c>
      <c r="D436" s="12">
        <v>45023.054166666669</v>
      </c>
      <c r="E436" s="12">
        <v>45023.117361111108</v>
      </c>
      <c r="F436" s="11" t="s">
        <v>223</v>
      </c>
      <c r="G436" s="11" t="s">
        <v>86</v>
      </c>
      <c r="H436" s="11" t="s">
        <v>109</v>
      </c>
      <c r="I436" s="16">
        <v>17.23</v>
      </c>
      <c r="J436" s="11" t="s">
        <v>75</v>
      </c>
      <c r="K436" s="11">
        <v>719</v>
      </c>
      <c r="L436" s="11" t="s">
        <v>110</v>
      </c>
      <c r="M436" s="11" t="s">
        <v>1757</v>
      </c>
    </row>
    <row r="437" spans="1:13" x14ac:dyDescent="0.35">
      <c r="A437" s="11">
        <v>17</v>
      </c>
      <c r="B437" s="11" t="s">
        <v>1084</v>
      </c>
      <c r="C437" s="11">
        <v>6</v>
      </c>
      <c r="D437" s="12">
        <v>45023.063888888886</v>
      </c>
      <c r="E437" s="12">
        <v>45023.131944444445</v>
      </c>
      <c r="F437" s="11" t="s">
        <v>100</v>
      </c>
      <c r="G437" s="11" t="s">
        <v>163</v>
      </c>
      <c r="H437" s="11" t="s">
        <v>74</v>
      </c>
      <c r="I437" s="16">
        <v>49.35</v>
      </c>
      <c r="J437" s="11" t="s">
        <v>75</v>
      </c>
      <c r="K437" s="11">
        <v>751</v>
      </c>
      <c r="L437" s="11" t="s">
        <v>89</v>
      </c>
      <c r="M437" s="11" t="s">
        <v>1777</v>
      </c>
    </row>
    <row r="438" spans="1:13" x14ac:dyDescent="0.35">
      <c r="A438" s="13">
        <v>17</v>
      </c>
      <c r="B438" s="13" t="s">
        <v>93</v>
      </c>
      <c r="C438" s="13">
        <v>6</v>
      </c>
      <c r="D438" s="14">
        <v>45023.06527777778</v>
      </c>
      <c r="E438" s="14">
        <v>45023.201388888891</v>
      </c>
      <c r="F438" s="13" t="s">
        <v>100</v>
      </c>
      <c r="G438" s="13" t="s">
        <v>73</v>
      </c>
      <c r="H438" s="13" t="s">
        <v>74</v>
      </c>
      <c r="I438" s="17">
        <v>12.57</v>
      </c>
      <c r="J438" s="13" t="s">
        <v>94</v>
      </c>
      <c r="K438" s="13">
        <v>766</v>
      </c>
      <c r="L438" s="13" t="s">
        <v>164</v>
      </c>
      <c r="M438" s="13" t="s">
        <v>1787</v>
      </c>
    </row>
    <row r="439" spans="1:13" x14ac:dyDescent="0.35">
      <c r="A439" s="13">
        <v>17</v>
      </c>
      <c r="B439" s="13" t="s">
        <v>1113</v>
      </c>
      <c r="C439" s="13">
        <v>3</v>
      </c>
      <c r="D439" s="14">
        <v>45021.070138888892</v>
      </c>
      <c r="E439" s="14">
        <v>45021.178472222222</v>
      </c>
      <c r="F439" s="13" t="s">
        <v>72</v>
      </c>
      <c r="G439" s="13" t="s">
        <v>86</v>
      </c>
      <c r="H439" s="13" t="s">
        <v>74</v>
      </c>
      <c r="I439" s="17">
        <v>47.46</v>
      </c>
      <c r="J439" s="13" t="s">
        <v>88</v>
      </c>
      <c r="K439" s="13">
        <v>470</v>
      </c>
      <c r="L439" s="13" t="s">
        <v>174</v>
      </c>
      <c r="M439" s="13" t="s">
        <v>1593</v>
      </c>
    </row>
    <row r="440" spans="1:13" x14ac:dyDescent="0.35">
      <c r="A440" s="13">
        <v>17</v>
      </c>
      <c r="B440" s="13" t="s">
        <v>1025</v>
      </c>
      <c r="C440" s="13">
        <v>3</v>
      </c>
      <c r="D440" s="14">
        <v>45021.038888888892</v>
      </c>
      <c r="E440" s="14">
        <v>45021.170138888891</v>
      </c>
      <c r="F440" s="13" t="s">
        <v>100</v>
      </c>
      <c r="G440" s="13" t="s">
        <v>86</v>
      </c>
      <c r="H440" s="13" t="s">
        <v>74</v>
      </c>
      <c r="I440" s="17">
        <v>10.14</v>
      </c>
      <c r="J440" s="13" t="s">
        <v>88</v>
      </c>
      <c r="K440" s="13">
        <v>408</v>
      </c>
      <c r="L440" s="13" t="s">
        <v>101</v>
      </c>
      <c r="M440" s="13" t="s">
        <v>1552</v>
      </c>
    </row>
    <row r="441" spans="1:13" x14ac:dyDescent="0.35">
      <c r="A441" s="13">
        <v>17</v>
      </c>
      <c r="B441" s="13" t="s">
        <v>984</v>
      </c>
      <c r="C441" s="13">
        <v>6</v>
      </c>
      <c r="D441" s="14">
        <v>45018.073611111111</v>
      </c>
      <c r="E441" s="14">
        <v>45018.23333333333</v>
      </c>
      <c r="F441" s="13" t="s">
        <v>100</v>
      </c>
      <c r="G441" s="13" t="s">
        <v>86</v>
      </c>
      <c r="H441" s="13" t="s">
        <v>74</v>
      </c>
      <c r="I441" s="17">
        <v>35.69</v>
      </c>
      <c r="J441" s="13" t="s">
        <v>75</v>
      </c>
      <c r="K441" s="13">
        <v>216</v>
      </c>
      <c r="L441" s="13" t="s">
        <v>174</v>
      </c>
      <c r="M441" s="13" t="s">
        <v>1426</v>
      </c>
    </row>
    <row r="442" spans="1:13" x14ac:dyDescent="0.35">
      <c r="A442" s="13">
        <v>17</v>
      </c>
      <c r="B442" s="13" t="s">
        <v>906</v>
      </c>
      <c r="C442" s="13">
        <v>1</v>
      </c>
      <c r="D442" s="14">
        <v>45017.112500000003</v>
      </c>
      <c r="E442" s="14">
        <v>45017.243750000001</v>
      </c>
      <c r="F442" s="13" t="s">
        <v>100</v>
      </c>
      <c r="G442" s="13" t="s">
        <v>86</v>
      </c>
      <c r="H442" s="13" t="s">
        <v>74</v>
      </c>
      <c r="I442" s="17">
        <v>15.28</v>
      </c>
      <c r="J442" s="13" t="s">
        <v>94</v>
      </c>
      <c r="K442" s="13">
        <v>72</v>
      </c>
      <c r="L442" s="13" t="s">
        <v>76</v>
      </c>
      <c r="M442" s="13" t="s">
        <v>1323</v>
      </c>
    </row>
    <row r="443" spans="1:13" x14ac:dyDescent="0.35">
      <c r="A443" s="13">
        <v>17</v>
      </c>
      <c r="B443" s="13" t="s">
        <v>993</v>
      </c>
      <c r="C443" s="13">
        <v>6</v>
      </c>
      <c r="D443" s="14">
        <v>45018.115277777775</v>
      </c>
      <c r="E443" s="14">
        <v>45018.227777777778</v>
      </c>
      <c r="F443" s="13" t="s">
        <v>170</v>
      </c>
      <c r="G443" s="13" t="s">
        <v>163</v>
      </c>
      <c r="H443" s="13" t="s">
        <v>74</v>
      </c>
      <c r="I443" s="17">
        <v>10.220000000000001</v>
      </c>
      <c r="J443" s="13" t="s">
        <v>75</v>
      </c>
      <c r="K443" s="13">
        <v>234</v>
      </c>
      <c r="L443" s="13" t="s">
        <v>89</v>
      </c>
      <c r="M443" s="13" t="s">
        <v>1437</v>
      </c>
    </row>
    <row r="444" spans="1:13" x14ac:dyDescent="0.35">
      <c r="A444" s="13">
        <v>17</v>
      </c>
      <c r="B444" s="13" t="s">
        <v>1087</v>
      </c>
      <c r="C444" s="13">
        <v>4</v>
      </c>
      <c r="D444" s="14">
        <v>45021.036111111112</v>
      </c>
      <c r="E444" s="14">
        <v>45021.146527777775</v>
      </c>
      <c r="F444" s="13" t="s">
        <v>170</v>
      </c>
      <c r="G444" s="13" t="s">
        <v>73</v>
      </c>
      <c r="H444" s="13" t="s">
        <v>74</v>
      </c>
      <c r="I444" s="17">
        <v>35.51</v>
      </c>
      <c r="J444" s="13" t="s">
        <v>94</v>
      </c>
      <c r="K444" s="13">
        <v>418</v>
      </c>
      <c r="L444" s="13" t="s">
        <v>181</v>
      </c>
      <c r="M444" s="13" t="s">
        <v>1558</v>
      </c>
    </row>
    <row r="445" spans="1:13" x14ac:dyDescent="0.35">
      <c r="A445" s="13">
        <v>17</v>
      </c>
      <c r="B445" s="13" t="s">
        <v>961</v>
      </c>
      <c r="C445" s="13">
        <v>2</v>
      </c>
      <c r="D445" s="14">
        <v>45023.047222222223</v>
      </c>
      <c r="E445" s="14">
        <v>45023.14166666667</v>
      </c>
      <c r="F445" s="13" t="s">
        <v>72</v>
      </c>
      <c r="G445" s="13" t="s">
        <v>163</v>
      </c>
      <c r="H445" s="13" t="s">
        <v>74</v>
      </c>
      <c r="I445" s="17">
        <v>25.91</v>
      </c>
      <c r="J445" s="13" t="s">
        <v>88</v>
      </c>
      <c r="K445" s="13">
        <v>736</v>
      </c>
      <c r="L445" s="13" t="s">
        <v>181</v>
      </c>
      <c r="M445" s="13" t="s">
        <v>1769</v>
      </c>
    </row>
    <row r="446" spans="1:13" x14ac:dyDescent="0.35">
      <c r="A446" s="11">
        <v>17</v>
      </c>
      <c r="B446" s="11" t="s">
        <v>867</v>
      </c>
      <c r="C446" s="11">
        <v>6</v>
      </c>
      <c r="D446" s="12">
        <v>45017.081250000003</v>
      </c>
      <c r="E446" s="12">
        <v>45017.181944444441</v>
      </c>
      <c r="F446" s="11" t="s">
        <v>100</v>
      </c>
      <c r="G446" s="11" t="s">
        <v>73</v>
      </c>
      <c r="H446" s="11" t="s">
        <v>74</v>
      </c>
      <c r="I446" s="16">
        <v>10.54</v>
      </c>
      <c r="J446" s="11" t="s">
        <v>88</v>
      </c>
      <c r="K446" s="11">
        <v>7</v>
      </c>
      <c r="L446" s="11" t="s">
        <v>275</v>
      </c>
      <c r="M446" s="11" t="s">
        <v>1267</v>
      </c>
    </row>
    <row r="447" spans="1:13" x14ac:dyDescent="0.35">
      <c r="A447" s="13">
        <v>17</v>
      </c>
      <c r="B447" s="13" t="s">
        <v>869</v>
      </c>
      <c r="C447" s="13">
        <v>1</v>
      </c>
      <c r="D447" s="14">
        <v>45017.001388888886</v>
      </c>
      <c r="E447" s="14">
        <v>45017.078472222223</v>
      </c>
      <c r="F447" s="13" t="s">
        <v>72</v>
      </c>
      <c r="G447" s="13" t="s">
        <v>86</v>
      </c>
      <c r="H447" s="13" t="s">
        <v>74</v>
      </c>
      <c r="I447" s="17">
        <v>16.600000000000001</v>
      </c>
      <c r="J447" s="13" t="s">
        <v>88</v>
      </c>
      <c r="K447" s="13">
        <v>10</v>
      </c>
      <c r="L447" s="13" t="s">
        <v>174</v>
      </c>
      <c r="M447" s="13" t="s">
        <v>1270</v>
      </c>
    </row>
    <row r="448" spans="1:13" x14ac:dyDescent="0.35">
      <c r="A448" s="13">
        <v>17</v>
      </c>
      <c r="B448" s="13" t="s">
        <v>314</v>
      </c>
      <c r="C448" s="13">
        <v>6</v>
      </c>
      <c r="D448" s="14">
        <v>45019.018055555556</v>
      </c>
      <c r="E448" s="14">
        <v>45019.164583333331</v>
      </c>
      <c r="F448" s="13" t="s">
        <v>100</v>
      </c>
      <c r="G448" s="13" t="s">
        <v>163</v>
      </c>
      <c r="H448" s="13" t="s">
        <v>74</v>
      </c>
      <c r="I448" s="17">
        <v>20.36</v>
      </c>
      <c r="J448" s="13" t="s">
        <v>75</v>
      </c>
      <c r="K448" s="13">
        <v>294</v>
      </c>
      <c r="L448" s="13" t="s">
        <v>110</v>
      </c>
      <c r="M448" s="13" t="s">
        <v>1476</v>
      </c>
    </row>
    <row r="449" spans="1:13" x14ac:dyDescent="0.35">
      <c r="A449" s="11">
        <v>17</v>
      </c>
      <c r="B449" s="11" t="s">
        <v>1096</v>
      </c>
      <c r="C449" s="11">
        <v>6</v>
      </c>
      <c r="D449" s="12">
        <v>45021.161805555559</v>
      </c>
      <c r="E449" s="12">
        <v>45021.250694444447</v>
      </c>
      <c r="F449" s="11" t="s">
        <v>85</v>
      </c>
      <c r="G449" s="11" t="s">
        <v>86</v>
      </c>
      <c r="H449" s="11" t="s">
        <v>74</v>
      </c>
      <c r="I449" s="16">
        <v>30.48</v>
      </c>
      <c r="J449" s="11" t="s">
        <v>88</v>
      </c>
      <c r="K449" s="11">
        <v>435</v>
      </c>
      <c r="L449" s="11" t="s">
        <v>181</v>
      </c>
      <c r="M449" s="11" t="s">
        <v>1571</v>
      </c>
    </row>
    <row r="450" spans="1:13" x14ac:dyDescent="0.35">
      <c r="A450" s="11">
        <v>17</v>
      </c>
      <c r="B450" s="11" t="s">
        <v>917</v>
      </c>
      <c r="C450" s="11">
        <v>6</v>
      </c>
      <c r="D450" s="12">
        <v>45018.075694444444</v>
      </c>
      <c r="E450" s="12">
        <v>45018.202777777777</v>
      </c>
      <c r="F450" s="11" t="s">
        <v>85</v>
      </c>
      <c r="G450" s="11" t="s">
        <v>86</v>
      </c>
      <c r="H450" s="11" t="s">
        <v>74</v>
      </c>
      <c r="I450" s="16">
        <v>41.05</v>
      </c>
      <c r="J450" s="11" t="s">
        <v>75</v>
      </c>
      <c r="K450" s="11">
        <v>227</v>
      </c>
      <c r="L450" s="11" t="s">
        <v>101</v>
      </c>
      <c r="M450" s="11" t="s">
        <v>1432</v>
      </c>
    </row>
    <row r="451" spans="1:13" x14ac:dyDescent="0.35">
      <c r="A451" s="13">
        <v>17</v>
      </c>
      <c r="B451" s="13" t="s">
        <v>894</v>
      </c>
      <c r="C451" s="13">
        <v>6</v>
      </c>
      <c r="D451" s="14">
        <v>45018.155555555553</v>
      </c>
      <c r="E451" s="14">
        <v>45018.250694444447</v>
      </c>
      <c r="F451" s="13" t="s">
        <v>170</v>
      </c>
      <c r="G451" s="13" t="s">
        <v>86</v>
      </c>
      <c r="H451" s="13" t="s">
        <v>87</v>
      </c>
      <c r="I451" s="17">
        <v>17.649999999999999</v>
      </c>
      <c r="J451" s="13" t="s">
        <v>94</v>
      </c>
      <c r="K451" s="13">
        <v>244</v>
      </c>
      <c r="L451" s="13" t="s">
        <v>76</v>
      </c>
      <c r="M451" s="13" t="s">
        <v>1443</v>
      </c>
    </row>
    <row r="452" spans="1:13" x14ac:dyDescent="0.35">
      <c r="A452" s="13">
        <v>17</v>
      </c>
      <c r="B452" s="13" t="s">
        <v>908</v>
      </c>
      <c r="C452" s="13">
        <v>3</v>
      </c>
      <c r="D452" s="14">
        <v>45017.122916666667</v>
      </c>
      <c r="E452" s="14">
        <v>45017.224999999999</v>
      </c>
      <c r="F452" s="13" t="s">
        <v>223</v>
      </c>
      <c r="G452" s="13" t="s">
        <v>86</v>
      </c>
      <c r="H452" s="13" t="s">
        <v>74</v>
      </c>
      <c r="I452" s="17">
        <v>17.760000000000002</v>
      </c>
      <c r="J452" s="13" t="s">
        <v>94</v>
      </c>
      <c r="K452" s="13">
        <v>76</v>
      </c>
      <c r="L452" s="13" t="s">
        <v>164</v>
      </c>
      <c r="M452" s="13" t="s">
        <v>1326</v>
      </c>
    </row>
    <row r="453" spans="1:13" x14ac:dyDescent="0.35">
      <c r="A453" s="11">
        <v>17</v>
      </c>
      <c r="B453" s="11" t="s">
        <v>905</v>
      </c>
      <c r="C453" s="11">
        <v>2</v>
      </c>
      <c r="D453" s="12">
        <v>45019.100694444445</v>
      </c>
      <c r="E453" s="12">
        <v>45019.261111111111</v>
      </c>
      <c r="F453" s="11" t="s">
        <v>100</v>
      </c>
      <c r="G453" s="11" t="s">
        <v>163</v>
      </c>
      <c r="H453" s="11" t="s">
        <v>87</v>
      </c>
      <c r="I453" s="16">
        <v>24.55</v>
      </c>
      <c r="J453" s="11" t="s">
        <v>75</v>
      </c>
      <c r="K453" s="11">
        <v>317</v>
      </c>
      <c r="L453" s="11" t="s">
        <v>174</v>
      </c>
      <c r="M453" s="11" t="s">
        <v>1495</v>
      </c>
    </row>
    <row r="454" spans="1:13" x14ac:dyDescent="0.35">
      <c r="A454" s="11">
        <v>17</v>
      </c>
      <c r="B454" s="11" t="s">
        <v>1061</v>
      </c>
      <c r="C454" s="11">
        <v>2</v>
      </c>
      <c r="D454" s="12">
        <v>45020.054861111108</v>
      </c>
      <c r="E454" s="12">
        <v>45020.18472222222</v>
      </c>
      <c r="F454" s="11" t="s">
        <v>170</v>
      </c>
      <c r="G454" s="11" t="s">
        <v>163</v>
      </c>
      <c r="H454" s="11" t="s">
        <v>109</v>
      </c>
      <c r="I454" s="16">
        <v>26.87</v>
      </c>
      <c r="J454" s="11" t="s">
        <v>88</v>
      </c>
      <c r="K454" s="11">
        <v>357</v>
      </c>
      <c r="L454" s="11" t="s">
        <v>101</v>
      </c>
      <c r="M454" s="11" t="s">
        <v>1521</v>
      </c>
    </row>
    <row r="455" spans="1:13" x14ac:dyDescent="0.35">
      <c r="A455" s="13">
        <v>17</v>
      </c>
      <c r="B455" s="13" t="s">
        <v>1164</v>
      </c>
      <c r="C455" s="13">
        <v>1</v>
      </c>
      <c r="D455" s="14">
        <v>45022.138888888891</v>
      </c>
      <c r="E455" s="14">
        <v>45022.200694444444</v>
      </c>
      <c r="F455" s="13" t="s">
        <v>170</v>
      </c>
      <c r="G455" s="13" t="s">
        <v>86</v>
      </c>
      <c r="H455" s="13" t="s">
        <v>109</v>
      </c>
      <c r="I455" s="17">
        <v>46.01</v>
      </c>
      <c r="J455" s="13" t="s">
        <v>75</v>
      </c>
      <c r="K455" s="13">
        <v>594</v>
      </c>
      <c r="L455" s="13" t="s">
        <v>95</v>
      </c>
      <c r="M455" s="13" t="s">
        <v>1673</v>
      </c>
    </row>
    <row r="456" spans="1:13" x14ac:dyDescent="0.35">
      <c r="A456" s="11">
        <v>17</v>
      </c>
      <c r="B456" s="11" t="s">
        <v>462</v>
      </c>
      <c r="C456" s="11">
        <v>3</v>
      </c>
      <c r="D456" s="12">
        <v>45018.14166666667</v>
      </c>
      <c r="E456" s="12">
        <v>45018.210416666669</v>
      </c>
      <c r="F456" s="11" t="s">
        <v>100</v>
      </c>
      <c r="G456" s="11" t="s">
        <v>163</v>
      </c>
      <c r="H456" s="11" t="s">
        <v>74</v>
      </c>
      <c r="I456" s="16">
        <v>11.5</v>
      </c>
      <c r="J456" s="11" t="s">
        <v>94</v>
      </c>
      <c r="K456" s="11">
        <v>119</v>
      </c>
      <c r="L456" s="11" t="s">
        <v>76</v>
      </c>
      <c r="M456" s="11" t="s">
        <v>1359</v>
      </c>
    </row>
    <row r="457" spans="1:13" x14ac:dyDescent="0.35">
      <c r="A457" s="13">
        <v>17</v>
      </c>
      <c r="B457" s="13" t="s">
        <v>904</v>
      </c>
      <c r="C457" s="13">
        <v>4</v>
      </c>
      <c r="D457" s="14">
        <v>45017.007638888892</v>
      </c>
      <c r="E457" s="14">
        <v>45017.056944444441</v>
      </c>
      <c r="F457" s="13" t="s">
        <v>72</v>
      </c>
      <c r="G457" s="13" t="s">
        <v>86</v>
      </c>
      <c r="H457" s="13" t="s">
        <v>109</v>
      </c>
      <c r="I457" s="17">
        <v>28.26</v>
      </c>
      <c r="J457" s="13" t="s">
        <v>75</v>
      </c>
      <c r="K457" s="13">
        <v>70</v>
      </c>
      <c r="L457" s="13" t="s">
        <v>221</v>
      </c>
      <c r="M457" s="13" t="s">
        <v>1321</v>
      </c>
    </row>
    <row r="458" spans="1:13" x14ac:dyDescent="0.35">
      <c r="A458" s="13">
        <v>17</v>
      </c>
      <c r="B458" s="13" t="s">
        <v>1033</v>
      </c>
      <c r="C458" s="13">
        <v>3</v>
      </c>
      <c r="D458" s="14">
        <v>45019.12777777778</v>
      </c>
      <c r="E458" s="14">
        <v>45019.265972222223</v>
      </c>
      <c r="F458" s="13" t="s">
        <v>85</v>
      </c>
      <c r="G458" s="13" t="s">
        <v>73</v>
      </c>
      <c r="H458" s="13" t="s">
        <v>74</v>
      </c>
      <c r="I458" s="17">
        <v>11.47</v>
      </c>
      <c r="J458" s="13" t="s">
        <v>75</v>
      </c>
      <c r="K458" s="13">
        <v>310</v>
      </c>
      <c r="L458" s="13" t="s">
        <v>174</v>
      </c>
      <c r="M458" s="13" t="s">
        <v>1489</v>
      </c>
    </row>
    <row r="459" spans="1:13" x14ac:dyDescent="0.35">
      <c r="A459" s="13">
        <v>17</v>
      </c>
      <c r="B459" s="13" t="s">
        <v>624</v>
      </c>
      <c r="C459" s="13">
        <v>1</v>
      </c>
      <c r="D459" s="14">
        <v>45021.143055555556</v>
      </c>
      <c r="E459" s="14">
        <v>45021.293055555558</v>
      </c>
      <c r="F459" s="13" t="s">
        <v>170</v>
      </c>
      <c r="G459" s="13" t="s">
        <v>86</v>
      </c>
      <c r="H459" s="13" t="s">
        <v>74</v>
      </c>
      <c r="I459" s="17">
        <v>18.05</v>
      </c>
      <c r="J459" s="13" t="s">
        <v>88</v>
      </c>
      <c r="K459" s="13">
        <v>394</v>
      </c>
      <c r="L459" s="13" t="s">
        <v>89</v>
      </c>
      <c r="M459" s="13" t="s">
        <v>1490</v>
      </c>
    </row>
    <row r="460" spans="1:13" x14ac:dyDescent="0.35">
      <c r="A460" s="11">
        <v>17</v>
      </c>
      <c r="B460" s="11" t="s">
        <v>985</v>
      </c>
      <c r="C460" s="11">
        <v>3</v>
      </c>
      <c r="D460" s="12">
        <v>45023.095833333333</v>
      </c>
      <c r="E460" s="12">
        <v>45023.145833333336</v>
      </c>
      <c r="F460" s="11" t="s">
        <v>170</v>
      </c>
      <c r="G460" s="11" t="s">
        <v>86</v>
      </c>
      <c r="H460" s="11" t="s">
        <v>87</v>
      </c>
      <c r="I460" s="16">
        <v>32.200000000000003</v>
      </c>
      <c r="J460" s="11" t="s">
        <v>94</v>
      </c>
      <c r="K460" s="11">
        <v>671</v>
      </c>
      <c r="L460" s="11" t="s">
        <v>95</v>
      </c>
      <c r="M460" s="11" t="s">
        <v>1726</v>
      </c>
    </row>
    <row r="461" spans="1:13" x14ac:dyDescent="0.35">
      <c r="A461" s="11">
        <v>17</v>
      </c>
      <c r="B461" s="11" t="s">
        <v>883</v>
      </c>
      <c r="C461" s="11">
        <v>2</v>
      </c>
      <c r="D461" s="12">
        <v>45022.088194444441</v>
      </c>
      <c r="E461" s="12">
        <v>45022.246527777781</v>
      </c>
      <c r="F461" s="11" t="s">
        <v>72</v>
      </c>
      <c r="G461" s="11" t="s">
        <v>73</v>
      </c>
      <c r="H461" s="11" t="s">
        <v>109</v>
      </c>
      <c r="I461" s="16">
        <v>26.07</v>
      </c>
      <c r="J461" s="11" t="s">
        <v>88</v>
      </c>
      <c r="K461" s="11">
        <v>629</v>
      </c>
      <c r="L461" s="11" t="s">
        <v>164</v>
      </c>
      <c r="M461" s="11" t="s">
        <v>1696</v>
      </c>
    </row>
    <row r="462" spans="1:13" x14ac:dyDescent="0.35">
      <c r="A462" s="11">
        <v>17</v>
      </c>
      <c r="B462" s="11" t="s">
        <v>1163</v>
      </c>
      <c r="C462" s="11">
        <v>5</v>
      </c>
      <c r="D462" s="12">
        <v>45022.017361111109</v>
      </c>
      <c r="E462" s="12">
        <v>45022.095138888886</v>
      </c>
      <c r="F462" s="11" t="s">
        <v>72</v>
      </c>
      <c r="G462" s="11" t="s">
        <v>86</v>
      </c>
      <c r="H462" s="11" t="s">
        <v>109</v>
      </c>
      <c r="I462" s="16">
        <v>48.8</v>
      </c>
      <c r="J462" s="11" t="s">
        <v>94</v>
      </c>
      <c r="K462" s="11">
        <v>593</v>
      </c>
      <c r="L462" s="11" t="s">
        <v>181</v>
      </c>
      <c r="M462" s="11" t="s">
        <v>1672</v>
      </c>
    </row>
    <row r="463" spans="1:13" x14ac:dyDescent="0.35">
      <c r="A463" s="13">
        <v>17</v>
      </c>
      <c r="B463" s="13" t="s">
        <v>1160</v>
      </c>
      <c r="C463" s="13">
        <v>5</v>
      </c>
      <c r="D463" s="14">
        <v>45022.030555555553</v>
      </c>
      <c r="E463" s="14">
        <v>45022.163194444445</v>
      </c>
      <c r="F463" s="13" t="s">
        <v>170</v>
      </c>
      <c r="G463" s="13" t="s">
        <v>73</v>
      </c>
      <c r="H463" s="13" t="s">
        <v>87</v>
      </c>
      <c r="I463" s="17">
        <v>32.79</v>
      </c>
      <c r="J463" s="13" t="s">
        <v>88</v>
      </c>
      <c r="K463" s="13">
        <v>586</v>
      </c>
      <c r="L463" s="13" t="s">
        <v>275</v>
      </c>
      <c r="M463" s="13" t="s">
        <v>1530</v>
      </c>
    </row>
    <row r="464" spans="1:13" x14ac:dyDescent="0.35">
      <c r="A464" s="11">
        <v>17</v>
      </c>
      <c r="B464" s="11" t="s">
        <v>340</v>
      </c>
      <c r="C464" s="11">
        <v>4</v>
      </c>
      <c r="D464" s="12">
        <v>45017.02847222222</v>
      </c>
      <c r="E464" s="12">
        <v>45017.17083333333</v>
      </c>
      <c r="F464" s="11" t="s">
        <v>72</v>
      </c>
      <c r="G464" s="11" t="s">
        <v>86</v>
      </c>
      <c r="H464" s="11" t="s">
        <v>74</v>
      </c>
      <c r="I464" s="16">
        <v>33.340000000000003</v>
      </c>
      <c r="J464" s="11" t="s">
        <v>94</v>
      </c>
      <c r="K464" s="11">
        <v>63</v>
      </c>
      <c r="L464" s="11" t="s">
        <v>110</v>
      </c>
      <c r="M464" s="11" t="s">
        <v>1314</v>
      </c>
    </row>
    <row r="465" spans="1:13" x14ac:dyDescent="0.35">
      <c r="A465" s="13">
        <v>17</v>
      </c>
      <c r="B465" s="13" t="s">
        <v>1052</v>
      </c>
      <c r="C465" s="13">
        <v>2</v>
      </c>
      <c r="D465" s="14">
        <v>45021.026388888888</v>
      </c>
      <c r="E465" s="14">
        <v>45021.186805555553</v>
      </c>
      <c r="F465" s="13" t="s">
        <v>85</v>
      </c>
      <c r="G465" s="13" t="s">
        <v>86</v>
      </c>
      <c r="H465" s="13" t="s">
        <v>74</v>
      </c>
      <c r="I465" s="17">
        <v>32.56</v>
      </c>
      <c r="J465" s="13" t="s">
        <v>75</v>
      </c>
      <c r="K465" s="13">
        <v>404</v>
      </c>
      <c r="L465" s="13" t="s">
        <v>181</v>
      </c>
      <c r="M465" s="13" t="s">
        <v>1549</v>
      </c>
    </row>
    <row r="466" spans="1:13" x14ac:dyDescent="0.35">
      <c r="A466" s="13">
        <v>17</v>
      </c>
      <c r="B466" s="13" t="s">
        <v>1065</v>
      </c>
      <c r="C466" s="13">
        <v>5</v>
      </c>
      <c r="D466" s="14">
        <v>45020.064583333333</v>
      </c>
      <c r="E466" s="14">
        <v>45020.198611111111</v>
      </c>
      <c r="F466" s="13" t="s">
        <v>170</v>
      </c>
      <c r="G466" s="13" t="s">
        <v>86</v>
      </c>
      <c r="H466" s="13" t="s">
        <v>87</v>
      </c>
      <c r="I466" s="17">
        <v>10.57</v>
      </c>
      <c r="J466" s="13" t="s">
        <v>94</v>
      </c>
      <c r="K466" s="13">
        <v>366</v>
      </c>
      <c r="L466" s="13" t="s">
        <v>101</v>
      </c>
      <c r="M466" s="13" t="s">
        <v>1528</v>
      </c>
    </row>
    <row r="467" spans="1:13" x14ac:dyDescent="0.35">
      <c r="A467" s="11">
        <v>17</v>
      </c>
      <c r="B467" s="11" t="s">
        <v>745</v>
      </c>
      <c r="C467" s="11">
        <v>1</v>
      </c>
      <c r="D467" s="12">
        <v>45022.06527777778</v>
      </c>
      <c r="E467" s="12">
        <v>45022.159722222219</v>
      </c>
      <c r="F467" s="11" t="s">
        <v>223</v>
      </c>
      <c r="G467" s="11" t="s">
        <v>86</v>
      </c>
      <c r="H467" s="11" t="s">
        <v>74</v>
      </c>
      <c r="I467" s="16">
        <v>45.76</v>
      </c>
      <c r="J467" s="11" t="s">
        <v>88</v>
      </c>
      <c r="K467" s="11">
        <v>487</v>
      </c>
      <c r="L467" s="11" t="s">
        <v>221</v>
      </c>
      <c r="M467" s="11" t="s">
        <v>1605</v>
      </c>
    </row>
    <row r="468" spans="1:13" x14ac:dyDescent="0.35">
      <c r="A468" s="13">
        <v>17</v>
      </c>
      <c r="B468" s="13" t="s">
        <v>888</v>
      </c>
      <c r="C468" s="13">
        <v>2</v>
      </c>
      <c r="D468" s="14">
        <v>45017.019444444442</v>
      </c>
      <c r="E468" s="14">
        <v>45017.168055555558</v>
      </c>
      <c r="F468" s="13" t="s">
        <v>170</v>
      </c>
      <c r="G468" s="13" t="s">
        <v>163</v>
      </c>
      <c r="H468" s="13" t="s">
        <v>74</v>
      </c>
      <c r="I468" s="17">
        <v>25.31</v>
      </c>
      <c r="J468" s="13" t="s">
        <v>75</v>
      </c>
      <c r="K468" s="13">
        <v>48</v>
      </c>
      <c r="L468" s="13" t="s">
        <v>95</v>
      </c>
      <c r="M468" s="13" t="s">
        <v>1300</v>
      </c>
    </row>
    <row r="469" spans="1:13" x14ac:dyDescent="0.35">
      <c r="A469" s="13">
        <v>18</v>
      </c>
      <c r="B469" s="13" t="s">
        <v>877</v>
      </c>
      <c r="C469" s="13">
        <v>2</v>
      </c>
      <c r="D469" s="14">
        <v>45017.086111111108</v>
      </c>
      <c r="E469" s="14">
        <v>45017.240972222222</v>
      </c>
      <c r="F469" s="13" t="s">
        <v>85</v>
      </c>
      <c r="G469" s="13" t="s">
        <v>163</v>
      </c>
      <c r="H469" s="13" t="s">
        <v>74</v>
      </c>
      <c r="I469" s="17">
        <v>10.37</v>
      </c>
      <c r="J469" s="13" t="s">
        <v>88</v>
      </c>
      <c r="K469" s="13">
        <v>26</v>
      </c>
      <c r="L469" s="13" t="s">
        <v>174</v>
      </c>
      <c r="M469" s="13" t="s">
        <v>1282</v>
      </c>
    </row>
    <row r="470" spans="1:13" x14ac:dyDescent="0.35">
      <c r="A470" s="11">
        <v>18</v>
      </c>
      <c r="B470" s="11" t="s">
        <v>1041</v>
      </c>
      <c r="C470" s="11">
        <v>1</v>
      </c>
      <c r="D470" s="12">
        <v>45019.041666666664</v>
      </c>
      <c r="E470" s="12">
        <v>45019.095833333333</v>
      </c>
      <c r="F470" s="11" t="s">
        <v>100</v>
      </c>
      <c r="G470" s="11" t="s">
        <v>86</v>
      </c>
      <c r="H470" s="11" t="s">
        <v>74</v>
      </c>
      <c r="I470" s="16">
        <v>32.5</v>
      </c>
      <c r="J470" s="11" t="s">
        <v>94</v>
      </c>
      <c r="K470" s="11">
        <v>325</v>
      </c>
      <c r="L470" s="11" t="s">
        <v>76</v>
      </c>
      <c r="M470" s="11" t="s">
        <v>1502</v>
      </c>
    </row>
    <row r="471" spans="1:13" x14ac:dyDescent="0.35">
      <c r="A471" s="11">
        <v>18</v>
      </c>
      <c r="B471" s="11" t="s">
        <v>453</v>
      </c>
      <c r="C471" s="11">
        <v>4</v>
      </c>
      <c r="D471" s="12">
        <v>45022.136805555558</v>
      </c>
      <c r="E471" s="12">
        <v>45022.243055555555</v>
      </c>
      <c r="F471" s="11" t="s">
        <v>85</v>
      </c>
      <c r="G471" s="11" t="s">
        <v>73</v>
      </c>
      <c r="H471" s="11" t="s">
        <v>109</v>
      </c>
      <c r="I471" s="16">
        <v>19.55</v>
      </c>
      <c r="J471" s="11" t="s">
        <v>88</v>
      </c>
      <c r="K471" s="11">
        <v>475</v>
      </c>
      <c r="L471" s="11" t="s">
        <v>221</v>
      </c>
      <c r="M471" s="11" t="s">
        <v>1597</v>
      </c>
    </row>
    <row r="472" spans="1:13" x14ac:dyDescent="0.35">
      <c r="A472" s="13">
        <v>18</v>
      </c>
      <c r="B472" s="13" t="s">
        <v>1006</v>
      </c>
      <c r="C472" s="13">
        <v>4</v>
      </c>
      <c r="D472" s="14">
        <v>45018.155555555553</v>
      </c>
      <c r="E472" s="14">
        <v>45018.306250000001</v>
      </c>
      <c r="F472" s="13" t="s">
        <v>100</v>
      </c>
      <c r="G472" s="13" t="s">
        <v>86</v>
      </c>
      <c r="H472" s="13" t="s">
        <v>74</v>
      </c>
      <c r="I472" s="17">
        <v>42.83</v>
      </c>
      <c r="J472" s="13" t="s">
        <v>88</v>
      </c>
      <c r="K472" s="13">
        <v>262</v>
      </c>
      <c r="L472" s="13" t="s">
        <v>275</v>
      </c>
      <c r="M472" s="13" t="s">
        <v>1453</v>
      </c>
    </row>
    <row r="473" spans="1:13" x14ac:dyDescent="0.35">
      <c r="A473" s="13">
        <v>18</v>
      </c>
      <c r="B473" s="13" t="s">
        <v>869</v>
      </c>
      <c r="C473" s="13">
        <v>6</v>
      </c>
      <c r="D473" s="14">
        <v>45021.095833333333</v>
      </c>
      <c r="E473" s="14">
        <v>45021.228472222225</v>
      </c>
      <c r="F473" s="13" t="s">
        <v>100</v>
      </c>
      <c r="G473" s="13" t="s">
        <v>86</v>
      </c>
      <c r="H473" s="13" t="s">
        <v>74</v>
      </c>
      <c r="I473" s="17">
        <v>31.49</v>
      </c>
      <c r="J473" s="13" t="s">
        <v>88</v>
      </c>
      <c r="K473" s="13">
        <v>420</v>
      </c>
      <c r="L473" s="13" t="s">
        <v>95</v>
      </c>
      <c r="M473" s="13" t="s">
        <v>1560</v>
      </c>
    </row>
    <row r="474" spans="1:13" x14ac:dyDescent="0.35">
      <c r="A474" s="13">
        <v>18</v>
      </c>
      <c r="B474" s="13" t="s">
        <v>1165</v>
      </c>
      <c r="C474" s="13">
        <v>2</v>
      </c>
      <c r="D474" s="14">
        <v>45022.056250000001</v>
      </c>
      <c r="E474" s="14">
        <v>45022.152083333334</v>
      </c>
      <c r="F474" s="13" t="s">
        <v>100</v>
      </c>
      <c r="G474" s="13" t="s">
        <v>86</v>
      </c>
      <c r="H474" s="13" t="s">
        <v>109</v>
      </c>
      <c r="I474" s="17">
        <v>23.7</v>
      </c>
      <c r="J474" s="13" t="s">
        <v>88</v>
      </c>
      <c r="K474" s="13">
        <v>596</v>
      </c>
      <c r="L474" s="13" t="s">
        <v>187</v>
      </c>
      <c r="M474" s="13" t="s">
        <v>1675</v>
      </c>
    </row>
    <row r="475" spans="1:13" x14ac:dyDescent="0.35">
      <c r="A475" s="11">
        <v>18</v>
      </c>
      <c r="B475" s="11" t="s">
        <v>1165</v>
      </c>
      <c r="C475" s="11">
        <v>3</v>
      </c>
      <c r="D475" s="12">
        <v>45023.15902777778</v>
      </c>
      <c r="E475" s="12">
        <v>45023.216666666667</v>
      </c>
      <c r="F475" s="11" t="s">
        <v>72</v>
      </c>
      <c r="G475" s="11" t="s">
        <v>86</v>
      </c>
      <c r="H475" s="11" t="s">
        <v>74</v>
      </c>
      <c r="I475" s="16">
        <v>22.88</v>
      </c>
      <c r="J475" s="11" t="s">
        <v>94</v>
      </c>
      <c r="K475" s="11">
        <v>763</v>
      </c>
      <c r="L475" s="11" t="s">
        <v>164</v>
      </c>
      <c r="M475" s="11" t="s">
        <v>1536</v>
      </c>
    </row>
    <row r="476" spans="1:13" x14ac:dyDescent="0.35">
      <c r="A476" s="13">
        <v>18</v>
      </c>
      <c r="B476" s="13" t="s">
        <v>778</v>
      </c>
      <c r="C476" s="13">
        <v>1</v>
      </c>
      <c r="D476" s="14">
        <v>45017.145833333336</v>
      </c>
      <c r="E476" s="14">
        <v>45017.277777777781</v>
      </c>
      <c r="F476" s="13" t="s">
        <v>72</v>
      </c>
      <c r="G476" s="13" t="s">
        <v>86</v>
      </c>
      <c r="H476" s="13" t="s">
        <v>109</v>
      </c>
      <c r="I476" s="17">
        <v>23.93</v>
      </c>
      <c r="J476" s="13" t="s">
        <v>94</v>
      </c>
      <c r="K476" s="13">
        <v>88</v>
      </c>
      <c r="L476" s="13" t="s">
        <v>187</v>
      </c>
      <c r="M476" s="13" t="s">
        <v>1334</v>
      </c>
    </row>
    <row r="477" spans="1:13" x14ac:dyDescent="0.35">
      <c r="A477" s="11">
        <v>18</v>
      </c>
      <c r="B477" s="11" t="s">
        <v>925</v>
      </c>
      <c r="C477" s="11">
        <v>5</v>
      </c>
      <c r="D477" s="12">
        <v>45022.147916666669</v>
      </c>
      <c r="E477" s="12">
        <v>45022.213888888888</v>
      </c>
      <c r="F477" s="11" t="s">
        <v>72</v>
      </c>
      <c r="G477" s="11" t="s">
        <v>86</v>
      </c>
      <c r="H477" s="11" t="s">
        <v>74</v>
      </c>
      <c r="I477" s="16">
        <v>13.27</v>
      </c>
      <c r="J477" s="11" t="s">
        <v>88</v>
      </c>
      <c r="K477" s="11">
        <v>581</v>
      </c>
      <c r="L477" s="11" t="s">
        <v>76</v>
      </c>
      <c r="M477" s="11" t="s">
        <v>1409</v>
      </c>
    </row>
    <row r="478" spans="1:13" x14ac:dyDescent="0.35">
      <c r="A478" s="11">
        <v>18</v>
      </c>
      <c r="B478" s="11" t="s">
        <v>1132</v>
      </c>
      <c r="C478" s="11">
        <v>2</v>
      </c>
      <c r="D478" s="12">
        <v>45022.029861111114</v>
      </c>
      <c r="E478" s="12">
        <v>45022.120833333334</v>
      </c>
      <c r="F478" s="11" t="s">
        <v>72</v>
      </c>
      <c r="G478" s="11" t="s">
        <v>86</v>
      </c>
      <c r="H478" s="11" t="s">
        <v>74</v>
      </c>
      <c r="I478" s="16">
        <v>15.18</v>
      </c>
      <c r="J478" s="11" t="s">
        <v>75</v>
      </c>
      <c r="K478" s="11">
        <v>521</v>
      </c>
      <c r="L478" s="11" t="s">
        <v>95</v>
      </c>
      <c r="M478" s="11" t="s">
        <v>1625</v>
      </c>
    </row>
    <row r="479" spans="1:13" x14ac:dyDescent="0.35">
      <c r="A479" s="11">
        <v>18</v>
      </c>
      <c r="B479" s="11" t="s">
        <v>905</v>
      </c>
      <c r="C479" s="11">
        <v>4</v>
      </c>
      <c r="D479" s="12">
        <v>45017.081250000003</v>
      </c>
      <c r="E479" s="12">
        <v>45017.24722222222</v>
      </c>
      <c r="F479" s="11" t="s">
        <v>170</v>
      </c>
      <c r="G479" s="11" t="s">
        <v>86</v>
      </c>
      <c r="H479" s="11" t="s">
        <v>74</v>
      </c>
      <c r="I479" s="16">
        <v>24.01</v>
      </c>
      <c r="J479" s="11" t="s">
        <v>88</v>
      </c>
      <c r="K479" s="11">
        <v>71</v>
      </c>
      <c r="L479" s="11" t="s">
        <v>221</v>
      </c>
      <c r="M479" s="11" t="s">
        <v>1322</v>
      </c>
    </row>
    <row r="480" spans="1:13" x14ac:dyDescent="0.35">
      <c r="A480" s="13">
        <v>18</v>
      </c>
      <c r="B480" s="13" t="s">
        <v>937</v>
      </c>
      <c r="C480" s="13">
        <v>3</v>
      </c>
      <c r="D480" s="14">
        <v>45018.114583333336</v>
      </c>
      <c r="E480" s="14">
        <v>45018.216666666667</v>
      </c>
      <c r="F480" s="13" t="s">
        <v>223</v>
      </c>
      <c r="G480" s="13" t="s">
        <v>86</v>
      </c>
      <c r="H480" s="13" t="s">
        <v>74</v>
      </c>
      <c r="I480" s="17">
        <v>41.82</v>
      </c>
      <c r="J480" s="13" t="s">
        <v>75</v>
      </c>
      <c r="K480" s="13">
        <v>126</v>
      </c>
      <c r="L480" s="13" t="s">
        <v>76</v>
      </c>
      <c r="M480" s="13" t="s">
        <v>1363</v>
      </c>
    </row>
    <row r="481" spans="1:13" x14ac:dyDescent="0.35">
      <c r="A481" s="13">
        <v>18</v>
      </c>
      <c r="B481" s="13" t="s">
        <v>937</v>
      </c>
      <c r="C481" s="13">
        <v>6</v>
      </c>
      <c r="D481" s="14">
        <v>45019.095138888886</v>
      </c>
      <c r="E481" s="14">
        <v>45019.179861111108</v>
      </c>
      <c r="F481" s="13" t="s">
        <v>100</v>
      </c>
      <c r="G481" s="13" t="s">
        <v>163</v>
      </c>
      <c r="H481" s="13" t="s">
        <v>74</v>
      </c>
      <c r="I481" s="17">
        <v>38.380000000000003</v>
      </c>
      <c r="J481" s="13" t="s">
        <v>94</v>
      </c>
      <c r="K481" s="13">
        <v>300</v>
      </c>
      <c r="L481" s="13" t="s">
        <v>221</v>
      </c>
      <c r="M481" s="13" t="s">
        <v>1482</v>
      </c>
    </row>
    <row r="482" spans="1:13" x14ac:dyDescent="0.35">
      <c r="A482" s="11">
        <v>18</v>
      </c>
      <c r="B482" s="11" t="s">
        <v>1105</v>
      </c>
      <c r="C482" s="11">
        <v>6</v>
      </c>
      <c r="D482" s="12">
        <v>45021.158333333333</v>
      </c>
      <c r="E482" s="12">
        <v>45021.313888888886</v>
      </c>
      <c r="F482" s="11" t="s">
        <v>100</v>
      </c>
      <c r="G482" s="11" t="s">
        <v>86</v>
      </c>
      <c r="H482" s="11" t="s">
        <v>87</v>
      </c>
      <c r="I482" s="16">
        <v>17.260000000000002</v>
      </c>
      <c r="J482" s="11" t="s">
        <v>94</v>
      </c>
      <c r="K482" s="11">
        <v>457</v>
      </c>
      <c r="L482" s="11" t="s">
        <v>95</v>
      </c>
      <c r="M482" s="11" t="s">
        <v>1536</v>
      </c>
    </row>
    <row r="483" spans="1:13" x14ac:dyDescent="0.35">
      <c r="A483" s="13">
        <v>18</v>
      </c>
      <c r="B483" s="13" t="s">
        <v>950</v>
      </c>
      <c r="C483" s="13">
        <v>6</v>
      </c>
      <c r="D483" s="14">
        <v>45018.025694444441</v>
      </c>
      <c r="E483" s="14">
        <v>45018.131944444445</v>
      </c>
      <c r="F483" s="13" t="s">
        <v>223</v>
      </c>
      <c r="G483" s="13" t="s">
        <v>86</v>
      </c>
      <c r="H483" s="13" t="s">
        <v>109</v>
      </c>
      <c r="I483" s="17">
        <v>48.43</v>
      </c>
      <c r="J483" s="13" t="s">
        <v>75</v>
      </c>
      <c r="K483" s="13">
        <v>150</v>
      </c>
      <c r="L483" s="13" t="s">
        <v>164</v>
      </c>
      <c r="M483" s="13" t="s">
        <v>1379</v>
      </c>
    </row>
    <row r="484" spans="1:13" x14ac:dyDescent="0.35">
      <c r="A484" s="11">
        <v>18</v>
      </c>
      <c r="B484" s="11" t="s">
        <v>1139</v>
      </c>
      <c r="C484" s="11">
        <v>3</v>
      </c>
      <c r="D484" s="12">
        <v>45022.160416666666</v>
      </c>
      <c r="E484" s="12">
        <v>45022.291666666664</v>
      </c>
      <c r="F484" s="11" t="s">
        <v>100</v>
      </c>
      <c r="G484" s="11" t="s">
        <v>163</v>
      </c>
      <c r="H484" s="11" t="s">
        <v>87</v>
      </c>
      <c r="I484" s="16">
        <v>20.9</v>
      </c>
      <c r="J484" s="11" t="s">
        <v>75</v>
      </c>
      <c r="K484" s="11">
        <v>539</v>
      </c>
      <c r="L484" s="11" t="s">
        <v>110</v>
      </c>
      <c r="M484" s="11" t="s">
        <v>1636</v>
      </c>
    </row>
    <row r="485" spans="1:13" x14ac:dyDescent="0.35">
      <c r="A485" s="13">
        <v>18</v>
      </c>
      <c r="B485" s="13" t="s">
        <v>900</v>
      </c>
      <c r="C485" s="13">
        <v>2</v>
      </c>
      <c r="D485" s="14">
        <v>45017.102777777778</v>
      </c>
      <c r="E485" s="14">
        <v>45017.262499999997</v>
      </c>
      <c r="F485" s="13" t="s">
        <v>85</v>
      </c>
      <c r="G485" s="13" t="s">
        <v>86</v>
      </c>
      <c r="H485" s="13" t="s">
        <v>74</v>
      </c>
      <c r="I485" s="17">
        <v>10.88</v>
      </c>
      <c r="J485" s="13" t="s">
        <v>94</v>
      </c>
      <c r="K485" s="13">
        <v>66</v>
      </c>
      <c r="L485" s="13" t="s">
        <v>181</v>
      </c>
      <c r="M485" s="13" t="s">
        <v>1317</v>
      </c>
    </row>
    <row r="486" spans="1:13" x14ac:dyDescent="0.35">
      <c r="A486" s="13">
        <v>18</v>
      </c>
      <c r="B486" s="13" t="s">
        <v>911</v>
      </c>
      <c r="C486" s="13">
        <v>6</v>
      </c>
      <c r="D486" s="14">
        <v>45017.093055555553</v>
      </c>
      <c r="E486" s="14">
        <v>45017.156944444447</v>
      </c>
      <c r="F486" s="13" t="s">
        <v>72</v>
      </c>
      <c r="G486" s="13" t="s">
        <v>86</v>
      </c>
      <c r="H486" s="13" t="s">
        <v>74</v>
      </c>
      <c r="I486" s="17">
        <v>39.049999999999997</v>
      </c>
      <c r="J486" s="13" t="s">
        <v>75</v>
      </c>
      <c r="K486" s="13">
        <v>80</v>
      </c>
      <c r="L486" s="13" t="s">
        <v>275</v>
      </c>
      <c r="M486" s="13" t="s">
        <v>1329</v>
      </c>
    </row>
    <row r="487" spans="1:13" x14ac:dyDescent="0.35">
      <c r="A487" s="11">
        <v>18</v>
      </c>
      <c r="B487" s="11" t="s">
        <v>1037</v>
      </c>
      <c r="C487" s="11">
        <v>5</v>
      </c>
      <c r="D487" s="12">
        <v>45019.086111111108</v>
      </c>
      <c r="E487" s="12">
        <v>45019.179166666669</v>
      </c>
      <c r="F487" s="11" t="s">
        <v>223</v>
      </c>
      <c r="G487" s="11" t="s">
        <v>86</v>
      </c>
      <c r="H487" s="11" t="s">
        <v>74</v>
      </c>
      <c r="I487" s="16">
        <v>23.59</v>
      </c>
      <c r="J487" s="11" t="s">
        <v>75</v>
      </c>
      <c r="K487" s="11">
        <v>321</v>
      </c>
      <c r="L487" s="11" t="s">
        <v>275</v>
      </c>
      <c r="M487" s="11" t="s">
        <v>1498</v>
      </c>
    </row>
    <row r="488" spans="1:13" x14ac:dyDescent="0.35">
      <c r="A488" s="11">
        <v>18</v>
      </c>
      <c r="B488" s="11" t="s">
        <v>949</v>
      </c>
      <c r="C488" s="11">
        <v>4</v>
      </c>
      <c r="D488" s="12">
        <v>45018.065972222219</v>
      </c>
      <c r="E488" s="12">
        <v>45018.201388888891</v>
      </c>
      <c r="F488" s="11" t="s">
        <v>85</v>
      </c>
      <c r="G488" s="11" t="s">
        <v>163</v>
      </c>
      <c r="H488" s="11" t="s">
        <v>74</v>
      </c>
      <c r="I488" s="16">
        <v>15.92</v>
      </c>
      <c r="J488" s="11" t="s">
        <v>88</v>
      </c>
      <c r="K488" s="11">
        <v>149</v>
      </c>
      <c r="L488" s="11" t="s">
        <v>89</v>
      </c>
      <c r="M488" s="11" t="s">
        <v>1378</v>
      </c>
    </row>
    <row r="489" spans="1:13" x14ac:dyDescent="0.35">
      <c r="A489" s="13">
        <v>18</v>
      </c>
      <c r="B489" s="13" t="s">
        <v>672</v>
      </c>
      <c r="C489" s="13">
        <v>1</v>
      </c>
      <c r="D489" s="14">
        <v>45017.129166666666</v>
      </c>
      <c r="E489" s="14">
        <v>45017.262499999997</v>
      </c>
      <c r="F489" s="13" t="s">
        <v>72</v>
      </c>
      <c r="G489" s="13" t="s">
        <v>86</v>
      </c>
      <c r="H489" s="13" t="s">
        <v>74</v>
      </c>
      <c r="I489" s="17">
        <v>42.6</v>
      </c>
      <c r="J489" s="13" t="s">
        <v>75</v>
      </c>
      <c r="K489" s="13">
        <v>44</v>
      </c>
      <c r="L489" s="13" t="s">
        <v>181</v>
      </c>
      <c r="M489" s="13" t="s">
        <v>1297</v>
      </c>
    </row>
    <row r="490" spans="1:13" x14ac:dyDescent="0.35">
      <c r="A490" s="13">
        <v>18</v>
      </c>
      <c r="B490" s="13" t="s">
        <v>945</v>
      </c>
      <c r="C490" s="13">
        <v>1</v>
      </c>
      <c r="D490" s="14">
        <v>45018.123611111114</v>
      </c>
      <c r="E490" s="14">
        <v>45018.230555555558</v>
      </c>
      <c r="F490" s="13" t="s">
        <v>72</v>
      </c>
      <c r="G490" s="13" t="s">
        <v>73</v>
      </c>
      <c r="H490" s="13" t="s">
        <v>74</v>
      </c>
      <c r="I490" s="17">
        <v>11.22</v>
      </c>
      <c r="J490" s="13" t="s">
        <v>88</v>
      </c>
      <c r="K490" s="13">
        <v>144</v>
      </c>
      <c r="L490" s="13" t="s">
        <v>76</v>
      </c>
      <c r="M490" s="13" t="s">
        <v>1374</v>
      </c>
    </row>
    <row r="491" spans="1:13" x14ac:dyDescent="0.35">
      <c r="A491" s="11">
        <v>18</v>
      </c>
      <c r="B491" s="11" t="s">
        <v>965</v>
      </c>
      <c r="C491" s="11">
        <v>1</v>
      </c>
      <c r="D491" s="12">
        <v>45018.115277777775</v>
      </c>
      <c r="E491" s="12">
        <v>45018.269444444442</v>
      </c>
      <c r="F491" s="11" t="s">
        <v>223</v>
      </c>
      <c r="G491" s="11" t="s">
        <v>86</v>
      </c>
      <c r="H491" s="11" t="s">
        <v>74</v>
      </c>
      <c r="I491" s="16">
        <v>11.69</v>
      </c>
      <c r="J491" s="11" t="s">
        <v>88</v>
      </c>
      <c r="K491" s="11">
        <v>183</v>
      </c>
      <c r="L491" s="11" t="s">
        <v>174</v>
      </c>
      <c r="M491" s="11" t="s">
        <v>1400</v>
      </c>
    </row>
    <row r="492" spans="1:13" x14ac:dyDescent="0.35">
      <c r="A492" s="13">
        <v>18</v>
      </c>
      <c r="B492" s="13" t="s">
        <v>1210</v>
      </c>
      <c r="C492" s="13">
        <v>1</v>
      </c>
      <c r="D492" s="14">
        <v>45023.102777777778</v>
      </c>
      <c r="E492" s="14">
        <v>45023.151388888888</v>
      </c>
      <c r="F492" s="13" t="s">
        <v>85</v>
      </c>
      <c r="G492" s="13" t="s">
        <v>86</v>
      </c>
      <c r="H492" s="13" t="s">
        <v>74</v>
      </c>
      <c r="I492" s="17">
        <v>28.43</v>
      </c>
      <c r="J492" s="13" t="s">
        <v>88</v>
      </c>
      <c r="K492" s="13">
        <v>710</v>
      </c>
      <c r="L492" s="13" t="s">
        <v>181</v>
      </c>
      <c r="M492" s="13" t="s">
        <v>1751</v>
      </c>
    </row>
    <row r="493" spans="1:13" x14ac:dyDescent="0.35">
      <c r="A493" s="11">
        <v>18</v>
      </c>
      <c r="B493" s="11" t="s">
        <v>887</v>
      </c>
      <c r="C493" s="11">
        <v>3</v>
      </c>
      <c r="D493" s="12">
        <v>45017.145833333336</v>
      </c>
      <c r="E493" s="12">
        <v>45017.311805555553</v>
      </c>
      <c r="F493" s="11" t="s">
        <v>100</v>
      </c>
      <c r="G493" s="11" t="s">
        <v>86</v>
      </c>
      <c r="H493" s="11" t="s">
        <v>74</v>
      </c>
      <c r="I493" s="16">
        <v>10.98</v>
      </c>
      <c r="J493" s="11" t="s">
        <v>88</v>
      </c>
      <c r="K493" s="11">
        <v>47</v>
      </c>
      <c r="L493" s="11" t="s">
        <v>89</v>
      </c>
      <c r="M493" s="11" t="s">
        <v>1299</v>
      </c>
    </row>
    <row r="494" spans="1:13" x14ac:dyDescent="0.35">
      <c r="A494" s="13">
        <v>18</v>
      </c>
      <c r="B494" s="13" t="s">
        <v>272</v>
      </c>
      <c r="C494" s="13">
        <v>2</v>
      </c>
      <c r="D494" s="14">
        <v>45021.022916666669</v>
      </c>
      <c r="E494" s="14">
        <v>45021.149305555555</v>
      </c>
      <c r="F494" s="13" t="s">
        <v>100</v>
      </c>
      <c r="G494" s="13" t="s">
        <v>86</v>
      </c>
      <c r="H494" s="13" t="s">
        <v>74</v>
      </c>
      <c r="I494" s="17">
        <v>27.03</v>
      </c>
      <c r="J494" s="13" t="s">
        <v>75</v>
      </c>
      <c r="K494" s="13">
        <v>388</v>
      </c>
      <c r="L494" s="13" t="s">
        <v>181</v>
      </c>
      <c r="M494" s="13" t="s">
        <v>1539</v>
      </c>
    </row>
    <row r="495" spans="1:13" x14ac:dyDescent="0.35">
      <c r="A495" s="13">
        <v>18</v>
      </c>
      <c r="B495" s="13" t="s">
        <v>1048</v>
      </c>
      <c r="C495" s="13">
        <v>2</v>
      </c>
      <c r="D495" s="14">
        <v>45020.022222222222</v>
      </c>
      <c r="E495" s="14">
        <v>45020.145833333336</v>
      </c>
      <c r="F495" s="13" t="s">
        <v>85</v>
      </c>
      <c r="G495" s="13" t="s">
        <v>86</v>
      </c>
      <c r="H495" s="13" t="s">
        <v>109</v>
      </c>
      <c r="I495" s="17">
        <v>30.62</v>
      </c>
      <c r="J495" s="13" t="s">
        <v>94</v>
      </c>
      <c r="K495" s="13">
        <v>338</v>
      </c>
      <c r="L495" s="13" t="s">
        <v>187</v>
      </c>
      <c r="M495" s="13" t="s">
        <v>1512</v>
      </c>
    </row>
    <row r="496" spans="1:13" x14ac:dyDescent="0.35">
      <c r="A496" s="13">
        <v>18</v>
      </c>
      <c r="B496" s="13" t="s">
        <v>1225</v>
      </c>
      <c r="C496" s="13">
        <v>4</v>
      </c>
      <c r="D496" s="14">
        <v>45023.011805555558</v>
      </c>
      <c r="E496" s="14">
        <v>45023.090277777781</v>
      </c>
      <c r="F496" s="13" t="s">
        <v>170</v>
      </c>
      <c r="G496" s="13" t="s">
        <v>163</v>
      </c>
      <c r="H496" s="13" t="s">
        <v>87</v>
      </c>
      <c r="I496" s="17">
        <v>27.04</v>
      </c>
      <c r="J496" s="13" t="s">
        <v>94</v>
      </c>
      <c r="K496" s="13">
        <v>758</v>
      </c>
      <c r="L496" s="13" t="s">
        <v>76</v>
      </c>
      <c r="M496" s="13" t="s">
        <v>1660</v>
      </c>
    </row>
    <row r="497" spans="1:13" x14ac:dyDescent="0.35">
      <c r="A497" s="13">
        <v>18</v>
      </c>
      <c r="B497" s="13" t="s">
        <v>1128</v>
      </c>
      <c r="C497" s="13">
        <v>5</v>
      </c>
      <c r="D497" s="14">
        <v>45022.054861111108</v>
      </c>
      <c r="E497" s="14">
        <v>45022.191666666666</v>
      </c>
      <c r="F497" s="13" t="s">
        <v>72</v>
      </c>
      <c r="G497" s="13" t="s">
        <v>86</v>
      </c>
      <c r="H497" s="13" t="s">
        <v>74</v>
      </c>
      <c r="I497" s="17">
        <v>38.840000000000003</v>
      </c>
      <c r="J497" s="13" t="s">
        <v>75</v>
      </c>
      <c r="K497" s="13">
        <v>514</v>
      </c>
      <c r="L497" s="13" t="s">
        <v>101</v>
      </c>
      <c r="M497" s="13" t="s">
        <v>1620</v>
      </c>
    </row>
    <row r="498" spans="1:13" x14ac:dyDescent="0.35">
      <c r="A498" s="11">
        <v>18</v>
      </c>
      <c r="B498" s="11" t="s">
        <v>895</v>
      </c>
      <c r="C498" s="11">
        <v>2</v>
      </c>
      <c r="D498" s="12">
        <v>45017.12777777778</v>
      </c>
      <c r="E498" s="12">
        <v>45017.202777777777</v>
      </c>
      <c r="F498" s="11" t="s">
        <v>100</v>
      </c>
      <c r="G498" s="11" t="s">
        <v>86</v>
      </c>
      <c r="H498" s="11" t="s">
        <v>74</v>
      </c>
      <c r="I498" s="16">
        <v>45.45</v>
      </c>
      <c r="J498" s="11" t="s">
        <v>75</v>
      </c>
      <c r="K498" s="11">
        <v>57</v>
      </c>
      <c r="L498" s="11" t="s">
        <v>110</v>
      </c>
      <c r="M498" s="11" t="s">
        <v>1308</v>
      </c>
    </row>
    <row r="499" spans="1:13" x14ac:dyDescent="0.35">
      <c r="A499" s="13">
        <v>18</v>
      </c>
      <c r="B499" s="13" t="s">
        <v>1080</v>
      </c>
      <c r="C499" s="13">
        <v>1</v>
      </c>
      <c r="D499" s="14">
        <v>45021.111805555556</v>
      </c>
      <c r="E499" s="14">
        <v>45021.213888888888</v>
      </c>
      <c r="F499" s="13" t="s">
        <v>170</v>
      </c>
      <c r="G499" s="13" t="s">
        <v>86</v>
      </c>
      <c r="H499" s="13" t="s">
        <v>74</v>
      </c>
      <c r="I499" s="17">
        <v>31.02</v>
      </c>
      <c r="J499" s="13" t="s">
        <v>94</v>
      </c>
      <c r="K499" s="13">
        <v>402</v>
      </c>
      <c r="L499" s="13" t="s">
        <v>110</v>
      </c>
      <c r="M499" s="13" t="s">
        <v>1547</v>
      </c>
    </row>
    <row r="500" spans="1:13" x14ac:dyDescent="0.35">
      <c r="A500" s="13">
        <v>18</v>
      </c>
      <c r="B500" s="13" t="s">
        <v>71</v>
      </c>
      <c r="C500" s="13">
        <v>1</v>
      </c>
      <c r="D500" s="14">
        <v>45017.147222222222</v>
      </c>
      <c r="E500" s="14">
        <v>45017.28125</v>
      </c>
      <c r="F500" s="13" t="s">
        <v>223</v>
      </c>
      <c r="G500" s="13" t="s">
        <v>86</v>
      </c>
      <c r="H500" s="13" t="s">
        <v>74</v>
      </c>
      <c r="I500" s="17">
        <v>15.15</v>
      </c>
      <c r="J500" s="13" t="s">
        <v>94</v>
      </c>
      <c r="K500" s="13">
        <v>100</v>
      </c>
      <c r="L500" s="13" t="s">
        <v>221</v>
      </c>
      <c r="M500" s="13" t="s">
        <v>1344</v>
      </c>
    </row>
    <row r="501" spans="1:13" x14ac:dyDescent="0.35">
      <c r="A501" s="11">
        <v>18</v>
      </c>
      <c r="B501" s="11" t="s">
        <v>563</v>
      </c>
      <c r="C501" s="11">
        <v>4</v>
      </c>
      <c r="D501" s="12">
        <v>45022.143055555556</v>
      </c>
      <c r="E501" s="12">
        <v>45022.1875</v>
      </c>
      <c r="F501" s="11" t="s">
        <v>100</v>
      </c>
      <c r="G501" s="11" t="s">
        <v>163</v>
      </c>
      <c r="H501" s="11" t="s">
        <v>74</v>
      </c>
      <c r="I501" s="16">
        <v>43.42</v>
      </c>
      <c r="J501" s="11" t="s">
        <v>75</v>
      </c>
      <c r="K501" s="11">
        <v>507</v>
      </c>
      <c r="L501" s="11" t="s">
        <v>95</v>
      </c>
      <c r="M501" s="11" t="s">
        <v>1618</v>
      </c>
    </row>
    <row r="502" spans="1:13" x14ac:dyDescent="0.35">
      <c r="A502" s="13">
        <v>19</v>
      </c>
      <c r="B502" s="13" t="s">
        <v>586</v>
      </c>
      <c r="C502" s="13">
        <v>4</v>
      </c>
      <c r="D502" s="14">
        <v>45023.104166666664</v>
      </c>
      <c r="E502" s="14">
        <v>45023.267361111109</v>
      </c>
      <c r="F502" s="13" t="s">
        <v>223</v>
      </c>
      <c r="G502" s="13" t="s">
        <v>73</v>
      </c>
      <c r="H502" s="13" t="s">
        <v>74</v>
      </c>
      <c r="I502" s="17">
        <v>39.89</v>
      </c>
      <c r="J502" s="13" t="s">
        <v>75</v>
      </c>
      <c r="K502" s="13">
        <v>698</v>
      </c>
      <c r="L502" s="13" t="s">
        <v>95</v>
      </c>
      <c r="M502" s="13" t="s">
        <v>1746</v>
      </c>
    </row>
    <row r="503" spans="1:13" x14ac:dyDescent="0.35">
      <c r="A503" s="13">
        <v>19</v>
      </c>
      <c r="B503" s="13" t="s">
        <v>1007</v>
      </c>
      <c r="C503" s="13">
        <v>2</v>
      </c>
      <c r="D503" s="14">
        <v>45023.097916666666</v>
      </c>
      <c r="E503" s="14">
        <v>45023.170138888891</v>
      </c>
      <c r="F503" s="13" t="s">
        <v>85</v>
      </c>
      <c r="G503" s="13" t="s">
        <v>86</v>
      </c>
      <c r="H503" s="13" t="s">
        <v>74</v>
      </c>
      <c r="I503" s="17">
        <v>10.69</v>
      </c>
      <c r="J503" s="13" t="s">
        <v>75</v>
      </c>
      <c r="K503" s="13">
        <v>714</v>
      </c>
      <c r="L503" s="13" t="s">
        <v>110</v>
      </c>
      <c r="M503" s="13" t="s">
        <v>1753</v>
      </c>
    </row>
    <row r="504" spans="1:13" x14ac:dyDescent="0.35">
      <c r="A504" s="13">
        <v>19</v>
      </c>
      <c r="B504" s="13" t="s">
        <v>1190</v>
      </c>
      <c r="C504" s="13">
        <v>6</v>
      </c>
      <c r="D504" s="14">
        <v>45023.15</v>
      </c>
      <c r="E504" s="14">
        <v>45023.277777777781</v>
      </c>
      <c r="F504" s="13" t="s">
        <v>223</v>
      </c>
      <c r="G504" s="13" t="s">
        <v>73</v>
      </c>
      <c r="H504" s="13" t="s">
        <v>74</v>
      </c>
      <c r="I504" s="17">
        <v>31.23</v>
      </c>
      <c r="J504" s="13" t="s">
        <v>94</v>
      </c>
      <c r="K504" s="13">
        <v>656</v>
      </c>
      <c r="L504" s="13" t="s">
        <v>164</v>
      </c>
      <c r="M504" s="13" t="s">
        <v>1714</v>
      </c>
    </row>
    <row r="505" spans="1:13" x14ac:dyDescent="0.35">
      <c r="A505" s="11">
        <v>19</v>
      </c>
      <c r="B505" s="11" t="s">
        <v>875</v>
      </c>
      <c r="C505" s="11">
        <v>2</v>
      </c>
      <c r="D505" s="12">
        <v>45022.022916666669</v>
      </c>
      <c r="E505" s="12">
        <v>45022.188888888886</v>
      </c>
      <c r="F505" s="11" t="s">
        <v>223</v>
      </c>
      <c r="G505" s="11" t="s">
        <v>163</v>
      </c>
      <c r="H505" s="11" t="s">
        <v>109</v>
      </c>
      <c r="I505" s="16">
        <v>33.700000000000003</v>
      </c>
      <c r="J505" s="11" t="s">
        <v>94</v>
      </c>
      <c r="K505" s="11">
        <v>541</v>
      </c>
      <c r="L505" s="11" t="s">
        <v>110</v>
      </c>
      <c r="M505" s="11" t="s">
        <v>1638</v>
      </c>
    </row>
    <row r="506" spans="1:13" x14ac:dyDescent="0.35">
      <c r="A506" s="13">
        <v>19</v>
      </c>
      <c r="B506" s="13" t="s">
        <v>1193</v>
      </c>
      <c r="C506" s="13">
        <v>1</v>
      </c>
      <c r="D506" s="14">
        <v>45023.125694444447</v>
      </c>
      <c r="E506" s="14">
        <v>45023.223611111112</v>
      </c>
      <c r="F506" s="13" t="s">
        <v>170</v>
      </c>
      <c r="G506" s="13" t="s">
        <v>86</v>
      </c>
      <c r="H506" s="13" t="s">
        <v>74</v>
      </c>
      <c r="I506" s="17">
        <v>26.76</v>
      </c>
      <c r="J506" s="13" t="s">
        <v>88</v>
      </c>
      <c r="K506" s="13">
        <v>678</v>
      </c>
      <c r="L506" s="13" t="s">
        <v>101</v>
      </c>
      <c r="M506" s="13" t="s">
        <v>1733</v>
      </c>
    </row>
    <row r="507" spans="1:13" x14ac:dyDescent="0.35">
      <c r="A507" s="13">
        <v>19</v>
      </c>
      <c r="B507" s="13" t="s">
        <v>1193</v>
      </c>
      <c r="C507" s="13">
        <v>4</v>
      </c>
      <c r="D507" s="14">
        <v>45023.080555555556</v>
      </c>
      <c r="E507" s="14">
        <v>45023.243750000001</v>
      </c>
      <c r="F507" s="13" t="s">
        <v>100</v>
      </c>
      <c r="G507" s="13" t="s">
        <v>163</v>
      </c>
      <c r="H507" s="13" t="s">
        <v>74</v>
      </c>
      <c r="I507" s="17">
        <v>15.91</v>
      </c>
      <c r="J507" s="13" t="s">
        <v>94</v>
      </c>
      <c r="K507" s="13">
        <v>660</v>
      </c>
      <c r="L507" s="13" t="s">
        <v>89</v>
      </c>
      <c r="M507" s="13" t="s">
        <v>1717</v>
      </c>
    </row>
    <row r="508" spans="1:13" x14ac:dyDescent="0.35">
      <c r="A508" s="11">
        <v>19</v>
      </c>
      <c r="B508" s="11" t="s">
        <v>781</v>
      </c>
      <c r="C508" s="11">
        <v>1</v>
      </c>
      <c r="D508" s="12">
        <v>45018.080555555556</v>
      </c>
      <c r="E508" s="12">
        <v>45018.218055555553</v>
      </c>
      <c r="F508" s="11" t="s">
        <v>170</v>
      </c>
      <c r="G508" s="11" t="s">
        <v>86</v>
      </c>
      <c r="H508" s="11" t="s">
        <v>109</v>
      </c>
      <c r="I508" s="16">
        <v>16.62</v>
      </c>
      <c r="J508" s="11" t="s">
        <v>75</v>
      </c>
      <c r="K508" s="11">
        <v>169</v>
      </c>
      <c r="L508" s="11" t="s">
        <v>221</v>
      </c>
      <c r="M508" s="11" t="s">
        <v>1392</v>
      </c>
    </row>
    <row r="509" spans="1:13" x14ac:dyDescent="0.35">
      <c r="A509" s="13">
        <v>19</v>
      </c>
      <c r="B509" s="13" t="s">
        <v>923</v>
      </c>
      <c r="C509" s="13">
        <v>2</v>
      </c>
      <c r="D509" s="14">
        <v>45017.064583333333</v>
      </c>
      <c r="E509" s="14">
        <v>45017.176388888889</v>
      </c>
      <c r="F509" s="13" t="s">
        <v>170</v>
      </c>
      <c r="G509" s="13" t="s">
        <v>86</v>
      </c>
      <c r="H509" s="13" t="s">
        <v>74</v>
      </c>
      <c r="I509" s="17">
        <v>12.65</v>
      </c>
      <c r="J509" s="13" t="s">
        <v>94</v>
      </c>
      <c r="K509" s="13">
        <v>102</v>
      </c>
      <c r="L509" s="13" t="s">
        <v>275</v>
      </c>
      <c r="M509" s="13" t="s">
        <v>1346</v>
      </c>
    </row>
    <row r="510" spans="1:13" x14ac:dyDescent="0.35">
      <c r="A510" s="11">
        <v>19</v>
      </c>
      <c r="B510" s="11" t="s">
        <v>1207</v>
      </c>
      <c r="C510" s="11">
        <v>5</v>
      </c>
      <c r="D510" s="12">
        <v>45023.138888888891</v>
      </c>
      <c r="E510" s="12">
        <v>45023.239583333336</v>
      </c>
      <c r="F510" s="11" t="s">
        <v>72</v>
      </c>
      <c r="G510" s="11" t="s">
        <v>86</v>
      </c>
      <c r="H510" s="11" t="s">
        <v>74</v>
      </c>
      <c r="I510" s="16">
        <v>39.83</v>
      </c>
      <c r="J510" s="11" t="s">
        <v>75</v>
      </c>
      <c r="K510" s="11">
        <v>701</v>
      </c>
      <c r="L510" s="11" t="s">
        <v>95</v>
      </c>
      <c r="M510" s="11" t="s">
        <v>1747</v>
      </c>
    </row>
    <row r="511" spans="1:13" x14ac:dyDescent="0.35">
      <c r="A511" s="11">
        <v>19</v>
      </c>
      <c r="B511" s="11" t="s">
        <v>1043</v>
      </c>
      <c r="C511" s="11">
        <v>2</v>
      </c>
      <c r="D511" s="12">
        <v>45023.157638888886</v>
      </c>
      <c r="E511" s="12">
        <v>45023.322222222225</v>
      </c>
      <c r="F511" s="11" t="s">
        <v>170</v>
      </c>
      <c r="G511" s="11" t="s">
        <v>86</v>
      </c>
      <c r="H511" s="11" t="s">
        <v>109</v>
      </c>
      <c r="I511" s="16">
        <v>25.7</v>
      </c>
      <c r="J511" s="11" t="s">
        <v>88</v>
      </c>
      <c r="K511" s="11">
        <v>743</v>
      </c>
      <c r="L511" s="11" t="s">
        <v>89</v>
      </c>
      <c r="M511" s="11" t="s">
        <v>1774</v>
      </c>
    </row>
    <row r="512" spans="1:13" x14ac:dyDescent="0.35">
      <c r="A512" s="11">
        <v>19</v>
      </c>
      <c r="B512" s="11" t="s">
        <v>1170</v>
      </c>
      <c r="C512" s="11">
        <v>2</v>
      </c>
      <c r="D512" s="12">
        <v>45022.117361111108</v>
      </c>
      <c r="E512" s="12">
        <v>45022.26666666667</v>
      </c>
      <c r="F512" s="11" t="s">
        <v>170</v>
      </c>
      <c r="G512" s="11" t="s">
        <v>86</v>
      </c>
      <c r="H512" s="11" t="s">
        <v>87</v>
      </c>
      <c r="I512" s="16">
        <v>24.38</v>
      </c>
      <c r="J512" s="11" t="s">
        <v>88</v>
      </c>
      <c r="K512" s="11">
        <v>605</v>
      </c>
      <c r="L512" s="11" t="s">
        <v>174</v>
      </c>
      <c r="M512" s="11" t="s">
        <v>1681</v>
      </c>
    </row>
    <row r="513" spans="1:13" x14ac:dyDescent="0.35">
      <c r="A513" s="13">
        <v>19</v>
      </c>
      <c r="B513" s="13" t="s">
        <v>889</v>
      </c>
      <c r="C513" s="13">
        <v>5</v>
      </c>
      <c r="D513" s="14">
        <v>45017.162499999999</v>
      </c>
      <c r="E513" s="14">
        <v>45017.289583333331</v>
      </c>
      <c r="F513" s="13" t="s">
        <v>72</v>
      </c>
      <c r="G513" s="13" t="s">
        <v>86</v>
      </c>
      <c r="H513" s="13" t="s">
        <v>109</v>
      </c>
      <c r="I513" s="17">
        <v>16.739999999999998</v>
      </c>
      <c r="J513" s="13" t="s">
        <v>88</v>
      </c>
      <c r="K513" s="13">
        <v>50</v>
      </c>
      <c r="L513" s="13" t="s">
        <v>164</v>
      </c>
      <c r="M513" s="13" t="s">
        <v>1302</v>
      </c>
    </row>
    <row r="514" spans="1:13" x14ac:dyDescent="0.35">
      <c r="A514" s="13">
        <v>19</v>
      </c>
      <c r="B514" s="13" t="s">
        <v>660</v>
      </c>
      <c r="C514" s="13">
        <v>4</v>
      </c>
      <c r="D514" s="14">
        <v>45022.091666666667</v>
      </c>
      <c r="E514" s="14">
        <v>45022.174305555556</v>
      </c>
      <c r="F514" s="13" t="s">
        <v>85</v>
      </c>
      <c r="G514" s="13" t="s">
        <v>73</v>
      </c>
      <c r="H514" s="13" t="s">
        <v>74</v>
      </c>
      <c r="I514" s="17">
        <v>37.9</v>
      </c>
      <c r="J514" s="13" t="s">
        <v>88</v>
      </c>
      <c r="K514" s="13">
        <v>610</v>
      </c>
      <c r="L514" s="13" t="s">
        <v>221</v>
      </c>
      <c r="M514" s="13" t="s">
        <v>1683</v>
      </c>
    </row>
    <row r="515" spans="1:13" x14ac:dyDescent="0.35">
      <c r="A515" s="13">
        <v>19</v>
      </c>
      <c r="B515" s="13" t="s">
        <v>355</v>
      </c>
      <c r="C515" s="13">
        <v>6</v>
      </c>
      <c r="D515" s="14">
        <v>45018.04583333333</v>
      </c>
      <c r="E515" s="14">
        <v>45018.189583333333</v>
      </c>
      <c r="F515" s="13" t="s">
        <v>100</v>
      </c>
      <c r="G515" s="13" t="s">
        <v>86</v>
      </c>
      <c r="H515" s="13" t="s">
        <v>74</v>
      </c>
      <c r="I515" s="17">
        <v>26.02</v>
      </c>
      <c r="J515" s="13" t="s">
        <v>94</v>
      </c>
      <c r="K515" s="13">
        <v>160</v>
      </c>
      <c r="L515" s="13" t="s">
        <v>110</v>
      </c>
      <c r="M515" s="13" t="s">
        <v>1387</v>
      </c>
    </row>
    <row r="516" spans="1:13" x14ac:dyDescent="0.35">
      <c r="A516" s="11">
        <v>19</v>
      </c>
      <c r="B516" s="11" t="s">
        <v>907</v>
      </c>
      <c r="C516" s="11">
        <v>5</v>
      </c>
      <c r="D516" s="12">
        <v>45017.15</v>
      </c>
      <c r="E516" s="12">
        <v>45017.200694444444</v>
      </c>
      <c r="F516" s="11" t="s">
        <v>85</v>
      </c>
      <c r="G516" s="11" t="s">
        <v>86</v>
      </c>
      <c r="H516" s="11" t="s">
        <v>74</v>
      </c>
      <c r="I516" s="16">
        <v>45.23</v>
      </c>
      <c r="J516" s="11" t="s">
        <v>88</v>
      </c>
      <c r="K516" s="11">
        <v>75</v>
      </c>
      <c r="L516" s="11" t="s">
        <v>275</v>
      </c>
      <c r="M516" s="11" t="s">
        <v>1325</v>
      </c>
    </row>
    <row r="517" spans="1:13" x14ac:dyDescent="0.35">
      <c r="A517" s="13">
        <v>19</v>
      </c>
      <c r="B517" s="13" t="s">
        <v>664</v>
      </c>
      <c r="C517" s="13">
        <v>4</v>
      </c>
      <c r="D517" s="14">
        <v>45017.044444444444</v>
      </c>
      <c r="E517" s="14">
        <v>45017.175694444442</v>
      </c>
      <c r="F517" s="13" t="s">
        <v>72</v>
      </c>
      <c r="G517" s="13" t="s">
        <v>86</v>
      </c>
      <c r="H517" s="13" t="s">
        <v>74</v>
      </c>
      <c r="I517" s="17">
        <v>30.83</v>
      </c>
      <c r="J517" s="13" t="s">
        <v>75</v>
      </c>
      <c r="K517" s="13">
        <v>74</v>
      </c>
      <c r="L517" s="13" t="s">
        <v>89</v>
      </c>
      <c r="M517" s="13" t="s">
        <v>1324</v>
      </c>
    </row>
    <row r="518" spans="1:13" x14ac:dyDescent="0.35">
      <c r="A518" s="11">
        <v>19</v>
      </c>
      <c r="B518" s="11" t="s">
        <v>1070</v>
      </c>
      <c r="C518" s="11">
        <v>2</v>
      </c>
      <c r="D518" s="12">
        <v>45020.025694444441</v>
      </c>
      <c r="E518" s="12">
        <v>45020.132638888892</v>
      </c>
      <c r="F518" s="11" t="s">
        <v>85</v>
      </c>
      <c r="G518" s="11" t="s">
        <v>163</v>
      </c>
      <c r="H518" s="11" t="s">
        <v>109</v>
      </c>
      <c r="I518" s="16">
        <v>26.62</v>
      </c>
      <c r="J518" s="11" t="s">
        <v>88</v>
      </c>
      <c r="K518" s="11">
        <v>373</v>
      </c>
      <c r="L518" s="11" t="s">
        <v>164</v>
      </c>
      <c r="M518" s="11" t="s">
        <v>1533</v>
      </c>
    </row>
    <row r="519" spans="1:13" x14ac:dyDescent="0.35">
      <c r="A519" s="13">
        <v>19</v>
      </c>
      <c r="B519" s="13" t="s">
        <v>1052</v>
      </c>
      <c r="C519" s="13">
        <v>5</v>
      </c>
      <c r="D519" s="14">
        <v>45020.104166666664</v>
      </c>
      <c r="E519" s="14">
        <v>45020.257638888892</v>
      </c>
      <c r="F519" s="13" t="s">
        <v>170</v>
      </c>
      <c r="G519" s="13" t="s">
        <v>163</v>
      </c>
      <c r="H519" s="13" t="s">
        <v>74</v>
      </c>
      <c r="I519" s="17">
        <v>20.059999999999999</v>
      </c>
      <c r="J519" s="13" t="s">
        <v>75</v>
      </c>
      <c r="K519" s="13">
        <v>342</v>
      </c>
      <c r="L519" s="13" t="s">
        <v>95</v>
      </c>
      <c r="M519" s="13" t="s">
        <v>1429</v>
      </c>
    </row>
    <row r="520" spans="1:13" x14ac:dyDescent="0.35">
      <c r="A520" s="13">
        <v>19</v>
      </c>
      <c r="B520" s="13" t="s">
        <v>1192</v>
      </c>
      <c r="C520" s="13">
        <v>5</v>
      </c>
      <c r="D520" s="14">
        <v>45023.071527777778</v>
      </c>
      <c r="E520" s="14">
        <v>45023.209722222222</v>
      </c>
      <c r="F520" s="13" t="s">
        <v>85</v>
      </c>
      <c r="G520" s="13" t="s">
        <v>163</v>
      </c>
      <c r="H520" s="13" t="s">
        <v>87</v>
      </c>
      <c r="I520" s="17">
        <v>31.27</v>
      </c>
      <c r="J520" s="13" t="s">
        <v>94</v>
      </c>
      <c r="K520" s="13">
        <v>658</v>
      </c>
      <c r="L520" s="13" t="s">
        <v>89</v>
      </c>
      <c r="M520" s="13" t="s">
        <v>1716</v>
      </c>
    </row>
    <row r="521" spans="1:13" x14ac:dyDescent="0.35">
      <c r="A521" s="13">
        <v>19</v>
      </c>
      <c r="B521" s="13" t="s">
        <v>1155</v>
      </c>
      <c r="C521" s="13">
        <v>3</v>
      </c>
      <c r="D521" s="14">
        <v>45022.120138888888</v>
      </c>
      <c r="E521" s="14">
        <v>45022.268750000003</v>
      </c>
      <c r="F521" s="13" t="s">
        <v>72</v>
      </c>
      <c r="G521" s="13" t="s">
        <v>86</v>
      </c>
      <c r="H521" s="13" t="s">
        <v>87</v>
      </c>
      <c r="I521" s="17">
        <v>46.21</v>
      </c>
      <c r="J521" s="13" t="s">
        <v>88</v>
      </c>
      <c r="K521" s="13">
        <v>572</v>
      </c>
      <c r="L521" s="13" t="s">
        <v>89</v>
      </c>
      <c r="M521" s="13" t="s">
        <v>1660</v>
      </c>
    </row>
    <row r="522" spans="1:13" x14ac:dyDescent="0.35">
      <c r="A522" s="13">
        <v>19</v>
      </c>
      <c r="B522" s="13" t="s">
        <v>952</v>
      </c>
      <c r="C522" s="13">
        <v>6</v>
      </c>
      <c r="D522" s="14">
        <v>45021.143750000003</v>
      </c>
      <c r="E522" s="14">
        <v>45021.288888888892</v>
      </c>
      <c r="F522" s="13" t="s">
        <v>72</v>
      </c>
      <c r="G522" s="13" t="s">
        <v>73</v>
      </c>
      <c r="H522" s="13" t="s">
        <v>74</v>
      </c>
      <c r="I522" s="17">
        <v>49.6</v>
      </c>
      <c r="J522" s="13" t="s">
        <v>75</v>
      </c>
      <c r="K522" s="13">
        <v>460</v>
      </c>
      <c r="L522" s="13" t="s">
        <v>187</v>
      </c>
      <c r="M522" s="13" t="s">
        <v>1585</v>
      </c>
    </row>
    <row r="523" spans="1:13" x14ac:dyDescent="0.35">
      <c r="A523" s="11">
        <v>19</v>
      </c>
      <c r="B523" s="11" t="s">
        <v>988</v>
      </c>
      <c r="C523" s="11">
        <v>4</v>
      </c>
      <c r="D523" s="12">
        <v>45018.009722222225</v>
      </c>
      <c r="E523" s="12">
        <v>45018.058333333334</v>
      </c>
      <c r="F523" s="11" t="s">
        <v>170</v>
      </c>
      <c r="G523" s="11" t="s">
        <v>163</v>
      </c>
      <c r="H523" s="11" t="s">
        <v>74</v>
      </c>
      <c r="I523" s="16">
        <v>35.020000000000003</v>
      </c>
      <c r="J523" s="11" t="s">
        <v>94</v>
      </c>
      <c r="K523" s="11">
        <v>225</v>
      </c>
      <c r="L523" s="11" t="s">
        <v>76</v>
      </c>
      <c r="M523" s="11" t="s">
        <v>1430</v>
      </c>
    </row>
    <row r="524" spans="1:13" x14ac:dyDescent="0.35">
      <c r="A524" s="11">
        <v>19</v>
      </c>
      <c r="B524" s="11" t="s">
        <v>1141</v>
      </c>
      <c r="C524" s="11">
        <v>5</v>
      </c>
      <c r="D524" s="12">
        <v>45022.032638888886</v>
      </c>
      <c r="E524" s="12">
        <v>45022.150694444441</v>
      </c>
      <c r="F524" s="11" t="s">
        <v>72</v>
      </c>
      <c r="G524" s="11" t="s">
        <v>73</v>
      </c>
      <c r="H524" s="11" t="s">
        <v>74</v>
      </c>
      <c r="I524" s="16">
        <v>49.37</v>
      </c>
      <c r="J524" s="11" t="s">
        <v>94</v>
      </c>
      <c r="K524" s="11">
        <v>543</v>
      </c>
      <c r="L524" s="11" t="s">
        <v>221</v>
      </c>
      <c r="M524" s="11" t="s">
        <v>1640</v>
      </c>
    </row>
    <row r="525" spans="1:13" x14ac:dyDescent="0.35">
      <c r="A525" s="13">
        <v>2</v>
      </c>
      <c r="B525" s="13" t="s">
        <v>281</v>
      </c>
      <c r="C525" s="13">
        <v>1</v>
      </c>
      <c r="D525" s="14">
        <v>45022.006249999999</v>
      </c>
      <c r="E525" s="14">
        <v>45022.067361111112</v>
      </c>
      <c r="F525" s="13" t="s">
        <v>170</v>
      </c>
      <c r="G525" s="13" t="s">
        <v>163</v>
      </c>
      <c r="H525" s="13" t="s">
        <v>74</v>
      </c>
      <c r="I525" s="17">
        <v>15.03</v>
      </c>
      <c r="J525" s="13" t="s">
        <v>94</v>
      </c>
      <c r="K525" s="13">
        <v>628</v>
      </c>
      <c r="L525" s="13" t="s">
        <v>101</v>
      </c>
      <c r="M525" s="13" t="s">
        <v>1695</v>
      </c>
    </row>
    <row r="526" spans="1:13" x14ac:dyDescent="0.35">
      <c r="A526" s="13">
        <v>2</v>
      </c>
      <c r="B526" s="13" t="s">
        <v>982</v>
      </c>
      <c r="C526" s="13">
        <v>4</v>
      </c>
      <c r="D526" s="14">
        <v>45018.137499999997</v>
      </c>
      <c r="E526" s="14">
        <v>45018.214583333334</v>
      </c>
      <c r="F526" s="13" t="s">
        <v>223</v>
      </c>
      <c r="G526" s="13" t="s">
        <v>86</v>
      </c>
      <c r="H526" s="13" t="s">
        <v>109</v>
      </c>
      <c r="I526" s="17">
        <v>33.39</v>
      </c>
      <c r="J526" s="13" t="s">
        <v>88</v>
      </c>
      <c r="K526" s="13">
        <v>214</v>
      </c>
      <c r="L526" s="13" t="s">
        <v>164</v>
      </c>
      <c r="M526" s="13" t="s">
        <v>1424</v>
      </c>
    </row>
    <row r="527" spans="1:13" x14ac:dyDescent="0.35">
      <c r="A527" s="13">
        <v>2</v>
      </c>
      <c r="B527" s="13" t="s">
        <v>676</v>
      </c>
      <c r="C527" s="13">
        <v>4</v>
      </c>
      <c r="D527" s="14">
        <v>45019.129861111112</v>
      </c>
      <c r="E527" s="14">
        <v>45019.258333333331</v>
      </c>
      <c r="F527" s="13" t="s">
        <v>170</v>
      </c>
      <c r="G527" s="13" t="s">
        <v>86</v>
      </c>
      <c r="H527" s="13" t="s">
        <v>74</v>
      </c>
      <c r="I527" s="17">
        <v>30.89</v>
      </c>
      <c r="J527" s="13" t="s">
        <v>94</v>
      </c>
      <c r="K527" s="13">
        <v>312</v>
      </c>
      <c r="L527" s="13" t="s">
        <v>174</v>
      </c>
      <c r="M527" s="13" t="s">
        <v>1491</v>
      </c>
    </row>
    <row r="528" spans="1:13" x14ac:dyDescent="0.35">
      <c r="A528" s="13">
        <v>2</v>
      </c>
      <c r="B528" s="13" t="s">
        <v>1007</v>
      </c>
      <c r="C528" s="13">
        <v>1</v>
      </c>
      <c r="D528" s="14">
        <v>45018.132638888892</v>
      </c>
      <c r="E528" s="14">
        <v>45018.18472222222</v>
      </c>
      <c r="F528" s="13" t="s">
        <v>223</v>
      </c>
      <c r="G528" s="13" t="s">
        <v>86</v>
      </c>
      <c r="H528" s="13" t="s">
        <v>74</v>
      </c>
      <c r="I528" s="17">
        <v>49.21</v>
      </c>
      <c r="J528" s="13" t="s">
        <v>75</v>
      </c>
      <c r="K528" s="13">
        <v>264</v>
      </c>
      <c r="L528" s="13" t="s">
        <v>95</v>
      </c>
      <c r="M528" s="13" t="s">
        <v>1455</v>
      </c>
    </row>
    <row r="529" spans="1:13" x14ac:dyDescent="0.35">
      <c r="A529" s="13">
        <v>2</v>
      </c>
      <c r="B529" s="13" t="s">
        <v>1079</v>
      </c>
      <c r="C529" s="13">
        <v>1</v>
      </c>
      <c r="D529" s="14">
        <v>45022.002083333333</v>
      </c>
      <c r="E529" s="14">
        <v>45022.15</v>
      </c>
      <c r="F529" s="13" t="s">
        <v>223</v>
      </c>
      <c r="G529" s="13" t="s">
        <v>163</v>
      </c>
      <c r="H529" s="13" t="s">
        <v>74</v>
      </c>
      <c r="I529" s="17">
        <v>29.25</v>
      </c>
      <c r="J529" s="13" t="s">
        <v>94</v>
      </c>
      <c r="K529" s="13">
        <v>634</v>
      </c>
      <c r="L529" s="13" t="s">
        <v>275</v>
      </c>
      <c r="M529" s="13" t="s">
        <v>1700</v>
      </c>
    </row>
    <row r="530" spans="1:13" x14ac:dyDescent="0.35">
      <c r="A530" s="13">
        <v>2</v>
      </c>
      <c r="B530" s="13" t="s">
        <v>1079</v>
      </c>
      <c r="C530" s="13">
        <v>1</v>
      </c>
      <c r="D530" s="14">
        <v>45022.054861111108</v>
      </c>
      <c r="E530" s="14">
        <v>45022.101388888892</v>
      </c>
      <c r="F530" s="13" t="s">
        <v>85</v>
      </c>
      <c r="G530" s="13" t="s">
        <v>86</v>
      </c>
      <c r="H530" s="13" t="s">
        <v>74</v>
      </c>
      <c r="I530" s="17">
        <v>37.369999999999997</v>
      </c>
      <c r="J530" s="13" t="s">
        <v>88</v>
      </c>
      <c r="K530" s="13">
        <v>512</v>
      </c>
      <c r="L530" s="13" t="s">
        <v>181</v>
      </c>
      <c r="M530" s="13" t="s">
        <v>1554</v>
      </c>
    </row>
    <row r="531" spans="1:13" x14ac:dyDescent="0.35">
      <c r="A531" s="13">
        <v>2</v>
      </c>
      <c r="B531" s="13" t="s">
        <v>1221</v>
      </c>
      <c r="C531" s="13">
        <v>4</v>
      </c>
      <c r="D531" s="14">
        <v>45023.105555555558</v>
      </c>
      <c r="E531" s="14">
        <v>45023.248611111114</v>
      </c>
      <c r="F531" s="13" t="s">
        <v>100</v>
      </c>
      <c r="G531" s="13" t="s">
        <v>86</v>
      </c>
      <c r="H531" s="13" t="s">
        <v>74</v>
      </c>
      <c r="I531" s="17">
        <v>12.55</v>
      </c>
      <c r="J531" s="13" t="s">
        <v>94</v>
      </c>
      <c r="K531" s="13">
        <v>748</v>
      </c>
      <c r="L531" s="13" t="s">
        <v>275</v>
      </c>
      <c r="M531" s="13" t="s">
        <v>1776</v>
      </c>
    </row>
    <row r="532" spans="1:13" x14ac:dyDescent="0.35">
      <c r="A532" s="11">
        <v>2</v>
      </c>
      <c r="B532" s="11" t="s">
        <v>901</v>
      </c>
      <c r="C532" s="11">
        <v>6</v>
      </c>
      <c r="D532" s="12">
        <v>45017.15625</v>
      </c>
      <c r="E532" s="12">
        <v>45017.215277777781</v>
      </c>
      <c r="F532" s="11" t="s">
        <v>100</v>
      </c>
      <c r="G532" s="11" t="s">
        <v>86</v>
      </c>
      <c r="H532" s="11" t="s">
        <v>109</v>
      </c>
      <c r="I532" s="16">
        <v>21.25</v>
      </c>
      <c r="J532" s="11" t="s">
        <v>94</v>
      </c>
      <c r="K532" s="11">
        <v>67</v>
      </c>
      <c r="L532" s="11" t="s">
        <v>76</v>
      </c>
      <c r="M532" s="11" t="s">
        <v>1318</v>
      </c>
    </row>
    <row r="533" spans="1:13" x14ac:dyDescent="0.35">
      <c r="A533" s="13">
        <v>2</v>
      </c>
      <c r="B533" s="13" t="s">
        <v>878</v>
      </c>
      <c r="C533" s="13">
        <v>2</v>
      </c>
      <c r="D533" s="14">
        <v>45017.03402777778</v>
      </c>
      <c r="E533" s="14">
        <v>45017.136111111111</v>
      </c>
      <c r="F533" s="13" t="s">
        <v>72</v>
      </c>
      <c r="G533" s="13" t="s">
        <v>73</v>
      </c>
      <c r="H533" s="13" t="s">
        <v>74</v>
      </c>
      <c r="I533" s="17">
        <v>41.22</v>
      </c>
      <c r="J533" s="13" t="s">
        <v>94</v>
      </c>
      <c r="K533" s="13">
        <v>28</v>
      </c>
      <c r="L533" s="13" t="s">
        <v>164</v>
      </c>
      <c r="M533" s="13" t="s">
        <v>1284</v>
      </c>
    </row>
    <row r="534" spans="1:13" x14ac:dyDescent="0.35">
      <c r="A534" s="13">
        <v>2</v>
      </c>
      <c r="B534" s="13" t="s">
        <v>1027</v>
      </c>
      <c r="C534" s="13">
        <v>2</v>
      </c>
      <c r="D534" s="14">
        <v>45022.001388888886</v>
      </c>
      <c r="E534" s="14">
        <v>45022.117361111108</v>
      </c>
      <c r="F534" s="13" t="s">
        <v>85</v>
      </c>
      <c r="G534" s="13" t="s">
        <v>86</v>
      </c>
      <c r="H534" s="13" t="s">
        <v>109</v>
      </c>
      <c r="I534" s="17">
        <v>36.619999999999997</v>
      </c>
      <c r="J534" s="13" t="s">
        <v>75</v>
      </c>
      <c r="K534" s="13">
        <v>630</v>
      </c>
      <c r="L534" s="13" t="s">
        <v>95</v>
      </c>
      <c r="M534" s="13" t="s">
        <v>1697</v>
      </c>
    </row>
    <row r="535" spans="1:13" x14ac:dyDescent="0.35">
      <c r="A535" s="11">
        <v>2</v>
      </c>
      <c r="B535" s="11" t="s">
        <v>1021</v>
      </c>
      <c r="C535" s="11">
        <v>6</v>
      </c>
      <c r="D535" s="12">
        <v>45019.137499999997</v>
      </c>
      <c r="E535" s="12">
        <v>45019.256249999999</v>
      </c>
      <c r="F535" s="11" t="s">
        <v>100</v>
      </c>
      <c r="G535" s="11" t="s">
        <v>163</v>
      </c>
      <c r="H535" s="11" t="s">
        <v>87</v>
      </c>
      <c r="I535" s="16">
        <v>15.44</v>
      </c>
      <c r="J535" s="11" t="s">
        <v>88</v>
      </c>
      <c r="K535" s="11">
        <v>291</v>
      </c>
      <c r="L535" s="11" t="s">
        <v>95</v>
      </c>
      <c r="M535" s="11" t="s">
        <v>1474</v>
      </c>
    </row>
    <row r="536" spans="1:13" x14ac:dyDescent="0.35">
      <c r="A536" s="13">
        <v>2</v>
      </c>
      <c r="B536" s="13" t="s">
        <v>992</v>
      </c>
      <c r="C536" s="13">
        <v>2</v>
      </c>
      <c r="D536" s="14">
        <v>45018.086111111108</v>
      </c>
      <c r="E536" s="14">
        <v>45018.142361111109</v>
      </c>
      <c r="F536" s="13" t="s">
        <v>223</v>
      </c>
      <c r="G536" s="13" t="s">
        <v>86</v>
      </c>
      <c r="H536" s="13" t="s">
        <v>74</v>
      </c>
      <c r="I536" s="17">
        <v>15.43</v>
      </c>
      <c r="J536" s="13" t="s">
        <v>94</v>
      </c>
      <c r="K536" s="13">
        <v>232</v>
      </c>
      <c r="L536" s="13" t="s">
        <v>164</v>
      </c>
      <c r="M536" s="13" t="s">
        <v>1436</v>
      </c>
    </row>
    <row r="537" spans="1:13" x14ac:dyDescent="0.35">
      <c r="A537" s="11">
        <v>2</v>
      </c>
      <c r="B537" s="11" t="s">
        <v>946</v>
      </c>
      <c r="C537" s="11">
        <v>5</v>
      </c>
      <c r="D537" s="12">
        <v>45018.025694444441</v>
      </c>
      <c r="E537" s="12">
        <v>45018.070833333331</v>
      </c>
      <c r="F537" s="11" t="s">
        <v>100</v>
      </c>
      <c r="G537" s="11" t="s">
        <v>73</v>
      </c>
      <c r="H537" s="11" t="s">
        <v>74</v>
      </c>
      <c r="I537" s="16">
        <v>11.32</v>
      </c>
      <c r="J537" s="11" t="s">
        <v>88</v>
      </c>
      <c r="K537" s="11">
        <v>145</v>
      </c>
      <c r="L537" s="11" t="s">
        <v>275</v>
      </c>
      <c r="M537" s="11" t="s">
        <v>1375</v>
      </c>
    </row>
    <row r="538" spans="1:13" x14ac:dyDescent="0.35">
      <c r="A538" s="13">
        <v>2</v>
      </c>
      <c r="B538" s="13" t="s">
        <v>1116</v>
      </c>
      <c r="C538" s="13">
        <v>6</v>
      </c>
      <c r="D538" s="14">
        <v>45022.077777777777</v>
      </c>
      <c r="E538" s="14">
        <v>45022.147222222222</v>
      </c>
      <c r="F538" s="13" t="s">
        <v>72</v>
      </c>
      <c r="G538" s="13" t="s">
        <v>86</v>
      </c>
      <c r="H538" s="13" t="s">
        <v>74</v>
      </c>
      <c r="I538" s="17">
        <v>21.66</v>
      </c>
      <c r="J538" s="13" t="s">
        <v>75</v>
      </c>
      <c r="K538" s="13">
        <v>474</v>
      </c>
      <c r="L538" s="13" t="s">
        <v>76</v>
      </c>
      <c r="M538" s="13" t="s">
        <v>1596</v>
      </c>
    </row>
    <row r="539" spans="1:13" x14ac:dyDescent="0.35">
      <c r="A539" s="13">
        <v>2</v>
      </c>
      <c r="B539" s="13" t="s">
        <v>1057</v>
      </c>
      <c r="C539" s="13">
        <v>6</v>
      </c>
      <c r="D539" s="14">
        <v>45020.024305555555</v>
      </c>
      <c r="E539" s="14">
        <v>45020.124305555553</v>
      </c>
      <c r="F539" s="13" t="s">
        <v>85</v>
      </c>
      <c r="G539" s="13" t="s">
        <v>163</v>
      </c>
      <c r="H539" s="13" t="s">
        <v>109</v>
      </c>
      <c r="I539" s="17">
        <v>36.21</v>
      </c>
      <c r="J539" s="13" t="s">
        <v>94</v>
      </c>
      <c r="K539" s="13">
        <v>350</v>
      </c>
      <c r="L539" s="13" t="s">
        <v>110</v>
      </c>
      <c r="M539" s="13" t="s">
        <v>1263</v>
      </c>
    </row>
    <row r="540" spans="1:13" x14ac:dyDescent="0.35">
      <c r="A540" s="13">
        <v>2</v>
      </c>
      <c r="B540" s="13" t="s">
        <v>1035</v>
      </c>
      <c r="C540" s="13">
        <v>2</v>
      </c>
      <c r="D540" s="14">
        <v>45019.068055555559</v>
      </c>
      <c r="E540" s="14">
        <v>45019.230555555558</v>
      </c>
      <c r="F540" s="13" t="s">
        <v>85</v>
      </c>
      <c r="G540" s="13" t="s">
        <v>163</v>
      </c>
      <c r="H540" s="13" t="s">
        <v>74</v>
      </c>
      <c r="I540" s="17">
        <v>31.13</v>
      </c>
      <c r="J540" s="13" t="s">
        <v>94</v>
      </c>
      <c r="K540" s="13">
        <v>316</v>
      </c>
      <c r="L540" s="13" t="s">
        <v>76</v>
      </c>
      <c r="M540" s="13" t="s">
        <v>1494</v>
      </c>
    </row>
    <row r="541" spans="1:13" x14ac:dyDescent="0.35">
      <c r="A541" s="13">
        <v>2</v>
      </c>
      <c r="B541" s="13" t="s">
        <v>898</v>
      </c>
      <c r="C541" s="13">
        <v>1</v>
      </c>
      <c r="D541" s="14">
        <v>45017.115972222222</v>
      </c>
      <c r="E541" s="14">
        <v>45017.26666666667</v>
      </c>
      <c r="F541" s="13" t="s">
        <v>223</v>
      </c>
      <c r="G541" s="13" t="s">
        <v>73</v>
      </c>
      <c r="H541" s="13" t="s">
        <v>74</v>
      </c>
      <c r="I541" s="17">
        <v>37.93</v>
      </c>
      <c r="J541" s="13" t="s">
        <v>88</v>
      </c>
      <c r="K541" s="13">
        <v>62</v>
      </c>
      <c r="L541" s="13" t="s">
        <v>164</v>
      </c>
      <c r="M541" s="13" t="s">
        <v>1313</v>
      </c>
    </row>
    <row r="542" spans="1:13" x14ac:dyDescent="0.35">
      <c r="A542" s="11">
        <v>2</v>
      </c>
      <c r="B542" s="11" t="s">
        <v>1183</v>
      </c>
      <c r="C542" s="11">
        <v>4</v>
      </c>
      <c r="D542" s="12">
        <v>45022.047222222223</v>
      </c>
      <c r="E542" s="12">
        <v>45022.161111111112</v>
      </c>
      <c r="F542" s="11" t="s">
        <v>223</v>
      </c>
      <c r="G542" s="11" t="s">
        <v>86</v>
      </c>
      <c r="H542" s="11" t="s">
        <v>109</v>
      </c>
      <c r="I542" s="16">
        <v>39.68</v>
      </c>
      <c r="J542" s="11" t="s">
        <v>94</v>
      </c>
      <c r="K542" s="11">
        <v>641</v>
      </c>
      <c r="L542" s="11" t="s">
        <v>187</v>
      </c>
      <c r="M542" s="11" t="s">
        <v>1705</v>
      </c>
    </row>
    <row r="543" spans="1:13" x14ac:dyDescent="0.35">
      <c r="A543" s="13">
        <v>2</v>
      </c>
      <c r="B543" s="13" t="s">
        <v>938</v>
      </c>
      <c r="C543" s="13">
        <v>5</v>
      </c>
      <c r="D543" s="14">
        <v>45018.063194444447</v>
      </c>
      <c r="E543" s="14">
        <v>45018.144444444442</v>
      </c>
      <c r="F543" s="13" t="s">
        <v>100</v>
      </c>
      <c r="G543" s="13" t="s">
        <v>86</v>
      </c>
      <c r="H543" s="13" t="s">
        <v>87</v>
      </c>
      <c r="I543" s="17">
        <v>49.36</v>
      </c>
      <c r="J543" s="13" t="s">
        <v>88</v>
      </c>
      <c r="K543" s="13">
        <v>128</v>
      </c>
      <c r="L543" s="13" t="s">
        <v>174</v>
      </c>
      <c r="M543" s="13" t="s">
        <v>1364</v>
      </c>
    </row>
    <row r="544" spans="1:13" x14ac:dyDescent="0.35">
      <c r="A544" s="11">
        <v>2</v>
      </c>
      <c r="B544" s="11" t="s">
        <v>1202</v>
      </c>
      <c r="C544" s="11">
        <v>6</v>
      </c>
      <c r="D544" s="12">
        <v>45023.163888888892</v>
      </c>
      <c r="E544" s="12">
        <v>45023.265277777777</v>
      </c>
      <c r="F544" s="11" t="s">
        <v>85</v>
      </c>
      <c r="G544" s="11" t="s">
        <v>86</v>
      </c>
      <c r="H544" s="11" t="s">
        <v>74</v>
      </c>
      <c r="I544" s="16">
        <v>40.42</v>
      </c>
      <c r="J544" s="11" t="s">
        <v>88</v>
      </c>
      <c r="K544" s="11">
        <v>683</v>
      </c>
      <c r="L544" s="11" t="s">
        <v>110</v>
      </c>
      <c r="M544" s="11" t="s">
        <v>1737</v>
      </c>
    </row>
    <row r="545" spans="1:13" x14ac:dyDescent="0.35">
      <c r="A545" s="11">
        <v>2</v>
      </c>
      <c r="B545" s="11" t="s">
        <v>919</v>
      </c>
      <c r="C545" s="11">
        <v>4</v>
      </c>
      <c r="D545" s="12">
        <v>45023.12222222222</v>
      </c>
      <c r="E545" s="12">
        <v>45023.284722222219</v>
      </c>
      <c r="F545" s="11" t="s">
        <v>72</v>
      </c>
      <c r="G545" s="11" t="s">
        <v>86</v>
      </c>
      <c r="H545" s="11" t="s">
        <v>109</v>
      </c>
      <c r="I545" s="16">
        <v>37.07</v>
      </c>
      <c r="J545" s="11" t="s">
        <v>75</v>
      </c>
      <c r="K545" s="11">
        <v>681</v>
      </c>
      <c r="L545" s="11" t="s">
        <v>221</v>
      </c>
      <c r="M545" s="11" t="s">
        <v>1736</v>
      </c>
    </row>
    <row r="546" spans="1:13" x14ac:dyDescent="0.35">
      <c r="A546" s="11">
        <v>2</v>
      </c>
      <c r="B546" s="11" t="s">
        <v>84</v>
      </c>
      <c r="C546" s="11">
        <v>6</v>
      </c>
      <c r="D546" s="12">
        <v>45017.098611111112</v>
      </c>
      <c r="E546" s="12">
        <v>45017.262499999997</v>
      </c>
      <c r="F546" s="11" t="s">
        <v>100</v>
      </c>
      <c r="G546" s="11" t="s">
        <v>86</v>
      </c>
      <c r="H546" s="11" t="s">
        <v>74</v>
      </c>
      <c r="I546" s="16">
        <v>33.549999999999997</v>
      </c>
      <c r="J546" s="11" t="s">
        <v>88</v>
      </c>
      <c r="K546" s="11">
        <v>99</v>
      </c>
      <c r="L546" s="11" t="s">
        <v>101</v>
      </c>
      <c r="M546" s="11" t="s">
        <v>1343</v>
      </c>
    </row>
    <row r="547" spans="1:13" x14ac:dyDescent="0.35">
      <c r="A547" s="11">
        <v>2</v>
      </c>
      <c r="B547" s="11" t="s">
        <v>1127</v>
      </c>
      <c r="C547" s="11">
        <v>1</v>
      </c>
      <c r="D547" s="12">
        <v>45022.068055555559</v>
      </c>
      <c r="E547" s="12">
        <v>45022.140972222223</v>
      </c>
      <c r="F547" s="11" t="s">
        <v>223</v>
      </c>
      <c r="G547" s="11" t="s">
        <v>86</v>
      </c>
      <c r="H547" s="11" t="s">
        <v>74</v>
      </c>
      <c r="I547" s="16">
        <v>35.950000000000003</v>
      </c>
      <c r="J547" s="11" t="s">
        <v>75</v>
      </c>
      <c r="K547" s="11">
        <v>511</v>
      </c>
      <c r="L547" s="11" t="s">
        <v>164</v>
      </c>
      <c r="M547" s="11" t="s">
        <v>1619</v>
      </c>
    </row>
    <row r="548" spans="1:13" x14ac:dyDescent="0.35">
      <c r="A548" s="11">
        <v>2</v>
      </c>
      <c r="B548" s="11" t="s">
        <v>951</v>
      </c>
      <c r="C548" s="11">
        <v>4</v>
      </c>
      <c r="D548" s="12">
        <v>45021.106944444444</v>
      </c>
      <c r="E548" s="12">
        <v>45021.154861111114</v>
      </c>
      <c r="F548" s="11" t="s">
        <v>100</v>
      </c>
      <c r="G548" s="11" t="s">
        <v>86</v>
      </c>
      <c r="H548" s="11" t="s">
        <v>87</v>
      </c>
      <c r="I548" s="16">
        <v>43.74</v>
      </c>
      <c r="J548" s="11" t="s">
        <v>75</v>
      </c>
      <c r="K548" s="11">
        <v>427</v>
      </c>
      <c r="L548" s="11" t="s">
        <v>95</v>
      </c>
      <c r="M548" s="11" t="s">
        <v>1566</v>
      </c>
    </row>
    <row r="549" spans="1:13" x14ac:dyDescent="0.35">
      <c r="A549" s="13">
        <v>2</v>
      </c>
      <c r="B549" s="13" t="s">
        <v>997</v>
      </c>
      <c r="C549" s="13">
        <v>6</v>
      </c>
      <c r="D549" s="14">
        <v>45018.076388888891</v>
      </c>
      <c r="E549" s="14">
        <v>45018.17291666667</v>
      </c>
      <c r="F549" s="13" t="s">
        <v>100</v>
      </c>
      <c r="G549" s="13" t="s">
        <v>86</v>
      </c>
      <c r="H549" s="13" t="s">
        <v>74</v>
      </c>
      <c r="I549" s="17">
        <v>42.75</v>
      </c>
      <c r="J549" s="13" t="s">
        <v>75</v>
      </c>
      <c r="K549" s="13">
        <v>246</v>
      </c>
      <c r="L549" s="13" t="s">
        <v>95</v>
      </c>
      <c r="M549" s="13" t="s">
        <v>1445</v>
      </c>
    </row>
    <row r="550" spans="1:13" x14ac:dyDescent="0.35">
      <c r="A550" s="11">
        <v>20</v>
      </c>
      <c r="B550" s="11" t="s">
        <v>1041</v>
      </c>
      <c r="C550" s="11">
        <v>4</v>
      </c>
      <c r="D550" s="12">
        <v>45023.077777777777</v>
      </c>
      <c r="E550" s="12">
        <v>45023.157638888886</v>
      </c>
      <c r="F550" s="11" t="s">
        <v>170</v>
      </c>
      <c r="G550" s="11" t="s">
        <v>163</v>
      </c>
      <c r="H550" s="11" t="s">
        <v>74</v>
      </c>
      <c r="I550" s="16">
        <v>38.43</v>
      </c>
      <c r="J550" s="11" t="s">
        <v>75</v>
      </c>
      <c r="K550" s="11">
        <v>735</v>
      </c>
      <c r="L550" s="11" t="s">
        <v>181</v>
      </c>
      <c r="M550" s="11" t="s">
        <v>1768</v>
      </c>
    </row>
    <row r="551" spans="1:13" x14ac:dyDescent="0.35">
      <c r="A551" s="13">
        <v>20</v>
      </c>
      <c r="B551" s="13" t="s">
        <v>1227</v>
      </c>
      <c r="C551" s="13">
        <v>1</v>
      </c>
      <c r="D551" s="14">
        <v>45023.145833333336</v>
      </c>
      <c r="E551" s="14">
        <v>45023.240277777775</v>
      </c>
      <c r="F551" s="13" t="s">
        <v>72</v>
      </c>
      <c r="G551" s="13" t="s">
        <v>73</v>
      </c>
      <c r="H551" s="13" t="s">
        <v>74</v>
      </c>
      <c r="I551" s="17">
        <v>20.41</v>
      </c>
      <c r="J551" s="13" t="s">
        <v>88</v>
      </c>
      <c r="K551" s="13">
        <v>764</v>
      </c>
      <c r="L551" s="13" t="s">
        <v>110</v>
      </c>
      <c r="M551" s="13" t="s">
        <v>1785</v>
      </c>
    </row>
    <row r="552" spans="1:13" x14ac:dyDescent="0.35">
      <c r="A552" s="11">
        <v>20</v>
      </c>
      <c r="B552" s="11" t="s">
        <v>398</v>
      </c>
      <c r="C552" s="11">
        <v>6</v>
      </c>
      <c r="D552" s="12">
        <v>45018.037499999999</v>
      </c>
      <c r="E552" s="12">
        <v>45018.161111111112</v>
      </c>
      <c r="F552" s="11" t="s">
        <v>100</v>
      </c>
      <c r="G552" s="11" t="s">
        <v>86</v>
      </c>
      <c r="H552" s="11" t="s">
        <v>74</v>
      </c>
      <c r="I552" s="16">
        <v>39.74</v>
      </c>
      <c r="J552" s="11" t="s">
        <v>88</v>
      </c>
      <c r="K552" s="11">
        <v>133</v>
      </c>
      <c r="L552" s="11" t="s">
        <v>101</v>
      </c>
      <c r="M552" s="11" t="s">
        <v>1368</v>
      </c>
    </row>
    <row r="553" spans="1:13" x14ac:dyDescent="0.35">
      <c r="A553" s="11">
        <v>20</v>
      </c>
      <c r="B553" s="11" t="s">
        <v>993</v>
      </c>
      <c r="C553" s="11">
        <v>2</v>
      </c>
      <c r="D553" s="12">
        <v>45023.117361111108</v>
      </c>
      <c r="E553" s="12">
        <v>45023.253472222219</v>
      </c>
      <c r="F553" s="11" t="s">
        <v>85</v>
      </c>
      <c r="G553" s="11" t="s">
        <v>163</v>
      </c>
      <c r="H553" s="11" t="s">
        <v>74</v>
      </c>
      <c r="I553" s="16">
        <v>18.97</v>
      </c>
      <c r="J553" s="11" t="s">
        <v>88</v>
      </c>
      <c r="K553" s="11">
        <v>729</v>
      </c>
      <c r="L553" s="11" t="s">
        <v>174</v>
      </c>
      <c r="M553" s="11" t="s">
        <v>1670</v>
      </c>
    </row>
    <row r="554" spans="1:13" x14ac:dyDescent="0.35">
      <c r="A554" s="11">
        <v>20</v>
      </c>
      <c r="B554" s="11" t="s">
        <v>566</v>
      </c>
      <c r="C554" s="11">
        <v>6</v>
      </c>
      <c r="D554" s="12">
        <v>45023.07708333333</v>
      </c>
      <c r="E554" s="12">
        <v>45023.220833333333</v>
      </c>
      <c r="F554" s="11" t="s">
        <v>223</v>
      </c>
      <c r="G554" s="11" t="s">
        <v>86</v>
      </c>
      <c r="H554" s="11" t="s">
        <v>109</v>
      </c>
      <c r="I554" s="16">
        <v>49.74</v>
      </c>
      <c r="J554" s="11" t="s">
        <v>88</v>
      </c>
      <c r="K554" s="11">
        <v>711</v>
      </c>
      <c r="L554" s="11" t="s">
        <v>174</v>
      </c>
      <c r="M554" s="11" t="s">
        <v>1534</v>
      </c>
    </row>
    <row r="555" spans="1:13" x14ac:dyDescent="0.35">
      <c r="A555" s="11">
        <v>20</v>
      </c>
      <c r="B555" s="11" t="s">
        <v>944</v>
      </c>
      <c r="C555" s="11">
        <v>2</v>
      </c>
      <c r="D555" s="12">
        <v>45019.150694444441</v>
      </c>
      <c r="E555" s="12">
        <v>45019.197222222225</v>
      </c>
      <c r="F555" s="11" t="s">
        <v>85</v>
      </c>
      <c r="G555" s="11" t="s">
        <v>86</v>
      </c>
      <c r="H555" s="11" t="s">
        <v>109</v>
      </c>
      <c r="I555" s="16">
        <v>31.67</v>
      </c>
      <c r="J555" s="11" t="s">
        <v>94</v>
      </c>
      <c r="K555" s="11">
        <v>287</v>
      </c>
      <c r="L555" s="11" t="s">
        <v>110</v>
      </c>
      <c r="M555" s="11" t="s">
        <v>1471</v>
      </c>
    </row>
    <row r="556" spans="1:13" x14ac:dyDescent="0.35">
      <c r="A556" s="13">
        <v>20</v>
      </c>
      <c r="B556" s="13" t="s">
        <v>1140</v>
      </c>
      <c r="C556" s="13">
        <v>4</v>
      </c>
      <c r="D556" s="14">
        <v>45023.025000000001</v>
      </c>
      <c r="E556" s="14">
        <v>45023.098611111112</v>
      </c>
      <c r="F556" s="13" t="s">
        <v>100</v>
      </c>
      <c r="G556" s="13" t="s">
        <v>163</v>
      </c>
      <c r="H556" s="13" t="s">
        <v>74</v>
      </c>
      <c r="I556" s="17">
        <v>10.51</v>
      </c>
      <c r="J556" s="13" t="s">
        <v>94</v>
      </c>
      <c r="K556" s="13">
        <v>742</v>
      </c>
      <c r="L556" s="13" t="s">
        <v>110</v>
      </c>
      <c r="M556" s="13" t="s">
        <v>1773</v>
      </c>
    </row>
    <row r="557" spans="1:13" x14ac:dyDescent="0.35">
      <c r="A557" s="11">
        <v>20</v>
      </c>
      <c r="B557" s="11" t="s">
        <v>976</v>
      </c>
      <c r="C557" s="11">
        <v>3</v>
      </c>
      <c r="D557" s="12">
        <v>45018.117361111108</v>
      </c>
      <c r="E557" s="12">
        <v>45018.168055555558</v>
      </c>
      <c r="F557" s="11" t="s">
        <v>85</v>
      </c>
      <c r="G557" s="11" t="s">
        <v>73</v>
      </c>
      <c r="H557" s="11" t="s">
        <v>74</v>
      </c>
      <c r="I557" s="16">
        <v>46.54</v>
      </c>
      <c r="J557" s="11" t="s">
        <v>94</v>
      </c>
      <c r="K557" s="11">
        <v>207</v>
      </c>
      <c r="L557" s="11" t="s">
        <v>89</v>
      </c>
      <c r="M557" s="11" t="s">
        <v>1417</v>
      </c>
    </row>
    <row r="558" spans="1:13" x14ac:dyDescent="0.35">
      <c r="A558" s="11">
        <v>20</v>
      </c>
      <c r="B558" s="11" t="s">
        <v>1226</v>
      </c>
      <c r="C558" s="11">
        <v>5</v>
      </c>
      <c r="D558" s="12">
        <v>45023.027777777781</v>
      </c>
      <c r="E558" s="12">
        <v>45023.15625</v>
      </c>
      <c r="F558" s="11" t="s">
        <v>223</v>
      </c>
      <c r="G558" s="11" t="s">
        <v>86</v>
      </c>
      <c r="H558" s="11" t="s">
        <v>74</v>
      </c>
      <c r="I558" s="16">
        <v>13.7</v>
      </c>
      <c r="J558" s="11" t="s">
        <v>94</v>
      </c>
      <c r="K558" s="11">
        <v>759</v>
      </c>
      <c r="L558" s="11" t="s">
        <v>164</v>
      </c>
      <c r="M558" s="11" t="s">
        <v>1782</v>
      </c>
    </row>
    <row r="559" spans="1:13" x14ac:dyDescent="0.35">
      <c r="A559" s="11">
        <v>20</v>
      </c>
      <c r="B559" s="11" t="s">
        <v>879</v>
      </c>
      <c r="C559" s="11">
        <v>5</v>
      </c>
      <c r="D559" s="12">
        <v>45017.126388888886</v>
      </c>
      <c r="E559" s="12">
        <v>45017.256944444445</v>
      </c>
      <c r="F559" s="11" t="s">
        <v>100</v>
      </c>
      <c r="G559" s="11" t="s">
        <v>86</v>
      </c>
      <c r="H559" s="11" t="s">
        <v>74</v>
      </c>
      <c r="I559" s="16">
        <v>14.83</v>
      </c>
      <c r="J559" s="11" t="s">
        <v>88</v>
      </c>
      <c r="K559" s="11">
        <v>29</v>
      </c>
      <c r="L559" s="11" t="s">
        <v>187</v>
      </c>
      <c r="M559" s="11" t="s">
        <v>1285</v>
      </c>
    </row>
    <row r="560" spans="1:13" x14ac:dyDescent="0.35">
      <c r="A560" s="11">
        <v>20</v>
      </c>
      <c r="B560" s="11" t="s">
        <v>894</v>
      </c>
      <c r="C560" s="11">
        <v>5</v>
      </c>
      <c r="D560" s="12">
        <v>45017.0625</v>
      </c>
      <c r="E560" s="12">
        <v>45017.208333333336</v>
      </c>
      <c r="F560" s="11" t="s">
        <v>72</v>
      </c>
      <c r="G560" s="11" t="s">
        <v>73</v>
      </c>
      <c r="H560" s="11" t="s">
        <v>74</v>
      </c>
      <c r="I560" s="16">
        <v>45.49</v>
      </c>
      <c r="J560" s="11" t="s">
        <v>88</v>
      </c>
      <c r="K560" s="11">
        <v>55</v>
      </c>
      <c r="L560" s="11" t="s">
        <v>76</v>
      </c>
      <c r="M560" s="11" t="s">
        <v>1307</v>
      </c>
    </row>
    <row r="561" spans="1:13" x14ac:dyDescent="0.35">
      <c r="A561" s="13">
        <v>20</v>
      </c>
      <c r="B561" s="13" t="s">
        <v>1150</v>
      </c>
      <c r="C561" s="13">
        <v>3</v>
      </c>
      <c r="D561" s="14">
        <v>45022.10833333333</v>
      </c>
      <c r="E561" s="14">
        <v>45022.263888888891</v>
      </c>
      <c r="F561" s="13" t="s">
        <v>223</v>
      </c>
      <c r="G561" s="13" t="s">
        <v>73</v>
      </c>
      <c r="H561" s="13" t="s">
        <v>74</v>
      </c>
      <c r="I561" s="17">
        <v>21.49</v>
      </c>
      <c r="J561" s="13" t="s">
        <v>75</v>
      </c>
      <c r="K561" s="13">
        <v>562</v>
      </c>
      <c r="L561" s="13" t="s">
        <v>275</v>
      </c>
      <c r="M561" s="13" t="s">
        <v>1655</v>
      </c>
    </row>
    <row r="562" spans="1:13" x14ac:dyDescent="0.35">
      <c r="A562" s="11">
        <v>20</v>
      </c>
      <c r="B562" s="11" t="s">
        <v>781</v>
      </c>
      <c r="C562" s="11">
        <v>6</v>
      </c>
      <c r="D562" s="12">
        <v>45023.025694444441</v>
      </c>
      <c r="E562" s="12">
        <v>45023.119444444441</v>
      </c>
      <c r="F562" s="11" t="s">
        <v>85</v>
      </c>
      <c r="G562" s="11" t="s">
        <v>86</v>
      </c>
      <c r="H562" s="11" t="s">
        <v>74</v>
      </c>
      <c r="I562" s="16">
        <v>36.5</v>
      </c>
      <c r="J562" s="11" t="s">
        <v>94</v>
      </c>
      <c r="K562" s="11">
        <v>673</v>
      </c>
      <c r="L562" s="11" t="s">
        <v>275</v>
      </c>
      <c r="M562" s="11" t="s">
        <v>1728</v>
      </c>
    </row>
    <row r="563" spans="1:13" x14ac:dyDescent="0.35">
      <c r="A563" s="13">
        <v>20</v>
      </c>
      <c r="B563" s="13" t="s">
        <v>1045</v>
      </c>
      <c r="C563" s="13">
        <v>5</v>
      </c>
      <c r="D563" s="14">
        <v>45022.061111111114</v>
      </c>
      <c r="E563" s="14">
        <v>45022.200694444444</v>
      </c>
      <c r="F563" s="13" t="s">
        <v>223</v>
      </c>
      <c r="G563" s="13" t="s">
        <v>163</v>
      </c>
      <c r="H563" s="13" t="s">
        <v>74</v>
      </c>
      <c r="I563" s="17">
        <v>11.85</v>
      </c>
      <c r="J563" s="13" t="s">
        <v>94</v>
      </c>
      <c r="K563" s="13">
        <v>494</v>
      </c>
      <c r="L563" s="13" t="s">
        <v>221</v>
      </c>
      <c r="M563" s="13" t="s">
        <v>1267</v>
      </c>
    </row>
    <row r="564" spans="1:13" x14ac:dyDescent="0.35">
      <c r="A564" s="11">
        <v>20</v>
      </c>
      <c r="B564" s="11" t="s">
        <v>1043</v>
      </c>
      <c r="C564" s="11">
        <v>3</v>
      </c>
      <c r="D564" s="12">
        <v>45020.129166666666</v>
      </c>
      <c r="E564" s="12">
        <v>45020.261805555558</v>
      </c>
      <c r="F564" s="11" t="s">
        <v>72</v>
      </c>
      <c r="G564" s="11" t="s">
        <v>73</v>
      </c>
      <c r="H564" s="11" t="s">
        <v>109</v>
      </c>
      <c r="I564" s="16">
        <v>36.61</v>
      </c>
      <c r="J564" s="11" t="s">
        <v>94</v>
      </c>
      <c r="K564" s="11">
        <v>331</v>
      </c>
      <c r="L564" s="11" t="s">
        <v>221</v>
      </c>
      <c r="M564" s="11" t="s">
        <v>1507</v>
      </c>
    </row>
    <row r="565" spans="1:13" x14ac:dyDescent="0.35">
      <c r="A565" s="11">
        <v>20</v>
      </c>
      <c r="B565" s="11" t="s">
        <v>1068</v>
      </c>
      <c r="C565" s="11">
        <v>2</v>
      </c>
      <c r="D565" s="12">
        <v>45020.09097222222</v>
      </c>
      <c r="E565" s="12">
        <v>45020.245833333334</v>
      </c>
      <c r="F565" s="11" t="s">
        <v>85</v>
      </c>
      <c r="G565" s="11" t="s">
        <v>86</v>
      </c>
      <c r="H565" s="11" t="s">
        <v>74</v>
      </c>
      <c r="I565" s="16">
        <v>34.83</v>
      </c>
      <c r="J565" s="11" t="s">
        <v>75</v>
      </c>
      <c r="K565" s="11">
        <v>369</v>
      </c>
      <c r="L565" s="11" t="s">
        <v>174</v>
      </c>
      <c r="M565" s="11" t="s">
        <v>1531</v>
      </c>
    </row>
    <row r="566" spans="1:13" x14ac:dyDescent="0.35">
      <c r="A566" s="11">
        <v>20</v>
      </c>
      <c r="B566" s="11" t="s">
        <v>1142</v>
      </c>
      <c r="C566" s="11">
        <v>5</v>
      </c>
      <c r="D566" s="12">
        <v>45022.11041666667</v>
      </c>
      <c r="E566" s="12">
        <v>45022.18472222222</v>
      </c>
      <c r="F566" s="11" t="s">
        <v>100</v>
      </c>
      <c r="G566" s="11" t="s">
        <v>86</v>
      </c>
      <c r="H566" s="11" t="s">
        <v>87</v>
      </c>
      <c r="I566" s="16">
        <v>12.18</v>
      </c>
      <c r="J566" s="11" t="s">
        <v>88</v>
      </c>
      <c r="K566" s="11">
        <v>545</v>
      </c>
      <c r="L566" s="11" t="s">
        <v>101</v>
      </c>
      <c r="M566" s="11" t="s">
        <v>1641</v>
      </c>
    </row>
    <row r="567" spans="1:13" x14ac:dyDescent="0.35">
      <c r="A567" s="13">
        <v>20</v>
      </c>
      <c r="B567" s="13" t="s">
        <v>1114</v>
      </c>
      <c r="C567" s="13">
        <v>2</v>
      </c>
      <c r="D567" s="14">
        <v>45021.164583333331</v>
      </c>
      <c r="E567" s="14">
        <v>45021.286111111112</v>
      </c>
      <c r="F567" s="13" t="s">
        <v>100</v>
      </c>
      <c r="G567" s="13" t="s">
        <v>86</v>
      </c>
      <c r="H567" s="13" t="s">
        <v>87</v>
      </c>
      <c r="I567" s="17">
        <v>36.79</v>
      </c>
      <c r="J567" s="13" t="s">
        <v>88</v>
      </c>
      <c r="K567" s="13">
        <v>472</v>
      </c>
      <c r="L567" s="13" t="s">
        <v>174</v>
      </c>
      <c r="M567" s="13" t="s">
        <v>1594</v>
      </c>
    </row>
    <row r="568" spans="1:13" x14ac:dyDescent="0.35">
      <c r="A568" s="11">
        <v>20</v>
      </c>
      <c r="B568" s="11" t="s">
        <v>949</v>
      </c>
      <c r="C568" s="11">
        <v>5</v>
      </c>
      <c r="D568" s="12">
        <v>45019.074305555558</v>
      </c>
      <c r="E568" s="12">
        <v>45019.145138888889</v>
      </c>
      <c r="F568" s="11" t="s">
        <v>100</v>
      </c>
      <c r="G568" s="11" t="s">
        <v>86</v>
      </c>
      <c r="H568" s="11" t="s">
        <v>87</v>
      </c>
      <c r="I568" s="16">
        <v>36.299999999999997</v>
      </c>
      <c r="J568" s="11" t="s">
        <v>88</v>
      </c>
      <c r="K568" s="11">
        <v>273</v>
      </c>
      <c r="L568" s="11" t="s">
        <v>110</v>
      </c>
      <c r="M568" s="11" t="s">
        <v>1462</v>
      </c>
    </row>
    <row r="569" spans="1:13" x14ac:dyDescent="0.35">
      <c r="A569" s="13">
        <v>20</v>
      </c>
      <c r="B569" s="13" t="s">
        <v>968</v>
      </c>
      <c r="C569" s="13">
        <v>4</v>
      </c>
      <c r="D569" s="14">
        <v>45018.152777777781</v>
      </c>
      <c r="E569" s="14">
        <v>45018.222916666666</v>
      </c>
      <c r="F569" s="13" t="s">
        <v>170</v>
      </c>
      <c r="G569" s="13" t="s">
        <v>163</v>
      </c>
      <c r="H569" s="13" t="s">
        <v>74</v>
      </c>
      <c r="I569" s="17">
        <v>13.95</v>
      </c>
      <c r="J569" s="13" t="s">
        <v>94</v>
      </c>
      <c r="K569" s="13">
        <v>188</v>
      </c>
      <c r="L569" s="13" t="s">
        <v>110</v>
      </c>
      <c r="M569" s="13" t="s">
        <v>1360</v>
      </c>
    </row>
    <row r="570" spans="1:13" x14ac:dyDescent="0.35">
      <c r="A570" s="13">
        <v>20</v>
      </c>
      <c r="B570" s="13" t="s">
        <v>1157</v>
      </c>
      <c r="C570" s="13">
        <v>3</v>
      </c>
      <c r="D570" s="14">
        <v>45022.021527777775</v>
      </c>
      <c r="E570" s="14">
        <v>45022.130555555559</v>
      </c>
      <c r="F570" s="13" t="s">
        <v>85</v>
      </c>
      <c r="G570" s="13" t="s">
        <v>86</v>
      </c>
      <c r="H570" s="13" t="s">
        <v>74</v>
      </c>
      <c r="I570" s="17">
        <v>42.57</v>
      </c>
      <c r="J570" s="13" t="s">
        <v>75</v>
      </c>
      <c r="K570" s="13">
        <v>574</v>
      </c>
      <c r="L570" s="13" t="s">
        <v>89</v>
      </c>
      <c r="M570" s="13" t="s">
        <v>1662</v>
      </c>
    </row>
    <row r="571" spans="1:13" x14ac:dyDescent="0.35">
      <c r="A571" s="11">
        <v>20</v>
      </c>
      <c r="B571" s="11" t="s">
        <v>1151</v>
      </c>
      <c r="C571" s="11">
        <v>4</v>
      </c>
      <c r="D571" s="12">
        <v>45023.01666666667</v>
      </c>
      <c r="E571" s="12">
        <v>45023.067361111112</v>
      </c>
      <c r="F571" s="11" t="s">
        <v>170</v>
      </c>
      <c r="G571" s="11" t="s">
        <v>73</v>
      </c>
      <c r="H571" s="11" t="s">
        <v>74</v>
      </c>
      <c r="I571" s="16">
        <v>30.77</v>
      </c>
      <c r="J571" s="11" t="s">
        <v>75</v>
      </c>
      <c r="K571" s="11">
        <v>765</v>
      </c>
      <c r="L571" s="11" t="s">
        <v>101</v>
      </c>
      <c r="M571" s="11" t="s">
        <v>1786</v>
      </c>
    </row>
    <row r="572" spans="1:13" x14ac:dyDescent="0.35">
      <c r="A572" s="13">
        <v>20</v>
      </c>
      <c r="B572" s="13" t="s">
        <v>1196</v>
      </c>
      <c r="C572" s="13">
        <v>6</v>
      </c>
      <c r="D572" s="14">
        <v>45023.065972222219</v>
      </c>
      <c r="E572" s="14">
        <v>45023.161805555559</v>
      </c>
      <c r="F572" s="13" t="s">
        <v>72</v>
      </c>
      <c r="G572" s="13" t="s">
        <v>163</v>
      </c>
      <c r="H572" s="13" t="s">
        <v>109</v>
      </c>
      <c r="I572" s="17">
        <v>31.27</v>
      </c>
      <c r="J572" s="13" t="s">
        <v>94</v>
      </c>
      <c r="K572" s="13">
        <v>664</v>
      </c>
      <c r="L572" s="13" t="s">
        <v>110</v>
      </c>
      <c r="M572" s="13" t="s">
        <v>1721</v>
      </c>
    </row>
    <row r="573" spans="1:13" x14ac:dyDescent="0.35">
      <c r="A573" s="11">
        <v>20</v>
      </c>
      <c r="B573" s="11" t="s">
        <v>864</v>
      </c>
      <c r="C573" s="11">
        <v>1</v>
      </c>
      <c r="D573" s="12">
        <v>45017.020138888889</v>
      </c>
      <c r="E573" s="12">
        <v>45017.163888888892</v>
      </c>
      <c r="F573" s="11" t="s">
        <v>100</v>
      </c>
      <c r="G573" s="11" t="s">
        <v>163</v>
      </c>
      <c r="H573" s="11" t="s">
        <v>74</v>
      </c>
      <c r="I573" s="16">
        <v>30.87</v>
      </c>
      <c r="J573" s="11" t="s">
        <v>75</v>
      </c>
      <c r="K573" s="11">
        <v>3</v>
      </c>
      <c r="L573" s="11" t="s">
        <v>89</v>
      </c>
      <c r="M573" s="11" t="s">
        <v>1264</v>
      </c>
    </row>
    <row r="574" spans="1:13" x14ac:dyDescent="0.35">
      <c r="A574" s="13">
        <v>3</v>
      </c>
      <c r="B574" s="13" t="s">
        <v>865</v>
      </c>
      <c r="C574" s="13">
        <v>1</v>
      </c>
      <c r="D574" s="14">
        <v>45017.127083333333</v>
      </c>
      <c r="E574" s="14">
        <v>45017.188194444447</v>
      </c>
      <c r="F574" s="13" t="s">
        <v>85</v>
      </c>
      <c r="G574" s="13" t="s">
        <v>86</v>
      </c>
      <c r="H574" s="13" t="s">
        <v>74</v>
      </c>
      <c r="I574" s="17">
        <v>34.68</v>
      </c>
      <c r="J574" s="13" t="s">
        <v>75</v>
      </c>
      <c r="K574" s="13">
        <v>4</v>
      </c>
      <c r="L574" s="13" t="s">
        <v>221</v>
      </c>
      <c r="M574" s="13" t="s">
        <v>1265</v>
      </c>
    </row>
    <row r="575" spans="1:13" x14ac:dyDescent="0.35">
      <c r="A575" s="11">
        <v>3</v>
      </c>
      <c r="B575" s="11" t="s">
        <v>1152</v>
      </c>
      <c r="C575" s="11">
        <v>6</v>
      </c>
      <c r="D575" s="12">
        <v>45022.11041666667</v>
      </c>
      <c r="E575" s="12">
        <v>45022.228472222225</v>
      </c>
      <c r="F575" s="11" t="s">
        <v>223</v>
      </c>
      <c r="G575" s="11" t="s">
        <v>86</v>
      </c>
      <c r="H575" s="11" t="s">
        <v>74</v>
      </c>
      <c r="I575" s="16">
        <v>15.11</v>
      </c>
      <c r="J575" s="11" t="s">
        <v>75</v>
      </c>
      <c r="K575" s="11">
        <v>565</v>
      </c>
      <c r="L575" s="11" t="s">
        <v>275</v>
      </c>
      <c r="M575" s="11" t="s">
        <v>1657</v>
      </c>
    </row>
    <row r="576" spans="1:13" x14ac:dyDescent="0.35">
      <c r="A576" s="13">
        <v>3</v>
      </c>
      <c r="B576" s="13" t="s">
        <v>327</v>
      </c>
      <c r="C576" s="13">
        <v>6</v>
      </c>
      <c r="D576" s="14">
        <v>45018.111111111109</v>
      </c>
      <c r="E576" s="14">
        <v>45018.163888888892</v>
      </c>
      <c r="F576" s="13" t="s">
        <v>85</v>
      </c>
      <c r="G576" s="13" t="s">
        <v>86</v>
      </c>
      <c r="H576" s="13" t="s">
        <v>109</v>
      </c>
      <c r="I576" s="17">
        <v>11.41</v>
      </c>
      <c r="J576" s="13" t="s">
        <v>94</v>
      </c>
      <c r="K576" s="13">
        <v>194</v>
      </c>
      <c r="L576" s="13" t="s">
        <v>76</v>
      </c>
      <c r="M576" s="13" t="s">
        <v>1409</v>
      </c>
    </row>
    <row r="577" spans="1:13" x14ac:dyDescent="0.35">
      <c r="A577" s="13">
        <v>3</v>
      </c>
      <c r="B577" s="13" t="s">
        <v>987</v>
      </c>
      <c r="C577" s="13">
        <v>3</v>
      </c>
      <c r="D577" s="14">
        <v>45018.151388888888</v>
      </c>
      <c r="E577" s="14">
        <v>45018.279166666667</v>
      </c>
      <c r="F577" s="13" t="s">
        <v>85</v>
      </c>
      <c r="G577" s="13" t="s">
        <v>73</v>
      </c>
      <c r="H577" s="13" t="s">
        <v>109</v>
      </c>
      <c r="I577" s="17">
        <v>32.58</v>
      </c>
      <c r="J577" s="13" t="s">
        <v>75</v>
      </c>
      <c r="K577" s="13">
        <v>222</v>
      </c>
      <c r="L577" s="13" t="s">
        <v>187</v>
      </c>
      <c r="M577" s="13" t="s">
        <v>1429</v>
      </c>
    </row>
    <row r="578" spans="1:13" x14ac:dyDescent="0.35">
      <c r="A578" s="11">
        <v>3</v>
      </c>
      <c r="B578" s="11" t="s">
        <v>980</v>
      </c>
      <c r="C578" s="11">
        <v>3</v>
      </c>
      <c r="D578" s="12">
        <v>45021.09097222222</v>
      </c>
      <c r="E578" s="12">
        <v>45021.211111111108</v>
      </c>
      <c r="F578" s="11" t="s">
        <v>223</v>
      </c>
      <c r="G578" s="11" t="s">
        <v>86</v>
      </c>
      <c r="H578" s="11" t="s">
        <v>109</v>
      </c>
      <c r="I578" s="16">
        <v>21.88</v>
      </c>
      <c r="J578" s="11" t="s">
        <v>88</v>
      </c>
      <c r="K578" s="11">
        <v>411</v>
      </c>
      <c r="L578" s="11" t="s">
        <v>110</v>
      </c>
      <c r="M578" s="11" t="s">
        <v>1555</v>
      </c>
    </row>
    <row r="579" spans="1:13" x14ac:dyDescent="0.35">
      <c r="A579" s="11">
        <v>3</v>
      </c>
      <c r="B579" s="11" t="s">
        <v>984</v>
      </c>
      <c r="C579" s="11">
        <v>1</v>
      </c>
      <c r="D579" s="12">
        <v>45021.053472222222</v>
      </c>
      <c r="E579" s="12">
        <v>45021.101388888892</v>
      </c>
      <c r="F579" s="11" t="s">
        <v>85</v>
      </c>
      <c r="G579" s="11" t="s">
        <v>163</v>
      </c>
      <c r="H579" s="11" t="s">
        <v>74</v>
      </c>
      <c r="I579" s="16">
        <v>46.37</v>
      </c>
      <c r="J579" s="11" t="s">
        <v>75</v>
      </c>
      <c r="K579" s="11">
        <v>451</v>
      </c>
      <c r="L579" s="11" t="s">
        <v>95</v>
      </c>
      <c r="M579" s="11" t="s">
        <v>1580</v>
      </c>
    </row>
    <row r="580" spans="1:13" x14ac:dyDescent="0.35">
      <c r="A580" s="13">
        <v>3</v>
      </c>
      <c r="B580" s="13" t="s">
        <v>984</v>
      </c>
      <c r="C580" s="13">
        <v>6</v>
      </c>
      <c r="D580" s="14">
        <v>45022.114583333336</v>
      </c>
      <c r="E580" s="14">
        <v>45022.185416666667</v>
      </c>
      <c r="F580" s="13" t="s">
        <v>100</v>
      </c>
      <c r="G580" s="13" t="s">
        <v>163</v>
      </c>
      <c r="H580" s="13" t="s">
        <v>74</v>
      </c>
      <c r="I580" s="17">
        <v>40.94</v>
      </c>
      <c r="J580" s="13" t="s">
        <v>88</v>
      </c>
      <c r="K580" s="13">
        <v>590</v>
      </c>
      <c r="L580" s="13" t="s">
        <v>275</v>
      </c>
      <c r="M580" s="13" t="s">
        <v>1670</v>
      </c>
    </row>
    <row r="581" spans="1:13" x14ac:dyDescent="0.35">
      <c r="A581" s="13">
        <v>3</v>
      </c>
      <c r="B581" s="13" t="s">
        <v>899</v>
      </c>
      <c r="C581" s="13">
        <v>3</v>
      </c>
      <c r="D581" s="14">
        <v>45017.069444444445</v>
      </c>
      <c r="E581" s="14">
        <v>45017.168055555558</v>
      </c>
      <c r="F581" s="13" t="s">
        <v>85</v>
      </c>
      <c r="G581" s="13" t="s">
        <v>163</v>
      </c>
      <c r="H581" s="13" t="s">
        <v>87</v>
      </c>
      <c r="I581" s="17">
        <v>34.770000000000003</v>
      </c>
      <c r="J581" s="13" t="s">
        <v>94</v>
      </c>
      <c r="K581" s="13">
        <v>64</v>
      </c>
      <c r="L581" s="13" t="s">
        <v>76</v>
      </c>
      <c r="M581" s="13" t="s">
        <v>1315</v>
      </c>
    </row>
    <row r="582" spans="1:13" x14ac:dyDescent="0.35">
      <c r="A582" s="13">
        <v>3</v>
      </c>
      <c r="B582" s="13" t="s">
        <v>941</v>
      </c>
      <c r="C582" s="13">
        <v>6</v>
      </c>
      <c r="D582" s="14">
        <v>45018.004861111112</v>
      </c>
      <c r="E582" s="14">
        <v>45018.161111111112</v>
      </c>
      <c r="F582" s="13" t="s">
        <v>223</v>
      </c>
      <c r="G582" s="13" t="s">
        <v>73</v>
      </c>
      <c r="H582" s="13" t="s">
        <v>74</v>
      </c>
      <c r="I582" s="17">
        <v>30.1</v>
      </c>
      <c r="J582" s="13" t="s">
        <v>75</v>
      </c>
      <c r="K582" s="13">
        <v>134</v>
      </c>
      <c r="L582" s="13" t="s">
        <v>174</v>
      </c>
      <c r="M582" s="13" t="s">
        <v>1369</v>
      </c>
    </row>
    <row r="583" spans="1:13" x14ac:dyDescent="0.35">
      <c r="A583" s="11">
        <v>3</v>
      </c>
      <c r="B583" s="11" t="s">
        <v>1122</v>
      </c>
      <c r="C583" s="11">
        <v>1</v>
      </c>
      <c r="D583" s="12">
        <v>45022.122916666667</v>
      </c>
      <c r="E583" s="12">
        <v>45022.227083333331</v>
      </c>
      <c r="F583" s="11" t="s">
        <v>170</v>
      </c>
      <c r="G583" s="11" t="s">
        <v>163</v>
      </c>
      <c r="H583" s="11" t="s">
        <v>74</v>
      </c>
      <c r="I583" s="16">
        <v>22.27</v>
      </c>
      <c r="J583" s="11" t="s">
        <v>88</v>
      </c>
      <c r="K583" s="11">
        <v>489</v>
      </c>
      <c r="L583" s="11" t="s">
        <v>164</v>
      </c>
      <c r="M583" s="11" t="s">
        <v>1325</v>
      </c>
    </row>
    <row r="584" spans="1:13" x14ac:dyDescent="0.35">
      <c r="A584" s="11">
        <v>3</v>
      </c>
      <c r="B584" s="11" t="s">
        <v>909</v>
      </c>
      <c r="C584" s="11">
        <v>1</v>
      </c>
      <c r="D584" s="12">
        <v>45017.115277777775</v>
      </c>
      <c r="E584" s="12">
        <v>45017.260416666664</v>
      </c>
      <c r="F584" s="11" t="s">
        <v>170</v>
      </c>
      <c r="G584" s="11" t="s">
        <v>73</v>
      </c>
      <c r="H584" s="11" t="s">
        <v>74</v>
      </c>
      <c r="I584" s="16">
        <v>19.88</v>
      </c>
      <c r="J584" s="11" t="s">
        <v>75</v>
      </c>
      <c r="K584" s="11">
        <v>77</v>
      </c>
      <c r="L584" s="11" t="s">
        <v>95</v>
      </c>
      <c r="M584" s="11" t="s">
        <v>1327</v>
      </c>
    </row>
    <row r="585" spans="1:13" x14ac:dyDescent="0.35">
      <c r="A585" s="13">
        <v>3</v>
      </c>
      <c r="B585" s="13" t="s">
        <v>928</v>
      </c>
      <c r="C585" s="13">
        <v>3</v>
      </c>
      <c r="D585" s="14">
        <v>45017.063888888886</v>
      </c>
      <c r="E585" s="14">
        <v>45017.150694444441</v>
      </c>
      <c r="F585" s="13" t="s">
        <v>72</v>
      </c>
      <c r="G585" s="13" t="s">
        <v>163</v>
      </c>
      <c r="H585" s="13" t="s">
        <v>109</v>
      </c>
      <c r="I585" s="17">
        <v>23.26</v>
      </c>
      <c r="J585" s="13" t="s">
        <v>94</v>
      </c>
      <c r="K585" s="13">
        <v>108</v>
      </c>
      <c r="L585" s="13" t="s">
        <v>221</v>
      </c>
      <c r="M585" s="13" t="s">
        <v>1351</v>
      </c>
    </row>
    <row r="586" spans="1:13" x14ac:dyDescent="0.35">
      <c r="A586" s="11">
        <v>3</v>
      </c>
      <c r="B586" s="11" t="s">
        <v>971</v>
      </c>
      <c r="C586" s="11">
        <v>5</v>
      </c>
      <c r="D586" s="12">
        <v>45018.008333333331</v>
      </c>
      <c r="E586" s="12">
        <v>45018.12777777778</v>
      </c>
      <c r="F586" s="11" t="s">
        <v>85</v>
      </c>
      <c r="G586" s="11" t="s">
        <v>163</v>
      </c>
      <c r="H586" s="11" t="s">
        <v>74</v>
      </c>
      <c r="I586" s="16">
        <v>24.85</v>
      </c>
      <c r="J586" s="11" t="s">
        <v>94</v>
      </c>
      <c r="K586" s="11">
        <v>193</v>
      </c>
      <c r="L586" s="11" t="s">
        <v>164</v>
      </c>
      <c r="M586" s="11" t="s">
        <v>1408</v>
      </c>
    </row>
    <row r="587" spans="1:13" x14ac:dyDescent="0.35">
      <c r="A587" s="11">
        <v>3</v>
      </c>
      <c r="B587" s="11" t="s">
        <v>1023</v>
      </c>
      <c r="C587" s="11">
        <v>1</v>
      </c>
      <c r="D587" s="12">
        <v>45019.006944444445</v>
      </c>
      <c r="E587" s="12">
        <v>45019.084027777775</v>
      </c>
      <c r="F587" s="11" t="s">
        <v>100</v>
      </c>
      <c r="G587" s="11" t="s">
        <v>86</v>
      </c>
      <c r="H587" s="11" t="s">
        <v>74</v>
      </c>
      <c r="I587" s="16">
        <v>46.42</v>
      </c>
      <c r="J587" s="11" t="s">
        <v>94</v>
      </c>
      <c r="K587" s="11">
        <v>295</v>
      </c>
      <c r="L587" s="11" t="s">
        <v>174</v>
      </c>
      <c r="M587" s="11" t="s">
        <v>1477</v>
      </c>
    </row>
    <row r="588" spans="1:13" x14ac:dyDescent="0.35">
      <c r="A588" s="11">
        <v>3</v>
      </c>
      <c r="B588" s="11" t="s">
        <v>915</v>
      </c>
      <c r="C588" s="11">
        <v>2</v>
      </c>
      <c r="D588" s="12">
        <v>45017.073611111111</v>
      </c>
      <c r="E588" s="12">
        <v>45017.137499999997</v>
      </c>
      <c r="F588" s="11" t="s">
        <v>72</v>
      </c>
      <c r="G588" s="11" t="s">
        <v>86</v>
      </c>
      <c r="H588" s="11" t="s">
        <v>74</v>
      </c>
      <c r="I588" s="16">
        <v>29.46</v>
      </c>
      <c r="J588" s="11" t="s">
        <v>88</v>
      </c>
      <c r="K588" s="11">
        <v>87</v>
      </c>
      <c r="L588" s="11" t="s">
        <v>275</v>
      </c>
      <c r="M588" s="11" t="s">
        <v>1333</v>
      </c>
    </row>
    <row r="589" spans="1:13" x14ac:dyDescent="0.35">
      <c r="A589" s="13">
        <v>3</v>
      </c>
      <c r="B589" s="13" t="s">
        <v>1071</v>
      </c>
      <c r="C589" s="13">
        <v>1</v>
      </c>
      <c r="D589" s="14">
        <v>45020.163194444445</v>
      </c>
      <c r="E589" s="14">
        <v>45020.220833333333</v>
      </c>
      <c r="F589" s="13" t="s">
        <v>223</v>
      </c>
      <c r="G589" s="13" t="s">
        <v>86</v>
      </c>
      <c r="H589" s="13" t="s">
        <v>87</v>
      </c>
      <c r="I589" s="17">
        <v>40.31</v>
      </c>
      <c r="J589" s="13" t="s">
        <v>75</v>
      </c>
      <c r="K589" s="13">
        <v>378</v>
      </c>
      <c r="L589" s="13" t="s">
        <v>76</v>
      </c>
      <c r="M589" s="13" t="s">
        <v>1535</v>
      </c>
    </row>
    <row r="590" spans="1:13" x14ac:dyDescent="0.35">
      <c r="A590" s="11">
        <v>3</v>
      </c>
      <c r="B590" s="11" t="s">
        <v>1108</v>
      </c>
      <c r="C590" s="11">
        <v>5</v>
      </c>
      <c r="D590" s="12">
        <v>45022.057638888888</v>
      </c>
      <c r="E590" s="12">
        <v>45022.109027777777</v>
      </c>
      <c r="F590" s="11" t="s">
        <v>170</v>
      </c>
      <c r="G590" s="11" t="s">
        <v>163</v>
      </c>
      <c r="H590" s="11" t="s">
        <v>74</v>
      </c>
      <c r="I590" s="16">
        <v>10.07</v>
      </c>
      <c r="J590" s="11" t="s">
        <v>75</v>
      </c>
      <c r="K590" s="11">
        <v>585</v>
      </c>
      <c r="L590" s="11" t="s">
        <v>187</v>
      </c>
      <c r="M590" s="11" t="s">
        <v>1667</v>
      </c>
    </row>
    <row r="591" spans="1:13" x14ac:dyDescent="0.35">
      <c r="A591" s="11">
        <v>3</v>
      </c>
      <c r="B591" s="11" t="s">
        <v>1205</v>
      </c>
      <c r="C591" s="11">
        <v>1</v>
      </c>
      <c r="D591" s="12">
        <v>45023.106944444444</v>
      </c>
      <c r="E591" s="12">
        <v>45023.202777777777</v>
      </c>
      <c r="F591" s="11" t="s">
        <v>85</v>
      </c>
      <c r="G591" s="11" t="s">
        <v>86</v>
      </c>
      <c r="H591" s="11" t="s">
        <v>87</v>
      </c>
      <c r="I591" s="16">
        <v>18.75</v>
      </c>
      <c r="J591" s="11" t="s">
        <v>75</v>
      </c>
      <c r="K591" s="11">
        <v>745</v>
      </c>
      <c r="L591" s="11" t="s">
        <v>95</v>
      </c>
      <c r="M591" s="11" t="s">
        <v>1775</v>
      </c>
    </row>
    <row r="592" spans="1:13" x14ac:dyDescent="0.35">
      <c r="A592" s="11">
        <v>3</v>
      </c>
      <c r="B592" s="11" t="s">
        <v>931</v>
      </c>
      <c r="C592" s="11">
        <v>2</v>
      </c>
      <c r="D592" s="12">
        <v>45017.074999999997</v>
      </c>
      <c r="E592" s="12">
        <v>45017.213194444441</v>
      </c>
      <c r="F592" s="11" t="s">
        <v>170</v>
      </c>
      <c r="G592" s="11" t="s">
        <v>163</v>
      </c>
      <c r="H592" s="11" t="s">
        <v>74</v>
      </c>
      <c r="I592" s="16">
        <v>18.82</v>
      </c>
      <c r="J592" s="11" t="s">
        <v>94</v>
      </c>
      <c r="K592" s="11">
        <v>111</v>
      </c>
      <c r="L592" s="11" t="s">
        <v>187</v>
      </c>
      <c r="M592" s="11" t="s">
        <v>1354</v>
      </c>
    </row>
    <row r="593" spans="1:13" x14ac:dyDescent="0.35">
      <c r="A593" s="11">
        <v>3</v>
      </c>
      <c r="B593" s="11" t="s">
        <v>1125</v>
      </c>
      <c r="C593" s="11">
        <v>1</v>
      </c>
      <c r="D593" s="12">
        <v>45022.097222222219</v>
      </c>
      <c r="E593" s="12">
        <v>45022.168055555558</v>
      </c>
      <c r="F593" s="11" t="s">
        <v>170</v>
      </c>
      <c r="G593" s="11" t="s">
        <v>86</v>
      </c>
      <c r="H593" s="11" t="s">
        <v>74</v>
      </c>
      <c r="I593" s="16">
        <v>35.840000000000003</v>
      </c>
      <c r="J593" s="11" t="s">
        <v>94</v>
      </c>
      <c r="K593" s="11">
        <v>503</v>
      </c>
      <c r="L593" s="11" t="s">
        <v>181</v>
      </c>
      <c r="M593" s="11" t="s">
        <v>1443</v>
      </c>
    </row>
    <row r="594" spans="1:13" x14ac:dyDescent="0.35">
      <c r="A594" s="11">
        <v>3</v>
      </c>
      <c r="B594" s="11" t="s">
        <v>1195</v>
      </c>
      <c r="C594" s="11">
        <v>1</v>
      </c>
      <c r="D594" s="12">
        <v>45023.04791666667</v>
      </c>
      <c r="E594" s="12">
        <v>45023.157638888886</v>
      </c>
      <c r="F594" s="11" t="s">
        <v>223</v>
      </c>
      <c r="G594" s="11" t="s">
        <v>86</v>
      </c>
      <c r="H594" s="11" t="s">
        <v>87</v>
      </c>
      <c r="I594" s="16">
        <v>41.8</v>
      </c>
      <c r="J594" s="11" t="s">
        <v>88</v>
      </c>
      <c r="K594" s="11">
        <v>663</v>
      </c>
      <c r="L594" s="11" t="s">
        <v>181</v>
      </c>
      <c r="M594" s="11" t="s">
        <v>1720</v>
      </c>
    </row>
    <row r="595" spans="1:13" x14ac:dyDescent="0.35">
      <c r="A595" s="13">
        <v>3</v>
      </c>
      <c r="B595" s="13" t="s">
        <v>1174</v>
      </c>
      <c r="C595" s="13">
        <v>5</v>
      </c>
      <c r="D595" s="14">
        <v>45022.038888888892</v>
      </c>
      <c r="E595" s="14">
        <v>45022.133333333331</v>
      </c>
      <c r="F595" s="13" t="s">
        <v>72</v>
      </c>
      <c r="G595" s="13" t="s">
        <v>163</v>
      </c>
      <c r="H595" s="13" t="s">
        <v>74</v>
      </c>
      <c r="I595" s="17">
        <v>25.93</v>
      </c>
      <c r="J595" s="13" t="s">
        <v>75</v>
      </c>
      <c r="K595" s="13">
        <v>618</v>
      </c>
      <c r="L595" s="13" t="s">
        <v>101</v>
      </c>
      <c r="M595" s="13" t="s">
        <v>1688</v>
      </c>
    </row>
    <row r="596" spans="1:13" x14ac:dyDescent="0.35">
      <c r="A596" s="11">
        <v>4</v>
      </c>
      <c r="B596" s="11" t="s">
        <v>787</v>
      </c>
      <c r="C596" s="11">
        <v>5</v>
      </c>
      <c r="D596" s="12">
        <v>45017.147916666669</v>
      </c>
      <c r="E596" s="12">
        <v>45017.26458333333</v>
      </c>
      <c r="F596" s="11" t="s">
        <v>72</v>
      </c>
      <c r="G596" s="11" t="s">
        <v>73</v>
      </c>
      <c r="H596" s="11" t="s">
        <v>109</v>
      </c>
      <c r="I596" s="16">
        <v>20.38</v>
      </c>
      <c r="J596" s="11" t="s">
        <v>88</v>
      </c>
      <c r="K596" s="11">
        <v>33</v>
      </c>
      <c r="L596" s="11" t="s">
        <v>76</v>
      </c>
      <c r="M596" s="11" t="s">
        <v>1289</v>
      </c>
    </row>
    <row r="597" spans="1:13" x14ac:dyDescent="0.35">
      <c r="A597" s="11">
        <v>4</v>
      </c>
      <c r="B597" s="11" t="s">
        <v>1072</v>
      </c>
      <c r="C597" s="11">
        <v>1</v>
      </c>
      <c r="D597" s="12">
        <v>45020.039583333331</v>
      </c>
      <c r="E597" s="12">
        <v>45020.188888888886</v>
      </c>
      <c r="F597" s="11" t="s">
        <v>223</v>
      </c>
      <c r="G597" s="11" t="s">
        <v>163</v>
      </c>
      <c r="H597" s="11" t="s">
        <v>109</v>
      </c>
      <c r="I597" s="16">
        <v>27.69</v>
      </c>
      <c r="J597" s="11" t="s">
        <v>75</v>
      </c>
      <c r="K597" s="11">
        <v>381</v>
      </c>
      <c r="L597" s="11" t="s">
        <v>174</v>
      </c>
      <c r="M597" s="11" t="s">
        <v>1537</v>
      </c>
    </row>
    <row r="598" spans="1:13" x14ac:dyDescent="0.35">
      <c r="A598" s="11">
        <v>4</v>
      </c>
      <c r="B598" s="11" t="s">
        <v>327</v>
      </c>
      <c r="C598" s="11">
        <v>2</v>
      </c>
      <c r="D598" s="12">
        <v>45021.106944444444</v>
      </c>
      <c r="E598" s="12">
        <v>45021.206250000003</v>
      </c>
      <c r="F598" s="11" t="s">
        <v>223</v>
      </c>
      <c r="G598" s="11" t="s">
        <v>86</v>
      </c>
      <c r="H598" s="11" t="s">
        <v>87</v>
      </c>
      <c r="I598" s="16">
        <v>34.130000000000003</v>
      </c>
      <c r="J598" s="11" t="s">
        <v>75</v>
      </c>
      <c r="K598" s="11">
        <v>423</v>
      </c>
      <c r="L598" s="11" t="s">
        <v>187</v>
      </c>
      <c r="M598" s="11" t="s">
        <v>1563</v>
      </c>
    </row>
    <row r="599" spans="1:13" x14ac:dyDescent="0.35">
      <c r="A599" s="11">
        <v>4</v>
      </c>
      <c r="B599" s="11" t="s">
        <v>872</v>
      </c>
      <c r="C599" s="11">
        <v>2</v>
      </c>
      <c r="D599" s="12">
        <v>45022.050694444442</v>
      </c>
      <c r="E599" s="12">
        <v>45022.152083333334</v>
      </c>
      <c r="F599" s="11" t="s">
        <v>223</v>
      </c>
      <c r="G599" s="11" t="s">
        <v>86</v>
      </c>
      <c r="H599" s="11" t="s">
        <v>74</v>
      </c>
      <c r="I599" s="16">
        <v>44.24</v>
      </c>
      <c r="J599" s="11" t="s">
        <v>94</v>
      </c>
      <c r="K599" s="11">
        <v>561</v>
      </c>
      <c r="L599" s="11" t="s">
        <v>101</v>
      </c>
      <c r="M599" s="11" t="s">
        <v>1654</v>
      </c>
    </row>
    <row r="600" spans="1:13" x14ac:dyDescent="0.35">
      <c r="A600" s="13">
        <v>4</v>
      </c>
      <c r="B600" s="13" t="s">
        <v>1044</v>
      </c>
      <c r="C600" s="13">
        <v>5</v>
      </c>
      <c r="D600" s="14">
        <v>45021.004861111112</v>
      </c>
      <c r="E600" s="14">
        <v>45021.149305555555</v>
      </c>
      <c r="F600" s="13" t="s">
        <v>72</v>
      </c>
      <c r="G600" s="13" t="s">
        <v>73</v>
      </c>
      <c r="H600" s="13" t="s">
        <v>74</v>
      </c>
      <c r="I600" s="17">
        <v>35.68</v>
      </c>
      <c r="J600" s="13" t="s">
        <v>88</v>
      </c>
      <c r="K600" s="13">
        <v>448</v>
      </c>
      <c r="L600" s="13" t="s">
        <v>275</v>
      </c>
      <c r="M600" s="13" t="s">
        <v>1578</v>
      </c>
    </row>
    <row r="601" spans="1:13" x14ac:dyDescent="0.35">
      <c r="A601" s="13">
        <v>4</v>
      </c>
      <c r="B601" s="13" t="s">
        <v>1214</v>
      </c>
      <c r="C601" s="13">
        <v>5</v>
      </c>
      <c r="D601" s="14">
        <v>45023.092361111114</v>
      </c>
      <c r="E601" s="14">
        <v>45023.240277777775</v>
      </c>
      <c r="F601" s="13" t="s">
        <v>170</v>
      </c>
      <c r="G601" s="13" t="s">
        <v>86</v>
      </c>
      <c r="H601" s="13" t="s">
        <v>74</v>
      </c>
      <c r="I601" s="17">
        <v>40.28</v>
      </c>
      <c r="J601" s="13" t="s">
        <v>94</v>
      </c>
      <c r="K601" s="13">
        <v>720</v>
      </c>
      <c r="L601" s="13" t="s">
        <v>221</v>
      </c>
      <c r="M601" s="13" t="s">
        <v>1758</v>
      </c>
    </row>
    <row r="602" spans="1:13" x14ac:dyDescent="0.35">
      <c r="A602" s="11">
        <v>4</v>
      </c>
      <c r="B602" s="11" t="s">
        <v>453</v>
      </c>
      <c r="C602" s="11">
        <v>2</v>
      </c>
      <c r="D602" s="12">
        <v>45021.013888888891</v>
      </c>
      <c r="E602" s="12">
        <v>45021.06527777778</v>
      </c>
      <c r="F602" s="11" t="s">
        <v>72</v>
      </c>
      <c r="G602" s="11" t="s">
        <v>163</v>
      </c>
      <c r="H602" s="11" t="s">
        <v>109</v>
      </c>
      <c r="I602" s="16">
        <v>37.79</v>
      </c>
      <c r="J602" s="11" t="s">
        <v>75</v>
      </c>
      <c r="K602" s="11">
        <v>397</v>
      </c>
      <c r="L602" s="11" t="s">
        <v>101</v>
      </c>
      <c r="M602" s="11" t="s">
        <v>1543</v>
      </c>
    </row>
    <row r="603" spans="1:13" x14ac:dyDescent="0.35">
      <c r="A603" s="11">
        <v>4</v>
      </c>
      <c r="B603" s="11" t="s">
        <v>1082</v>
      </c>
      <c r="C603" s="11">
        <v>1</v>
      </c>
      <c r="D603" s="12">
        <v>45021.092361111114</v>
      </c>
      <c r="E603" s="12">
        <v>45021.20208333333</v>
      </c>
      <c r="F603" s="11" t="s">
        <v>72</v>
      </c>
      <c r="G603" s="11" t="s">
        <v>163</v>
      </c>
      <c r="H603" s="11" t="s">
        <v>109</v>
      </c>
      <c r="I603" s="16">
        <v>22.98</v>
      </c>
      <c r="J603" s="11" t="s">
        <v>94</v>
      </c>
      <c r="K603" s="11">
        <v>407</v>
      </c>
      <c r="L603" s="11" t="s">
        <v>187</v>
      </c>
      <c r="M603" s="11" t="s">
        <v>1314</v>
      </c>
    </row>
    <row r="604" spans="1:13" x14ac:dyDescent="0.35">
      <c r="A604" s="13">
        <v>4</v>
      </c>
      <c r="B604" s="13" t="s">
        <v>966</v>
      </c>
      <c r="C604" s="13">
        <v>6</v>
      </c>
      <c r="D604" s="14">
        <v>45018.163194444445</v>
      </c>
      <c r="E604" s="14">
        <v>45018.292361111111</v>
      </c>
      <c r="F604" s="13" t="s">
        <v>85</v>
      </c>
      <c r="G604" s="13" t="s">
        <v>86</v>
      </c>
      <c r="H604" s="13" t="s">
        <v>74</v>
      </c>
      <c r="I604" s="17">
        <v>24.24</v>
      </c>
      <c r="J604" s="13" t="s">
        <v>88</v>
      </c>
      <c r="K604" s="13">
        <v>184</v>
      </c>
      <c r="L604" s="13" t="s">
        <v>101</v>
      </c>
      <c r="M604" s="13" t="s">
        <v>1401</v>
      </c>
    </row>
    <row r="605" spans="1:13" x14ac:dyDescent="0.35">
      <c r="A605" s="11">
        <v>4</v>
      </c>
      <c r="B605" s="11" t="s">
        <v>531</v>
      </c>
      <c r="C605" s="11">
        <v>2</v>
      </c>
      <c r="D605" s="12">
        <v>45021.052083333336</v>
      </c>
      <c r="E605" s="12">
        <v>45021.134722222225</v>
      </c>
      <c r="F605" s="11" t="s">
        <v>100</v>
      </c>
      <c r="G605" s="11" t="s">
        <v>86</v>
      </c>
      <c r="H605" s="11" t="s">
        <v>109</v>
      </c>
      <c r="I605" s="16">
        <v>14.48</v>
      </c>
      <c r="J605" s="11" t="s">
        <v>75</v>
      </c>
      <c r="K605" s="11">
        <v>443</v>
      </c>
      <c r="L605" s="11" t="s">
        <v>275</v>
      </c>
      <c r="M605" s="11" t="s">
        <v>1575</v>
      </c>
    </row>
    <row r="606" spans="1:13" x14ac:dyDescent="0.35">
      <c r="A606" s="13">
        <v>4</v>
      </c>
      <c r="B606" s="13" t="s">
        <v>1122</v>
      </c>
      <c r="C606" s="13">
        <v>5</v>
      </c>
      <c r="D606" s="14">
        <v>45022.053472222222</v>
      </c>
      <c r="E606" s="14">
        <v>45022.21875</v>
      </c>
      <c r="F606" s="13" t="s">
        <v>72</v>
      </c>
      <c r="G606" s="13" t="s">
        <v>163</v>
      </c>
      <c r="H606" s="13" t="s">
        <v>109</v>
      </c>
      <c r="I606" s="17">
        <v>37.619999999999997</v>
      </c>
      <c r="J606" s="13" t="s">
        <v>88</v>
      </c>
      <c r="K606" s="13">
        <v>500</v>
      </c>
      <c r="L606" s="13" t="s">
        <v>164</v>
      </c>
      <c r="M606" s="13" t="s">
        <v>1614</v>
      </c>
    </row>
    <row r="607" spans="1:13" x14ac:dyDescent="0.35">
      <c r="A607" s="13">
        <v>4</v>
      </c>
      <c r="B607" s="13" t="s">
        <v>1123</v>
      </c>
      <c r="C607" s="13">
        <v>4</v>
      </c>
      <c r="D607" s="14">
        <v>45022.043749999997</v>
      </c>
      <c r="E607" s="14">
        <v>45022.191666666666</v>
      </c>
      <c r="F607" s="13" t="s">
        <v>223</v>
      </c>
      <c r="G607" s="13" t="s">
        <v>86</v>
      </c>
      <c r="H607" s="13" t="s">
        <v>74</v>
      </c>
      <c r="I607" s="17">
        <v>16.62</v>
      </c>
      <c r="J607" s="13" t="s">
        <v>94</v>
      </c>
      <c r="K607" s="13">
        <v>492</v>
      </c>
      <c r="L607" s="13" t="s">
        <v>110</v>
      </c>
      <c r="M607" s="13" t="s">
        <v>1609</v>
      </c>
    </row>
    <row r="608" spans="1:13" x14ac:dyDescent="0.35">
      <c r="A608" s="13">
        <v>4</v>
      </c>
      <c r="B608" s="13" t="s">
        <v>1109</v>
      </c>
      <c r="C608" s="13">
        <v>1</v>
      </c>
      <c r="D608" s="14">
        <v>45021.07916666667</v>
      </c>
      <c r="E608" s="14">
        <v>45021.180555555555</v>
      </c>
      <c r="F608" s="13" t="s">
        <v>223</v>
      </c>
      <c r="G608" s="13" t="s">
        <v>86</v>
      </c>
      <c r="H608" s="13" t="s">
        <v>74</v>
      </c>
      <c r="I608" s="17">
        <v>26.63</v>
      </c>
      <c r="J608" s="13" t="s">
        <v>75</v>
      </c>
      <c r="K608" s="13">
        <v>466</v>
      </c>
      <c r="L608" s="13" t="s">
        <v>95</v>
      </c>
      <c r="M608" s="13" t="s">
        <v>1589</v>
      </c>
    </row>
    <row r="609" spans="1:13" x14ac:dyDescent="0.35">
      <c r="A609" s="13">
        <v>4</v>
      </c>
      <c r="B609" s="13" t="s">
        <v>1009</v>
      </c>
      <c r="C609" s="13">
        <v>4</v>
      </c>
      <c r="D609" s="14">
        <v>45018.020833333336</v>
      </c>
      <c r="E609" s="14">
        <v>45018.086111111108</v>
      </c>
      <c r="F609" s="13" t="s">
        <v>100</v>
      </c>
      <c r="G609" s="13" t="s">
        <v>86</v>
      </c>
      <c r="H609" s="13" t="s">
        <v>74</v>
      </c>
      <c r="I609" s="17">
        <v>24.75</v>
      </c>
      <c r="J609" s="13" t="s">
        <v>94</v>
      </c>
      <c r="K609" s="13">
        <v>266</v>
      </c>
      <c r="L609" s="13" t="s">
        <v>221</v>
      </c>
      <c r="M609" s="13" t="s">
        <v>1457</v>
      </c>
    </row>
    <row r="610" spans="1:13" x14ac:dyDescent="0.35">
      <c r="A610" s="13">
        <v>4</v>
      </c>
      <c r="B610" s="13" t="s">
        <v>1106</v>
      </c>
      <c r="C610" s="13">
        <v>3</v>
      </c>
      <c r="D610" s="14">
        <v>45021.111805555556</v>
      </c>
      <c r="E610" s="14">
        <v>45021.181250000001</v>
      </c>
      <c r="F610" s="13" t="s">
        <v>72</v>
      </c>
      <c r="G610" s="13" t="s">
        <v>86</v>
      </c>
      <c r="H610" s="13" t="s">
        <v>74</v>
      </c>
      <c r="I610" s="17">
        <v>15.21</v>
      </c>
      <c r="J610" s="13" t="s">
        <v>88</v>
      </c>
      <c r="K610" s="13">
        <v>458</v>
      </c>
      <c r="L610" s="13" t="s">
        <v>95</v>
      </c>
      <c r="M610" s="13" t="s">
        <v>1584</v>
      </c>
    </row>
    <row r="611" spans="1:13" x14ac:dyDescent="0.35">
      <c r="A611" s="11">
        <v>4</v>
      </c>
      <c r="B611" s="11" t="s">
        <v>1107</v>
      </c>
      <c r="C611" s="11">
        <v>3</v>
      </c>
      <c r="D611" s="12">
        <v>45021.113194444442</v>
      </c>
      <c r="E611" s="12">
        <v>45021.246527777781</v>
      </c>
      <c r="F611" s="11" t="s">
        <v>85</v>
      </c>
      <c r="G611" s="11" t="s">
        <v>73</v>
      </c>
      <c r="H611" s="11" t="s">
        <v>87</v>
      </c>
      <c r="I611" s="16">
        <v>21.51</v>
      </c>
      <c r="J611" s="11" t="s">
        <v>75</v>
      </c>
      <c r="K611" s="11">
        <v>461</v>
      </c>
      <c r="L611" s="11" t="s">
        <v>76</v>
      </c>
      <c r="M611" s="11" t="s">
        <v>1586</v>
      </c>
    </row>
    <row r="612" spans="1:13" x14ac:dyDescent="0.35">
      <c r="A612" s="13">
        <v>4</v>
      </c>
      <c r="B612" s="13" t="s">
        <v>1002</v>
      </c>
      <c r="C612" s="13">
        <v>3</v>
      </c>
      <c r="D612" s="14">
        <v>45018.027083333334</v>
      </c>
      <c r="E612" s="14">
        <v>45018.183333333334</v>
      </c>
      <c r="F612" s="13" t="s">
        <v>72</v>
      </c>
      <c r="G612" s="13" t="s">
        <v>86</v>
      </c>
      <c r="H612" s="13" t="s">
        <v>74</v>
      </c>
      <c r="I612" s="17">
        <v>43.81</v>
      </c>
      <c r="J612" s="13" t="s">
        <v>75</v>
      </c>
      <c r="K612" s="13">
        <v>252</v>
      </c>
      <c r="L612" s="13" t="s">
        <v>110</v>
      </c>
      <c r="M612" s="13" t="s">
        <v>1449</v>
      </c>
    </row>
    <row r="613" spans="1:13" x14ac:dyDescent="0.35">
      <c r="A613" s="11">
        <v>4</v>
      </c>
      <c r="B613" s="11" t="s">
        <v>1069</v>
      </c>
      <c r="C613" s="11">
        <v>3</v>
      </c>
      <c r="D613" s="12">
        <v>45020.052777777775</v>
      </c>
      <c r="E613" s="12">
        <v>45020.188194444447</v>
      </c>
      <c r="F613" s="11" t="s">
        <v>72</v>
      </c>
      <c r="G613" s="11" t="s">
        <v>73</v>
      </c>
      <c r="H613" s="11" t="s">
        <v>74</v>
      </c>
      <c r="I613" s="16">
        <v>32.51</v>
      </c>
      <c r="J613" s="11" t="s">
        <v>88</v>
      </c>
      <c r="K613" s="11">
        <v>371</v>
      </c>
      <c r="L613" s="11" t="s">
        <v>187</v>
      </c>
      <c r="M613" s="11" t="s">
        <v>1532</v>
      </c>
    </row>
    <row r="614" spans="1:13" x14ac:dyDescent="0.35">
      <c r="A614" s="11">
        <v>4</v>
      </c>
      <c r="B614" s="11" t="s">
        <v>491</v>
      </c>
      <c r="C614" s="11">
        <v>5</v>
      </c>
      <c r="D614" s="12">
        <v>45022.065972222219</v>
      </c>
      <c r="E614" s="12">
        <v>45022.229166666664</v>
      </c>
      <c r="F614" s="11" t="s">
        <v>72</v>
      </c>
      <c r="G614" s="11" t="s">
        <v>86</v>
      </c>
      <c r="H614" s="11" t="s">
        <v>87</v>
      </c>
      <c r="I614" s="16">
        <v>23.92</v>
      </c>
      <c r="J614" s="11" t="s">
        <v>94</v>
      </c>
      <c r="K614" s="11">
        <v>517</v>
      </c>
      <c r="L614" s="11" t="s">
        <v>187</v>
      </c>
      <c r="M614" s="11" t="s">
        <v>1622</v>
      </c>
    </row>
    <row r="615" spans="1:13" x14ac:dyDescent="0.35">
      <c r="A615" s="13">
        <v>4</v>
      </c>
      <c r="B615" s="13" t="s">
        <v>1046</v>
      </c>
      <c r="C615" s="13">
        <v>5</v>
      </c>
      <c r="D615" s="14">
        <v>45020.065972222219</v>
      </c>
      <c r="E615" s="14">
        <v>45020.20208333333</v>
      </c>
      <c r="F615" s="13" t="s">
        <v>100</v>
      </c>
      <c r="G615" s="13" t="s">
        <v>73</v>
      </c>
      <c r="H615" s="13" t="s">
        <v>74</v>
      </c>
      <c r="I615" s="17">
        <v>17.93</v>
      </c>
      <c r="J615" s="13" t="s">
        <v>75</v>
      </c>
      <c r="K615" s="13">
        <v>336</v>
      </c>
      <c r="L615" s="13" t="s">
        <v>164</v>
      </c>
      <c r="M615" s="13" t="s">
        <v>1510</v>
      </c>
    </row>
    <row r="616" spans="1:13" x14ac:dyDescent="0.35">
      <c r="A616" s="11">
        <v>4</v>
      </c>
      <c r="B616" s="11" t="s">
        <v>964</v>
      </c>
      <c r="C616" s="11">
        <v>6</v>
      </c>
      <c r="D616" s="12">
        <v>45018.114583333336</v>
      </c>
      <c r="E616" s="12">
        <v>45018.25</v>
      </c>
      <c r="F616" s="11" t="s">
        <v>100</v>
      </c>
      <c r="G616" s="11" t="s">
        <v>86</v>
      </c>
      <c r="H616" s="11" t="s">
        <v>74</v>
      </c>
      <c r="I616" s="16">
        <v>13.15</v>
      </c>
      <c r="J616" s="11" t="s">
        <v>88</v>
      </c>
      <c r="K616" s="11">
        <v>237</v>
      </c>
      <c r="L616" s="11" t="s">
        <v>76</v>
      </c>
      <c r="M616" s="11" t="s">
        <v>1439</v>
      </c>
    </row>
    <row r="617" spans="1:13" x14ac:dyDescent="0.35">
      <c r="A617" s="13">
        <v>4</v>
      </c>
      <c r="B617" s="13" t="s">
        <v>1170</v>
      </c>
      <c r="C617" s="13">
        <v>4</v>
      </c>
      <c r="D617" s="14">
        <v>45022.009722222225</v>
      </c>
      <c r="E617" s="14">
        <v>45022.15</v>
      </c>
      <c r="F617" s="13" t="s">
        <v>85</v>
      </c>
      <c r="G617" s="13" t="s">
        <v>73</v>
      </c>
      <c r="H617" s="13" t="s">
        <v>74</v>
      </c>
      <c r="I617" s="17">
        <v>23.89</v>
      </c>
      <c r="J617" s="13" t="s">
        <v>88</v>
      </c>
      <c r="K617" s="13">
        <v>616</v>
      </c>
      <c r="L617" s="13" t="s">
        <v>275</v>
      </c>
      <c r="M617" s="13" t="s">
        <v>1262</v>
      </c>
    </row>
    <row r="618" spans="1:13" x14ac:dyDescent="0.35">
      <c r="A618" s="11">
        <v>4</v>
      </c>
      <c r="B618" s="11" t="s">
        <v>962</v>
      </c>
      <c r="C618" s="11">
        <v>1</v>
      </c>
      <c r="D618" s="12">
        <v>45018.009722222225</v>
      </c>
      <c r="E618" s="12">
        <v>45018.051388888889</v>
      </c>
      <c r="F618" s="11" t="s">
        <v>72</v>
      </c>
      <c r="G618" s="11" t="s">
        <v>73</v>
      </c>
      <c r="H618" s="11" t="s">
        <v>74</v>
      </c>
      <c r="I618" s="16">
        <v>10.39</v>
      </c>
      <c r="J618" s="11" t="s">
        <v>88</v>
      </c>
      <c r="K618" s="11">
        <v>177</v>
      </c>
      <c r="L618" s="11" t="s">
        <v>76</v>
      </c>
      <c r="M618" s="11" t="s">
        <v>1397</v>
      </c>
    </row>
    <row r="619" spans="1:13" x14ac:dyDescent="0.35">
      <c r="A619" s="13">
        <v>4</v>
      </c>
      <c r="B619" s="13" t="s">
        <v>1131</v>
      </c>
      <c r="C619" s="13">
        <v>4</v>
      </c>
      <c r="D619" s="14">
        <v>45022.149305555555</v>
      </c>
      <c r="E619" s="14">
        <v>45022.265972222223</v>
      </c>
      <c r="F619" s="13" t="s">
        <v>72</v>
      </c>
      <c r="G619" s="13" t="s">
        <v>73</v>
      </c>
      <c r="H619" s="13" t="s">
        <v>74</v>
      </c>
      <c r="I619" s="17">
        <v>43.99</v>
      </c>
      <c r="J619" s="13" t="s">
        <v>75</v>
      </c>
      <c r="K619" s="13">
        <v>520</v>
      </c>
      <c r="L619" s="13" t="s">
        <v>110</v>
      </c>
      <c r="M619" s="13" t="s">
        <v>1624</v>
      </c>
    </row>
    <row r="620" spans="1:13" x14ac:dyDescent="0.35">
      <c r="A620" s="13">
        <v>4</v>
      </c>
      <c r="B620" s="13" t="s">
        <v>1145</v>
      </c>
      <c r="C620" s="13">
        <v>2</v>
      </c>
      <c r="D620" s="14">
        <v>45022.038194444445</v>
      </c>
      <c r="E620" s="14">
        <v>45022.168749999997</v>
      </c>
      <c r="F620" s="13" t="s">
        <v>100</v>
      </c>
      <c r="G620" s="13" t="s">
        <v>86</v>
      </c>
      <c r="H620" s="13" t="s">
        <v>74</v>
      </c>
      <c r="I620" s="17">
        <v>28.88</v>
      </c>
      <c r="J620" s="13" t="s">
        <v>75</v>
      </c>
      <c r="K620" s="13">
        <v>548</v>
      </c>
      <c r="L620" s="13" t="s">
        <v>101</v>
      </c>
      <c r="M620" s="13" t="s">
        <v>1644</v>
      </c>
    </row>
    <row r="621" spans="1:13" x14ac:dyDescent="0.35">
      <c r="A621" s="11">
        <v>4</v>
      </c>
      <c r="B621" s="11" t="s">
        <v>1146</v>
      </c>
      <c r="C621" s="11">
        <v>2</v>
      </c>
      <c r="D621" s="12">
        <v>45022.123611111114</v>
      </c>
      <c r="E621" s="12">
        <v>45022.173611111109</v>
      </c>
      <c r="F621" s="11" t="s">
        <v>170</v>
      </c>
      <c r="G621" s="11" t="s">
        <v>163</v>
      </c>
      <c r="H621" s="11" t="s">
        <v>74</v>
      </c>
      <c r="I621" s="16">
        <v>17.54</v>
      </c>
      <c r="J621" s="11" t="s">
        <v>94</v>
      </c>
      <c r="K621" s="11">
        <v>551</v>
      </c>
      <c r="L621" s="11" t="s">
        <v>221</v>
      </c>
      <c r="M621" s="11" t="s">
        <v>1647</v>
      </c>
    </row>
    <row r="622" spans="1:13" x14ac:dyDescent="0.35">
      <c r="A622" s="13">
        <v>4</v>
      </c>
      <c r="B622" s="13" t="s">
        <v>1023</v>
      </c>
      <c r="C622" s="13">
        <v>3</v>
      </c>
      <c r="D622" s="14">
        <v>45023.054166666669</v>
      </c>
      <c r="E622" s="14">
        <v>45023.142361111109</v>
      </c>
      <c r="F622" s="13" t="s">
        <v>85</v>
      </c>
      <c r="G622" s="13" t="s">
        <v>163</v>
      </c>
      <c r="H622" s="13" t="s">
        <v>74</v>
      </c>
      <c r="I622" s="17">
        <v>49.45</v>
      </c>
      <c r="J622" s="13" t="s">
        <v>94</v>
      </c>
      <c r="K622" s="13">
        <v>762</v>
      </c>
      <c r="L622" s="13" t="s">
        <v>174</v>
      </c>
      <c r="M622" s="13" t="s">
        <v>1784</v>
      </c>
    </row>
    <row r="623" spans="1:13" x14ac:dyDescent="0.35">
      <c r="A623" s="11">
        <v>4</v>
      </c>
      <c r="B623" s="11" t="s">
        <v>378</v>
      </c>
      <c r="C623" s="11">
        <v>2</v>
      </c>
      <c r="D623" s="12">
        <v>45017.054861111108</v>
      </c>
      <c r="E623" s="12">
        <v>45017.102083333331</v>
      </c>
      <c r="F623" s="11" t="s">
        <v>85</v>
      </c>
      <c r="G623" s="11" t="s">
        <v>86</v>
      </c>
      <c r="H623" s="11" t="s">
        <v>74</v>
      </c>
      <c r="I623" s="16">
        <v>19.27</v>
      </c>
      <c r="J623" s="11" t="s">
        <v>88</v>
      </c>
      <c r="K623" s="11">
        <v>27</v>
      </c>
      <c r="L623" s="11" t="s">
        <v>89</v>
      </c>
      <c r="M623" s="11" t="s">
        <v>1283</v>
      </c>
    </row>
    <row r="624" spans="1:13" x14ac:dyDescent="0.35">
      <c r="A624" s="11">
        <v>4</v>
      </c>
      <c r="B624" s="11" t="s">
        <v>1168</v>
      </c>
      <c r="C624" s="11">
        <v>4</v>
      </c>
      <c r="D624" s="12">
        <v>45023.11041666667</v>
      </c>
      <c r="E624" s="12">
        <v>45023.154166666667</v>
      </c>
      <c r="F624" s="11" t="s">
        <v>170</v>
      </c>
      <c r="G624" s="11" t="s">
        <v>163</v>
      </c>
      <c r="H624" s="11" t="s">
        <v>74</v>
      </c>
      <c r="I624" s="16">
        <v>16.850000000000001</v>
      </c>
      <c r="J624" s="11" t="s">
        <v>75</v>
      </c>
      <c r="K624" s="11">
        <v>761</v>
      </c>
      <c r="L624" s="11" t="s">
        <v>181</v>
      </c>
      <c r="M624" s="11" t="s">
        <v>1783</v>
      </c>
    </row>
    <row r="625" spans="1:13" x14ac:dyDescent="0.35">
      <c r="A625" s="11">
        <v>4</v>
      </c>
      <c r="B625" s="11" t="s">
        <v>84</v>
      </c>
      <c r="C625" s="11">
        <v>3</v>
      </c>
      <c r="D625" s="12">
        <v>45019.043749999997</v>
      </c>
      <c r="E625" s="12">
        <v>45019.185416666667</v>
      </c>
      <c r="F625" s="11" t="s">
        <v>223</v>
      </c>
      <c r="G625" s="11" t="s">
        <v>86</v>
      </c>
      <c r="H625" s="11" t="s">
        <v>74</v>
      </c>
      <c r="I625" s="16">
        <v>43.46</v>
      </c>
      <c r="J625" s="11" t="s">
        <v>88</v>
      </c>
      <c r="K625" s="11">
        <v>297</v>
      </c>
      <c r="L625" s="11" t="s">
        <v>181</v>
      </c>
      <c r="M625" s="11" t="s">
        <v>1479</v>
      </c>
    </row>
    <row r="626" spans="1:13" x14ac:dyDescent="0.35">
      <c r="A626" s="11">
        <v>4</v>
      </c>
      <c r="B626" s="11" t="s">
        <v>1108</v>
      </c>
      <c r="C626" s="11">
        <v>2</v>
      </c>
      <c r="D626" s="12">
        <v>45021.049305555556</v>
      </c>
      <c r="E626" s="12">
        <v>45021.151388888888</v>
      </c>
      <c r="F626" s="11" t="s">
        <v>223</v>
      </c>
      <c r="G626" s="11" t="s">
        <v>86</v>
      </c>
      <c r="H626" s="11" t="s">
        <v>74</v>
      </c>
      <c r="I626" s="16">
        <v>44.9</v>
      </c>
      <c r="J626" s="11" t="s">
        <v>88</v>
      </c>
      <c r="K626" s="11">
        <v>465</v>
      </c>
      <c r="L626" s="11" t="s">
        <v>174</v>
      </c>
      <c r="M626" s="11" t="s">
        <v>1588</v>
      </c>
    </row>
    <row r="627" spans="1:13" x14ac:dyDescent="0.35">
      <c r="A627" s="11">
        <v>4</v>
      </c>
      <c r="B627" s="11" t="s">
        <v>1205</v>
      </c>
      <c r="C627" s="11">
        <v>1</v>
      </c>
      <c r="D627" s="12">
        <v>45023.158333333333</v>
      </c>
      <c r="E627" s="12">
        <v>45023.279166666667</v>
      </c>
      <c r="F627" s="11" t="s">
        <v>100</v>
      </c>
      <c r="G627" s="11" t="s">
        <v>86</v>
      </c>
      <c r="H627" s="11" t="s">
        <v>74</v>
      </c>
      <c r="I627" s="16">
        <v>34.35</v>
      </c>
      <c r="J627" s="11" t="s">
        <v>94</v>
      </c>
      <c r="K627" s="11">
        <v>697</v>
      </c>
      <c r="L627" s="11" t="s">
        <v>174</v>
      </c>
      <c r="M627" s="11" t="s">
        <v>1745</v>
      </c>
    </row>
    <row r="628" spans="1:13" x14ac:dyDescent="0.35">
      <c r="A628" s="13">
        <v>4</v>
      </c>
      <c r="B628" s="13" t="s">
        <v>934</v>
      </c>
      <c r="C628" s="13">
        <v>2</v>
      </c>
      <c r="D628" s="14">
        <v>45018.026388888888</v>
      </c>
      <c r="E628" s="14">
        <v>45018.070833333331</v>
      </c>
      <c r="F628" s="13" t="s">
        <v>223</v>
      </c>
      <c r="G628" s="13" t="s">
        <v>86</v>
      </c>
      <c r="H628" s="13" t="s">
        <v>87</v>
      </c>
      <c r="I628" s="17">
        <v>12.51</v>
      </c>
      <c r="J628" s="13" t="s">
        <v>94</v>
      </c>
      <c r="K628" s="13">
        <v>120</v>
      </c>
      <c r="L628" s="13" t="s">
        <v>174</v>
      </c>
      <c r="M628" s="13" t="s">
        <v>1360</v>
      </c>
    </row>
    <row r="629" spans="1:13" x14ac:dyDescent="0.35">
      <c r="A629" s="13">
        <v>4</v>
      </c>
      <c r="B629" s="13" t="s">
        <v>71</v>
      </c>
      <c r="C629" s="13">
        <v>3</v>
      </c>
      <c r="D629" s="14">
        <v>45018.007638888892</v>
      </c>
      <c r="E629" s="14">
        <v>45018.173611111109</v>
      </c>
      <c r="F629" s="13" t="s">
        <v>100</v>
      </c>
      <c r="G629" s="13" t="s">
        <v>86</v>
      </c>
      <c r="H629" s="13" t="s">
        <v>74</v>
      </c>
      <c r="I629" s="17">
        <v>42.65</v>
      </c>
      <c r="J629" s="13" t="s">
        <v>94</v>
      </c>
      <c r="K629" s="13">
        <v>196</v>
      </c>
      <c r="L629" s="13" t="s">
        <v>181</v>
      </c>
      <c r="M629" s="13" t="s">
        <v>1410</v>
      </c>
    </row>
    <row r="630" spans="1:13" x14ac:dyDescent="0.35">
      <c r="A630" s="11">
        <v>5</v>
      </c>
      <c r="B630" s="11" t="s">
        <v>1200</v>
      </c>
      <c r="C630" s="11">
        <v>2</v>
      </c>
      <c r="D630" s="12">
        <v>45023.037499999999</v>
      </c>
      <c r="E630" s="12">
        <v>45023.189583333333</v>
      </c>
      <c r="F630" s="11" t="s">
        <v>100</v>
      </c>
      <c r="G630" s="11" t="s">
        <v>73</v>
      </c>
      <c r="H630" s="11" t="s">
        <v>87</v>
      </c>
      <c r="I630" s="16">
        <v>30.74</v>
      </c>
      <c r="J630" s="11" t="s">
        <v>94</v>
      </c>
      <c r="K630" s="11">
        <v>675</v>
      </c>
      <c r="L630" s="11" t="s">
        <v>187</v>
      </c>
      <c r="M630" s="11" t="s">
        <v>1730</v>
      </c>
    </row>
    <row r="631" spans="1:13" x14ac:dyDescent="0.35">
      <c r="A631" s="13">
        <v>5</v>
      </c>
      <c r="B631" s="13" t="s">
        <v>586</v>
      </c>
      <c r="C631" s="13">
        <v>5</v>
      </c>
      <c r="D631" s="14">
        <v>45018.114583333336</v>
      </c>
      <c r="E631" s="14">
        <v>45018.165972222225</v>
      </c>
      <c r="F631" s="13" t="s">
        <v>170</v>
      </c>
      <c r="G631" s="13" t="s">
        <v>86</v>
      </c>
      <c r="H631" s="13" t="s">
        <v>74</v>
      </c>
      <c r="I631" s="17">
        <v>48.75</v>
      </c>
      <c r="J631" s="13" t="s">
        <v>75</v>
      </c>
      <c r="K631" s="13">
        <v>158</v>
      </c>
      <c r="L631" s="13" t="s">
        <v>101</v>
      </c>
      <c r="M631" s="13" t="s">
        <v>1385</v>
      </c>
    </row>
    <row r="632" spans="1:13" x14ac:dyDescent="0.35">
      <c r="A632" s="11">
        <v>5</v>
      </c>
      <c r="B632" s="11" t="s">
        <v>822</v>
      </c>
      <c r="C632" s="11">
        <v>4</v>
      </c>
      <c r="D632" s="12">
        <v>45022.134027777778</v>
      </c>
      <c r="E632" s="12">
        <v>45022.277777777781</v>
      </c>
      <c r="F632" s="11" t="s">
        <v>72</v>
      </c>
      <c r="G632" s="11" t="s">
        <v>86</v>
      </c>
      <c r="H632" s="11" t="s">
        <v>74</v>
      </c>
      <c r="I632" s="16">
        <v>34.119999999999997</v>
      </c>
      <c r="J632" s="11" t="s">
        <v>75</v>
      </c>
      <c r="K632" s="11">
        <v>577</v>
      </c>
      <c r="L632" s="11" t="s">
        <v>76</v>
      </c>
      <c r="M632" s="11" t="s">
        <v>1664</v>
      </c>
    </row>
    <row r="633" spans="1:13" x14ac:dyDescent="0.35">
      <c r="A633" s="11">
        <v>5</v>
      </c>
      <c r="B633" s="11" t="s">
        <v>903</v>
      </c>
      <c r="C633" s="11">
        <v>4</v>
      </c>
      <c r="D633" s="12">
        <v>45017.084722222222</v>
      </c>
      <c r="E633" s="12">
        <v>45017.164583333331</v>
      </c>
      <c r="F633" s="11" t="s">
        <v>100</v>
      </c>
      <c r="G633" s="11" t="s">
        <v>86</v>
      </c>
      <c r="H633" s="11" t="s">
        <v>74</v>
      </c>
      <c r="I633" s="16">
        <v>31.49</v>
      </c>
      <c r="J633" s="11" t="s">
        <v>75</v>
      </c>
      <c r="K633" s="11">
        <v>69</v>
      </c>
      <c r="L633" s="11" t="s">
        <v>76</v>
      </c>
      <c r="M633" s="11" t="s">
        <v>1320</v>
      </c>
    </row>
    <row r="634" spans="1:13" x14ac:dyDescent="0.35">
      <c r="A634" s="13">
        <v>5</v>
      </c>
      <c r="B634" s="13" t="s">
        <v>884</v>
      </c>
      <c r="C634" s="13">
        <v>5</v>
      </c>
      <c r="D634" s="14">
        <v>45018.09375</v>
      </c>
      <c r="E634" s="14">
        <v>45018.2</v>
      </c>
      <c r="F634" s="13" t="s">
        <v>100</v>
      </c>
      <c r="G634" s="13" t="s">
        <v>86</v>
      </c>
      <c r="H634" s="13" t="s">
        <v>74</v>
      </c>
      <c r="I634" s="17">
        <v>15.84</v>
      </c>
      <c r="J634" s="13" t="s">
        <v>75</v>
      </c>
      <c r="K634" s="13">
        <v>230</v>
      </c>
      <c r="L634" s="13" t="s">
        <v>275</v>
      </c>
      <c r="M634" s="13" t="s">
        <v>1434</v>
      </c>
    </row>
    <row r="635" spans="1:13" x14ac:dyDescent="0.35">
      <c r="A635" s="13">
        <v>5</v>
      </c>
      <c r="B635" s="13" t="s">
        <v>930</v>
      </c>
      <c r="C635" s="13">
        <v>1</v>
      </c>
      <c r="D635" s="14">
        <v>45017.147222222222</v>
      </c>
      <c r="E635" s="14">
        <v>45017.275694444441</v>
      </c>
      <c r="F635" s="13" t="s">
        <v>223</v>
      </c>
      <c r="G635" s="13" t="s">
        <v>86</v>
      </c>
      <c r="H635" s="13" t="s">
        <v>74</v>
      </c>
      <c r="I635" s="17">
        <v>47.91</v>
      </c>
      <c r="J635" s="13" t="s">
        <v>94</v>
      </c>
      <c r="K635" s="13">
        <v>110</v>
      </c>
      <c r="L635" s="13" t="s">
        <v>221</v>
      </c>
      <c r="M635" s="13" t="s">
        <v>1353</v>
      </c>
    </row>
    <row r="636" spans="1:13" x14ac:dyDescent="0.35">
      <c r="A636" s="13">
        <v>5</v>
      </c>
      <c r="B636" s="13" t="s">
        <v>1162</v>
      </c>
      <c r="C636" s="13">
        <v>1</v>
      </c>
      <c r="D636" s="14">
        <v>45022.033333333333</v>
      </c>
      <c r="E636" s="14">
        <v>45022.111111111109</v>
      </c>
      <c r="F636" s="13" t="s">
        <v>100</v>
      </c>
      <c r="G636" s="13" t="s">
        <v>86</v>
      </c>
      <c r="H636" s="13" t="s">
        <v>74</v>
      </c>
      <c r="I636" s="17">
        <v>35.67</v>
      </c>
      <c r="J636" s="13" t="s">
        <v>94</v>
      </c>
      <c r="K636" s="13">
        <v>592</v>
      </c>
      <c r="L636" s="13" t="s">
        <v>187</v>
      </c>
      <c r="M636" s="13" t="s">
        <v>1671</v>
      </c>
    </row>
    <row r="637" spans="1:13" x14ac:dyDescent="0.35">
      <c r="A637" s="11">
        <v>5</v>
      </c>
      <c r="B637" s="11" t="s">
        <v>826</v>
      </c>
      <c r="C637" s="11">
        <v>6</v>
      </c>
      <c r="D637" s="12">
        <v>45021.11041666667</v>
      </c>
      <c r="E637" s="12">
        <v>45021.207638888889</v>
      </c>
      <c r="F637" s="11" t="s">
        <v>100</v>
      </c>
      <c r="G637" s="11" t="s">
        <v>73</v>
      </c>
      <c r="H637" s="11" t="s">
        <v>74</v>
      </c>
      <c r="I637" s="16">
        <v>14.56</v>
      </c>
      <c r="J637" s="11" t="s">
        <v>94</v>
      </c>
      <c r="K637" s="11">
        <v>405</v>
      </c>
      <c r="L637" s="11" t="s">
        <v>164</v>
      </c>
      <c r="M637" s="11" t="s">
        <v>1550</v>
      </c>
    </row>
    <row r="638" spans="1:13" x14ac:dyDescent="0.35">
      <c r="A638" s="13">
        <v>5</v>
      </c>
      <c r="B638" s="13" t="s">
        <v>566</v>
      </c>
      <c r="C638" s="13">
        <v>1</v>
      </c>
      <c r="D638" s="14">
        <v>45017.130555555559</v>
      </c>
      <c r="E638" s="14">
        <v>45017.28402777778</v>
      </c>
      <c r="F638" s="13" t="s">
        <v>223</v>
      </c>
      <c r="G638" s="13" t="s">
        <v>86</v>
      </c>
      <c r="H638" s="13" t="s">
        <v>74</v>
      </c>
      <c r="I638" s="17">
        <v>28.25</v>
      </c>
      <c r="J638" s="13" t="s">
        <v>88</v>
      </c>
      <c r="K638" s="13">
        <v>32</v>
      </c>
      <c r="L638" s="13" t="s">
        <v>174</v>
      </c>
      <c r="M638" s="13" t="s">
        <v>1288</v>
      </c>
    </row>
    <row r="639" spans="1:13" x14ac:dyDescent="0.35">
      <c r="A639" s="11">
        <v>5</v>
      </c>
      <c r="B639" s="11" t="s">
        <v>725</v>
      </c>
      <c r="C639" s="11">
        <v>6</v>
      </c>
      <c r="D639" s="12">
        <v>45018.115277777775</v>
      </c>
      <c r="E639" s="12">
        <v>45018.20416666667</v>
      </c>
      <c r="F639" s="11" t="s">
        <v>100</v>
      </c>
      <c r="G639" s="11" t="s">
        <v>163</v>
      </c>
      <c r="H639" s="11" t="s">
        <v>109</v>
      </c>
      <c r="I639" s="16">
        <v>20.11</v>
      </c>
      <c r="J639" s="11" t="s">
        <v>88</v>
      </c>
      <c r="K639" s="11">
        <v>197</v>
      </c>
      <c r="L639" s="11" t="s">
        <v>110</v>
      </c>
      <c r="M639" s="11" t="s">
        <v>1411</v>
      </c>
    </row>
    <row r="640" spans="1:13" x14ac:dyDescent="0.35">
      <c r="A640" s="13">
        <v>5</v>
      </c>
      <c r="B640" s="13" t="s">
        <v>1201</v>
      </c>
      <c r="C640" s="13">
        <v>4</v>
      </c>
      <c r="D640" s="14">
        <v>45023.057638888888</v>
      </c>
      <c r="E640" s="14">
        <v>45023.222222222219</v>
      </c>
      <c r="F640" s="13" t="s">
        <v>170</v>
      </c>
      <c r="G640" s="13" t="s">
        <v>86</v>
      </c>
      <c r="H640" s="13" t="s">
        <v>87</v>
      </c>
      <c r="I640" s="17">
        <v>12.06</v>
      </c>
      <c r="J640" s="13" t="s">
        <v>94</v>
      </c>
      <c r="K640" s="13">
        <v>680</v>
      </c>
      <c r="L640" s="13" t="s">
        <v>221</v>
      </c>
      <c r="M640" s="13" t="s">
        <v>1735</v>
      </c>
    </row>
    <row r="641" spans="1:13" x14ac:dyDescent="0.35">
      <c r="A641" s="11">
        <v>5</v>
      </c>
      <c r="B641" s="11" t="s">
        <v>959</v>
      </c>
      <c r="C641" s="11">
        <v>6</v>
      </c>
      <c r="D641" s="12">
        <v>45018.054861111108</v>
      </c>
      <c r="E641" s="12">
        <v>45018.115277777775</v>
      </c>
      <c r="F641" s="11" t="s">
        <v>100</v>
      </c>
      <c r="G641" s="11" t="s">
        <v>86</v>
      </c>
      <c r="H641" s="11" t="s">
        <v>109</v>
      </c>
      <c r="I641" s="16">
        <v>42.74</v>
      </c>
      <c r="J641" s="11" t="s">
        <v>94</v>
      </c>
      <c r="K641" s="11">
        <v>167</v>
      </c>
      <c r="L641" s="11" t="s">
        <v>164</v>
      </c>
      <c r="M641" s="11" t="s">
        <v>1391</v>
      </c>
    </row>
    <row r="642" spans="1:13" x14ac:dyDescent="0.35">
      <c r="A642" s="13">
        <v>5</v>
      </c>
      <c r="B642" s="13" t="s">
        <v>876</v>
      </c>
      <c r="C642" s="13">
        <v>5</v>
      </c>
      <c r="D642" s="14">
        <v>45017.125694444447</v>
      </c>
      <c r="E642" s="14">
        <v>45017.263888888891</v>
      </c>
      <c r="F642" s="13" t="s">
        <v>170</v>
      </c>
      <c r="G642" s="13" t="s">
        <v>86</v>
      </c>
      <c r="H642" s="13" t="s">
        <v>74</v>
      </c>
      <c r="I642" s="17">
        <v>38.18</v>
      </c>
      <c r="J642" s="13" t="s">
        <v>88</v>
      </c>
      <c r="K642" s="13">
        <v>24</v>
      </c>
      <c r="L642" s="13" t="s">
        <v>275</v>
      </c>
      <c r="M642" s="13" t="s">
        <v>1281</v>
      </c>
    </row>
    <row r="643" spans="1:13" x14ac:dyDescent="0.35">
      <c r="A643" s="11">
        <v>5</v>
      </c>
      <c r="B643" s="11" t="s">
        <v>1063</v>
      </c>
      <c r="C643" s="11">
        <v>2</v>
      </c>
      <c r="D643" s="12">
        <v>45020.073611111111</v>
      </c>
      <c r="E643" s="12">
        <v>45020.145138888889</v>
      </c>
      <c r="F643" s="11" t="s">
        <v>170</v>
      </c>
      <c r="G643" s="11" t="s">
        <v>86</v>
      </c>
      <c r="H643" s="11" t="s">
        <v>74</v>
      </c>
      <c r="I643" s="16">
        <v>49.02</v>
      </c>
      <c r="J643" s="11" t="s">
        <v>88</v>
      </c>
      <c r="K643" s="11">
        <v>363</v>
      </c>
      <c r="L643" s="11" t="s">
        <v>89</v>
      </c>
      <c r="M643" s="11" t="s">
        <v>1526</v>
      </c>
    </row>
    <row r="644" spans="1:13" x14ac:dyDescent="0.35">
      <c r="A644" s="11">
        <v>5</v>
      </c>
      <c r="B644" s="11" t="s">
        <v>1175</v>
      </c>
      <c r="C644" s="11">
        <v>4</v>
      </c>
      <c r="D644" s="12">
        <v>45022.006249999999</v>
      </c>
      <c r="E644" s="12">
        <v>45022.140277777777</v>
      </c>
      <c r="F644" s="11" t="s">
        <v>72</v>
      </c>
      <c r="G644" s="11" t="s">
        <v>73</v>
      </c>
      <c r="H644" s="11" t="s">
        <v>74</v>
      </c>
      <c r="I644" s="16">
        <v>41.73</v>
      </c>
      <c r="J644" s="11" t="s">
        <v>88</v>
      </c>
      <c r="K644" s="11">
        <v>625</v>
      </c>
      <c r="L644" s="11" t="s">
        <v>101</v>
      </c>
      <c r="M644" s="11" t="s">
        <v>1693</v>
      </c>
    </row>
    <row r="645" spans="1:13" x14ac:dyDescent="0.35">
      <c r="A645" s="13">
        <v>5</v>
      </c>
      <c r="B645" s="13" t="s">
        <v>892</v>
      </c>
      <c r="C645" s="13">
        <v>1</v>
      </c>
      <c r="D645" s="14">
        <v>45022.068749999999</v>
      </c>
      <c r="E645" s="14">
        <v>45022.144444444442</v>
      </c>
      <c r="F645" s="13" t="s">
        <v>72</v>
      </c>
      <c r="G645" s="13" t="s">
        <v>86</v>
      </c>
      <c r="H645" s="13" t="s">
        <v>109</v>
      </c>
      <c r="I645" s="17">
        <v>21.13</v>
      </c>
      <c r="J645" s="13" t="s">
        <v>88</v>
      </c>
      <c r="K645" s="13">
        <v>568</v>
      </c>
      <c r="L645" s="13" t="s">
        <v>110</v>
      </c>
      <c r="M645" s="13" t="s">
        <v>1270</v>
      </c>
    </row>
    <row r="646" spans="1:13" x14ac:dyDescent="0.35">
      <c r="A646" s="13">
        <v>5</v>
      </c>
      <c r="B646" s="13" t="s">
        <v>1092</v>
      </c>
      <c r="C646" s="13">
        <v>2</v>
      </c>
      <c r="D646" s="14">
        <v>45021.132638888892</v>
      </c>
      <c r="E646" s="14">
        <v>45021.209722222222</v>
      </c>
      <c r="F646" s="13" t="s">
        <v>72</v>
      </c>
      <c r="G646" s="13" t="s">
        <v>86</v>
      </c>
      <c r="H646" s="13" t="s">
        <v>74</v>
      </c>
      <c r="I646" s="17">
        <v>47.8</v>
      </c>
      <c r="J646" s="13" t="s">
        <v>94</v>
      </c>
      <c r="K646" s="13">
        <v>426</v>
      </c>
      <c r="L646" s="13" t="s">
        <v>89</v>
      </c>
      <c r="M646" s="13" t="s">
        <v>1565</v>
      </c>
    </row>
    <row r="647" spans="1:13" x14ac:dyDescent="0.35">
      <c r="A647" s="11">
        <v>5</v>
      </c>
      <c r="B647" s="11" t="s">
        <v>936</v>
      </c>
      <c r="C647" s="11">
        <v>1</v>
      </c>
      <c r="D647" s="12">
        <v>45018.120138888888</v>
      </c>
      <c r="E647" s="12">
        <v>45018.226388888892</v>
      </c>
      <c r="F647" s="11" t="s">
        <v>223</v>
      </c>
      <c r="G647" s="11" t="s">
        <v>163</v>
      </c>
      <c r="H647" s="11" t="s">
        <v>74</v>
      </c>
      <c r="I647" s="16">
        <v>42.96</v>
      </c>
      <c r="J647" s="11" t="s">
        <v>75</v>
      </c>
      <c r="K647" s="11">
        <v>263</v>
      </c>
      <c r="L647" s="11" t="s">
        <v>174</v>
      </c>
      <c r="M647" s="11" t="s">
        <v>1454</v>
      </c>
    </row>
    <row r="648" spans="1:13" x14ac:dyDescent="0.35">
      <c r="A648" s="11">
        <v>5</v>
      </c>
      <c r="B648" s="11" t="s">
        <v>1126</v>
      </c>
      <c r="C648" s="11">
        <v>1</v>
      </c>
      <c r="D648" s="12">
        <v>45022.109722222223</v>
      </c>
      <c r="E648" s="12">
        <v>45022.254861111112</v>
      </c>
      <c r="F648" s="11" t="s">
        <v>100</v>
      </c>
      <c r="G648" s="11" t="s">
        <v>73</v>
      </c>
      <c r="H648" s="11" t="s">
        <v>74</v>
      </c>
      <c r="I648" s="16">
        <v>25.76</v>
      </c>
      <c r="J648" s="11" t="s">
        <v>94</v>
      </c>
      <c r="K648" s="11">
        <v>505</v>
      </c>
      <c r="L648" s="11" t="s">
        <v>110</v>
      </c>
      <c r="M648" s="11" t="s">
        <v>1617</v>
      </c>
    </row>
    <row r="649" spans="1:13" x14ac:dyDescent="0.35">
      <c r="A649" s="11">
        <v>5</v>
      </c>
      <c r="B649" s="11" t="s">
        <v>975</v>
      </c>
      <c r="C649" s="11">
        <v>2</v>
      </c>
      <c r="D649" s="12">
        <v>45018.164583333331</v>
      </c>
      <c r="E649" s="12">
        <v>45018.222916666666</v>
      </c>
      <c r="F649" s="11" t="s">
        <v>223</v>
      </c>
      <c r="G649" s="11" t="s">
        <v>86</v>
      </c>
      <c r="H649" s="11" t="s">
        <v>74</v>
      </c>
      <c r="I649" s="16">
        <v>40.19</v>
      </c>
      <c r="J649" s="11" t="s">
        <v>75</v>
      </c>
      <c r="K649" s="11">
        <v>203</v>
      </c>
      <c r="L649" s="11" t="s">
        <v>76</v>
      </c>
      <c r="M649" s="11" t="s">
        <v>1415</v>
      </c>
    </row>
    <row r="650" spans="1:13" x14ac:dyDescent="0.35">
      <c r="A650" s="13">
        <v>5</v>
      </c>
      <c r="B650" s="13" t="s">
        <v>949</v>
      </c>
      <c r="C650" s="13">
        <v>2</v>
      </c>
      <c r="D650" s="14">
        <v>45018.063194444447</v>
      </c>
      <c r="E650" s="14">
        <v>45018.140277777777</v>
      </c>
      <c r="F650" s="13" t="s">
        <v>100</v>
      </c>
      <c r="G650" s="13" t="s">
        <v>86</v>
      </c>
      <c r="H650" s="13" t="s">
        <v>74</v>
      </c>
      <c r="I650" s="17">
        <v>38.880000000000003</v>
      </c>
      <c r="J650" s="13" t="s">
        <v>75</v>
      </c>
      <c r="K650" s="13">
        <v>190</v>
      </c>
      <c r="L650" s="13" t="s">
        <v>110</v>
      </c>
      <c r="M650" s="13" t="s">
        <v>1406</v>
      </c>
    </row>
    <row r="651" spans="1:13" x14ac:dyDescent="0.35">
      <c r="A651" s="11">
        <v>5</v>
      </c>
      <c r="B651" s="11" t="s">
        <v>967</v>
      </c>
      <c r="C651" s="11">
        <v>1</v>
      </c>
      <c r="D651" s="12">
        <v>45018.099305555559</v>
      </c>
      <c r="E651" s="12">
        <v>45018.227777777778</v>
      </c>
      <c r="F651" s="11" t="s">
        <v>72</v>
      </c>
      <c r="G651" s="11" t="s">
        <v>86</v>
      </c>
      <c r="H651" s="11" t="s">
        <v>74</v>
      </c>
      <c r="I651" s="16">
        <v>17.399999999999999</v>
      </c>
      <c r="J651" s="11" t="s">
        <v>75</v>
      </c>
      <c r="K651" s="11">
        <v>187</v>
      </c>
      <c r="L651" s="11" t="s">
        <v>275</v>
      </c>
      <c r="M651" s="11" t="s">
        <v>1404</v>
      </c>
    </row>
    <row r="652" spans="1:13" x14ac:dyDescent="0.35">
      <c r="A652" s="13">
        <v>5</v>
      </c>
      <c r="B652" s="13" t="s">
        <v>985</v>
      </c>
      <c r="C652" s="13">
        <v>2</v>
      </c>
      <c r="D652" s="14">
        <v>45022.03125</v>
      </c>
      <c r="E652" s="14">
        <v>45022.081250000003</v>
      </c>
      <c r="F652" s="13" t="s">
        <v>85</v>
      </c>
      <c r="G652" s="13" t="s">
        <v>86</v>
      </c>
      <c r="H652" s="13" t="s">
        <v>74</v>
      </c>
      <c r="I652" s="17">
        <v>32.9</v>
      </c>
      <c r="J652" s="13" t="s">
        <v>94</v>
      </c>
      <c r="K652" s="13">
        <v>502</v>
      </c>
      <c r="L652" s="13" t="s">
        <v>95</v>
      </c>
      <c r="M652" s="13" t="s">
        <v>1616</v>
      </c>
    </row>
    <row r="653" spans="1:13" x14ac:dyDescent="0.35">
      <c r="A653" s="11">
        <v>5</v>
      </c>
      <c r="B653" s="11" t="s">
        <v>973</v>
      </c>
      <c r="C653" s="11">
        <v>3</v>
      </c>
      <c r="D653" s="12">
        <v>45019.092361111114</v>
      </c>
      <c r="E653" s="12">
        <v>45019.248611111114</v>
      </c>
      <c r="F653" s="11" t="s">
        <v>100</v>
      </c>
      <c r="G653" s="11" t="s">
        <v>86</v>
      </c>
      <c r="H653" s="11" t="s">
        <v>74</v>
      </c>
      <c r="I653" s="16">
        <v>49.67</v>
      </c>
      <c r="J653" s="11" t="s">
        <v>94</v>
      </c>
      <c r="K653" s="11">
        <v>275</v>
      </c>
      <c r="L653" s="11" t="s">
        <v>95</v>
      </c>
      <c r="M653" s="11" t="s">
        <v>1464</v>
      </c>
    </row>
    <row r="654" spans="1:13" x14ac:dyDescent="0.35">
      <c r="A654" s="13">
        <v>5</v>
      </c>
      <c r="B654" s="13" t="s">
        <v>938</v>
      </c>
      <c r="C654" s="13">
        <v>6</v>
      </c>
      <c r="D654" s="14">
        <v>45022.088888888888</v>
      </c>
      <c r="E654" s="14">
        <v>45022.251388888886</v>
      </c>
      <c r="F654" s="13" t="s">
        <v>72</v>
      </c>
      <c r="G654" s="13" t="s">
        <v>163</v>
      </c>
      <c r="H654" s="13" t="s">
        <v>74</v>
      </c>
      <c r="I654" s="17">
        <v>18.48</v>
      </c>
      <c r="J654" s="13" t="s">
        <v>88</v>
      </c>
      <c r="K654" s="13">
        <v>518</v>
      </c>
      <c r="L654" s="13" t="s">
        <v>110</v>
      </c>
      <c r="M654" s="13" t="s">
        <v>1590</v>
      </c>
    </row>
    <row r="655" spans="1:13" x14ac:dyDescent="0.35">
      <c r="A655" s="11">
        <v>5</v>
      </c>
      <c r="B655" s="11" t="s">
        <v>729</v>
      </c>
      <c r="C655" s="11">
        <v>1</v>
      </c>
      <c r="D655" s="12">
        <v>45020.054166666669</v>
      </c>
      <c r="E655" s="12">
        <v>45020.198611111111</v>
      </c>
      <c r="F655" s="11" t="s">
        <v>72</v>
      </c>
      <c r="G655" s="11" t="s">
        <v>86</v>
      </c>
      <c r="H655" s="11" t="s">
        <v>74</v>
      </c>
      <c r="I655" s="16">
        <v>14.96</v>
      </c>
      <c r="J655" s="11" t="s">
        <v>75</v>
      </c>
      <c r="K655" s="11">
        <v>377</v>
      </c>
      <c r="L655" s="11" t="s">
        <v>221</v>
      </c>
      <c r="M655" s="11" t="s">
        <v>1534</v>
      </c>
    </row>
    <row r="656" spans="1:13" x14ac:dyDescent="0.35">
      <c r="A656" s="13">
        <v>5</v>
      </c>
      <c r="B656" s="13" t="s">
        <v>667</v>
      </c>
      <c r="C656" s="13">
        <v>4</v>
      </c>
      <c r="D656" s="14">
        <v>45023.07708333333</v>
      </c>
      <c r="E656" s="14">
        <v>45023.217361111114</v>
      </c>
      <c r="F656" s="13" t="s">
        <v>100</v>
      </c>
      <c r="G656" s="13" t="s">
        <v>86</v>
      </c>
      <c r="H656" s="13" t="s">
        <v>74</v>
      </c>
      <c r="I656" s="17">
        <v>23.66</v>
      </c>
      <c r="J656" s="13" t="s">
        <v>75</v>
      </c>
      <c r="K656" s="13">
        <v>694</v>
      </c>
      <c r="L656" s="13" t="s">
        <v>275</v>
      </c>
      <c r="M656" s="13" t="s">
        <v>1744</v>
      </c>
    </row>
    <row r="657" spans="1:13" x14ac:dyDescent="0.35">
      <c r="A657" s="11">
        <v>5</v>
      </c>
      <c r="B657" s="11" t="s">
        <v>947</v>
      </c>
      <c r="C657" s="11">
        <v>4</v>
      </c>
      <c r="D657" s="12">
        <v>45018.137499999997</v>
      </c>
      <c r="E657" s="12">
        <v>45018.206944444442</v>
      </c>
      <c r="F657" s="11" t="s">
        <v>170</v>
      </c>
      <c r="G657" s="11" t="s">
        <v>163</v>
      </c>
      <c r="H657" s="11" t="s">
        <v>74</v>
      </c>
      <c r="I657" s="16">
        <v>27.14</v>
      </c>
      <c r="J657" s="11" t="s">
        <v>94</v>
      </c>
      <c r="K657" s="11">
        <v>147</v>
      </c>
      <c r="L657" s="11" t="s">
        <v>110</v>
      </c>
      <c r="M657" s="11" t="s">
        <v>1376</v>
      </c>
    </row>
    <row r="658" spans="1:13" x14ac:dyDescent="0.35">
      <c r="A658" s="11">
        <v>5</v>
      </c>
      <c r="B658" s="11" t="s">
        <v>1085</v>
      </c>
      <c r="C658" s="11">
        <v>5</v>
      </c>
      <c r="D658" s="12">
        <v>45022.056250000001</v>
      </c>
      <c r="E658" s="12">
        <v>45022.186111111114</v>
      </c>
      <c r="F658" s="11" t="s">
        <v>100</v>
      </c>
      <c r="G658" s="11" t="s">
        <v>73</v>
      </c>
      <c r="H658" s="11" t="s">
        <v>109</v>
      </c>
      <c r="I658" s="16">
        <v>22.69</v>
      </c>
      <c r="J658" s="11" t="s">
        <v>94</v>
      </c>
      <c r="K658" s="11">
        <v>499</v>
      </c>
      <c r="L658" s="11" t="s">
        <v>89</v>
      </c>
      <c r="M658" s="11" t="s">
        <v>1613</v>
      </c>
    </row>
    <row r="659" spans="1:13" x14ac:dyDescent="0.35">
      <c r="A659" s="11">
        <v>5</v>
      </c>
      <c r="B659" s="11" t="s">
        <v>745</v>
      </c>
      <c r="C659" s="11">
        <v>1</v>
      </c>
      <c r="D659" s="12">
        <v>45017.07916666667</v>
      </c>
      <c r="E659" s="12">
        <v>45017.127083333333</v>
      </c>
      <c r="F659" s="11" t="s">
        <v>170</v>
      </c>
      <c r="G659" s="11" t="s">
        <v>86</v>
      </c>
      <c r="H659" s="11" t="s">
        <v>109</v>
      </c>
      <c r="I659" s="16">
        <v>14</v>
      </c>
      <c r="J659" s="11" t="s">
        <v>88</v>
      </c>
      <c r="K659" s="11">
        <v>65</v>
      </c>
      <c r="L659" s="11" t="s">
        <v>95</v>
      </c>
      <c r="M659" s="11" t="s">
        <v>1316</v>
      </c>
    </row>
    <row r="660" spans="1:13" x14ac:dyDescent="0.35">
      <c r="A660" s="13">
        <v>5</v>
      </c>
      <c r="B660" s="13" t="s">
        <v>952</v>
      </c>
      <c r="C660" s="13">
        <v>1</v>
      </c>
      <c r="D660" s="14">
        <v>45020.040277777778</v>
      </c>
      <c r="E660" s="14">
        <v>45020.189583333333</v>
      </c>
      <c r="F660" s="13" t="s">
        <v>170</v>
      </c>
      <c r="G660" s="13" t="s">
        <v>73</v>
      </c>
      <c r="H660" s="13" t="s">
        <v>109</v>
      </c>
      <c r="I660" s="17">
        <v>22.53</v>
      </c>
      <c r="J660" s="13" t="s">
        <v>75</v>
      </c>
      <c r="K660" s="13">
        <v>380</v>
      </c>
      <c r="L660" s="13" t="s">
        <v>164</v>
      </c>
      <c r="M660" s="13" t="s">
        <v>1536</v>
      </c>
    </row>
    <row r="661" spans="1:13" x14ac:dyDescent="0.35">
      <c r="A661" s="13">
        <v>5</v>
      </c>
      <c r="B661" s="13" t="s">
        <v>1143</v>
      </c>
      <c r="C661" s="13">
        <v>2</v>
      </c>
      <c r="D661" s="14">
        <v>45022.134722222225</v>
      </c>
      <c r="E661" s="14">
        <v>45022.228472222225</v>
      </c>
      <c r="F661" s="13" t="s">
        <v>72</v>
      </c>
      <c r="G661" s="13" t="s">
        <v>86</v>
      </c>
      <c r="H661" s="13" t="s">
        <v>109</v>
      </c>
      <c r="I661" s="17">
        <v>47.81</v>
      </c>
      <c r="J661" s="13" t="s">
        <v>94</v>
      </c>
      <c r="K661" s="13">
        <v>546</v>
      </c>
      <c r="L661" s="13" t="s">
        <v>95</v>
      </c>
      <c r="M661" s="13" t="s">
        <v>1642</v>
      </c>
    </row>
    <row r="662" spans="1:13" x14ac:dyDescent="0.35">
      <c r="A662" s="13">
        <v>5</v>
      </c>
      <c r="B662" s="13" t="s">
        <v>123</v>
      </c>
      <c r="C662" s="13">
        <v>4</v>
      </c>
      <c r="D662" s="14">
        <v>45019.131944444445</v>
      </c>
      <c r="E662" s="14">
        <v>45019.216666666667</v>
      </c>
      <c r="F662" s="13" t="s">
        <v>170</v>
      </c>
      <c r="G662" s="13" t="s">
        <v>86</v>
      </c>
      <c r="H662" s="13" t="s">
        <v>87</v>
      </c>
      <c r="I662" s="17">
        <v>41.36</v>
      </c>
      <c r="J662" s="13" t="s">
        <v>75</v>
      </c>
      <c r="K662" s="13">
        <v>278</v>
      </c>
      <c r="L662" s="13" t="s">
        <v>275</v>
      </c>
      <c r="M662" s="13" t="s">
        <v>1466</v>
      </c>
    </row>
    <row r="663" spans="1:13" x14ac:dyDescent="0.35">
      <c r="A663" s="13">
        <v>6</v>
      </c>
      <c r="B663" s="13" t="s">
        <v>893</v>
      </c>
      <c r="C663" s="13">
        <v>6</v>
      </c>
      <c r="D663" s="14">
        <v>45017.027777777781</v>
      </c>
      <c r="E663" s="14">
        <v>45017.176388888889</v>
      </c>
      <c r="F663" s="13" t="s">
        <v>72</v>
      </c>
      <c r="G663" s="13" t="s">
        <v>73</v>
      </c>
      <c r="H663" s="13" t="s">
        <v>74</v>
      </c>
      <c r="I663" s="17">
        <v>23.36</v>
      </c>
      <c r="J663" s="13" t="s">
        <v>94</v>
      </c>
      <c r="K663" s="13">
        <v>54</v>
      </c>
      <c r="L663" s="13" t="s">
        <v>95</v>
      </c>
      <c r="M663" s="13" t="s">
        <v>1306</v>
      </c>
    </row>
    <row r="664" spans="1:13" x14ac:dyDescent="0.35">
      <c r="A664" s="11">
        <v>6</v>
      </c>
      <c r="B664" s="11" t="s">
        <v>1075</v>
      </c>
      <c r="C664" s="11">
        <v>6</v>
      </c>
      <c r="D664" s="12">
        <v>45022.118055555555</v>
      </c>
      <c r="E664" s="12">
        <v>45022.267361111109</v>
      </c>
      <c r="F664" s="11" t="s">
        <v>170</v>
      </c>
      <c r="G664" s="11" t="s">
        <v>73</v>
      </c>
      <c r="H664" s="11" t="s">
        <v>87</v>
      </c>
      <c r="I664" s="16">
        <v>40.03</v>
      </c>
      <c r="J664" s="11" t="s">
        <v>75</v>
      </c>
      <c r="K664" s="11">
        <v>645</v>
      </c>
      <c r="L664" s="11" t="s">
        <v>95</v>
      </c>
      <c r="M664" s="11" t="s">
        <v>1707</v>
      </c>
    </row>
    <row r="665" spans="1:13" x14ac:dyDescent="0.35">
      <c r="A665" s="11">
        <v>6</v>
      </c>
      <c r="B665" s="11" t="s">
        <v>1026</v>
      </c>
      <c r="C665" s="11">
        <v>1</v>
      </c>
      <c r="D665" s="12">
        <v>45019.054861111108</v>
      </c>
      <c r="E665" s="12">
        <v>45019.114583333336</v>
      </c>
      <c r="F665" s="11" t="s">
        <v>85</v>
      </c>
      <c r="G665" s="11" t="s">
        <v>73</v>
      </c>
      <c r="H665" s="11" t="s">
        <v>87</v>
      </c>
      <c r="I665" s="16">
        <v>29.68</v>
      </c>
      <c r="J665" s="11" t="s">
        <v>88</v>
      </c>
      <c r="K665" s="11">
        <v>299</v>
      </c>
      <c r="L665" s="11" t="s">
        <v>174</v>
      </c>
      <c r="M665" s="11" t="s">
        <v>1481</v>
      </c>
    </row>
    <row r="666" spans="1:13" x14ac:dyDescent="0.35">
      <c r="A666" s="11">
        <v>6</v>
      </c>
      <c r="B666" s="11" t="s">
        <v>1103</v>
      </c>
      <c r="C666" s="11">
        <v>1</v>
      </c>
      <c r="D666" s="12">
        <v>45021.154166666667</v>
      </c>
      <c r="E666" s="12">
        <v>45021.213194444441</v>
      </c>
      <c r="F666" s="11" t="s">
        <v>100</v>
      </c>
      <c r="G666" s="11" t="s">
        <v>163</v>
      </c>
      <c r="H666" s="11" t="s">
        <v>74</v>
      </c>
      <c r="I666" s="16">
        <v>36.83</v>
      </c>
      <c r="J666" s="11" t="s">
        <v>75</v>
      </c>
      <c r="K666" s="11">
        <v>453</v>
      </c>
      <c r="L666" s="11" t="s">
        <v>101</v>
      </c>
      <c r="M666" s="11" t="s">
        <v>1534</v>
      </c>
    </row>
    <row r="667" spans="1:13" x14ac:dyDescent="0.35">
      <c r="A667" s="13">
        <v>6</v>
      </c>
      <c r="B667" s="13" t="s">
        <v>1103</v>
      </c>
      <c r="C667" s="13">
        <v>4</v>
      </c>
      <c r="D667" s="14">
        <v>45022.012499999997</v>
      </c>
      <c r="E667" s="14">
        <v>45022.129166666666</v>
      </c>
      <c r="F667" s="13" t="s">
        <v>223</v>
      </c>
      <c r="G667" s="13" t="s">
        <v>86</v>
      </c>
      <c r="H667" s="13" t="s">
        <v>74</v>
      </c>
      <c r="I667" s="17">
        <v>45.26</v>
      </c>
      <c r="J667" s="13" t="s">
        <v>94</v>
      </c>
      <c r="K667" s="13">
        <v>558</v>
      </c>
      <c r="L667" s="13" t="s">
        <v>221</v>
      </c>
      <c r="M667" s="13" t="s">
        <v>1652</v>
      </c>
    </row>
    <row r="668" spans="1:13" x14ac:dyDescent="0.35">
      <c r="A668" s="11">
        <v>6</v>
      </c>
      <c r="B668" s="11" t="s">
        <v>956</v>
      </c>
      <c r="C668" s="11">
        <v>1</v>
      </c>
      <c r="D668" s="12">
        <v>45018.065972222219</v>
      </c>
      <c r="E668" s="12">
        <v>45018.17291666667</v>
      </c>
      <c r="F668" s="11" t="s">
        <v>85</v>
      </c>
      <c r="G668" s="11" t="s">
        <v>86</v>
      </c>
      <c r="H668" s="11" t="s">
        <v>74</v>
      </c>
      <c r="I668" s="16">
        <v>14.94</v>
      </c>
      <c r="J668" s="11" t="s">
        <v>88</v>
      </c>
      <c r="K668" s="11">
        <v>163</v>
      </c>
      <c r="L668" s="11" t="s">
        <v>101</v>
      </c>
      <c r="M668" s="11" t="s">
        <v>1388</v>
      </c>
    </row>
    <row r="669" spans="1:13" x14ac:dyDescent="0.35">
      <c r="A669" s="13">
        <v>6</v>
      </c>
      <c r="B669" s="13" t="s">
        <v>1222</v>
      </c>
      <c r="C669" s="13">
        <v>4</v>
      </c>
      <c r="D669" s="14">
        <v>45023.073611111111</v>
      </c>
      <c r="E669" s="14">
        <v>45023.125</v>
      </c>
      <c r="F669" s="13" t="s">
        <v>223</v>
      </c>
      <c r="G669" s="13" t="s">
        <v>86</v>
      </c>
      <c r="H669" s="13" t="s">
        <v>74</v>
      </c>
      <c r="I669" s="17">
        <v>21.82</v>
      </c>
      <c r="J669" s="13" t="s">
        <v>75</v>
      </c>
      <c r="K669" s="13">
        <v>750</v>
      </c>
      <c r="L669" s="13" t="s">
        <v>95</v>
      </c>
      <c r="M669" s="13" t="s">
        <v>1360</v>
      </c>
    </row>
    <row r="670" spans="1:13" x14ac:dyDescent="0.35">
      <c r="A670" s="13">
        <v>6</v>
      </c>
      <c r="B670" s="13" t="s">
        <v>1140</v>
      </c>
      <c r="C670" s="13">
        <v>4</v>
      </c>
      <c r="D670" s="14">
        <v>45022.156944444447</v>
      </c>
      <c r="E670" s="14">
        <v>45022.288888888892</v>
      </c>
      <c r="F670" s="13" t="s">
        <v>223</v>
      </c>
      <c r="G670" s="13" t="s">
        <v>86</v>
      </c>
      <c r="H670" s="13" t="s">
        <v>74</v>
      </c>
      <c r="I670" s="17">
        <v>47.85</v>
      </c>
      <c r="J670" s="13" t="s">
        <v>94</v>
      </c>
      <c r="K670" s="13">
        <v>540</v>
      </c>
      <c r="L670" s="13" t="s">
        <v>174</v>
      </c>
      <c r="M670" s="13" t="s">
        <v>1637</v>
      </c>
    </row>
    <row r="671" spans="1:13" x14ac:dyDescent="0.35">
      <c r="A671" s="13">
        <v>6</v>
      </c>
      <c r="B671" s="13" t="s">
        <v>917</v>
      </c>
      <c r="C671" s="13">
        <v>2</v>
      </c>
      <c r="D671" s="14">
        <v>45017.149305555555</v>
      </c>
      <c r="E671" s="14">
        <v>45017.256249999999</v>
      </c>
      <c r="F671" s="13" t="s">
        <v>100</v>
      </c>
      <c r="G671" s="13" t="s">
        <v>163</v>
      </c>
      <c r="H671" s="13" t="s">
        <v>74</v>
      </c>
      <c r="I671" s="17">
        <v>12.75</v>
      </c>
      <c r="J671" s="13" t="s">
        <v>75</v>
      </c>
      <c r="K671" s="13">
        <v>92</v>
      </c>
      <c r="L671" s="13" t="s">
        <v>275</v>
      </c>
      <c r="M671" s="13" t="s">
        <v>1337</v>
      </c>
    </row>
    <row r="672" spans="1:13" x14ac:dyDescent="0.35">
      <c r="A672" s="11">
        <v>6</v>
      </c>
      <c r="B672" s="11" t="s">
        <v>1002</v>
      </c>
      <c r="C672" s="11">
        <v>1</v>
      </c>
      <c r="D672" s="12">
        <v>45023.086805555555</v>
      </c>
      <c r="E672" s="12">
        <v>45023.24722222222</v>
      </c>
      <c r="F672" s="11" t="s">
        <v>85</v>
      </c>
      <c r="G672" s="11" t="s">
        <v>86</v>
      </c>
      <c r="H672" s="11" t="s">
        <v>74</v>
      </c>
      <c r="I672" s="16">
        <v>25.32</v>
      </c>
      <c r="J672" s="11" t="s">
        <v>88</v>
      </c>
      <c r="K672" s="11">
        <v>665</v>
      </c>
      <c r="L672" s="11" t="s">
        <v>95</v>
      </c>
      <c r="M672" s="11" t="s">
        <v>1722</v>
      </c>
    </row>
    <row r="673" spans="1:13" x14ac:dyDescent="0.35">
      <c r="A673" s="11">
        <v>6</v>
      </c>
      <c r="B673" s="11" t="s">
        <v>1046</v>
      </c>
      <c r="C673" s="11">
        <v>5</v>
      </c>
      <c r="D673" s="12">
        <v>45022.041666666664</v>
      </c>
      <c r="E673" s="12">
        <v>45022.119444444441</v>
      </c>
      <c r="F673" s="11" t="s">
        <v>85</v>
      </c>
      <c r="G673" s="11" t="s">
        <v>73</v>
      </c>
      <c r="H673" s="11" t="s">
        <v>74</v>
      </c>
      <c r="I673" s="16">
        <v>39.07</v>
      </c>
      <c r="J673" s="11" t="s">
        <v>94</v>
      </c>
      <c r="K673" s="11">
        <v>485</v>
      </c>
      <c r="L673" s="11" t="s">
        <v>95</v>
      </c>
      <c r="M673" s="11" t="s">
        <v>1603</v>
      </c>
    </row>
    <row r="674" spans="1:13" x14ac:dyDescent="0.35">
      <c r="A674" s="13">
        <v>6</v>
      </c>
      <c r="B674" s="13" t="s">
        <v>863</v>
      </c>
      <c r="C674" s="13">
        <v>6</v>
      </c>
      <c r="D674" s="14">
        <v>45017.061111111114</v>
      </c>
      <c r="E674" s="14">
        <v>45017.15902777778</v>
      </c>
      <c r="F674" s="13" t="s">
        <v>223</v>
      </c>
      <c r="G674" s="13" t="s">
        <v>163</v>
      </c>
      <c r="H674" s="13" t="s">
        <v>87</v>
      </c>
      <c r="I674" s="17">
        <v>43.3</v>
      </c>
      <c r="J674" s="13" t="s">
        <v>94</v>
      </c>
      <c r="K674" s="13">
        <v>2</v>
      </c>
      <c r="L674" s="13" t="s">
        <v>110</v>
      </c>
      <c r="M674" s="13" t="s">
        <v>1263</v>
      </c>
    </row>
    <row r="675" spans="1:13" x14ac:dyDescent="0.35">
      <c r="A675" s="11">
        <v>6</v>
      </c>
      <c r="B675" s="11" t="s">
        <v>983</v>
      </c>
      <c r="C675" s="11">
        <v>4</v>
      </c>
      <c r="D675" s="12">
        <v>45018.161111111112</v>
      </c>
      <c r="E675" s="12">
        <v>45018.267361111109</v>
      </c>
      <c r="F675" s="11" t="s">
        <v>170</v>
      </c>
      <c r="G675" s="11" t="s">
        <v>86</v>
      </c>
      <c r="H675" s="11" t="s">
        <v>109</v>
      </c>
      <c r="I675" s="16">
        <v>35.64</v>
      </c>
      <c r="J675" s="11" t="s">
        <v>88</v>
      </c>
      <c r="K675" s="11">
        <v>215</v>
      </c>
      <c r="L675" s="11" t="s">
        <v>174</v>
      </c>
      <c r="M675" s="11" t="s">
        <v>1425</v>
      </c>
    </row>
    <row r="676" spans="1:13" x14ac:dyDescent="0.35">
      <c r="A676" s="11">
        <v>6</v>
      </c>
      <c r="B676" s="11" t="s">
        <v>1211</v>
      </c>
      <c r="C676" s="11">
        <v>4</v>
      </c>
      <c r="D676" s="12">
        <v>45023.010416666664</v>
      </c>
      <c r="E676" s="12">
        <v>45023.119444444441</v>
      </c>
      <c r="F676" s="11" t="s">
        <v>223</v>
      </c>
      <c r="G676" s="11" t="s">
        <v>73</v>
      </c>
      <c r="H676" s="11" t="s">
        <v>74</v>
      </c>
      <c r="I676" s="16">
        <v>35.11</v>
      </c>
      <c r="J676" s="11" t="s">
        <v>75</v>
      </c>
      <c r="K676" s="11">
        <v>713</v>
      </c>
      <c r="L676" s="11" t="s">
        <v>174</v>
      </c>
      <c r="M676" s="11" t="s">
        <v>1752</v>
      </c>
    </row>
    <row r="677" spans="1:13" x14ac:dyDescent="0.35">
      <c r="A677" s="13">
        <v>6</v>
      </c>
      <c r="B677" s="13" t="s">
        <v>962</v>
      </c>
      <c r="C677" s="13">
        <v>6</v>
      </c>
      <c r="D677" s="14">
        <v>45022.010416666664</v>
      </c>
      <c r="E677" s="14">
        <v>45022.136805555558</v>
      </c>
      <c r="F677" s="13" t="s">
        <v>85</v>
      </c>
      <c r="G677" s="13" t="s">
        <v>73</v>
      </c>
      <c r="H677" s="13" t="s">
        <v>109</v>
      </c>
      <c r="I677" s="17">
        <v>31.53</v>
      </c>
      <c r="J677" s="13" t="s">
        <v>94</v>
      </c>
      <c r="K677" s="13">
        <v>560</v>
      </c>
      <c r="L677" s="13" t="s">
        <v>164</v>
      </c>
      <c r="M677" s="13" t="s">
        <v>1653</v>
      </c>
    </row>
    <row r="678" spans="1:13" x14ac:dyDescent="0.35">
      <c r="A678" s="11">
        <v>6</v>
      </c>
      <c r="B678" s="11" t="s">
        <v>1058</v>
      </c>
      <c r="C678" s="11">
        <v>4</v>
      </c>
      <c r="D678" s="12">
        <v>45022.011111111111</v>
      </c>
      <c r="E678" s="12">
        <v>45022.111805555556</v>
      </c>
      <c r="F678" s="11" t="s">
        <v>85</v>
      </c>
      <c r="G678" s="11" t="s">
        <v>73</v>
      </c>
      <c r="H678" s="11" t="s">
        <v>74</v>
      </c>
      <c r="I678" s="16">
        <v>16.440000000000001</v>
      </c>
      <c r="J678" s="11" t="s">
        <v>94</v>
      </c>
      <c r="K678" s="11">
        <v>619</v>
      </c>
      <c r="L678" s="11" t="s">
        <v>187</v>
      </c>
      <c r="M678" s="11" t="s">
        <v>1689</v>
      </c>
    </row>
    <row r="679" spans="1:13" x14ac:dyDescent="0.35">
      <c r="A679" s="11">
        <v>6</v>
      </c>
      <c r="B679" s="11" t="s">
        <v>1219</v>
      </c>
      <c r="C679" s="11">
        <v>1</v>
      </c>
      <c r="D679" s="12">
        <v>45023.027083333334</v>
      </c>
      <c r="E679" s="12">
        <v>45023.129166666666</v>
      </c>
      <c r="F679" s="11" t="s">
        <v>100</v>
      </c>
      <c r="G679" s="11" t="s">
        <v>163</v>
      </c>
      <c r="H679" s="11" t="s">
        <v>109</v>
      </c>
      <c r="I679" s="16">
        <v>24.09</v>
      </c>
      <c r="J679" s="11" t="s">
        <v>94</v>
      </c>
      <c r="K679" s="11">
        <v>737</v>
      </c>
      <c r="L679" s="11" t="s">
        <v>221</v>
      </c>
      <c r="M679" s="11" t="s">
        <v>1608</v>
      </c>
    </row>
    <row r="680" spans="1:13" x14ac:dyDescent="0.35">
      <c r="A680" s="13">
        <v>6</v>
      </c>
      <c r="B680" s="13" t="s">
        <v>942</v>
      </c>
      <c r="C680" s="13">
        <v>2</v>
      </c>
      <c r="D680" s="14">
        <v>45018.158333333333</v>
      </c>
      <c r="E680" s="14">
        <v>45018.214583333334</v>
      </c>
      <c r="F680" s="13" t="s">
        <v>100</v>
      </c>
      <c r="G680" s="13" t="s">
        <v>163</v>
      </c>
      <c r="H680" s="13" t="s">
        <v>109</v>
      </c>
      <c r="I680" s="17">
        <v>32.79</v>
      </c>
      <c r="J680" s="13" t="s">
        <v>88</v>
      </c>
      <c r="K680" s="13">
        <v>138</v>
      </c>
      <c r="L680" s="13" t="s">
        <v>275</v>
      </c>
      <c r="M680" s="13" t="s">
        <v>1371</v>
      </c>
    </row>
    <row r="681" spans="1:13" x14ac:dyDescent="0.35">
      <c r="A681" s="11">
        <v>6</v>
      </c>
      <c r="B681" s="11" t="s">
        <v>1008</v>
      </c>
      <c r="C681" s="11">
        <v>1</v>
      </c>
      <c r="D681" s="12">
        <v>45018.120833333334</v>
      </c>
      <c r="E681" s="12">
        <v>45018.260416666664</v>
      </c>
      <c r="F681" s="11" t="s">
        <v>100</v>
      </c>
      <c r="G681" s="11" t="s">
        <v>163</v>
      </c>
      <c r="H681" s="11" t="s">
        <v>109</v>
      </c>
      <c r="I681" s="16">
        <v>21.48</v>
      </c>
      <c r="J681" s="11" t="s">
        <v>75</v>
      </c>
      <c r="K681" s="11">
        <v>265</v>
      </c>
      <c r="L681" s="11" t="s">
        <v>101</v>
      </c>
      <c r="M681" s="11" t="s">
        <v>1456</v>
      </c>
    </row>
    <row r="682" spans="1:13" x14ac:dyDescent="0.35">
      <c r="A682" s="11">
        <v>6</v>
      </c>
      <c r="B682" s="11" t="s">
        <v>1180</v>
      </c>
      <c r="C682" s="11">
        <v>3</v>
      </c>
      <c r="D682" s="12">
        <v>45022.079861111109</v>
      </c>
      <c r="E682" s="12">
        <v>45022.188888888886</v>
      </c>
      <c r="F682" s="11" t="s">
        <v>72</v>
      </c>
      <c r="G682" s="11" t="s">
        <v>86</v>
      </c>
      <c r="H682" s="11" t="s">
        <v>74</v>
      </c>
      <c r="I682" s="16">
        <v>36.58</v>
      </c>
      <c r="J682" s="11" t="s">
        <v>94</v>
      </c>
      <c r="K682" s="11">
        <v>637</v>
      </c>
      <c r="L682" s="11" t="s">
        <v>187</v>
      </c>
      <c r="M682" s="11" t="s">
        <v>1702</v>
      </c>
    </row>
    <row r="683" spans="1:13" x14ac:dyDescent="0.35">
      <c r="A683" s="11">
        <v>6</v>
      </c>
      <c r="B683" s="11" t="s">
        <v>617</v>
      </c>
      <c r="C683" s="11">
        <v>1</v>
      </c>
      <c r="D683" s="12">
        <v>45020.131944444445</v>
      </c>
      <c r="E683" s="12">
        <v>45020.186805555553</v>
      </c>
      <c r="F683" s="11" t="s">
        <v>72</v>
      </c>
      <c r="G683" s="11" t="s">
        <v>73</v>
      </c>
      <c r="H683" s="11" t="s">
        <v>74</v>
      </c>
      <c r="I683" s="16">
        <v>13.19</v>
      </c>
      <c r="J683" s="11" t="s">
        <v>75</v>
      </c>
      <c r="K683" s="11">
        <v>333</v>
      </c>
      <c r="L683" s="11" t="s">
        <v>221</v>
      </c>
      <c r="M683" s="11" t="s">
        <v>1382</v>
      </c>
    </row>
    <row r="684" spans="1:13" x14ac:dyDescent="0.35">
      <c r="A684" s="11">
        <v>6</v>
      </c>
      <c r="B684" s="11" t="s">
        <v>660</v>
      </c>
      <c r="C684" s="11">
        <v>4</v>
      </c>
      <c r="D684" s="12">
        <v>45017.14166666667</v>
      </c>
      <c r="E684" s="12">
        <v>45017.207638888889</v>
      </c>
      <c r="F684" s="11" t="s">
        <v>223</v>
      </c>
      <c r="G684" s="11" t="s">
        <v>163</v>
      </c>
      <c r="H684" s="11" t="s">
        <v>74</v>
      </c>
      <c r="I684" s="16">
        <v>28.77</v>
      </c>
      <c r="J684" s="11" t="s">
        <v>88</v>
      </c>
      <c r="K684" s="11">
        <v>15</v>
      </c>
      <c r="L684" s="11" t="s">
        <v>174</v>
      </c>
      <c r="M684" s="11" t="s">
        <v>1274</v>
      </c>
    </row>
    <row r="685" spans="1:13" x14ac:dyDescent="0.35">
      <c r="A685" s="11">
        <v>6</v>
      </c>
      <c r="B685" s="11" t="s">
        <v>915</v>
      </c>
      <c r="C685" s="11">
        <v>2</v>
      </c>
      <c r="D685" s="12">
        <v>45023.161805555559</v>
      </c>
      <c r="E685" s="12">
        <v>45023.292361111111</v>
      </c>
      <c r="F685" s="11" t="s">
        <v>100</v>
      </c>
      <c r="G685" s="11" t="s">
        <v>163</v>
      </c>
      <c r="H685" s="11" t="s">
        <v>74</v>
      </c>
      <c r="I685" s="16">
        <v>47.13</v>
      </c>
      <c r="J685" s="11" t="s">
        <v>75</v>
      </c>
      <c r="K685" s="11">
        <v>721</v>
      </c>
      <c r="L685" s="11" t="s">
        <v>221</v>
      </c>
      <c r="M685" s="11" t="s">
        <v>1759</v>
      </c>
    </row>
    <row r="686" spans="1:13" x14ac:dyDescent="0.35">
      <c r="A686" s="11">
        <v>6</v>
      </c>
      <c r="B686" s="11" t="s">
        <v>1034</v>
      </c>
      <c r="C686" s="11">
        <v>4</v>
      </c>
      <c r="D686" s="12">
        <v>45019.069444444445</v>
      </c>
      <c r="E686" s="12">
        <v>45019.113194444442</v>
      </c>
      <c r="F686" s="11" t="s">
        <v>170</v>
      </c>
      <c r="G686" s="11" t="s">
        <v>163</v>
      </c>
      <c r="H686" s="11" t="s">
        <v>87</v>
      </c>
      <c r="I686" s="16">
        <v>39.270000000000003</v>
      </c>
      <c r="J686" s="11" t="s">
        <v>88</v>
      </c>
      <c r="K686" s="11">
        <v>311</v>
      </c>
      <c r="L686" s="11" t="s">
        <v>221</v>
      </c>
      <c r="M686" s="11" t="s">
        <v>1490</v>
      </c>
    </row>
    <row r="687" spans="1:13" x14ac:dyDescent="0.35">
      <c r="A687" s="11">
        <v>6</v>
      </c>
      <c r="B687" s="11" t="s">
        <v>1130</v>
      </c>
      <c r="C687" s="11">
        <v>2</v>
      </c>
      <c r="D687" s="12">
        <v>45022.033333333333</v>
      </c>
      <c r="E687" s="12">
        <v>45022.15902777778</v>
      </c>
      <c r="F687" s="11" t="s">
        <v>85</v>
      </c>
      <c r="G687" s="11" t="s">
        <v>86</v>
      </c>
      <c r="H687" s="11" t="s">
        <v>74</v>
      </c>
      <c r="I687" s="16">
        <v>34.590000000000003</v>
      </c>
      <c r="J687" s="11" t="s">
        <v>75</v>
      </c>
      <c r="K687" s="11">
        <v>519</v>
      </c>
      <c r="L687" s="11" t="s">
        <v>221</v>
      </c>
      <c r="M687" s="11" t="s">
        <v>1623</v>
      </c>
    </row>
    <row r="688" spans="1:13" x14ac:dyDescent="0.35">
      <c r="A688" s="13">
        <v>6</v>
      </c>
      <c r="B688" s="13" t="s">
        <v>1017</v>
      </c>
      <c r="C688" s="13">
        <v>1</v>
      </c>
      <c r="D688" s="14">
        <v>45019.049305555556</v>
      </c>
      <c r="E688" s="14">
        <v>45019.209722222222</v>
      </c>
      <c r="F688" s="13" t="s">
        <v>72</v>
      </c>
      <c r="G688" s="13" t="s">
        <v>86</v>
      </c>
      <c r="H688" s="13" t="s">
        <v>74</v>
      </c>
      <c r="I688" s="17">
        <v>19.05</v>
      </c>
      <c r="J688" s="13" t="s">
        <v>75</v>
      </c>
      <c r="K688" s="13">
        <v>282</v>
      </c>
      <c r="L688" s="13" t="s">
        <v>174</v>
      </c>
      <c r="M688" s="13" t="s">
        <v>1469</v>
      </c>
    </row>
    <row r="689" spans="1:13" x14ac:dyDescent="0.35">
      <c r="A689" s="11">
        <v>6</v>
      </c>
      <c r="B689" s="11" t="s">
        <v>951</v>
      </c>
      <c r="C689" s="11">
        <v>2</v>
      </c>
      <c r="D689" s="12">
        <v>45018.135416666664</v>
      </c>
      <c r="E689" s="12">
        <v>45018.286805555559</v>
      </c>
      <c r="F689" s="11" t="s">
        <v>72</v>
      </c>
      <c r="G689" s="11" t="s">
        <v>73</v>
      </c>
      <c r="H689" s="11" t="s">
        <v>74</v>
      </c>
      <c r="I689" s="16">
        <v>41.51</v>
      </c>
      <c r="J689" s="11" t="s">
        <v>88</v>
      </c>
      <c r="K689" s="11">
        <v>151</v>
      </c>
      <c r="L689" s="11" t="s">
        <v>187</v>
      </c>
      <c r="M689" s="11" t="s">
        <v>1380</v>
      </c>
    </row>
    <row r="690" spans="1:13" x14ac:dyDescent="0.35">
      <c r="A690" s="13">
        <v>6</v>
      </c>
      <c r="B690" s="13" t="s">
        <v>612</v>
      </c>
      <c r="C690" s="13">
        <v>1</v>
      </c>
      <c r="D690" s="14">
        <v>45017.089583333334</v>
      </c>
      <c r="E690" s="14">
        <v>45017.240277777775</v>
      </c>
      <c r="F690" s="13" t="s">
        <v>223</v>
      </c>
      <c r="G690" s="13" t="s">
        <v>86</v>
      </c>
      <c r="H690" s="13" t="s">
        <v>74</v>
      </c>
      <c r="I690" s="17">
        <v>19.54</v>
      </c>
      <c r="J690" s="13" t="s">
        <v>94</v>
      </c>
      <c r="K690" s="13">
        <v>60</v>
      </c>
      <c r="L690" s="13" t="s">
        <v>95</v>
      </c>
      <c r="M690" s="13" t="s">
        <v>1311</v>
      </c>
    </row>
    <row r="691" spans="1:13" x14ac:dyDescent="0.35">
      <c r="A691" s="13">
        <v>6</v>
      </c>
      <c r="B691" s="13" t="s">
        <v>1029</v>
      </c>
      <c r="C691" s="13">
        <v>4</v>
      </c>
      <c r="D691" s="14">
        <v>45019.14166666667</v>
      </c>
      <c r="E691" s="14">
        <v>45019.194444444445</v>
      </c>
      <c r="F691" s="13" t="s">
        <v>223</v>
      </c>
      <c r="G691" s="13" t="s">
        <v>86</v>
      </c>
      <c r="H691" s="13" t="s">
        <v>74</v>
      </c>
      <c r="I691" s="17">
        <v>22.05</v>
      </c>
      <c r="J691" s="13" t="s">
        <v>94</v>
      </c>
      <c r="K691" s="13">
        <v>304</v>
      </c>
      <c r="L691" s="13" t="s">
        <v>110</v>
      </c>
      <c r="M691" s="13" t="s">
        <v>1485</v>
      </c>
    </row>
    <row r="692" spans="1:13" x14ac:dyDescent="0.35">
      <c r="A692" s="13">
        <v>7</v>
      </c>
      <c r="B692" s="13" t="s">
        <v>822</v>
      </c>
      <c r="C692" s="13">
        <v>5</v>
      </c>
      <c r="D692" s="14">
        <v>45022.088194444441</v>
      </c>
      <c r="E692" s="14">
        <v>45022.229861111111</v>
      </c>
      <c r="F692" s="13" t="s">
        <v>170</v>
      </c>
      <c r="G692" s="13" t="s">
        <v>73</v>
      </c>
      <c r="H692" s="13" t="s">
        <v>74</v>
      </c>
      <c r="I692" s="17">
        <v>11.47</v>
      </c>
      <c r="J692" s="13" t="s">
        <v>94</v>
      </c>
      <c r="K692" s="13">
        <v>622</v>
      </c>
      <c r="L692" s="13" t="s">
        <v>164</v>
      </c>
      <c r="M692" s="13" t="s">
        <v>1690</v>
      </c>
    </row>
    <row r="693" spans="1:13" x14ac:dyDescent="0.35">
      <c r="A693" s="13">
        <v>7</v>
      </c>
      <c r="B693" s="13" t="s">
        <v>1013</v>
      </c>
      <c r="C693" s="13">
        <v>1</v>
      </c>
      <c r="D693" s="14">
        <v>45019.023611111108</v>
      </c>
      <c r="E693" s="14">
        <v>45019.183333333334</v>
      </c>
      <c r="F693" s="13" t="s">
        <v>72</v>
      </c>
      <c r="G693" s="13" t="s">
        <v>86</v>
      </c>
      <c r="H693" s="13" t="s">
        <v>74</v>
      </c>
      <c r="I693" s="17">
        <v>42.73</v>
      </c>
      <c r="J693" s="13" t="s">
        <v>94</v>
      </c>
      <c r="K693" s="13">
        <v>272</v>
      </c>
      <c r="L693" s="13" t="s">
        <v>181</v>
      </c>
      <c r="M693" s="13" t="s">
        <v>1461</v>
      </c>
    </row>
    <row r="694" spans="1:13" x14ac:dyDescent="0.35">
      <c r="A694" s="11">
        <v>7</v>
      </c>
      <c r="B694" s="11" t="s">
        <v>1089</v>
      </c>
      <c r="C694" s="11">
        <v>4</v>
      </c>
      <c r="D694" s="12">
        <v>45022.004861111112</v>
      </c>
      <c r="E694" s="12">
        <v>45022.109027777777</v>
      </c>
      <c r="F694" s="11" t="s">
        <v>72</v>
      </c>
      <c r="G694" s="11" t="s">
        <v>163</v>
      </c>
      <c r="H694" s="11" t="s">
        <v>74</v>
      </c>
      <c r="I694" s="16">
        <v>34.68</v>
      </c>
      <c r="J694" s="11" t="s">
        <v>88</v>
      </c>
      <c r="K694" s="11">
        <v>491</v>
      </c>
      <c r="L694" s="11" t="s">
        <v>181</v>
      </c>
      <c r="M694" s="11" t="s">
        <v>1608</v>
      </c>
    </row>
    <row r="695" spans="1:13" x14ac:dyDescent="0.35">
      <c r="A695" s="13">
        <v>7</v>
      </c>
      <c r="B695" s="13" t="s">
        <v>1136</v>
      </c>
      <c r="C695" s="13">
        <v>5</v>
      </c>
      <c r="D695" s="14">
        <v>45022.092361111114</v>
      </c>
      <c r="E695" s="14">
        <v>45022.254861111112</v>
      </c>
      <c r="F695" s="13" t="s">
        <v>85</v>
      </c>
      <c r="G695" s="13" t="s">
        <v>86</v>
      </c>
      <c r="H695" s="13" t="s">
        <v>74</v>
      </c>
      <c r="I695" s="17">
        <v>30.19</v>
      </c>
      <c r="J695" s="13" t="s">
        <v>88</v>
      </c>
      <c r="K695" s="13">
        <v>530</v>
      </c>
      <c r="L695" s="13" t="s">
        <v>221</v>
      </c>
      <c r="M695" s="13" t="s">
        <v>1629</v>
      </c>
    </row>
    <row r="696" spans="1:13" x14ac:dyDescent="0.35">
      <c r="A696" s="13">
        <v>7</v>
      </c>
      <c r="B696" s="13" t="s">
        <v>921</v>
      </c>
      <c r="C696" s="13">
        <v>3</v>
      </c>
      <c r="D696" s="14">
        <v>45017.042361111111</v>
      </c>
      <c r="E696" s="14">
        <v>45017.140277777777</v>
      </c>
      <c r="F696" s="13" t="s">
        <v>85</v>
      </c>
      <c r="G696" s="13" t="s">
        <v>86</v>
      </c>
      <c r="H696" s="13" t="s">
        <v>74</v>
      </c>
      <c r="I696" s="17">
        <v>17.149999999999999</v>
      </c>
      <c r="J696" s="13" t="s">
        <v>88</v>
      </c>
      <c r="K696" s="13">
        <v>98</v>
      </c>
      <c r="L696" s="13" t="s">
        <v>95</v>
      </c>
      <c r="M696" s="13" t="s">
        <v>1342</v>
      </c>
    </row>
    <row r="697" spans="1:13" x14ac:dyDescent="0.35">
      <c r="A697" s="13">
        <v>7</v>
      </c>
      <c r="B697" s="13" t="s">
        <v>921</v>
      </c>
      <c r="C697" s="13">
        <v>5</v>
      </c>
      <c r="D697" s="14">
        <v>45022.000694444447</v>
      </c>
      <c r="E697" s="14">
        <v>45022.144444444442</v>
      </c>
      <c r="F697" s="13" t="s">
        <v>223</v>
      </c>
      <c r="G697" s="13" t="s">
        <v>86</v>
      </c>
      <c r="H697" s="13" t="s">
        <v>87</v>
      </c>
      <c r="I697" s="17">
        <v>32.78</v>
      </c>
      <c r="J697" s="13" t="s">
        <v>88</v>
      </c>
      <c r="K697" s="13">
        <v>478</v>
      </c>
      <c r="L697" s="13" t="s">
        <v>95</v>
      </c>
      <c r="M697" s="13" t="s">
        <v>1600</v>
      </c>
    </row>
    <row r="698" spans="1:13" x14ac:dyDescent="0.35">
      <c r="A698" s="13">
        <v>7</v>
      </c>
      <c r="B698" s="13" t="s">
        <v>1129</v>
      </c>
      <c r="C698" s="13">
        <v>2</v>
      </c>
      <c r="D698" s="14">
        <v>45022.163194444445</v>
      </c>
      <c r="E698" s="14">
        <v>45022.207638888889</v>
      </c>
      <c r="F698" s="13" t="s">
        <v>72</v>
      </c>
      <c r="G698" s="13" t="s">
        <v>86</v>
      </c>
      <c r="H698" s="13" t="s">
        <v>74</v>
      </c>
      <c r="I698" s="17">
        <v>20.85</v>
      </c>
      <c r="J698" s="13" t="s">
        <v>94</v>
      </c>
      <c r="K698" s="13">
        <v>516</v>
      </c>
      <c r="L698" s="13" t="s">
        <v>221</v>
      </c>
      <c r="M698" s="13" t="s">
        <v>1621</v>
      </c>
    </row>
    <row r="699" spans="1:13" x14ac:dyDescent="0.35">
      <c r="A699" s="11">
        <v>7</v>
      </c>
      <c r="B699" s="11" t="s">
        <v>225</v>
      </c>
      <c r="C699" s="11">
        <v>5</v>
      </c>
      <c r="D699" s="12">
        <v>45022.161111111112</v>
      </c>
      <c r="E699" s="12">
        <v>45022.318749999999</v>
      </c>
      <c r="F699" s="11" t="s">
        <v>100</v>
      </c>
      <c r="G699" s="11" t="s">
        <v>86</v>
      </c>
      <c r="H699" s="11" t="s">
        <v>87</v>
      </c>
      <c r="I699" s="16">
        <v>35.880000000000003</v>
      </c>
      <c r="J699" s="11" t="s">
        <v>88</v>
      </c>
      <c r="K699" s="11">
        <v>557</v>
      </c>
      <c r="L699" s="11" t="s">
        <v>187</v>
      </c>
      <c r="M699" s="11" t="s">
        <v>1651</v>
      </c>
    </row>
    <row r="700" spans="1:13" x14ac:dyDescent="0.35">
      <c r="A700" s="11">
        <v>7</v>
      </c>
      <c r="B700" s="11" t="s">
        <v>1086</v>
      </c>
      <c r="C700" s="11">
        <v>2</v>
      </c>
      <c r="D700" s="12">
        <v>45021.142361111109</v>
      </c>
      <c r="E700" s="12">
        <v>45021.189583333333</v>
      </c>
      <c r="F700" s="11" t="s">
        <v>100</v>
      </c>
      <c r="G700" s="11" t="s">
        <v>73</v>
      </c>
      <c r="H700" s="11" t="s">
        <v>74</v>
      </c>
      <c r="I700" s="16">
        <v>35.08</v>
      </c>
      <c r="J700" s="11" t="s">
        <v>75</v>
      </c>
      <c r="K700" s="11">
        <v>417</v>
      </c>
      <c r="L700" s="11" t="s">
        <v>275</v>
      </c>
      <c r="M700" s="11" t="s">
        <v>1557</v>
      </c>
    </row>
    <row r="701" spans="1:13" x14ac:dyDescent="0.35">
      <c r="A701" s="11">
        <v>7</v>
      </c>
      <c r="B701" s="11" t="s">
        <v>1010</v>
      </c>
      <c r="C701" s="11">
        <v>5</v>
      </c>
      <c r="D701" s="12">
        <v>45019.088194444441</v>
      </c>
      <c r="E701" s="12">
        <v>45019.158333333333</v>
      </c>
      <c r="F701" s="11" t="s">
        <v>100</v>
      </c>
      <c r="G701" s="11" t="s">
        <v>73</v>
      </c>
      <c r="H701" s="11" t="s">
        <v>74</v>
      </c>
      <c r="I701" s="16">
        <v>44.66</v>
      </c>
      <c r="J701" s="11" t="s">
        <v>88</v>
      </c>
      <c r="K701" s="11">
        <v>267</v>
      </c>
      <c r="L701" s="11" t="s">
        <v>181</v>
      </c>
      <c r="M701" s="11" t="s">
        <v>1458</v>
      </c>
    </row>
    <row r="702" spans="1:13" x14ac:dyDescent="0.35">
      <c r="A702" s="11">
        <v>7</v>
      </c>
      <c r="B702" s="11" t="s">
        <v>1156</v>
      </c>
      <c r="C702" s="11">
        <v>3</v>
      </c>
      <c r="D702" s="12">
        <v>45022.133333333331</v>
      </c>
      <c r="E702" s="12">
        <v>45022.29791666667</v>
      </c>
      <c r="F702" s="11" t="s">
        <v>170</v>
      </c>
      <c r="G702" s="11" t="s">
        <v>86</v>
      </c>
      <c r="H702" s="11" t="s">
        <v>74</v>
      </c>
      <c r="I702" s="16">
        <v>47.08</v>
      </c>
      <c r="J702" s="11" t="s">
        <v>88</v>
      </c>
      <c r="K702" s="11">
        <v>573</v>
      </c>
      <c r="L702" s="11" t="s">
        <v>101</v>
      </c>
      <c r="M702" s="11" t="s">
        <v>1661</v>
      </c>
    </row>
    <row r="703" spans="1:13" x14ac:dyDescent="0.35">
      <c r="A703" s="13">
        <v>7</v>
      </c>
      <c r="B703" s="13" t="s">
        <v>992</v>
      </c>
      <c r="C703" s="13">
        <v>6</v>
      </c>
      <c r="D703" s="14">
        <v>45023.019444444442</v>
      </c>
      <c r="E703" s="14">
        <v>45023.15625</v>
      </c>
      <c r="F703" s="13" t="s">
        <v>170</v>
      </c>
      <c r="G703" s="13" t="s">
        <v>86</v>
      </c>
      <c r="H703" s="13" t="s">
        <v>74</v>
      </c>
      <c r="I703" s="17">
        <v>41.6</v>
      </c>
      <c r="J703" s="13" t="s">
        <v>88</v>
      </c>
      <c r="K703" s="13">
        <v>676</v>
      </c>
      <c r="L703" s="13" t="s">
        <v>187</v>
      </c>
      <c r="M703" s="13" t="s">
        <v>1731</v>
      </c>
    </row>
    <row r="704" spans="1:13" x14ac:dyDescent="0.35">
      <c r="A704" s="11">
        <v>7</v>
      </c>
      <c r="B704" s="11" t="s">
        <v>1173</v>
      </c>
      <c r="C704" s="11">
        <v>1</v>
      </c>
      <c r="D704" s="12">
        <v>45022.031944444447</v>
      </c>
      <c r="E704" s="12">
        <v>45022.078472222223</v>
      </c>
      <c r="F704" s="11" t="s">
        <v>85</v>
      </c>
      <c r="G704" s="11" t="s">
        <v>73</v>
      </c>
      <c r="H704" s="11" t="s">
        <v>74</v>
      </c>
      <c r="I704" s="16">
        <v>18.420000000000002</v>
      </c>
      <c r="J704" s="11" t="s">
        <v>88</v>
      </c>
      <c r="K704" s="11">
        <v>615</v>
      </c>
      <c r="L704" s="11" t="s">
        <v>187</v>
      </c>
      <c r="M704" s="11" t="s">
        <v>1687</v>
      </c>
    </row>
    <row r="705" spans="1:13" x14ac:dyDescent="0.35">
      <c r="A705" s="13">
        <v>7</v>
      </c>
      <c r="B705" s="13" t="s">
        <v>1093</v>
      </c>
      <c r="C705" s="13">
        <v>5</v>
      </c>
      <c r="D705" s="14">
        <v>45021.137499999997</v>
      </c>
      <c r="E705" s="14">
        <v>45021.252083333333</v>
      </c>
      <c r="F705" s="13" t="s">
        <v>72</v>
      </c>
      <c r="G705" s="13" t="s">
        <v>163</v>
      </c>
      <c r="H705" s="13" t="s">
        <v>74</v>
      </c>
      <c r="I705" s="17">
        <v>15.6</v>
      </c>
      <c r="J705" s="13" t="s">
        <v>94</v>
      </c>
      <c r="K705" s="13">
        <v>428</v>
      </c>
      <c r="L705" s="13" t="s">
        <v>187</v>
      </c>
      <c r="M705" s="13" t="s">
        <v>1567</v>
      </c>
    </row>
    <row r="706" spans="1:13" x14ac:dyDescent="0.35">
      <c r="A706" s="13">
        <v>7</v>
      </c>
      <c r="B706" s="13" t="s">
        <v>1014</v>
      </c>
      <c r="C706" s="13">
        <v>1</v>
      </c>
      <c r="D706" s="14">
        <v>45019.135416666664</v>
      </c>
      <c r="E706" s="14">
        <v>45019.244444444441</v>
      </c>
      <c r="F706" s="13" t="s">
        <v>223</v>
      </c>
      <c r="G706" s="13" t="s">
        <v>86</v>
      </c>
      <c r="H706" s="13" t="s">
        <v>109</v>
      </c>
      <c r="I706" s="17">
        <v>19.93</v>
      </c>
      <c r="J706" s="13" t="s">
        <v>88</v>
      </c>
      <c r="K706" s="13">
        <v>274</v>
      </c>
      <c r="L706" s="13" t="s">
        <v>89</v>
      </c>
      <c r="M706" s="13" t="s">
        <v>1463</v>
      </c>
    </row>
    <row r="707" spans="1:13" x14ac:dyDescent="0.35">
      <c r="A707" s="13">
        <v>7</v>
      </c>
      <c r="B707" s="13" t="s">
        <v>932</v>
      </c>
      <c r="C707" s="13">
        <v>6</v>
      </c>
      <c r="D707" s="14">
        <v>45017.03402777778</v>
      </c>
      <c r="E707" s="14">
        <v>45017.145833333336</v>
      </c>
      <c r="F707" s="13" t="s">
        <v>223</v>
      </c>
      <c r="G707" s="13" t="s">
        <v>86</v>
      </c>
      <c r="H707" s="13" t="s">
        <v>74</v>
      </c>
      <c r="I707" s="17">
        <v>38.81</v>
      </c>
      <c r="J707" s="13" t="s">
        <v>88</v>
      </c>
      <c r="K707" s="13">
        <v>114</v>
      </c>
      <c r="L707" s="13" t="s">
        <v>101</v>
      </c>
      <c r="M707" s="13" t="s">
        <v>1355</v>
      </c>
    </row>
    <row r="708" spans="1:13" x14ac:dyDescent="0.35">
      <c r="A708" s="11">
        <v>7</v>
      </c>
      <c r="B708" s="11" t="s">
        <v>1124</v>
      </c>
      <c r="C708" s="11">
        <v>1</v>
      </c>
      <c r="D708" s="12">
        <v>45022.155555555553</v>
      </c>
      <c r="E708" s="12">
        <v>45022.271527777775</v>
      </c>
      <c r="F708" s="11" t="s">
        <v>223</v>
      </c>
      <c r="G708" s="11" t="s">
        <v>73</v>
      </c>
      <c r="H708" s="11" t="s">
        <v>74</v>
      </c>
      <c r="I708" s="16">
        <v>28.38</v>
      </c>
      <c r="J708" s="11" t="s">
        <v>88</v>
      </c>
      <c r="K708" s="11">
        <v>501</v>
      </c>
      <c r="L708" s="11" t="s">
        <v>275</v>
      </c>
      <c r="M708" s="11" t="s">
        <v>1615</v>
      </c>
    </row>
    <row r="709" spans="1:13" x14ac:dyDescent="0.35">
      <c r="A709" s="13">
        <v>7</v>
      </c>
      <c r="B709" s="13" t="s">
        <v>989</v>
      </c>
      <c r="C709" s="13">
        <v>6</v>
      </c>
      <c r="D709" s="14">
        <v>45018.040277777778</v>
      </c>
      <c r="E709" s="14">
        <v>45018.17291666667</v>
      </c>
      <c r="F709" s="13" t="s">
        <v>223</v>
      </c>
      <c r="G709" s="13" t="s">
        <v>73</v>
      </c>
      <c r="H709" s="13" t="s">
        <v>74</v>
      </c>
      <c r="I709" s="17">
        <v>39.479999999999997</v>
      </c>
      <c r="J709" s="13" t="s">
        <v>94</v>
      </c>
      <c r="K709" s="13">
        <v>226</v>
      </c>
      <c r="L709" s="13" t="s">
        <v>275</v>
      </c>
      <c r="M709" s="13" t="s">
        <v>1431</v>
      </c>
    </row>
    <row r="710" spans="1:13" x14ac:dyDescent="0.35">
      <c r="A710" s="11">
        <v>7</v>
      </c>
      <c r="B710" s="11" t="s">
        <v>660</v>
      </c>
      <c r="C710" s="11">
        <v>5</v>
      </c>
      <c r="D710" s="12">
        <v>45018.029861111114</v>
      </c>
      <c r="E710" s="12">
        <v>45018.179166666669</v>
      </c>
      <c r="F710" s="11" t="s">
        <v>72</v>
      </c>
      <c r="G710" s="11" t="s">
        <v>86</v>
      </c>
      <c r="H710" s="11" t="s">
        <v>74</v>
      </c>
      <c r="I710" s="16">
        <v>42.41</v>
      </c>
      <c r="J710" s="11" t="s">
        <v>88</v>
      </c>
      <c r="K710" s="11">
        <v>131</v>
      </c>
      <c r="L710" s="11" t="s">
        <v>187</v>
      </c>
      <c r="M710" s="11" t="s">
        <v>1366</v>
      </c>
    </row>
    <row r="711" spans="1:13" x14ac:dyDescent="0.35">
      <c r="A711" s="11">
        <v>7</v>
      </c>
      <c r="B711" s="11" t="s">
        <v>1059</v>
      </c>
      <c r="C711" s="11">
        <v>5</v>
      </c>
      <c r="D711" s="12">
        <v>45020.156944444447</v>
      </c>
      <c r="E711" s="12">
        <v>45020.316666666666</v>
      </c>
      <c r="F711" s="11" t="s">
        <v>85</v>
      </c>
      <c r="G711" s="11" t="s">
        <v>73</v>
      </c>
      <c r="H711" s="11" t="s">
        <v>74</v>
      </c>
      <c r="I711" s="16">
        <v>27.37</v>
      </c>
      <c r="J711" s="11" t="s">
        <v>94</v>
      </c>
      <c r="K711" s="11">
        <v>353</v>
      </c>
      <c r="L711" s="11" t="s">
        <v>89</v>
      </c>
      <c r="M711" s="11" t="s">
        <v>1519</v>
      </c>
    </row>
    <row r="712" spans="1:13" x14ac:dyDescent="0.35">
      <c r="A712" s="11">
        <v>7</v>
      </c>
      <c r="B712" s="11" t="s">
        <v>885</v>
      </c>
      <c r="C712" s="11">
        <v>4</v>
      </c>
      <c r="D712" s="12">
        <v>45017.093055555553</v>
      </c>
      <c r="E712" s="12">
        <v>45017.180555555555</v>
      </c>
      <c r="F712" s="11" t="s">
        <v>100</v>
      </c>
      <c r="G712" s="11" t="s">
        <v>86</v>
      </c>
      <c r="H712" s="11" t="s">
        <v>74</v>
      </c>
      <c r="I712" s="16">
        <v>15.24</v>
      </c>
      <c r="J712" s="11" t="s">
        <v>88</v>
      </c>
      <c r="K712" s="11">
        <v>41</v>
      </c>
      <c r="L712" s="11" t="s">
        <v>76</v>
      </c>
      <c r="M712" s="11" t="s">
        <v>1294</v>
      </c>
    </row>
    <row r="713" spans="1:13" x14ac:dyDescent="0.35">
      <c r="A713" s="13">
        <v>7</v>
      </c>
      <c r="B713" s="13" t="s">
        <v>891</v>
      </c>
      <c r="C713" s="13">
        <v>4</v>
      </c>
      <c r="D713" s="14">
        <v>45017.000694444447</v>
      </c>
      <c r="E713" s="14">
        <v>45017.049305555556</v>
      </c>
      <c r="F713" s="13" t="s">
        <v>170</v>
      </c>
      <c r="G713" s="13" t="s">
        <v>86</v>
      </c>
      <c r="H713" s="13" t="s">
        <v>74</v>
      </c>
      <c r="I713" s="17">
        <v>46.88</v>
      </c>
      <c r="J713" s="13" t="s">
        <v>75</v>
      </c>
      <c r="K713" s="13">
        <v>52</v>
      </c>
      <c r="L713" s="13" t="s">
        <v>221</v>
      </c>
      <c r="M713" s="13" t="s">
        <v>1304</v>
      </c>
    </row>
    <row r="714" spans="1:13" x14ac:dyDescent="0.35">
      <c r="A714" s="11">
        <v>7</v>
      </c>
      <c r="B714" s="11" t="s">
        <v>953</v>
      </c>
      <c r="C714" s="11">
        <v>2</v>
      </c>
      <c r="D714" s="12">
        <v>45018.078472222223</v>
      </c>
      <c r="E714" s="12">
        <v>45018.197222222225</v>
      </c>
      <c r="F714" s="11" t="s">
        <v>85</v>
      </c>
      <c r="G714" s="11" t="s">
        <v>86</v>
      </c>
      <c r="H714" s="11" t="s">
        <v>74</v>
      </c>
      <c r="I714" s="16">
        <v>25.72</v>
      </c>
      <c r="J714" s="11" t="s">
        <v>94</v>
      </c>
      <c r="K714" s="11">
        <v>155</v>
      </c>
      <c r="L714" s="11" t="s">
        <v>275</v>
      </c>
      <c r="M714" s="11" t="s">
        <v>1383</v>
      </c>
    </row>
    <row r="715" spans="1:13" x14ac:dyDescent="0.35">
      <c r="A715" s="11">
        <v>7</v>
      </c>
      <c r="B715" s="11" t="s">
        <v>1078</v>
      </c>
      <c r="C715" s="11">
        <v>6</v>
      </c>
      <c r="D715" s="12">
        <v>45021.116666666669</v>
      </c>
      <c r="E715" s="12">
        <v>45021.236111111109</v>
      </c>
      <c r="F715" s="11" t="s">
        <v>85</v>
      </c>
      <c r="G715" s="11" t="s">
        <v>86</v>
      </c>
      <c r="H715" s="11" t="s">
        <v>74</v>
      </c>
      <c r="I715" s="16">
        <v>27.32</v>
      </c>
      <c r="J715" s="11" t="s">
        <v>75</v>
      </c>
      <c r="K715" s="11">
        <v>399</v>
      </c>
      <c r="L715" s="11" t="s">
        <v>181</v>
      </c>
      <c r="M715" s="11" t="s">
        <v>1545</v>
      </c>
    </row>
    <row r="716" spans="1:13" x14ac:dyDescent="0.35">
      <c r="A716" s="11">
        <v>8</v>
      </c>
      <c r="B716" s="11" t="s">
        <v>1118</v>
      </c>
      <c r="C716" s="11">
        <v>6</v>
      </c>
      <c r="D716" s="12">
        <v>45022.068749999999</v>
      </c>
      <c r="E716" s="12">
        <v>45022.123611111114</v>
      </c>
      <c r="F716" s="11" t="s">
        <v>72</v>
      </c>
      <c r="G716" s="11" t="s">
        <v>163</v>
      </c>
      <c r="H716" s="11" t="s">
        <v>74</v>
      </c>
      <c r="I716" s="16">
        <v>33.85</v>
      </c>
      <c r="J716" s="11" t="s">
        <v>94</v>
      </c>
      <c r="K716" s="11">
        <v>477</v>
      </c>
      <c r="L716" s="11" t="s">
        <v>110</v>
      </c>
      <c r="M716" s="11" t="s">
        <v>1599</v>
      </c>
    </row>
    <row r="717" spans="1:13" x14ac:dyDescent="0.35">
      <c r="A717" s="11">
        <v>8</v>
      </c>
      <c r="B717" s="11" t="s">
        <v>687</v>
      </c>
      <c r="C717" s="11">
        <v>4</v>
      </c>
      <c r="D717" s="12">
        <v>45023.079861111109</v>
      </c>
      <c r="E717" s="12">
        <v>45023.152777777781</v>
      </c>
      <c r="F717" s="11" t="s">
        <v>100</v>
      </c>
      <c r="G717" s="11" t="s">
        <v>86</v>
      </c>
      <c r="H717" s="11" t="s">
        <v>87</v>
      </c>
      <c r="I717" s="16">
        <v>26.15</v>
      </c>
      <c r="J717" s="11" t="s">
        <v>88</v>
      </c>
      <c r="K717" s="11">
        <v>709</v>
      </c>
      <c r="L717" s="11" t="s">
        <v>187</v>
      </c>
      <c r="M717" s="11" t="s">
        <v>1750</v>
      </c>
    </row>
    <row r="718" spans="1:13" x14ac:dyDescent="0.35">
      <c r="A718" s="11">
        <v>8</v>
      </c>
      <c r="B718" s="11" t="s">
        <v>1005</v>
      </c>
      <c r="C718" s="11">
        <v>1</v>
      </c>
      <c r="D718" s="12">
        <v>45018.047222222223</v>
      </c>
      <c r="E718" s="12">
        <v>45018.121527777781</v>
      </c>
      <c r="F718" s="11" t="s">
        <v>72</v>
      </c>
      <c r="G718" s="11" t="s">
        <v>86</v>
      </c>
      <c r="H718" s="11" t="s">
        <v>74</v>
      </c>
      <c r="I718" s="16">
        <v>32.42</v>
      </c>
      <c r="J718" s="11" t="s">
        <v>88</v>
      </c>
      <c r="K718" s="11">
        <v>261</v>
      </c>
      <c r="L718" s="11" t="s">
        <v>101</v>
      </c>
      <c r="M718" s="11" t="s">
        <v>1416</v>
      </c>
    </row>
    <row r="719" spans="1:13" x14ac:dyDescent="0.35">
      <c r="A719" s="11">
        <v>8</v>
      </c>
      <c r="B719" s="11" t="s">
        <v>1027</v>
      </c>
      <c r="C719" s="11">
        <v>6</v>
      </c>
      <c r="D719" s="12">
        <v>45019.093055555553</v>
      </c>
      <c r="E719" s="12">
        <v>45019.172222222223</v>
      </c>
      <c r="F719" s="11" t="s">
        <v>85</v>
      </c>
      <c r="G719" s="11" t="s">
        <v>86</v>
      </c>
      <c r="H719" s="11" t="s">
        <v>74</v>
      </c>
      <c r="I719" s="16">
        <v>16.52</v>
      </c>
      <c r="J719" s="11" t="s">
        <v>94</v>
      </c>
      <c r="K719" s="11">
        <v>301</v>
      </c>
      <c r="L719" s="11" t="s">
        <v>174</v>
      </c>
      <c r="M719" s="11" t="s">
        <v>1483</v>
      </c>
    </row>
    <row r="720" spans="1:13" x14ac:dyDescent="0.35">
      <c r="A720" s="11">
        <v>8</v>
      </c>
      <c r="B720" s="11" t="s">
        <v>645</v>
      </c>
      <c r="C720" s="11">
        <v>5</v>
      </c>
      <c r="D720" s="12">
        <v>45023.163888888892</v>
      </c>
      <c r="E720" s="12">
        <v>45023.252083333333</v>
      </c>
      <c r="F720" s="11" t="s">
        <v>223</v>
      </c>
      <c r="G720" s="11" t="s">
        <v>86</v>
      </c>
      <c r="H720" s="11" t="s">
        <v>74</v>
      </c>
      <c r="I720" s="16">
        <v>23.67</v>
      </c>
      <c r="J720" s="11" t="s">
        <v>75</v>
      </c>
      <c r="K720" s="11">
        <v>717</v>
      </c>
      <c r="L720" s="11" t="s">
        <v>95</v>
      </c>
      <c r="M720" s="11" t="s">
        <v>1756</v>
      </c>
    </row>
    <row r="721" spans="1:13" x14ac:dyDescent="0.35">
      <c r="A721" s="11">
        <v>8</v>
      </c>
      <c r="B721" s="11" t="s">
        <v>1100</v>
      </c>
      <c r="C721" s="11">
        <v>2</v>
      </c>
      <c r="D721" s="12">
        <v>45021.161805555559</v>
      </c>
      <c r="E721" s="12">
        <v>45021.308333333334</v>
      </c>
      <c r="F721" s="11" t="s">
        <v>72</v>
      </c>
      <c r="G721" s="11" t="s">
        <v>73</v>
      </c>
      <c r="H721" s="11" t="s">
        <v>74</v>
      </c>
      <c r="I721" s="16">
        <v>28.68</v>
      </c>
      <c r="J721" s="11" t="s">
        <v>75</v>
      </c>
      <c r="K721" s="11">
        <v>447</v>
      </c>
      <c r="L721" s="11" t="s">
        <v>181</v>
      </c>
      <c r="M721" s="11" t="s">
        <v>1577</v>
      </c>
    </row>
    <row r="722" spans="1:13" x14ac:dyDescent="0.35">
      <c r="A722" s="11">
        <v>8</v>
      </c>
      <c r="B722" s="11" t="s">
        <v>1181</v>
      </c>
      <c r="C722" s="11">
        <v>4</v>
      </c>
      <c r="D722" s="12">
        <v>45022.095138888886</v>
      </c>
      <c r="E722" s="12">
        <v>45022.22152777778</v>
      </c>
      <c r="F722" s="11" t="s">
        <v>100</v>
      </c>
      <c r="G722" s="11" t="s">
        <v>73</v>
      </c>
      <c r="H722" s="11" t="s">
        <v>74</v>
      </c>
      <c r="I722" s="16">
        <v>18.97</v>
      </c>
      <c r="J722" s="11" t="s">
        <v>94</v>
      </c>
      <c r="K722" s="11">
        <v>639</v>
      </c>
      <c r="L722" s="11" t="s">
        <v>181</v>
      </c>
      <c r="M722" s="11" t="s">
        <v>1703</v>
      </c>
    </row>
    <row r="723" spans="1:13" x14ac:dyDescent="0.35">
      <c r="A723" s="13">
        <v>8</v>
      </c>
      <c r="B723" s="13" t="s">
        <v>1161</v>
      </c>
      <c r="C723" s="13">
        <v>3</v>
      </c>
      <c r="D723" s="14">
        <v>45023.020138888889</v>
      </c>
      <c r="E723" s="14">
        <v>45023.106249999997</v>
      </c>
      <c r="F723" s="13" t="s">
        <v>170</v>
      </c>
      <c r="G723" s="13" t="s">
        <v>86</v>
      </c>
      <c r="H723" s="13" t="s">
        <v>74</v>
      </c>
      <c r="I723" s="17">
        <v>15.02</v>
      </c>
      <c r="J723" s="13" t="s">
        <v>88</v>
      </c>
      <c r="K723" s="13">
        <v>730</v>
      </c>
      <c r="L723" s="13" t="s">
        <v>181</v>
      </c>
      <c r="M723" s="13" t="s">
        <v>1569</v>
      </c>
    </row>
    <row r="724" spans="1:13" x14ac:dyDescent="0.35">
      <c r="A724" s="13">
        <v>8</v>
      </c>
      <c r="B724" s="13" t="s">
        <v>1206</v>
      </c>
      <c r="C724" s="13">
        <v>2</v>
      </c>
      <c r="D724" s="14">
        <v>45023.015972222223</v>
      </c>
      <c r="E724" s="14">
        <v>45023.118055555555</v>
      </c>
      <c r="F724" s="13" t="s">
        <v>100</v>
      </c>
      <c r="G724" s="13" t="s">
        <v>86</v>
      </c>
      <c r="H724" s="13" t="s">
        <v>74</v>
      </c>
      <c r="I724" s="17">
        <v>21.66</v>
      </c>
      <c r="J724" s="13" t="s">
        <v>94</v>
      </c>
      <c r="K724" s="13">
        <v>700</v>
      </c>
      <c r="L724" s="13" t="s">
        <v>164</v>
      </c>
      <c r="M724" s="13" t="s">
        <v>1639</v>
      </c>
    </row>
    <row r="725" spans="1:13" x14ac:dyDescent="0.35">
      <c r="A725" s="13">
        <v>8</v>
      </c>
      <c r="B725" s="13" t="s">
        <v>896</v>
      </c>
      <c r="C725" s="13">
        <v>3</v>
      </c>
      <c r="D725" s="14">
        <v>45017.063194444447</v>
      </c>
      <c r="E725" s="14">
        <v>45017.181250000001</v>
      </c>
      <c r="F725" s="13" t="s">
        <v>223</v>
      </c>
      <c r="G725" s="13" t="s">
        <v>73</v>
      </c>
      <c r="H725" s="13" t="s">
        <v>74</v>
      </c>
      <c r="I725" s="17">
        <v>30.7</v>
      </c>
      <c r="J725" s="13" t="s">
        <v>94</v>
      </c>
      <c r="K725" s="13">
        <v>58</v>
      </c>
      <c r="L725" s="13" t="s">
        <v>89</v>
      </c>
      <c r="M725" s="13" t="s">
        <v>1309</v>
      </c>
    </row>
    <row r="726" spans="1:13" x14ac:dyDescent="0.35">
      <c r="A726" s="11">
        <v>8</v>
      </c>
      <c r="B726" s="11" t="s">
        <v>1039</v>
      </c>
      <c r="C726" s="11">
        <v>1</v>
      </c>
      <c r="D726" s="12">
        <v>45019.057638888888</v>
      </c>
      <c r="E726" s="12">
        <v>45019.179861111108</v>
      </c>
      <c r="F726" s="11" t="s">
        <v>85</v>
      </c>
      <c r="G726" s="11" t="s">
        <v>163</v>
      </c>
      <c r="H726" s="11" t="s">
        <v>87</v>
      </c>
      <c r="I726" s="16">
        <v>44.3</v>
      </c>
      <c r="J726" s="11" t="s">
        <v>75</v>
      </c>
      <c r="K726" s="11">
        <v>323</v>
      </c>
      <c r="L726" s="11" t="s">
        <v>101</v>
      </c>
      <c r="M726" s="11" t="s">
        <v>1500</v>
      </c>
    </row>
    <row r="727" spans="1:13" x14ac:dyDescent="0.35">
      <c r="A727" s="13">
        <v>8</v>
      </c>
      <c r="B727" s="13" t="s">
        <v>957</v>
      </c>
      <c r="C727" s="13">
        <v>2</v>
      </c>
      <c r="D727" s="14">
        <v>45018.106944444444</v>
      </c>
      <c r="E727" s="14">
        <v>45018.251388888886</v>
      </c>
      <c r="F727" s="13" t="s">
        <v>72</v>
      </c>
      <c r="G727" s="13" t="s">
        <v>73</v>
      </c>
      <c r="H727" s="13" t="s">
        <v>74</v>
      </c>
      <c r="I727" s="17">
        <v>47.53</v>
      </c>
      <c r="J727" s="13" t="s">
        <v>94</v>
      </c>
      <c r="K727" s="13">
        <v>164</v>
      </c>
      <c r="L727" s="13" t="s">
        <v>110</v>
      </c>
      <c r="M727" s="13" t="s">
        <v>1389</v>
      </c>
    </row>
    <row r="728" spans="1:13" x14ac:dyDescent="0.35">
      <c r="A728" s="11">
        <v>8</v>
      </c>
      <c r="B728" s="11" t="s">
        <v>1003</v>
      </c>
      <c r="C728" s="11">
        <v>2</v>
      </c>
      <c r="D728" s="12">
        <v>45018.037499999999</v>
      </c>
      <c r="E728" s="12">
        <v>45018.15625</v>
      </c>
      <c r="F728" s="11" t="s">
        <v>170</v>
      </c>
      <c r="G728" s="11" t="s">
        <v>73</v>
      </c>
      <c r="H728" s="11" t="s">
        <v>74</v>
      </c>
      <c r="I728" s="16">
        <v>34.69</v>
      </c>
      <c r="J728" s="11" t="s">
        <v>88</v>
      </c>
      <c r="K728" s="11">
        <v>253</v>
      </c>
      <c r="L728" s="11" t="s">
        <v>164</v>
      </c>
      <c r="M728" s="11" t="s">
        <v>1450</v>
      </c>
    </row>
    <row r="729" spans="1:13" x14ac:dyDescent="0.35">
      <c r="A729" s="11">
        <v>8</v>
      </c>
      <c r="B729" s="11" t="s">
        <v>914</v>
      </c>
      <c r="C729" s="11">
        <v>3</v>
      </c>
      <c r="D729" s="12">
        <v>45017.107638888891</v>
      </c>
      <c r="E729" s="12">
        <v>45017.188194444447</v>
      </c>
      <c r="F729" s="11" t="s">
        <v>100</v>
      </c>
      <c r="G729" s="11" t="s">
        <v>73</v>
      </c>
      <c r="H729" s="11" t="s">
        <v>74</v>
      </c>
      <c r="I729" s="16">
        <v>45.96</v>
      </c>
      <c r="J729" s="11" t="s">
        <v>75</v>
      </c>
      <c r="K729" s="11">
        <v>85</v>
      </c>
      <c r="L729" s="11" t="s">
        <v>187</v>
      </c>
      <c r="M729" s="11" t="s">
        <v>1332</v>
      </c>
    </row>
    <row r="730" spans="1:13" x14ac:dyDescent="0.35">
      <c r="A730" s="13">
        <v>8</v>
      </c>
      <c r="B730" s="13" t="s">
        <v>902</v>
      </c>
      <c r="C730" s="13">
        <v>4</v>
      </c>
      <c r="D730" s="14">
        <v>45017.001388888886</v>
      </c>
      <c r="E730" s="14">
        <v>45017.135416666664</v>
      </c>
      <c r="F730" s="13" t="s">
        <v>85</v>
      </c>
      <c r="G730" s="13" t="s">
        <v>73</v>
      </c>
      <c r="H730" s="13" t="s">
        <v>74</v>
      </c>
      <c r="I730" s="17">
        <v>45.65</v>
      </c>
      <c r="J730" s="13" t="s">
        <v>88</v>
      </c>
      <c r="K730" s="13">
        <v>68</v>
      </c>
      <c r="L730" s="13" t="s">
        <v>89</v>
      </c>
      <c r="M730" s="13" t="s">
        <v>1319</v>
      </c>
    </row>
    <row r="731" spans="1:13" x14ac:dyDescent="0.35">
      <c r="A731" s="11">
        <v>8</v>
      </c>
      <c r="B731" s="11" t="s">
        <v>886</v>
      </c>
      <c r="C731" s="11">
        <v>6</v>
      </c>
      <c r="D731" s="12">
        <v>45017.043055555558</v>
      </c>
      <c r="E731" s="12">
        <v>45017.134722222225</v>
      </c>
      <c r="F731" s="11" t="s">
        <v>72</v>
      </c>
      <c r="G731" s="11" t="s">
        <v>86</v>
      </c>
      <c r="H731" s="11" t="s">
        <v>74</v>
      </c>
      <c r="I731" s="16">
        <v>32.19</v>
      </c>
      <c r="J731" s="11" t="s">
        <v>88</v>
      </c>
      <c r="K731" s="11">
        <v>43</v>
      </c>
      <c r="L731" s="11" t="s">
        <v>76</v>
      </c>
      <c r="M731" s="11" t="s">
        <v>1296</v>
      </c>
    </row>
    <row r="732" spans="1:13" x14ac:dyDescent="0.35">
      <c r="A732" s="13">
        <v>8</v>
      </c>
      <c r="B732" s="13" t="s">
        <v>482</v>
      </c>
      <c r="C732" s="13">
        <v>3</v>
      </c>
      <c r="D732" s="14">
        <v>45023.13958333333</v>
      </c>
      <c r="E732" s="14">
        <v>45023.191666666666</v>
      </c>
      <c r="F732" s="13" t="s">
        <v>170</v>
      </c>
      <c r="G732" s="13" t="s">
        <v>86</v>
      </c>
      <c r="H732" s="13" t="s">
        <v>74</v>
      </c>
      <c r="I732" s="17">
        <v>42.74</v>
      </c>
      <c r="J732" s="13" t="s">
        <v>94</v>
      </c>
      <c r="K732" s="13">
        <v>754</v>
      </c>
      <c r="L732" s="13" t="s">
        <v>181</v>
      </c>
      <c r="M732" s="13" t="s">
        <v>1779</v>
      </c>
    </row>
    <row r="733" spans="1:13" x14ac:dyDescent="0.35">
      <c r="A733" s="11">
        <v>8</v>
      </c>
      <c r="B733" s="11" t="s">
        <v>991</v>
      </c>
      <c r="C733" s="11">
        <v>2</v>
      </c>
      <c r="D733" s="12">
        <v>45018.05</v>
      </c>
      <c r="E733" s="12">
        <v>45018.131944444445</v>
      </c>
      <c r="F733" s="11" t="s">
        <v>100</v>
      </c>
      <c r="G733" s="11" t="s">
        <v>86</v>
      </c>
      <c r="H733" s="11" t="s">
        <v>74</v>
      </c>
      <c r="I733" s="16">
        <v>49.1</v>
      </c>
      <c r="J733" s="11" t="s">
        <v>88</v>
      </c>
      <c r="K733" s="11">
        <v>231</v>
      </c>
      <c r="L733" s="11" t="s">
        <v>76</v>
      </c>
      <c r="M733" s="11" t="s">
        <v>1435</v>
      </c>
    </row>
    <row r="734" spans="1:13" x14ac:dyDescent="0.35">
      <c r="A734" s="11">
        <v>8</v>
      </c>
      <c r="B734" s="11" t="s">
        <v>897</v>
      </c>
      <c r="C734" s="11">
        <v>4</v>
      </c>
      <c r="D734" s="12">
        <v>45017.056250000001</v>
      </c>
      <c r="E734" s="12">
        <v>45017.211111111108</v>
      </c>
      <c r="F734" s="11" t="s">
        <v>223</v>
      </c>
      <c r="G734" s="11" t="s">
        <v>86</v>
      </c>
      <c r="H734" s="11" t="s">
        <v>87</v>
      </c>
      <c r="I734" s="16">
        <v>33.89</v>
      </c>
      <c r="J734" s="11" t="s">
        <v>75</v>
      </c>
      <c r="K734" s="11">
        <v>59</v>
      </c>
      <c r="L734" s="11" t="s">
        <v>110</v>
      </c>
      <c r="M734" s="11" t="s">
        <v>1310</v>
      </c>
    </row>
    <row r="735" spans="1:13" x14ac:dyDescent="0.35">
      <c r="A735" s="13">
        <v>8</v>
      </c>
      <c r="B735" s="13" t="s">
        <v>891</v>
      </c>
      <c r="C735" s="13">
        <v>5</v>
      </c>
      <c r="D735" s="14">
        <v>45021.140972222223</v>
      </c>
      <c r="E735" s="14">
        <v>45021.255555555559</v>
      </c>
      <c r="F735" s="13" t="s">
        <v>223</v>
      </c>
      <c r="G735" s="13" t="s">
        <v>86</v>
      </c>
      <c r="H735" s="13" t="s">
        <v>74</v>
      </c>
      <c r="I735" s="17">
        <v>25.26</v>
      </c>
      <c r="J735" s="13" t="s">
        <v>75</v>
      </c>
      <c r="K735" s="13">
        <v>444</v>
      </c>
      <c r="L735" s="13" t="s">
        <v>164</v>
      </c>
      <c r="M735" s="13" t="s">
        <v>1576</v>
      </c>
    </row>
    <row r="736" spans="1:13" x14ac:dyDescent="0.35">
      <c r="A736" s="11">
        <v>8</v>
      </c>
      <c r="B736" s="11" t="s">
        <v>1000</v>
      </c>
      <c r="C736" s="11">
        <v>6</v>
      </c>
      <c r="D736" s="12">
        <v>45018.040277777778</v>
      </c>
      <c r="E736" s="12">
        <v>45018.163194444445</v>
      </c>
      <c r="F736" s="11" t="s">
        <v>100</v>
      </c>
      <c r="G736" s="11" t="s">
        <v>73</v>
      </c>
      <c r="H736" s="11" t="s">
        <v>74</v>
      </c>
      <c r="I736" s="16">
        <v>47.71</v>
      </c>
      <c r="J736" s="11" t="s">
        <v>88</v>
      </c>
      <c r="K736" s="11">
        <v>249</v>
      </c>
      <c r="L736" s="11" t="s">
        <v>181</v>
      </c>
      <c r="M736" s="11" t="s">
        <v>1447</v>
      </c>
    </row>
    <row r="737" spans="1:13" x14ac:dyDescent="0.35">
      <c r="A737" s="11">
        <v>8</v>
      </c>
      <c r="B737" s="11" t="s">
        <v>410</v>
      </c>
      <c r="C737" s="11">
        <v>3</v>
      </c>
      <c r="D737" s="12">
        <v>45017.072222222225</v>
      </c>
      <c r="E737" s="12">
        <v>45017.228472222225</v>
      </c>
      <c r="F737" s="11" t="s">
        <v>100</v>
      </c>
      <c r="G737" s="11" t="s">
        <v>86</v>
      </c>
      <c r="H737" s="11" t="s">
        <v>74</v>
      </c>
      <c r="I737" s="16">
        <v>20.92</v>
      </c>
      <c r="J737" s="11" t="s">
        <v>75</v>
      </c>
      <c r="K737" s="11">
        <v>49</v>
      </c>
      <c r="L737" s="11" t="s">
        <v>174</v>
      </c>
      <c r="M737" s="11" t="s">
        <v>1301</v>
      </c>
    </row>
    <row r="738" spans="1:13" x14ac:dyDescent="0.35">
      <c r="A738" s="11">
        <v>8</v>
      </c>
      <c r="B738" s="11" t="s">
        <v>866</v>
      </c>
      <c r="C738" s="11">
        <v>2</v>
      </c>
      <c r="D738" s="12">
        <v>45017.000694444447</v>
      </c>
      <c r="E738" s="12">
        <v>45017.087500000001</v>
      </c>
      <c r="F738" s="11" t="s">
        <v>72</v>
      </c>
      <c r="G738" s="11" t="s">
        <v>86</v>
      </c>
      <c r="H738" s="11" t="s">
        <v>74</v>
      </c>
      <c r="I738" s="16">
        <v>24.33</v>
      </c>
      <c r="J738" s="11" t="s">
        <v>75</v>
      </c>
      <c r="K738" s="11">
        <v>5</v>
      </c>
      <c r="L738" s="11" t="s">
        <v>76</v>
      </c>
      <c r="M738" s="11" t="s">
        <v>1266</v>
      </c>
    </row>
    <row r="739" spans="1:13" x14ac:dyDescent="0.35">
      <c r="A739" s="13">
        <v>8</v>
      </c>
      <c r="B739" s="13" t="s">
        <v>933</v>
      </c>
      <c r="C739" s="13">
        <v>5</v>
      </c>
      <c r="D739" s="14">
        <v>45017.135416666664</v>
      </c>
      <c r="E739" s="14">
        <v>45017.272916666669</v>
      </c>
      <c r="F739" s="13" t="s">
        <v>223</v>
      </c>
      <c r="G739" s="13" t="s">
        <v>86</v>
      </c>
      <c r="H739" s="13" t="s">
        <v>74</v>
      </c>
      <c r="I739" s="17">
        <v>47.69</v>
      </c>
      <c r="J739" s="13" t="s">
        <v>88</v>
      </c>
      <c r="K739" s="13">
        <v>116</v>
      </c>
      <c r="L739" s="13" t="s">
        <v>101</v>
      </c>
      <c r="M739" s="13" t="s">
        <v>1357</v>
      </c>
    </row>
    <row r="740" spans="1:13" x14ac:dyDescent="0.35">
      <c r="A740" s="13">
        <v>8</v>
      </c>
      <c r="B740" s="13" t="s">
        <v>873</v>
      </c>
      <c r="C740" s="13">
        <v>2</v>
      </c>
      <c r="D740" s="14">
        <v>45017.059027777781</v>
      </c>
      <c r="E740" s="14">
        <v>45017.216666666667</v>
      </c>
      <c r="F740" s="13" t="s">
        <v>170</v>
      </c>
      <c r="G740" s="13" t="s">
        <v>86</v>
      </c>
      <c r="H740" s="13" t="s">
        <v>74</v>
      </c>
      <c r="I740" s="17">
        <v>31.7</v>
      </c>
      <c r="J740" s="13" t="s">
        <v>94</v>
      </c>
      <c r="K740" s="13">
        <v>20</v>
      </c>
      <c r="L740" s="13" t="s">
        <v>101</v>
      </c>
      <c r="M740" s="13" t="s">
        <v>1277</v>
      </c>
    </row>
    <row r="741" spans="1:13" x14ac:dyDescent="0.35">
      <c r="A741" s="13">
        <v>9</v>
      </c>
      <c r="B741" s="13" t="s">
        <v>872</v>
      </c>
      <c r="C741" s="13">
        <v>2</v>
      </c>
      <c r="D741" s="14">
        <v>45017.087500000001</v>
      </c>
      <c r="E741" s="14">
        <v>45017.18472222222</v>
      </c>
      <c r="F741" s="13" t="s">
        <v>100</v>
      </c>
      <c r="G741" s="13" t="s">
        <v>163</v>
      </c>
      <c r="H741" s="13" t="s">
        <v>74</v>
      </c>
      <c r="I741" s="17">
        <v>33.090000000000003</v>
      </c>
      <c r="J741" s="13" t="s">
        <v>75</v>
      </c>
      <c r="K741" s="13">
        <v>18</v>
      </c>
      <c r="L741" s="13" t="s">
        <v>110</v>
      </c>
      <c r="M741" s="13" t="s">
        <v>1276</v>
      </c>
    </row>
    <row r="742" spans="1:13" x14ac:dyDescent="0.35">
      <c r="A742" s="11">
        <v>9</v>
      </c>
      <c r="B742" s="11" t="s">
        <v>1144</v>
      </c>
      <c r="C742" s="11">
        <v>3</v>
      </c>
      <c r="D742" s="12">
        <v>45022.113194444442</v>
      </c>
      <c r="E742" s="12">
        <v>45022.191666666666</v>
      </c>
      <c r="F742" s="11" t="s">
        <v>85</v>
      </c>
      <c r="G742" s="11" t="s">
        <v>73</v>
      </c>
      <c r="H742" s="11" t="s">
        <v>74</v>
      </c>
      <c r="I742" s="16">
        <v>20.04</v>
      </c>
      <c r="J742" s="11" t="s">
        <v>88</v>
      </c>
      <c r="K742" s="11">
        <v>547</v>
      </c>
      <c r="L742" s="11" t="s">
        <v>110</v>
      </c>
      <c r="M742" s="11" t="s">
        <v>1643</v>
      </c>
    </row>
    <row r="743" spans="1:13" x14ac:dyDescent="0.35">
      <c r="A743" s="11">
        <v>9</v>
      </c>
      <c r="B743" s="11" t="s">
        <v>1026</v>
      </c>
      <c r="C743" s="11">
        <v>1</v>
      </c>
      <c r="D743" s="12">
        <v>45023.084722222222</v>
      </c>
      <c r="E743" s="12">
        <v>45023.230555555558</v>
      </c>
      <c r="F743" s="11" t="s">
        <v>170</v>
      </c>
      <c r="G743" s="11" t="s">
        <v>86</v>
      </c>
      <c r="H743" s="11" t="s">
        <v>74</v>
      </c>
      <c r="I743" s="16">
        <v>18.23</v>
      </c>
      <c r="J743" s="11" t="s">
        <v>88</v>
      </c>
      <c r="K743" s="11">
        <v>695</v>
      </c>
      <c r="L743" s="11" t="s">
        <v>275</v>
      </c>
      <c r="M743" s="11" t="s">
        <v>1271</v>
      </c>
    </row>
    <row r="744" spans="1:13" x14ac:dyDescent="0.35">
      <c r="A744" s="11">
        <v>9</v>
      </c>
      <c r="B744" s="11" t="s">
        <v>398</v>
      </c>
      <c r="C744" s="11">
        <v>4</v>
      </c>
      <c r="D744" s="12">
        <v>45023.001388888886</v>
      </c>
      <c r="E744" s="12">
        <v>45023.127083333333</v>
      </c>
      <c r="F744" s="11" t="s">
        <v>100</v>
      </c>
      <c r="G744" s="11" t="s">
        <v>86</v>
      </c>
      <c r="H744" s="11" t="s">
        <v>74</v>
      </c>
      <c r="I744" s="16">
        <v>36.43</v>
      </c>
      <c r="J744" s="11" t="s">
        <v>88</v>
      </c>
      <c r="K744" s="11">
        <v>679</v>
      </c>
      <c r="L744" s="11" t="s">
        <v>101</v>
      </c>
      <c r="M744" s="11" t="s">
        <v>1734</v>
      </c>
    </row>
    <row r="745" spans="1:13" x14ac:dyDescent="0.35">
      <c r="A745" s="11">
        <v>9</v>
      </c>
      <c r="B745" s="11" t="s">
        <v>1186</v>
      </c>
      <c r="C745" s="11">
        <v>1</v>
      </c>
      <c r="D745" s="12">
        <v>45022.038194444445</v>
      </c>
      <c r="E745" s="12">
        <v>45022.15625</v>
      </c>
      <c r="F745" s="11" t="s">
        <v>85</v>
      </c>
      <c r="G745" s="11" t="s">
        <v>86</v>
      </c>
      <c r="H745" s="11" t="s">
        <v>87</v>
      </c>
      <c r="I745" s="16">
        <v>15.98</v>
      </c>
      <c r="J745" s="11" t="s">
        <v>88</v>
      </c>
      <c r="K745" s="11">
        <v>649</v>
      </c>
      <c r="L745" s="11" t="s">
        <v>221</v>
      </c>
      <c r="M745" s="11" t="s">
        <v>1709</v>
      </c>
    </row>
    <row r="746" spans="1:13" x14ac:dyDescent="0.35">
      <c r="A746" s="13">
        <v>9</v>
      </c>
      <c r="B746" s="13" t="s">
        <v>1158</v>
      </c>
      <c r="C746" s="13">
        <v>1</v>
      </c>
      <c r="D746" s="14">
        <v>45022.164583333331</v>
      </c>
      <c r="E746" s="14">
        <v>45022.29583333333</v>
      </c>
      <c r="F746" s="13" t="s">
        <v>72</v>
      </c>
      <c r="G746" s="13" t="s">
        <v>73</v>
      </c>
      <c r="H746" s="13" t="s">
        <v>87</v>
      </c>
      <c r="I746" s="17">
        <v>21.71</v>
      </c>
      <c r="J746" s="13" t="s">
        <v>94</v>
      </c>
      <c r="K746" s="13">
        <v>576</v>
      </c>
      <c r="L746" s="13" t="s">
        <v>174</v>
      </c>
      <c r="M746" s="13" t="s">
        <v>1663</v>
      </c>
    </row>
    <row r="747" spans="1:13" x14ac:dyDescent="0.35">
      <c r="A747" s="13">
        <v>9</v>
      </c>
      <c r="B747" s="13" t="s">
        <v>1159</v>
      </c>
      <c r="C747" s="13">
        <v>4</v>
      </c>
      <c r="D747" s="14">
        <v>45022.149305555555</v>
      </c>
      <c r="E747" s="14">
        <v>45022.290972222225</v>
      </c>
      <c r="F747" s="13" t="s">
        <v>170</v>
      </c>
      <c r="G747" s="13" t="s">
        <v>86</v>
      </c>
      <c r="H747" s="13" t="s">
        <v>109</v>
      </c>
      <c r="I747" s="17">
        <v>36.979999999999997</v>
      </c>
      <c r="J747" s="13" t="s">
        <v>94</v>
      </c>
      <c r="K747" s="13">
        <v>584</v>
      </c>
      <c r="L747" s="13" t="s">
        <v>101</v>
      </c>
      <c r="M747" s="13" t="s">
        <v>1666</v>
      </c>
    </row>
    <row r="748" spans="1:13" x14ac:dyDescent="0.35">
      <c r="A748" s="13">
        <v>9</v>
      </c>
      <c r="B748" s="13" t="s">
        <v>1079</v>
      </c>
      <c r="C748" s="13">
        <v>4</v>
      </c>
      <c r="D748" s="14">
        <v>45021.09097222222</v>
      </c>
      <c r="E748" s="14">
        <v>45021.176388888889</v>
      </c>
      <c r="F748" s="13" t="s">
        <v>72</v>
      </c>
      <c r="G748" s="13" t="s">
        <v>86</v>
      </c>
      <c r="H748" s="13" t="s">
        <v>74</v>
      </c>
      <c r="I748" s="17">
        <v>42.96</v>
      </c>
      <c r="J748" s="13" t="s">
        <v>94</v>
      </c>
      <c r="K748" s="13">
        <v>400</v>
      </c>
      <c r="L748" s="13" t="s">
        <v>89</v>
      </c>
      <c r="M748" s="13" t="s">
        <v>1546</v>
      </c>
    </row>
    <row r="749" spans="1:13" x14ac:dyDescent="0.35">
      <c r="A749" s="11">
        <v>9</v>
      </c>
      <c r="B749" s="11" t="s">
        <v>99</v>
      </c>
      <c r="C749" s="11">
        <v>5</v>
      </c>
      <c r="D749" s="12">
        <v>45022.127083333333</v>
      </c>
      <c r="E749" s="12">
        <v>45022.227083333331</v>
      </c>
      <c r="F749" s="11" t="s">
        <v>100</v>
      </c>
      <c r="G749" s="11" t="s">
        <v>86</v>
      </c>
      <c r="H749" s="11" t="s">
        <v>74</v>
      </c>
      <c r="I749" s="16">
        <v>40.33</v>
      </c>
      <c r="J749" s="11" t="s">
        <v>88</v>
      </c>
      <c r="K749" s="11">
        <v>595</v>
      </c>
      <c r="L749" s="11" t="s">
        <v>221</v>
      </c>
      <c r="M749" s="11" t="s">
        <v>1674</v>
      </c>
    </row>
    <row r="750" spans="1:13" x14ac:dyDescent="0.35">
      <c r="A750" s="13">
        <v>9</v>
      </c>
      <c r="B750" s="13" t="s">
        <v>1036</v>
      </c>
      <c r="C750" s="13">
        <v>1</v>
      </c>
      <c r="D750" s="14">
        <v>45019.0625</v>
      </c>
      <c r="E750" s="14">
        <v>45019.178472222222</v>
      </c>
      <c r="F750" s="13" t="s">
        <v>170</v>
      </c>
      <c r="G750" s="13" t="s">
        <v>86</v>
      </c>
      <c r="H750" s="13" t="s">
        <v>109</v>
      </c>
      <c r="I750" s="17">
        <v>44.02</v>
      </c>
      <c r="J750" s="13" t="s">
        <v>94</v>
      </c>
      <c r="K750" s="13">
        <v>320</v>
      </c>
      <c r="L750" s="13" t="s">
        <v>181</v>
      </c>
      <c r="M750" s="13" t="s">
        <v>1497</v>
      </c>
    </row>
    <row r="751" spans="1:13" x14ac:dyDescent="0.35">
      <c r="A751" s="13">
        <v>9</v>
      </c>
      <c r="B751" s="13" t="s">
        <v>970</v>
      </c>
      <c r="C751" s="13">
        <v>2</v>
      </c>
      <c r="D751" s="14">
        <v>45023.036805555559</v>
      </c>
      <c r="E751" s="14">
        <v>45023.18472222222</v>
      </c>
      <c r="F751" s="13" t="s">
        <v>223</v>
      </c>
      <c r="G751" s="13" t="s">
        <v>73</v>
      </c>
      <c r="H751" s="13" t="s">
        <v>74</v>
      </c>
      <c r="I751" s="17">
        <v>25.92</v>
      </c>
      <c r="J751" s="13" t="s">
        <v>94</v>
      </c>
      <c r="K751" s="13">
        <v>692</v>
      </c>
      <c r="L751" s="13" t="s">
        <v>164</v>
      </c>
      <c r="M751" s="13" t="s">
        <v>1742</v>
      </c>
    </row>
    <row r="752" spans="1:13" x14ac:dyDescent="0.35">
      <c r="A752" s="13">
        <v>9</v>
      </c>
      <c r="B752" s="13" t="s">
        <v>1077</v>
      </c>
      <c r="C752" s="13">
        <v>5</v>
      </c>
      <c r="D752" s="14">
        <v>45021.131944444445</v>
      </c>
      <c r="E752" s="14">
        <v>45021.295138888891</v>
      </c>
      <c r="F752" s="13" t="s">
        <v>223</v>
      </c>
      <c r="G752" s="13" t="s">
        <v>163</v>
      </c>
      <c r="H752" s="13" t="s">
        <v>74</v>
      </c>
      <c r="I752" s="17">
        <v>48.96</v>
      </c>
      <c r="J752" s="13" t="s">
        <v>75</v>
      </c>
      <c r="K752" s="13">
        <v>398</v>
      </c>
      <c r="L752" s="13" t="s">
        <v>76</v>
      </c>
      <c r="M752" s="13" t="s">
        <v>1544</v>
      </c>
    </row>
    <row r="753" spans="1:13" x14ac:dyDescent="0.35">
      <c r="A753" s="13">
        <v>9</v>
      </c>
      <c r="B753" s="13" t="s">
        <v>1166</v>
      </c>
      <c r="C753" s="13">
        <v>6</v>
      </c>
      <c r="D753" s="14">
        <v>45022.136111111111</v>
      </c>
      <c r="E753" s="14">
        <v>45022.290972222225</v>
      </c>
      <c r="F753" s="13" t="s">
        <v>85</v>
      </c>
      <c r="G753" s="13" t="s">
        <v>86</v>
      </c>
      <c r="H753" s="13" t="s">
        <v>74</v>
      </c>
      <c r="I753" s="17">
        <v>11.31</v>
      </c>
      <c r="J753" s="13" t="s">
        <v>94</v>
      </c>
      <c r="K753" s="13">
        <v>598</v>
      </c>
      <c r="L753" s="13" t="s">
        <v>181</v>
      </c>
      <c r="M753" s="13" t="s">
        <v>1677</v>
      </c>
    </row>
    <row r="754" spans="1:13" x14ac:dyDescent="0.35">
      <c r="A754" s="11">
        <v>9</v>
      </c>
      <c r="B754" s="11" t="s">
        <v>365</v>
      </c>
      <c r="C754" s="11">
        <v>2</v>
      </c>
      <c r="D754" s="12">
        <v>45022.070138888892</v>
      </c>
      <c r="E754" s="12">
        <v>45022.148611111108</v>
      </c>
      <c r="F754" s="11" t="s">
        <v>100</v>
      </c>
      <c r="G754" s="11" t="s">
        <v>73</v>
      </c>
      <c r="H754" s="11" t="s">
        <v>109</v>
      </c>
      <c r="I754" s="16">
        <v>35.99</v>
      </c>
      <c r="J754" s="11" t="s">
        <v>75</v>
      </c>
      <c r="K754" s="11">
        <v>583</v>
      </c>
      <c r="L754" s="11" t="s">
        <v>89</v>
      </c>
      <c r="M754" s="11" t="s">
        <v>1665</v>
      </c>
    </row>
    <row r="755" spans="1:13" x14ac:dyDescent="0.35">
      <c r="A755" s="13">
        <v>9</v>
      </c>
      <c r="B755" s="13" t="s">
        <v>1102</v>
      </c>
      <c r="C755" s="13">
        <v>1</v>
      </c>
      <c r="D755" s="14">
        <v>45021.120138888888</v>
      </c>
      <c r="E755" s="14">
        <v>45021.22152777778</v>
      </c>
      <c r="F755" s="13" t="s">
        <v>72</v>
      </c>
      <c r="G755" s="13" t="s">
        <v>86</v>
      </c>
      <c r="H755" s="13" t="s">
        <v>74</v>
      </c>
      <c r="I755" s="17">
        <v>43.48</v>
      </c>
      <c r="J755" s="13" t="s">
        <v>94</v>
      </c>
      <c r="K755" s="13">
        <v>452</v>
      </c>
      <c r="L755" s="13" t="s">
        <v>174</v>
      </c>
      <c r="M755" s="13" t="s">
        <v>1581</v>
      </c>
    </row>
    <row r="756" spans="1:13" x14ac:dyDescent="0.35">
      <c r="A756" s="11">
        <v>9</v>
      </c>
      <c r="B756" s="11" t="s">
        <v>1032</v>
      </c>
      <c r="C756" s="11">
        <v>3</v>
      </c>
      <c r="D756" s="12">
        <v>45019.019444444442</v>
      </c>
      <c r="E756" s="12">
        <v>45019.170138888891</v>
      </c>
      <c r="F756" s="11" t="s">
        <v>223</v>
      </c>
      <c r="G756" s="11" t="s">
        <v>86</v>
      </c>
      <c r="H756" s="11" t="s">
        <v>74</v>
      </c>
      <c r="I756" s="16">
        <v>36.090000000000003</v>
      </c>
      <c r="J756" s="11" t="s">
        <v>94</v>
      </c>
      <c r="K756" s="11">
        <v>309</v>
      </c>
      <c r="L756" s="11" t="s">
        <v>164</v>
      </c>
      <c r="M756" s="11" t="s">
        <v>1488</v>
      </c>
    </row>
    <row r="757" spans="1:13" x14ac:dyDescent="0.35">
      <c r="A757" s="13">
        <v>9</v>
      </c>
      <c r="B757" s="13" t="s">
        <v>1040</v>
      </c>
      <c r="C757" s="13">
        <v>6</v>
      </c>
      <c r="D757" s="14">
        <v>45019.029861111114</v>
      </c>
      <c r="E757" s="14">
        <v>45019.07708333333</v>
      </c>
      <c r="F757" s="13" t="s">
        <v>223</v>
      </c>
      <c r="G757" s="13" t="s">
        <v>73</v>
      </c>
      <c r="H757" s="13" t="s">
        <v>74</v>
      </c>
      <c r="I757" s="17">
        <v>21.6</v>
      </c>
      <c r="J757" s="13" t="s">
        <v>75</v>
      </c>
      <c r="K757" s="13">
        <v>324</v>
      </c>
      <c r="L757" s="13" t="s">
        <v>76</v>
      </c>
      <c r="M757" s="13" t="s">
        <v>1501</v>
      </c>
    </row>
    <row r="758" spans="1:13" x14ac:dyDescent="0.35">
      <c r="A758" s="13">
        <v>9</v>
      </c>
      <c r="B758" s="13" t="s">
        <v>1035</v>
      </c>
      <c r="C758" s="13">
        <v>6</v>
      </c>
      <c r="D758" s="14">
        <v>45023.087500000001</v>
      </c>
      <c r="E758" s="14">
        <v>45023.186805555553</v>
      </c>
      <c r="F758" s="13" t="s">
        <v>223</v>
      </c>
      <c r="G758" s="13" t="s">
        <v>163</v>
      </c>
      <c r="H758" s="13" t="s">
        <v>109</v>
      </c>
      <c r="I758" s="17">
        <v>34.28</v>
      </c>
      <c r="J758" s="13" t="s">
        <v>88</v>
      </c>
      <c r="K758" s="13">
        <v>728</v>
      </c>
      <c r="L758" s="13" t="s">
        <v>164</v>
      </c>
      <c r="M758" s="13" t="s">
        <v>1764</v>
      </c>
    </row>
    <row r="759" spans="1:13" x14ac:dyDescent="0.35">
      <c r="A759" s="13">
        <v>9</v>
      </c>
      <c r="B759" s="13" t="s">
        <v>996</v>
      </c>
      <c r="C759" s="13">
        <v>1</v>
      </c>
      <c r="D759" s="14">
        <v>45018.011111111111</v>
      </c>
      <c r="E759" s="14">
        <v>45018.131944444445</v>
      </c>
      <c r="F759" s="13" t="s">
        <v>170</v>
      </c>
      <c r="G759" s="13" t="s">
        <v>86</v>
      </c>
      <c r="H759" s="13" t="s">
        <v>109</v>
      </c>
      <c r="I759" s="17">
        <v>33.81</v>
      </c>
      <c r="J759" s="13" t="s">
        <v>75</v>
      </c>
      <c r="K759" s="13">
        <v>240</v>
      </c>
      <c r="L759" s="13" t="s">
        <v>76</v>
      </c>
      <c r="M759" s="13" t="s">
        <v>1441</v>
      </c>
    </row>
    <row r="760" spans="1:13" x14ac:dyDescent="0.35">
      <c r="A760" s="11">
        <v>9</v>
      </c>
      <c r="B760" s="11" t="s">
        <v>978</v>
      </c>
      <c r="C760" s="11">
        <v>6</v>
      </c>
      <c r="D760" s="12">
        <v>45018.063194444447</v>
      </c>
      <c r="E760" s="12">
        <v>45018.17083333333</v>
      </c>
      <c r="F760" s="11" t="s">
        <v>223</v>
      </c>
      <c r="G760" s="11" t="s">
        <v>73</v>
      </c>
      <c r="H760" s="11" t="s">
        <v>87</v>
      </c>
      <c r="I760" s="16">
        <v>34.49</v>
      </c>
      <c r="J760" s="11" t="s">
        <v>94</v>
      </c>
      <c r="K760" s="11">
        <v>209</v>
      </c>
      <c r="L760" s="11" t="s">
        <v>95</v>
      </c>
      <c r="M760" s="11" t="s">
        <v>1419</v>
      </c>
    </row>
    <row r="761" spans="1:13" x14ac:dyDescent="0.35">
      <c r="A761" s="13">
        <v>9</v>
      </c>
      <c r="B761" s="13" t="s">
        <v>940</v>
      </c>
      <c r="C761" s="13">
        <v>2</v>
      </c>
      <c r="D761" s="14">
        <v>45018.05972222222</v>
      </c>
      <c r="E761" s="14">
        <v>45018.113194444442</v>
      </c>
      <c r="F761" s="13" t="s">
        <v>170</v>
      </c>
      <c r="G761" s="13" t="s">
        <v>73</v>
      </c>
      <c r="H761" s="13" t="s">
        <v>109</v>
      </c>
      <c r="I761" s="17">
        <v>30.96</v>
      </c>
      <c r="J761" s="13" t="s">
        <v>94</v>
      </c>
      <c r="K761" s="13">
        <v>132</v>
      </c>
      <c r="L761" s="13" t="s">
        <v>95</v>
      </c>
      <c r="M761" s="13" t="s">
        <v>1367</v>
      </c>
    </row>
    <row r="762" spans="1:13" x14ac:dyDescent="0.35">
      <c r="A762" s="13">
        <v>9</v>
      </c>
      <c r="B762" s="13" t="s">
        <v>1101</v>
      </c>
      <c r="C762" s="13">
        <v>6</v>
      </c>
      <c r="D762" s="14">
        <v>45021.160416666666</v>
      </c>
      <c r="E762" s="14">
        <v>45021.209027777775</v>
      </c>
      <c r="F762" s="13" t="s">
        <v>170</v>
      </c>
      <c r="G762" s="13" t="s">
        <v>86</v>
      </c>
      <c r="H762" s="13" t="s">
        <v>74</v>
      </c>
      <c r="I762" s="17">
        <v>48.9</v>
      </c>
      <c r="J762" s="13" t="s">
        <v>88</v>
      </c>
      <c r="K762" s="13">
        <v>450</v>
      </c>
      <c r="L762" s="13" t="s">
        <v>95</v>
      </c>
      <c r="M762" s="13" t="s">
        <v>1579</v>
      </c>
    </row>
    <row r="763" spans="1:13" x14ac:dyDescent="0.35">
      <c r="A763" s="13">
        <v>9</v>
      </c>
      <c r="B763" s="13" t="s">
        <v>1138</v>
      </c>
      <c r="C763" s="13">
        <v>2</v>
      </c>
      <c r="D763" s="14">
        <v>45022.104861111111</v>
      </c>
      <c r="E763" s="14">
        <v>45022.193749999999</v>
      </c>
      <c r="F763" s="13" t="s">
        <v>72</v>
      </c>
      <c r="G763" s="13" t="s">
        <v>86</v>
      </c>
      <c r="H763" s="13" t="s">
        <v>74</v>
      </c>
      <c r="I763" s="17">
        <v>46</v>
      </c>
      <c r="J763" s="13" t="s">
        <v>94</v>
      </c>
      <c r="K763" s="13">
        <v>536</v>
      </c>
      <c r="L763" s="13" t="s">
        <v>101</v>
      </c>
      <c r="M763" s="13" t="s">
        <v>1634</v>
      </c>
    </row>
    <row r="764" spans="1:13" x14ac:dyDescent="0.35">
      <c r="A764" s="13">
        <v>9</v>
      </c>
      <c r="B764" s="13" t="s">
        <v>935</v>
      </c>
      <c r="C764" s="13">
        <v>5</v>
      </c>
      <c r="D764" s="14">
        <v>45022.115972222222</v>
      </c>
      <c r="E764" s="14">
        <v>45022.196527777778</v>
      </c>
      <c r="F764" s="13" t="s">
        <v>170</v>
      </c>
      <c r="G764" s="13" t="s">
        <v>163</v>
      </c>
      <c r="H764" s="13" t="s">
        <v>74</v>
      </c>
      <c r="I764" s="17">
        <v>49.05</v>
      </c>
      <c r="J764" s="13" t="s">
        <v>94</v>
      </c>
      <c r="K764" s="13">
        <v>542</v>
      </c>
      <c r="L764" s="13" t="s">
        <v>101</v>
      </c>
      <c r="M764" s="13" t="s">
        <v>1639</v>
      </c>
    </row>
    <row r="765" spans="1:13" x14ac:dyDescent="0.35">
      <c r="A765" s="13">
        <v>9</v>
      </c>
      <c r="B765" s="13" t="s">
        <v>886</v>
      </c>
      <c r="C765" s="13">
        <v>6</v>
      </c>
      <c r="D765" s="14">
        <v>45022.164583333331</v>
      </c>
      <c r="E765" s="14">
        <v>45022.320138888892</v>
      </c>
      <c r="F765" s="13" t="s">
        <v>100</v>
      </c>
      <c r="G765" s="13" t="s">
        <v>86</v>
      </c>
      <c r="H765" s="13" t="s">
        <v>109</v>
      </c>
      <c r="I765" s="17">
        <v>14.09</v>
      </c>
      <c r="J765" s="13" t="s">
        <v>75</v>
      </c>
      <c r="K765" s="13">
        <v>556</v>
      </c>
      <c r="L765" s="13" t="s">
        <v>221</v>
      </c>
      <c r="M765" s="13" t="s">
        <v>1447</v>
      </c>
    </row>
    <row r="766" spans="1:13" x14ac:dyDescent="0.35">
      <c r="A766" s="13">
        <v>9</v>
      </c>
      <c r="B766" s="13" t="s">
        <v>1151</v>
      </c>
      <c r="C766" s="13">
        <v>3</v>
      </c>
      <c r="D766" s="14">
        <v>45022.021527777775</v>
      </c>
      <c r="E766" s="14">
        <v>45022.099305555559</v>
      </c>
      <c r="F766" s="13" t="s">
        <v>85</v>
      </c>
      <c r="G766" s="13" t="s">
        <v>73</v>
      </c>
      <c r="H766" s="13" t="s">
        <v>87</v>
      </c>
      <c r="I766" s="17">
        <v>33.08</v>
      </c>
      <c r="J766" s="13" t="s">
        <v>94</v>
      </c>
      <c r="K766" s="13">
        <v>564</v>
      </c>
      <c r="L766" s="13" t="s">
        <v>275</v>
      </c>
      <c r="M766" s="13" t="s">
        <v>1656</v>
      </c>
    </row>
    <row r="767" spans="1:13" x14ac:dyDescent="0.35">
      <c r="A767" s="13">
        <v>9</v>
      </c>
      <c r="B767" s="13" t="s">
        <v>122</v>
      </c>
      <c r="C767" s="13">
        <v>2</v>
      </c>
      <c r="D767" s="14">
        <v>45021.124305555553</v>
      </c>
      <c r="E767" s="14">
        <v>45021.22152777778</v>
      </c>
      <c r="F767" s="13" t="s">
        <v>170</v>
      </c>
      <c r="G767" s="13" t="s">
        <v>86</v>
      </c>
      <c r="H767" s="13" t="s">
        <v>74</v>
      </c>
      <c r="I767" s="17">
        <v>42.68</v>
      </c>
      <c r="J767" s="13" t="s">
        <v>94</v>
      </c>
      <c r="K767" s="13">
        <v>390</v>
      </c>
      <c r="L767" s="13" t="s">
        <v>101</v>
      </c>
      <c r="M767" s="13" t="s">
        <v>1540</v>
      </c>
    </row>
    <row r="768" spans="1:13" x14ac:dyDescent="0.35">
      <c r="A768" s="11">
        <v>9</v>
      </c>
      <c r="B768" s="11" t="s">
        <v>1070</v>
      </c>
      <c r="C768" s="11">
        <v>6</v>
      </c>
      <c r="D768" s="12">
        <v>45022.127083333333</v>
      </c>
      <c r="E768" s="12">
        <v>45022.211111111108</v>
      </c>
      <c r="F768" s="11" t="s">
        <v>100</v>
      </c>
      <c r="G768" s="11" t="s">
        <v>73</v>
      </c>
      <c r="H768" s="11" t="s">
        <v>87</v>
      </c>
      <c r="I768" s="16">
        <v>34.39</v>
      </c>
      <c r="J768" s="11" t="s">
        <v>75</v>
      </c>
      <c r="K768" s="11">
        <v>531</v>
      </c>
      <c r="L768" s="11" t="s">
        <v>221</v>
      </c>
      <c r="M768" s="11" t="s">
        <v>1630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8B20-EB2F-4707-9FBA-9A5B1C67F13E}">
  <dimension ref="B3:J771"/>
  <sheetViews>
    <sheetView topLeftCell="G1" workbookViewId="0">
      <selection activeCell="J4" sqref="J4"/>
    </sheetView>
  </sheetViews>
  <sheetFormatPr baseColWidth="10" defaultRowHeight="14.5" x14ac:dyDescent="0.35"/>
  <cols>
    <col min="2" max="2" width="16.54296875" bestFit="1" customWidth="1"/>
    <col min="3" max="3" width="20.6328125" bestFit="1" customWidth="1"/>
    <col min="5" max="5" width="16.54296875" bestFit="1" customWidth="1"/>
    <col min="6" max="7" width="27.81640625" bestFit="1" customWidth="1"/>
    <col min="8" max="8" width="25.6328125" bestFit="1" customWidth="1"/>
    <col min="9" max="9" width="21.453125" bestFit="1" customWidth="1"/>
    <col min="10" max="10" width="20.453125" bestFit="1" customWidth="1"/>
  </cols>
  <sheetData>
    <row r="3" spans="2:10" x14ac:dyDescent="0.35">
      <c r="B3" s="3" t="s">
        <v>1237</v>
      </c>
      <c r="C3" t="s">
        <v>1241</v>
      </c>
      <c r="E3" s="3" t="s">
        <v>1237</v>
      </c>
      <c r="F3" t="s">
        <v>1249</v>
      </c>
      <c r="H3" t="s">
        <v>1865</v>
      </c>
      <c r="I3" t="s">
        <v>1859</v>
      </c>
      <c r="J3" t="s">
        <v>1866</v>
      </c>
    </row>
    <row r="4" spans="2:10" x14ac:dyDescent="0.35">
      <c r="B4" s="4">
        <v>1</v>
      </c>
      <c r="C4">
        <v>56</v>
      </c>
      <c r="E4" s="4">
        <v>1</v>
      </c>
      <c r="F4">
        <v>57</v>
      </c>
      <c r="H4" s="50">
        <v>770.36984585411165</v>
      </c>
      <c r="I4" s="50">
        <v>106327</v>
      </c>
      <c r="J4" s="50">
        <v>31418</v>
      </c>
    </row>
    <row r="5" spans="2:10" x14ac:dyDescent="0.35">
      <c r="B5" s="4">
        <v>2</v>
      </c>
      <c r="C5">
        <v>23</v>
      </c>
      <c r="E5" s="4">
        <v>2</v>
      </c>
      <c r="F5">
        <v>85</v>
      </c>
      <c r="J5" s="52"/>
    </row>
    <row r="6" spans="2:10" x14ac:dyDescent="0.35">
      <c r="B6" s="4">
        <v>3</v>
      </c>
      <c r="C6">
        <v>65</v>
      </c>
      <c r="E6" s="4">
        <v>3</v>
      </c>
      <c r="F6">
        <v>126</v>
      </c>
      <c r="J6" s="51"/>
    </row>
    <row r="7" spans="2:10" x14ac:dyDescent="0.35">
      <c r="B7" s="4">
        <v>4</v>
      </c>
      <c r="C7">
        <v>75</v>
      </c>
      <c r="E7" s="4">
        <v>4</v>
      </c>
      <c r="F7">
        <v>40</v>
      </c>
      <c r="J7" s="52"/>
    </row>
    <row r="8" spans="2:10" x14ac:dyDescent="0.35">
      <c r="B8" s="4">
        <v>5</v>
      </c>
      <c r="C8">
        <v>28</v>
      </c>
      <c r="E8" s="4">
        <v>5</v>
      </c>
      <c r="F8">
        <v>17</v>
      </c>
      <c r="J8" s="51"/>
    </row>
    <row r="9" spans="2:10" x14ac:dyDescent="0.35">
      <c r="B9" s="4">
        <v>6</v>
      </c>
      <c r="C9">
        <v>28</v>
      </c>
      <c r="E9" s="4">
        <v>6</v>
      </c>
      <c r="F9">
        <v>11</v>
      </c>
      <c r="J9" s="52"/>
    </row>
    <row r="10" spans="2:10" x14ac:dyDescent="0.35">
      <c r="B10" s="4">
        <v>7</v>
      </c>
      <c r="C10">
        <v>68</v>
      </c>
      <c r="E10" s="4">
        <v>7</v>
      </c>
      <c r="F10">
        <v>41</v>
      </c>
      <c r="J10" s="51"/>
    </row>
    <row r="11" spans="2:10" x14ac:dyDescent="0.35">
      <c r="B11" s="4">
        <v>8</v>
      </c>
      <c r="C11">
        <v>96</v>
      </c>
      <c r="E11" s="4">
        <v>8</v>
      </c>
      <c r="F11">
        <v>55</v>
      </c>
      <c r="J11" s="52"/>
    </row>
    <row r="12" spans="2:10" x14ac:dyDescent="0.35">
      <c r="B12" s="4">
        <v>9</v>
      </c>
      <c r="C12">
        <v>69</v>
      </c>
      <c r="E12" s="4">
        <v>9</v>
      </c>
      <c r="F12">
        <v>146</v>
      </c>
      <c r="J12" s="51"/>
    </row>
    <row r="13" spans="2:10" x14ac:dyDescent="0.35">
      <c r="B13" s="4">
        <v>10</v>
      </c>
      <c r="C13">
        <v>58</v>
      </c>
      <c r="E13" s="4">
        <v>10</v>
      </c>
      <c r="F13">
        <v>29</v>
      </c>
      <c r="J13" s="52"/>
    </row>
    <row r="14" spans="2:10" x14ac:dyDescent="0.35">
      <c r="B14" s="4">
        <v>11</v>
      </c>
      <c r="C14">
        <v>36</v>
      </c>
      <c r="E14" s="4">
        <v>11</v>
      </c>
      <c r="F14">
        <v>56</v>
      </c>
      <c r="J14" s="51"/>
    </row>
    <row r="15" spans="2:10" x14ac:dyDescent="0.35">
      <c r="B15" s="4">
        <v>12</v>
      </c>
      <c r="C15">
        <v>127</v>
      </c>
      <c r="E15" s="4">
        <v>12</v>
      </c>
      <c r="F15">
        <v>95</v>
      </c>
      <c r="J15" s="52"/>
    </row>
    <row r="16" spans="2:10" x14ac:dyDescent="0.35">
      <c r="B16" s="4">
        <v>13</v>
      </c>
      <c r="C16">
        <v>36</v>
      </c>
      <c r="E16" s="4">
        <v>13</v>
      </c>
      <c r="F16">
        <v>59</v>
      </c>
      <c r="J16" s="51"/>
    </row>
    <row r="17" spans="2:10" x14ac:dyDescent="0.35">
      <c r="B17" s="4">
        <v>14</v>
      </c>
      <c r="C17">
        <v>51</v>
      </c>
      <c r="E17" s="4">
        <v>14</v>
      </c>
      <c r="F17">
        <v>154</v>
      </c>
      <c r="J17" s="52"/>
    </row>
    <row r="18" spans="2:10" x14ac:dyDescent="0.35">
      <c r="B18" s="4">
        <v>15</v>
      </c>
      <c r="C18">
        <v>90</v>
      </c>
      <c r="E18" s="4">
        <v>15</v>
      </c>
      <c r="F18">
        <v>103</v>
      </c>
      <c r="J18" s="51"/>
    </row>
    <row r="19" spans="2:10" x14ac:dyDescent="0.35">
      <c r="B19" s="4">
        <v>16</v>
      </c>
      <c r="C19">
        <v>12</v>
      </c>
      <c r="E19" s="4">
        <v>16</v>
      </c>
      <c r="F19">
        <v>38</v>
      </c>
      <c r="J19" s="52"/>
    </row>
    <row r="20" spans="2:10" x14ac:dyDescent="0.35">
      <c r="B20" s="4">
        <v>17</v>
      </c>
      <c r="C20">
        <v>57</v>
      </c>
      <c r="E20" s="4">
        <v>17</v>
      </c>
      <c r="F20">
        <v>158</v>
      </c>
      <c r="J20" s="51"/>
    </row>
    <row r="21" spans="2:10" x14ac:dyDescent="0.35">
      <c r="B21" s="4">
        <v>18</v>
      </c>
      <c r="C21">
        <v>101</v>
      </c>
      <c r="E21" s="4">
        <v>18</v>
      </c>
      <c r="F21">
        <v>134</v>
      </c>
      <c r="J21" s="52"/>
    </row>
    <row r="22" spans="2:10" x14ac:dyDescent="0.35">
      <c r="B22" s="4">
        <v>19</v>
      </c>
      <c r="C22">
        <v>30</v>
      </c>
      <c r="E22" s="4">
        <v>19</v>
      </c>
      <c r="F22">
        <v>44</v>
      </c>
      <c r="J22" s="51"/>
    </row>
    <row r="23" spans="2:10" x14ac:dyDescent="0.35">
      <c r="B23" s="4">
        <v>20</v>
      </c>
      <c r="C23">
        <v>71</v>
      </c>
      <c r="E23" s="4">
        <v>20</v>
      </c>
      <c r="F23">
        <v>70</v>
      </c>
      <c r="J23" s="52"/>
    </row>
    <row r="24" spans="2:10" x14ac:dyDescent="0.35">
      <c r="B24" s="4">
        <v>21</v>
      </c>
      <c r="C24">
        <v>107</v>
      </c>
      <c r="E24" s="4">
        <v>21</v>
      </c>
      <c r="F24">
        <v>152</v>
      </c>
      <c r="J24" s="51"/>
    </row>
    <row r="25" spans="2:10" x14ac:dyDescent="0.35">
      <c r="B25" s="4">
        <v>22</v>
      </c>
      <c r="C25">
        <v>88</v>
      </c>
      <c r="E25" s="4">
        <v>22</v>
      </c>
      <c r="F25">
        <v>123</v>
      </c>
      <c r="J25" s="52"/>
    </row>
    <row r="26" spans="2:10" x14ac:dyDescent="0.35">
      <c r="B26" s="4">
        <v>23</v>
      </c>
      <c r="C26">
        <v>57</v>
      </c>
      <c r="E26" s="4">
        <v>23</v>
      </c>
      <c r="F26">
        <v>63</v>
      </c>
      <c r="J26" s="51"/>
    </row>
    <row r="27" spans="2:10" x14ac:dyDescent="0.35">
      <c r="B27" s="4">
        <v>24</v>
      </c>
      <c r="C27">
        <v>93</v>
      </c>
      <c r="E27" s="4">
        <v>24</v>
      </c>
      <c r="F27">
        <v>180</v>
      </c>
      <c r="J27" s="52"/>
    </row>
    <row r="28" spans="2:10" x14ac:dyDescent="0.35">
      <c r="B28" s="4">
        <v>25</v>
      </c>
      <c r="C28">
        <v>14</v>
      </c>
      <c r="E28" s="4">
        <v>25</v>
      </c>
      <c r="F28">
        <v>35</v>
      </c>
      <c r="J28" s="51"/>
    </row>
    <row r="29" spans="2:10" x14ac:dyDescent="0.35">
      <c r="B29" s="4">
        <v>26</v>
      </c>
      <c r="C29">
        <v>52</v>
      </c>
      <c r="E29" s="4">
        <v>26</v>
      </c>
      <c r="F29">
        <v>109</v>
      </c>
      <c r="J29" s="52"/>
    </row>
    <row r="30" spans="2:10" x14ac:dyDescent="0.35">
      <c r="B30" s="4">
        <v>27</v>
      </c>
      <c r="C30">
        <v>25</v>
      </c>
      <c r="E30" s="4">
        <v>27</v>
      </c>
      <c r="F30">
        <v>55</v>
      </c>
      <c r="J30" s="51"/>
    </row>
    <row r="31" spans="2:10" x14ac:dyDescent="0.35">
      <c r="B31" s="4">
        <v>28</v>
      </c>
      <c r="C31">
        <v>40</v>
      </c>
      <c r="E31" s="4">
        <v>28</v>
      </c>
      <c r="F31">
        <v>56</v>
      </c>
      <c r="J31" s="52"/>
    </row>
    <row r="32" spans="2:10" x14ac:dyDescent="0.35">
      <c r="B32" s="4">
        <v>29</v>
      </c>
      <c r="C32">
        <v>70</v>
      </c>
      <c r="E32" s="4">
        <v>29</v>
      </c>
      <c r="F32">
        <v>71</v>
      </c>
      <c r="J32" s="51"/>
    </row>
    <row r="33" spans="2:10" x14ac:dyDescent="0.35">
      <c r="B33" s="4">
        <v>30</v>
      </c>
      <c r="C33">
        <v>46</v>
      </c>
      <c r="E33" s="4">
        <v>30</v>
      </c>
      <c r="F33">
        <v>69</v>
      </c>
      <c r="J33" s="52"/>
    </row>
    <row r="34" spans="2:10" x14ac:dyDescent="0.35">
      <c r="B34" s="4">
        <v>31</v>
      </c>
      <c r="C34">
        <v>28</v>
      </c>
      <c r="E34" s="4">
        <v>31</v>
      </c>
      <c r="F34">
        <v>105</v>
      </c>
      <c r="J34" s="51"/>
    </row>
    <row r="35" spans="2:10" x14ac:dyDescent="0.35">
      <c r="B35" s="4">
        <v>32</v>
      </c>
      <c r="C35">
        <v>88</v>
      </c>
      <c r="E35" s="4">
        <v>32</v>
      </c>
      <c r="F35">
        <v>128</v>
      </c>
      <c r="J35" s="52"/>
    </row>
    <row r="36" spans="2:10" x14ac:dyDescent="0.35">
      <c r="B36" s="4">
        <v>33</v>
      </c>
      <c r="C36">
        <v>125</v>
      </c>
      <c r="E36" s="4">
        <v>33</v>
      </c>
      <c r="F36">
        <v>130</v>
      </c>
      <c r="J36" s="51"/>
    </row>
    <row r="37" spans="2:10" x14ac:dyDescent="0.35">
      <c r="B37" s="4">
        <v>34</v>
      </c>
      <c r="C37">
        <v>47</v>
      </c>
      <c r="E37" s="4">
        <v>34</v>
      </c>
      <c r="F37">
        <v>65</v>
      </c>
      <c r="J37" s="52"/>
    </row>
    <row r="38" spans="2:10" x14ac:dyDescent="0.35">
      <c r="B38" s="4">
        <v>35</v>
      </c>
      <c r="C38">
        <v>85</v>
      </c>
      <c r="E38" s="4">
        <v>35</v>
      </c>
      <c r="F38">
        <v>65</v>
      </c>
      <c r="J38" s="51"/>
    </row>
    <row r="39" spans="2:10" x14ac:dyDescent="0.35">
      <c r="B39" s="4">
        <v>36</v>
      </c>
      <c r="C39">
        <v>12</v>
      </c>
      <c r="E39" s="4">
        <v>36</v>
      </c>
      <c r="F39">
        <v>38</v>
      </c>
      <c r="J39" s="52"/>
    </row>
    <row r="40" spans="2:10" x14ac:dyDescent="0.35">
      <c r="B40" s="4">
        <v>37</v>
      </c>
      <c r="C40">
        <v>8</v>
      </c>
      <c r="E40" s="4">
        <v>37</v>
      </c>
      <c r="F40">
        <v>47</v>
      </c>
      <c r="J40" s="51"/>
    </row>
    <row r="41" spans="2:10" x14ac:dyDescent="0.35">
      <c r="B41" s="4">
        <v>38</v>
      </c>
      <c r="C41">
        <v>92</v>
      </c>
      <c r="E41" s="4">
        <v>38</v>
      </c>
      <c r="F41">
        <v>98</v>
      </c>
      <c r="J41" s="52"/>
    </row>
    <row r="42" spans="2:10" x14ac:dyDescent="0.35">
      <c r="B42" s="4">
        <v>39</v>
      </c>
      <c r="C42">
        <v>42</v>
      </c>
      <c r="E42" s="4">
        <v>39</v>
      </c>
      <c r="F42">
        <v>57</v>
      </c>
      <c r="J42" s="51"/>
    </row>
    <row r="43" spans="2:10" x14ac:dyDescent="0.35">
      <c r="B43" s="4">
        <v>40</v>
      </c>
      <c r="C43">
        <v>61</v>
      </c>
      <c r="E43" s="4">
        <v>40</v>
      </c>
      <c r="F43">
        <v>78</v>
      </c>
      <c r="J43" s="52"/>
    </row>
    <row r="44" spans="2:10" x14ac:dyDescent="0.35">
      <c r="B44" s="4">
        <v>41</v>
      </c>
      <c r="C44">
        <v>84</v>
      </c>
      <c r="E44" s="4">
        <v>41</v>
      </c>
      <c r="F44">
        <v>89</v>
      </c>
      <c r="J44" s="51"/>
    </row>
    <row r="45" spans="2:10" x14ac:dyDescent="0.35">
      <c r="B45" s="4">
        <v>42</v>
      </c>
      <c r="C45">
        <v>39</v>
      </c>
      <c r="E45" s="4">
        <v>42</v>
      </c>
      <c r="F45">
        <v>69</v>
      </c>
      <c r="J45" s="52"/>
    </row>
    <row r="46" spans="2:10" x14ac:dyDescent="0.35">
      <c r="B46" s="4">
        <v>43</v>
      </c>
      <c r="C46">
        <v>83</v>
      </c>
      <c r="E46" s="4">
        <v>43</v>
      </c>
      <c r="F46">
        <v>146</v>
      </c>
      <c r="J46" s="51"/>
    </row>
    <row r="47" spans="2:10" x14ac:dyDescent="0.35">
      <c r="B47" s="4">
        <v>44</v>
      </c>
      <c r="C47">
        <v>49</v>
      </c>
      <c r="E47" s="4">
        <v>44</v>
      </c>
      <c r="F47">
        <v>85</v>
      </c>
      <c r="J47" s="52"/>
    </row>
    <row r="48" spans="2:10" x14ac:dyDescent="0.35">
      <c r="B48" s="4">
        <v>45</v>
      </c>
      <c r="C48">
        <v>24</v>
      </c>
      <c r="E48" s="4">
        <v>45</v>
      </c>
      <c r="F48">
        <v>47</v>
      </c>
      <c r="J48" s="51"/>
    </row>
    <row r="49" spans="2:10" x14ac:dyDescent="0.35">
      <c r="B49" s="4">
        <v>46</v>
      </c>
      <c r="C49">
        <v>56</v>
      </c>
      <c r="E49" s="4">
        <v>46</v>
      </c>
      <c r="F49">
        <v>86</v>
      </c>
      <c r="J49" s="52"/>
    </row>
    <row r="50" spans="2:10" x14ac:dyDescent="0.35">
      <c r="B50" s="4">
        <v>47</v>
      </c>
      <c r="C50">
        <v>43</v>
      </c>
      <c r="E50" s="4">
        <v>47</v>
      </c>
      <c r="F50">
        <v>87</v>
      </c>
      <c r="J50" s="51"/>
    </row>
    <row r="51" spans="2:10" x14ac:dyDescent="0.35">
      <c r="B51" s="4">
        <v>48</v>
      </c>
      <c r="C51">
        <v>64</v>
      </c>
      <c r="E51" s="4">
        <v>48</v>
      </c>
      <c r="F51">
        <v>124</v>
      </c>
      <c r="J51" s="52"/>
    </row>
    <row r="52" spans="2:10" x14ac:dyDescent="0.35">
      <c r="B52" s="4">
        <v>49</v>
      </c>
      <c r="C52">
        <v>77</v>
      </c>
      <c r="E52" s="4">
        <v>49</v>
      </c>
      <c r="F52">
        <v>81</v>
      </c>
      <c r="J52" s="51"/>
    </row>
    <row r="53" spans="2:10" x14ac:dyDescent="0.35">
      <c r="B53" s="4">
        <v>50</v>
      </c>
      <c r="C53">
        <v>31</v>
      </c>
      <c r="E53" s="4">
        <v>50</v>
      </c>
      <c r="F53">
        <v>21</v>
      </c>
      <c r="J53" s="52"/>
    </row>
    <row r="54" spans="2:10" x14ac:dyDescent="0.35">
      <c r="B54" s="4">
        <v>51</v>
      </c>
      <c r="C54">
        <v>91</v>
      </c>
      <c r="E54" s="4">
        <v>51</v>
      </c>
      <c r="F54">
        <v>164</v>
      </c>
      <c r="J54" s="51"/>
    </row>
    <row r="55" spans="2:10" x14ac:dyDescent="0.35">
      <c r="B55" s="4">
        <v>52</v>
      </c>
      <c r="C55">
        <v>105</v>
      </c>
      <c r="E55" s="4">
        <v>52</v>
      </c>
      <c r="F55">
        <v>62</v>
      </c>
      <c r="J55" s="52"/>
    </row>
    <row r="56" spans="2:10" x14ac:dyDescent="0.35">
      <c r="B56" s="4">
        <v>53</v>
      </c>
      <c r="C56">
        <v>105</v>
      </c>
      <c r="E56" s="4">
        <v>53</v>
      </c>
      <c r="F56">
        <v>112</v>
      </c>
      <c r="J56" s="51"/>
    </row>
    <row r="57" spans="2:10" x14ac:dyDescent="0.35">
      <c r="B57" s="4">
        <v>54</v>
      </c>
      <c r="C57">
        <v>75</v>
      </c>
      <c r="E57" s="4">
        <v>54</v>
      </c>
      <c r="F57">
        <v>203</v>
      </c>
      <c r="J57" s="52"/>
    </row>
    <row r="58" spans="2:10" x14ac:dyDescent="0.35">
      <c r="B58" s="4">
        <v>55</v>
      </c>
      <c r="C58">
        <v>102</v>
      </c>
      <c r="E58" s="4">
        <v>55</v>
      </c>
      <c r="F58">
        <v>96</v>
      </c>
      <c r="J58" s="51"/>
    </row>
    <row r="59" spans="2:10" x14ac:dyDescent="0.35">
      <c r="B59" s="4">
        <v>56</v>
      </c>
      <c r="C59">
        <v>20</v>
      </c>
      <c r="E59" s="4">
        <v>56</v>
      </c>
      <c r="F59">
        <v>78</v>
      </c>
      <c r="J59" s="52"/>
    </row>
    <row r="60" spans="2:10" x14ac:dyDescent="0.35">
      <c r="B60" s="4">
        <v>57</v>
      </c>
      <c r="C60">
        <v>66</v>
      </c>
      <c r="E60" s="4">
        <v>57</v>
      </c>
      <c r="F60">
        <v>68</v>
      </c>
      <c r="J60" s="51"/>
    </row>
    <row r="61" spans="2:10" x14ac:dyDescent="0.35">
      <c r="B61" s="4">
        <v>58</v>
      </c>
      <c r="C61">
        <v>33</v>
      </c>
      <c r="E61" s="4">
        <v>58</v>
      </c>
      <c r="F61">
        <v>73</v>
      </c>
      <c r="J61" s="52"/>
    </row>
    <row r="62" spans="2:10" x14ac:dyDescent="0.35">
      <c r="B62" s="4">
        <v>59</v>
      </c>
      <c r="C62">
        <v>65</v>
      </c>
      <c r="E62" s="4">
        <v>59</v>
      </c>
      <c r="F62">
        <v>48</v>
      </c>
      <c r="J62" s="51"/>
    </row>
    <row r="63" spans="2:10" x14ac:dyDescent="0.35">
      <c r="B63" s="4">
        <v>60</v>
      </c>
      <c r="C63">
        <v>42</v>
      </c>
      <c r="E63" s="4">
        <v>60</v>
      </c>
      <c r="F63">
        <v>43</v>
      </c>
      <c r="J63" s="52"/>
    </row>
    <row r="64" spans="2:10" x14ac:dyDescent="0.35">
      <c r="B64" s="4">
        <v>61</v>
      </c>
      <c r="C64">
        <v>98</v>
      </c>
      <c r="E64" s="4">
        <v>61</v>
      </c>
      <c r="F64">
        <v>159</v>
      </c>
      <c r="J64" s="51"/>
    </row>
    <row r="65" spans="2:10" x14ac:dyDescent="0.35">
      <c r="B65" s="4">
        <v>62</v>
      </c>
      <c r="C65">
        <v>60</v>
      </c>
      <c r="E65" s="4">
        <v>62</v>
      </c>
      <c r="F65">
        <v>155</v>
      </c>
      <c r="J65" s="52"/>
    </row>
    <row r="66" spans="2:10" x14ac:dyDescent="0.35">
      <c r="B66" s="4">
        <v>63</v>
      </c>
      <c r="C66">
        <v>22</v>
      </c>
      <c r="E66" s="4">
        <v>63</v>
      </c>
      <c r="F66">
        <v>30</v>
      </c>
      <c r="J66" s="51"/>
    </row>
    <row r="67" spans="2:10" x14ac:dyDescent="0.35">
      <c r="B67" s="4">
        <v>64</v>
      </c>
      <c r="C67">
        <v>111</v>
      </c>
      <c r="E67" s="4">
        <v>64</v>
      </c>
      <c r="F67">
        <v>82</v>
      </c>
      <c r="J67" s="52"/>
    </row>
    <row r="68" spans="2:10" x14ac:dyDescent="0.35">
      <c r="B68" s="4">
        <v>65</v>
      </c>
      <c r="C68">
        <v>78</v>
      </c>
      <c r="E68" s="4">
        <v>65</v>
      </c>
      <c r="F68">
        <v>155</v>
      </c>
      <c r="J68" s="51"/>
    </row>
    <row r="69" spans="2:10" x14ac:dyDescent="0.35">
      <c r="B69" s="4">
        <v>66</v>
      </c>
      <c r="C69">
        <v>83</v>
      </c>
      <c r="E69" s="4">
        <v>66</v>
      </c>
      <c r="F69">
        <v>114</v>
      </c>
      <c r="J69" s="52"/>
    </row>
    <row r="70" spans="2:10" x14ac:dyDescent="0.35">
      <c r="B70" s="4">
        <v>67</v>
      </c>
      <c r="C70">
        <v>102</v>
      </c>
      <c r="E70" s="4">
        <v>67</v>
      </c>
      <c r="F70">
        <v>131</v>
      </c>
      <c r="J70" s="51"/>
    </row>
    <row r="71" spans="2:10" x14ac:dyDescent="0.35">
      <c r="B71" s="4">
        <v>68</v>
      </c>
      <c r="C71">
        <v>88</v>
      </c>
      <c r="E71" s="4">
        <v>68</v>
      </c>
      <c r="F71">
        <v>145</v>
      </c>
      <c r="J71" s="52"/>
    </row>
    <row r="72" spans="2:10" x14ac:dyDescent="0.35">
      <c r="B72" s="4">
        <v>69</v>
      </c>
      <c r="C72">
        <v>93</v>
      </c>
      <c r="E72" s="4">
        <v>69</v>
      </c>
      <c r="F72">
        <v>92</v>
      </c>
      <c r="J72" s="51"/>
    </row>
    <row r="73" spans="2:10" x14ac:dyDescent="0.35">
      <c r="B73" s="4">
        <v>70</v>
      </c>
      <c r="C73">
        <v>48</v>
      </c>
      <c r="E73" s="4">
        <v>70</v>
      </c>
      <c r="F73">
        <v>40</v>
      </c>
      <c r="J73" s="52"/>
    </row>
    <row r="74" spans="2:10" x14ac:dyDescent="0.35">
      <c r="B74" s="4">
        <v>71</v>
      </c>
      <c r="C74">
        <v>54</v>
      </c>
      <c r="E74" s="4">
        <v>71</v>
      </c>
      <c r="F74">
        <v>49</v>
      </c>
      <c r="J74" s="51"/>
    </row>
    <row r="75" spans="2:10" x14ac:dyDescent="0.35">
      <c r="B75" s="4">
        <v>72</v>
      </c>
      <c r="C75">
        <v>32</v>
      </c>
      <c r="E75" s="4">
        <v>72</v>
      </c>
      <c r="F75">
        <v>54</v>
      </c>
      <c r="J75" s="52"/>
    </row>
    <row r="76" spans="2:10" x14ac:dyDescent="0.35">
      <c r="B76" s="4">
        <v>73</v>
      </c>
      <c r="C76">
        <v>33</v>
      </c>
      <c r="E76" s="4">
        <v>73</v>
      </c>
      <c r="F76">
        <v>20</v>
      </c>
      <c r="J76" s="51"/>
    </row>
    <row r="77" spans="2:10" x14ac:dyDescent="0.35">
      <c r="B77" s="4">
        <v>74</v>
      </c>
      <c r="C77">
        <v>90</v>
      </c>
      <c r="E77" s="4">
        <v>74</v>
      </c>
      <c r="F77">
        <v>100</v>
      </c>
      <c r="J77" s="52"/>
    </row>
    <row r="78" spans="2:10" x14ac:dyDescent="0.35">
      <c r="B78" s="4">
        <v>75</v>
      </c>
      <c r="C78">
        <v>42</v>
      </c>
      <c r="E78" s="4">
        <v>75</v>
      </c>
      <c r="F78">
        <v>51</v>
      </c>
      <c r="J78" s="51"/>
    </row>
    <row r="79" spans="2:10" x14ac:dyDescent="0.35">
      <c r="B79" s="4">
        <v>76</v>
      </c>
      <c r="C79">
        <v>65</v>
      </c>
      <c r="E79" s="4">
        <v>76</v>
      </c>
      <c r="F79">
        <v>97</v>
      </c>
      <c r="J79" s="52"/>
    </row>
    <row r="80" spans="2:10" x14ac:dyDescent="0.35">
      <c r="B80" s="4">
        <v>77</v>
      </c>
      <c r="C80">
        <v>41</v>
      </c>
      <c r="E80" s="4">
        <v>77</v>
      </c>
      <c r="F80">
        <v>97</v>
      </c>
      <c r="J80" s="51"/>
    </row>
    <row r="81" spans="2:10" x14ac:dyDescent="0.35">
      <c r="B81" s="4">
        <v>78</v>
      </c>
      <c r="C81">
        <v>24</v>
      </c>
      <c r="E81" s="4">
        <v>78</v>
      </c>
      <c r="F81">
        <v>54</v>
      </c>
      <c r="J81" s="52"/>
    </row>
    <row r="82" spans="2:10" x14ac:dyDescent="0.35">
      <c r="B82" s="4">
        <v>79</v>
      </c>
      <c r="C82">
        <v>123</v>
      </c>
      <c r="E82" s="4">
        <v>79</v>
      </c>
      <c r="F82">
        <v>96</v>
      </c>
      <c r="J82" s="51"/>
    </row>
    <row r="83" spans="2:10" x14ac:dyDescent="0.35">
      <c r="B83" s="4">
        <v>80</v>
      </c>
      <c r="C83">
        <v>50</v>
      </c>
      <c r="E83" s="4">
        <v>80</v>
      </c>
      <c r="F83">
        <v>67</v>
      </c>
      <c r="J83" s="52"/>
    </row>
    <row r="84" spans="2:10" x14ac:dyDescent="0.35">
      <c r="B84" s="4">
        <v>81</v>
      </c>
      <c r="C84">
        <v>24</v>
      </c>
      <c r="E84" s="4">
        <v>81</v>
      </c>
      <c r="F84">
        <v>59</v>
      </c>
      <c r="J84" s="51"/>
    </row>
    <row r="85" spans="2:10" x14ac:dyDescent="0.35">
      <c r="B85" s="4">
        <v>82</v>
      </c>
      <c r="C85">
        <v>32</v>
      </c>
      <c r="E85" s="4">
        <v>82</v>
      </c>
      <c r="F85">
        <v>19</v>
      </c>
      <c r="J85" s="52"/>
    </row>
    <row r="86" spans="2:10" x14ac:dyDescent="0.35">
      <c r="B86" s="4">
        <v>83</v>
      </c>
      <c r="C86">
        <v>69</v>
      </c>
      <c r="E86" s="4">
        <v>83</v>
      </c>
      <c r="F86">
        <v>94</v>
      </c>
      <c r="J86" s="51"/>
    </row>
    <row r="87" spans="2:10" x14ac:dyDescent="0.35">
      <c r="B87" s="4">
        <v>84</v>
      </c>
      <c r="C87">
        <v>24</v>
      </c>
      <c r="E87" s="4">
        <v>84</v>
      </c>
      <c r="F87">
        <v>10</v>
      </c>
      <c r="J87" s="52"/>
    </row>
    <row r="88" spans="2:10" x14ac:dyDescent="0.35">
      <c r="B88" s="4">
        <v>85</v>
      </c>
      <c r="C88">
        <v>85</v>
      </c>
      <c r="E88" s="4">
        <v>85</v>
      </c>
      <c r="F88">
        <v>142</v>
      </c>
      <c r="J88" s="51"/>
    </row>
    <row r="89" spans="2:10" x14ac:dyDescent="0.35">
      <c r="B89" s="4">
        <v>86</v>
      </c>
      <c r="C89">
        <v>20</v>
      </c>
      <c r="E89" s="4">
        <v>86</v>
      </c>
      <c r="F89">
        <v>8</v>
      </c>
      <c r="J89" s="52"/>
    </row>
    <row r="90" spans="2:10" x14ac:dyDescent="0.35">
      <c r="B90" s="4">
        <v>87</v>
      </c>
      <c r="C90">
        <v>41</v>
      </c>
      <c r="E90" s="4">
        <v>87</v>
      </c>
      <c r="F90">
        <v>71</v>
      </c>
      <c r="J90" s="51"/>
    </row>
    <row r="91" spans="2:10" x14ac:dyDescent="0.35">
      <c r="B91" s="4">
        <v>88</v>
      </c>
      <c r="C91">
        <v>50</v>
      </c>
      <c r="E91" s="4">
        <v>88</v>
      </c>
      <c r="F91">
        <v>117</v>
      </c>
      <c r="J91" s="52"/>
    </row>
    <row r="92" spans="2:10" x14ac:dyDescent="0.35">
      <c r="B92" s="4">
        <v>89</v>
      </c>
      <c r="C92">
        <v>64</v>
      </c>
      <c r="E92" s="4">
        <v>89</v>
      </c>
      <c r="F92">
        <v>142</v>
      </c>
      <c r="J92" s="51"/>
    </row>
    <row r="93" spans="2:10" x14ac:dyDescent="0.35">
      <c r="B93" s="4">
        <v>90</v>
      </c>
      <c r="C93">
        <v>14</v>
      </c>
      <c r="E93" s="4">
        <v>90</v>
      </c>
      <c r="F93">
        <v>48</v>
      </c>
      <c r="J93" s="52"/>
    </row>
    <row r="94" spans="2:10" x14ac:dyDescent="0.35">
      <c r="B94" s="4">
        <v>91</v>
      </c>
      <c r="C94">
        <v>117</v>
      </c>
      <c r="E94" s="4">
        <v>91</v>
      </c>
      <c r="F94">
        <v>132</v>
      </c>
      <c r="J94" s="51"/>
    </row>
    <row r="95" spans="2:10" x14ac:dyDescent="0.35">
      <c r="B95" s="4">
        <v>92</v>
      </c>
      <c r="C95">
        <v>34</v>
      </c>
      <c r="E95" s="4">
        <v>92</v>
      </c>
      <c r="F95">
        <v>42</v>
      </c>
      <c r="J95" s="52"/>
    </row>
    <row r="96" spans="2:10" x14ac:dyDescent="0.35">
      <c r="B96" s="4">
        <v>93</v>
      </c>
      <c r="C96">
        <v>12</v>
      </c>
      <c r="E96" s="4">
        <v>93</v>
      </c>
      <c r="F96">
        <v>18</v>
      </c>
      <c r="J96" s="51"/>
    </row>
    <row r="97" spans="2:10" x14ac:dyDescent="0.35">
      <c r="B97" s="4">
        <v>94</v>
      </c>
      <c r="C97">
        <v>101</v>
      </c>
      <c r="E97" s="4">
        <v>94</v>
      </c>
      <c r="F97">
        <v>129</v>
      </c>
      <c r="J97" s="52"/>
    </row>
    <row r="98" spans="2:10" x14ac:dyDescent="0.35">
      <c r="B98" s="4">
        <v>95</v>
      </c>
      <c r="C98">
        <v>63</v>
      </c>
      <c r="E98" s="4">
        <v>95</v>
      </c>
      <c r="F98">
        <v>41</v>
      </c>
      <c r="J98" s="51"/>
    </row>
    <row r="99" spans="2:10" x14ac:dyDescent="0.35">
      <c r="B99" s="4">
        <v>96</v>
      </c>
      <c r="C99">
        <v>72</v>
      </c>
      <c r="E99" s="4">
        <v>96</v>
      </c>
      <c r="F99">
        <v>76</v>
      </c>
      <c r="J99" s="52"/>
    </row>
    <row r="100" spans="2:10" x14ac:dyDescent="0.35">
      <c r="B100" s="4">
        <v>97</v>
      </c>
      <c r="C100">
        <v>77</v>
      </c>
      <c r="E100" s="4">
        <v>97</v>
      </c>
      <c r="F100">
        <v>79</v>
      </c>
      <c r="J100" s="51"/>
    </row>
    <row r="101" spans="2:10" x14ac:dyDescent="0.35">
      <c r="B101" s="4">
        <v>98</v>
      </c>
      <c r="C101">
        <v>68</v>
      </c>
      <c r="E101" s="4">
        <v>98</v>
      </c>
      <c r="F101">
        <v>140</v>
      </c>
      <c r="J101" s="52"/>
    </row>
    <row r="102" spans="2:10" x14ac:dyDescent="0.35">
      <c r="B102" s="4">
        <v>99</v>
      </c>
      <c r="C102">
        <v>56</v>
      </c>
      <c r="E102" s="4">
        <v>99</v>
      </c>
      <c r="F102">
        <v>86</v>
      </c>
      <c r="J102" s="51"/>
    </row>
    <row r="103" spans="2:10" x14ac:dyDescent="0.35">
      <c r="B103" s="4">
        <v>100</v>
      </c>
      <c r="C103">
        <v>68</v>
      </c>
      <c r="E103" s="4">
        <v>100</v>
      </c>
      <c r="F103">
        <v>103</v>
      </c>
      <c r="J103" s="52"/>
    </row>
    <row r="104" spans="2:10" x14ac:dyDescent="0.35">
      <c r="B104" s="4">
        <v>101</v>
      </c>
      <c r="C104">
        <v>55</v>
      </c>
      <c r="E104" s="4">
        <v>101</v>
      </c>
      <c r="F104">
        <v>134</v>
      </c>
      <c r="J104" s="51"/>
    </row>
    <row r="105" spans="2:10" x14ac:dyDescent="0.35">
      <c r="B105" s="4">
        <v>102</v>
      </c>
      <c r="C105">
        <v>72</v>
      </c>
      <c r="E105" s="4">
        <v>102</v>
      </c>
      <c r="F105">
        <v>46</v>
      </c>
      <c r="J105" s="52"/>
    </row>
    <row r="106" spans="2:10" x14ac:dyDescent="0.35">
      <c r="B106" s="4">
        <v>103</v>
      </c>
      <c r="C106">
        <v>30</v>
      </c>
      <c r="E106" s="4">
        <v>103</v>
      </c>
      <c r="F106">
        <v>99</v>
      </c>
      <c r="J106" s="51"/>
    </row>
    <row r="107" spans="2:10" x14ac:dyDescent="0.35">
      <c r="B107" s="4">
        <v>104</v>
      </c>
      <c r="C107">
        <v>30</v>
      </c>
      <c r="E107" s="4">
        <v>104</v>
      </c>
      <c r="F107">
        <v>55</v>
      </c>
      <c r="J107" s="52"/>
    </row>
    <row r="108" spans="2:10" x14ac:dyDescent="0.35">
      <c r="B108" s="4">
        <v>105</v>
      </c>
      <c r="C108">
        <v>57</v>
      </c>
      <c r="E108" s="4">
        <v>105</v>
      </c>
      <c r="F108">
        <v>43</v>
      </c>
      <c r="J108" s="51"/>
    </row>
    <row r="109" spans="2:10" x14ac:dyDescent="0.35">
      <c r="B109" s="4">
        <v>106</v>
      </c>
      <c r="C109">
        <v>28</v>
      </c>
      <c r="E109" s="4">
        <v>106</v>
      </c>
      <c r="F109">
        <v>29</v>
      </c>
      <c r="J109" s="52"/>
    </row>
    <row r="110" spans="2:10" x14ac:dyDescent="0.35">
      <c r="B110" s="4">
        <v>107</v>
      </c>
      <c r="C110">
        <v>104</v>
      </c>
      <c r="E110" s="4">
        <v>107</v>
      </c>
      <c r="F110">
        <v>141</v>
      </c>
      <c r="J110" s="51"/>
    </row>
    <row r="111" spans="2:10" x14ac:dyDescent="0.35">
      <c r="B111" s="4">
        <v>108</v>
      </c>
      <c r="C111">
        <v>52</v>
      </c>
      <c r="E111" s="4">
        <v>108</v>
      </c>
      <c r="F111">
        <v>115</v>
      </c>
      <c r="J111" s="52"/>
    </row>
    <row r="112" spans="2:10" x14ac:dyDescent="0.35">
      <c r="B112" s="4">
        <v>109</v>
      </c>
      <c r="C112">
        <v>69</v>
      </c>
      <c r="E112" s="4">
        <v>109</v>
      </c>
      <c r="F112">
        <v>118</v>
      </c>
      <c r="J112" s="51"/>
    </row>
    <row r="113" spans="2:10" x14ac:dyDescent="0.35">
      <c r="B113" s="4">
        <v>110</v>
      </c>
      <c r="C113">
        <v>68</v>
      </c>
      <c r="E113" s="4">
        <v>110</v>
      </c>
      <c r="F113">
        <v>121</v>
      </c>
      <c r="J113" s="52"/>
    </row>
    <row r="114" spans="2:10" x14ac:dyDescent="0.35">
      <c r="B114" s="4">
        <v>111</v>
      </c>
      <c r="C114">
        <v>84</v>
      </c>
      <c r="E114" s="4">
        <v>111</v>
      </c>
      <c r="F114">
        <v>137</v>
      </c>
      <c r="J114" s="51"/>
    </row>
    <row r="115" spans="2:10" x14ac:dyDescent="0.35">
      <c r="B115" s="4">
        <v>112</v>
      </c>
      <c r="C115">
        <v>8</v>
      </c>
      <c r="E115" s="4">
        <v>112</v>
      </c>
      <c r="F115">
        <v>16</v>
      </c>
      <c r="J115" s="52"/>
    </row>
    <row r="116" spans="2:10" x14ac:dyDescent="0.35">
      <c r="B116" s="4">
        <v>113</v>
      </c>
      <c r="C116">
        <v>28</v>
      </c>
      <c r="E116" s="4">
        <v>113</v>
      </c>
      <c r="F116">
        <v>51</v>
      </c>
      <c r="J116" s="51"/>
    </row>
    <row r="117" spans="2:10" x14ac:dyDescent="0.35">
      <c r="B117" s="4">
        <v>114</v>
      </c>
      <c r="C117">
        <v>105</v>
      </c>
      <c r="E117" s="4">
        <v>114</v>
      </c>
      <c r="F117">
        <v>131</v>
      </c>
      <c r="J117" s="52"/>
    </row>
    <row r="118" spans="2:10" x14ac:dyDescent="0.35">
      <c r="B118" s="4">
        <v>115</v>
      </c>
      <c r="C118">
        <v>96</v>
      </c>
      <c r="E118" s="4">
        <v>115</v>
      </c>
      <c r="F118">
        <v>98</v>
      </c>
      <c r="J118" s="51"/>
    </row>
    <row r="119" spans="2:10" x14ac:dyDescent="0.35">
      <c r="B119" s="4">
        <v>116</v>
      </c>
      <c r="C119">
        <v>109</v>
      </c>
      <c r="E119" s="4">
        <v>116</v>
      </c>
      <c r="F119">
        <v>129</v>
      </c>
      <c r="J119" s="52"/>
    </row>
    <row r="120" spans="2:10" x14ac:dyDescent="0.35">
      <c r="B120" s="4">
        <v>117</v>
      </c>
      <c r="C120">
        <v>28</v>
      </c>
      <c r="E120" s="4">
        <v>117</v>
      </c>
      <c r="F120">
        <v>8</v>
      </c>
      <c r="J120" s="51"/>
    </row>
    <row r="121" spans="2:10" x14ac:dyDescent="0.35">
      <c r="B121" s="4">
        <v>118</v>
      </c>
      <c r="C121">
        <v>86</v>
      </c>
      <c r="E121" s="4">
        <v>118</v>
      </c>
      <c r="F121">
        <v>136</v>
      </c>
      <c r="J121" s="52"/>
    </row>
    <row r="122" spans="2:10" x14ac:dyDescent="0.35">
      <c r="B122" s="4">
        <v>119</v>
      </c>
      <c r="C122">
        <v>55</v>
      </c>
      <c r="E122" s="4">
        <v>119</v>
      </c>
      <c r="F122">
        <v>54</v>
      </c>
      <c r="J122" s="51"/>
    </row>
    <row r="123" spans="2:10" x14ac:dyDescent="0.35">
      <c r="B123" s="4">
        <v>120</v>
      </c>
      <c r="C123">
        <v>58</v>
      </c>
      <c r="E123" s="4">
        <v>120</v>
      </c>
      <c r="F123">
        <v>97</v>
      </c>
      <c r="J123" s="52"/>
    </row>
    <row r="124" spans="2:10" x14ac:dyDescent="0.35">
      <c r="B124" s="4">
        <v>121</v>
      </c>
      <c r="C124">
        <v>22</v>
      </c>
      <c r="E124" s="4">
        <v>121</v>
      </c>
      <c r="F124">
        <v>38</v>
      </c>
      <c r="J124" s="51"/>
    </row>
    <row r="125" spans="2:10" x14ac:dyDescent="0.35">
      <c r="B125" s="4">
        <v>122</v>
      </c>
      <c r="C125">
        <v>42</v>
      </c>
      <c r="E125" s="4">
        <v>122</v>
      </c>
      <c r="F125">
        <v>32</v>
      </c>
      <c r="J125" s="52"/>
    </row>
    <row r="126" spans="2:10" x14ac:dyDescent="0.35">
      <c r="B126" s="4">
        <v>123</v>
      </c>
      <c r="C126">
        <v>10</v>
      </c>
      <c r="E126" s="4">
        <v>123</v>
      </c>
      <c r="F126">
        <v>33</v>
      </c>
      <c r="J126" s="51"/>
    </row>
    <row r="127" spans="2:10" x14ac:dyDescent="0.35">
      <c r="B127" s="4">
        <v>124</v>
      </c>
      <c r="C127">
        <v>89</v>
      </c>
      <c r="E127" s="4">
        <v>124</v>
      </c>
      <c r="F127">
        <v>138</v>
      </c>
      <c r="J127" s="52"/>
    </row>
    <row r="128" spans="2:10" x14ac:dyDescent="0.35">
      <c r="B128" s="4">
        <v>125</v>
      </c>
      <c r="C128">
        <v>76</v>
      </c>
      <c r="E128" s="4">
        <v>125</v>
      </c>
      <c r="F128">
        <v>84</v>
      </c>
      <c r="J128" s="51"/>
    </row>
    <row r="129" spans="2:10" x14ac:dyDescent="0.35">
      <c r="B129" s="4">
        <v>126</v>
      </c>
      <c r="C129">
        <v>68</v>
      </c>
      <c r="E129" s="4">
        <v>126</v>
      </c>
      <c r="F129">
        <v>139</v>
      </c>
      <c r="J129" s="52"/>
    </row>
    <row r="130" spans="2:10" x14ac:dyDescent="0.35">
      <c r="B130" s="4">
        <v>127</v>
      </c>
      <c r="C130">
        <v>28</v>
      </c>
      <c r="E130" s="4">
        <v>127</v>
      </c>
      <c r="F130">
        <v>30</v>
      </c>
      <c r="J130" s="51"/>
    </row>
    <row r="131" spans="2:10" x14ac:dyDescent="0.35">
      <c r="B131" s="4">
        <v>128</v>
      </c>
      <c r="C131">
        <v>98</v>
      </c>
      <c r="E131" s="4">
        <v>128</v>
      </c>
      <c r="F131">
        <v>172</v>
      </c>
      <c r="J131" s="52"/>
    </row>
    <row r="132" spans="2:10" x14ac:dyDescent="0.35">
      <c r="B132" s="4">
        <v>129</v>
      </c>
      <c r="C132">
        <v>44</v>
      </c>
      <c r="E132" s="4">
        <v>129</v>
      </c>
      <c r="F132">
        <v>80</v>
      </c>
      <c r="J132" s="51"/>
    </row>
    <row r="133" spans="2:10" x14ac:dyDescent="0.35">
      <c r="B133" s="4">
        <v>130</v>
      </c>
      <c r="C133">
        <v>14</v>
      </c>
      <c r="E133" s="4">
        <v>130</v>
      </c>
      <c r="F133">
        <v>25</v>
      </c>
      <c r="J133" s="52"/>
    </row>
    <row r="134" spans="2:10" x14ac:dyDescent="0.35">
      <c r="B134" s="4">
        <v>131</v>
      </c>
      <c r="C134">
        <v>63</v>
      </c>
      <c r="E134" s="4">
        <v>131</v>
      </c>
      <c r="F134">
        <v>120</v>
      </c>
      <c r="J134" s="51"/>
    </row>
    <row r="135" spans="2:10" x14ac:dyDescent="0.35">
      <c r="B135" s="4">
        <v>132</v>
      </c>
      <c r="C135">
        <v>81</v>
      </c>
      <c r="E135" s="4">
        <v>132</v>
      </c>
      <c r="F135">
        <v>102</v>
      </c>
      <c r="J135" s="52"/>
    </row>
    <row r="136" spans="2:10" x14ac:dyDescent="0.35">
      <c r="B136" s="4">
        <v>133</v>
      </c>
      <c r="C136">
        <v>75</v>
      </c>
      <c r="E136" s="4">
        <v>133</v>
      </c>
      <c r="F136">
        <v>107</v>
      </c>
      <c r="J136" s="51"/>
    </row>
    <row r="137" spans="2:10" x14ac:dyDescent="0.35">
      <c r="B137" s="4">
        <v>134</v>
      </c>
      <c r="C137">
        <v>49</v>
      </c>
      <c r="E137" s="4">
        <v>134</v>
      </c>
      <c r="F137">
        <v>48</v>
      </c>
      <c r="J137" s="52"/>
    </row>
    <row r="138" spans="2:10" x14ac:dyDescent="0.35">
      <c r="B138" s="4">
        <v>135</v>
      </c>
      <c r="C138">
        <v>102</v>
      </c>
      <c r="E138" s="4">
        <v>135</v>
      </c>
      <c r="F138">
        <v>88</v>
      </c>
      <c r="J138" s="51"/>
    </row>
    <row r="139" spans="2:10" x14ac:dyDescent="0.35">
      <c r="B139" s="4">
        <v>136</v>
      </c>
      <c r="C139">
        <v>30</v>
      </c>
      <c r="E139" s="4">
        <v>136</v>
      </c>
      <c r="F139">
        <v>13</v>
      </c>
      <c r="J139" s="52"/>
    </row>
    <row r="140" spans="2:10" x14ac:dyDescent="0.35">
      <c r="B140" s="4">
        <v>137</v>
      </c>
      <c r="C140">
        <v>24</v>
      </c>
      <c r="E140" s="4">
        <v>137</v>
      </c>
      <c r="F140">
        <v>41</v>
      </c>
      <c r="J140" s="51"/>
    </row>
    <row r="141" spans="2:10" x14ac:dyDescent="0.35">
      <c r="B141" s="4">
        <v>138</v>
      </c>
      <c r="C141">
        <v>97</v>
      </c>
      <c r="E141" s="4">
        <v>138</v>
      </c>
      <c r="F141">
        <v>97</v>
      </c>
      <c r="J141" s="52"/>
    </row>
    <row r="142" spans="2:10" x14ac:dyDescent="0.35">
      <c r="B142" s="4">
        <v>139</v>
      </c>
      <c r="C142">
        <v>14</v>
      </c>
      <c r="E142" s="4">
        <v>139</v>
      </c>
      <c r="F142">
        <v>26</v>
      </c>
      <c r="J142" s="51"/>
    </row>
    <row r="143" spans="2:10" x14ac:dyDescent="0.35">
      <c r="B143" s="4">
        <v>140</v>
      </c>
      <c r="C143">
        <v>78</v>
      </c>
      <c r="E143" s="4">
        <v>140</v>
      </c>
      <c r="F143">
        <v>118</v>
      </c>
      <c r="J143" s="52"/>
    </row>
    <row r="144" spans="2:10" x14ac:dyDescent="0.35">
      <c r="B144" s="4">
        <v>141</v>
      </c>
      <c r="C144">
        <v>8</v>
      </c>
      <c r="E144" s="4">
        <v>141</v>
      </c>
      <c r="F144">
        <v>28</v>
      </c>
      <c r="J144" s="51"/>
    </row>
    <row r="145" spans="2:10" x14ac:dyDescent="0.35">
      <c r="B145" s="4">
        <v>142</v>
      </c>
      <c r="C145">
        <v>72</v>
      </c>
      <c r="E145" s="4">
        <v>142</v>
      </c>
      <c r="F145">
        <v>70</v>
      </c>
      <c r="J145" s="52"/>
    </row>
    <row r="146" spans="2:10" x14ac:dyDescent="0.35">
      <c r="B146" s="4">
        <v>143</v>
      </c>
      <c r="C146">
        <v>20</v>
      </c>
      <c r="E146" s="4">
        <v>143</v>
      </c>
      <c r="F146">
        <v>16</v>
      </c>
      <c r="J146" s="51"/>
    </row>
    <row r="147" spans="2:10" x14ac:dyDescent="0.35">
      <c r="B147" s="4">
        <v>144</v>
      </c>
      <c r="C147">
        <v>76</v>
      </c>
      <c r="E147" s="4">
        <v>144</v>
      </c>
      <c r="F147">
        <v>150</v>
      </c>
      <c r="J147" s="52"/>
    </row>
    <row r="148" spans="2:10" x14ac:dyDescent="0.35">
      <c r="B148" s="4">
        <v>145</v>
      </c>
      <c r="C148">
        <v>51</v>
      </c>
      <c r="E148" s="4">
        <v>145</v>
      </c>
      <c r="F148">
        <v>106</v>
      </c>
      <c r="J148" s="51"/>
    </row>
    <row r="149" spans="2:10" x14ac:dyDescent="0.35">
      <c r="B149" s="4">
        <v>146</v>
      </c>
      <c r="C149">
        <v>24</v>
      </c>
      <c r="E149" s="4">
        <v>146</v>
      </c>
      <c r="F149">
        <v>47</v>
      </c>
      <c r="J149" s="52"/>
    </row>
    <row r="150" spans="2:10" x14ac:dyDescent="0.35">
      <c r="B150" s="4">
        <v>147</v>
      </c>
      <c r="C150">
        <v>33</v>
      </c>
      <c r="E150" s="4">
        <v>147</v>
      </c>
      <c r="F150">
        <v>33</v>
      </c>
      <c r="J150" s="51"/>
    </row>
    <row r="151" spans="2:10" x14ac:dyDescent="0.35">
      <c r="B151" s="4">
        <v>148</v>
      </c>
      <c r="C151">
        <v>87</v>
      </c>
      <c r="E151" s="4">
        <v>148</v>
      </c>
      <c r="F151">
        <v>159</v>
      </c>
      <c r="J151" s="52"/>
    </row>
    <row r="152" spans="2:10" x14ac:dyDescent="0.35">
      <c r="B152" s="4">
        <v>149</v>
      </c>
      <c r="C152">
        <v>94</v>
      </c>
      <c r="E152" s="4">
        <v>149</v>
      </c>
      <c r="F152">
        <v>139</v>
      </c>
      <c r="J152" s="51"/>
    </row>
    <row r="153" spans="2:10" x14ac:dyDescent="0.35">
      <c r="B153" s="4">
        <v>150</v>
      </c>
      <c r="C153">
        <v>60</v>
      </c>
      <c r="E153" s="4">
        <v>150</v>
      </c>
      <c r="F153">
        <v>106</v>
      </c>
      <c r="J153" s="52"/>
    </row>
    <row r="154" spans="2:10" x14ac:dyDescent="0.35">
      <c r="B154" s="4">
        <v>151</v>
      </c>
      <c r="C154">
        <v>51</v>
      </c>
      <c r="E154" s="4">
        <v>151</v>
      </c>
      <c r="F154">
        <v>19</v>
      </c>
      <c r="J154" s="51"/>
    </row>
    <row r="155" spans="2:10" x14ac:dyDescent="0.35">
      <c r="B155" s="4">
        <v>152</v>
      </c>
      <c r="C155">
        <v>24</v>
      </c>
      <c r="E155" s="4">
        <v>152</v>
      </c>
      <c r="F155">
        <v>12</v>
      </c>
      <c r="J155" s="52"/>
    </row>
    <row r="156" spans="2:10" x14ac:dyDescent="0.35">
      <c r="B156" s="4">
        <v>153</v>
      </c>
      <c r="C156">
        <v>79</v>
      </c>
      <c r="E156" s="4">
        <v>153</v>
      </c>
      <c r="F156">
        <v>89</v>
      </c>
      <c r="J156" s="51"/>
    </row>
    <row r="157" spans="2:10" x14ac:dyDescent="0.35">
      <c r="B157" s="4">
        <v>154</v>
      </c>
      <c r="C157">
        <v>58</v>
      </c>
      <c r="E157" s="4">
        <v>154</v>
      </c>
      <c r="F157">
        <v>82</v>
      </c>
      <c r="J157" s="52"/>
    </row>
    <row r="158" spans="2:10" x14ac:dyDescent="0.35">
      <c r="B158" s="4">
        <v>155</v>
      </c>
      <c r="C158">
        <v>54</v>
      </c>
      <c r="E158" s="4">
        <v>155</v>
      </c>
      <c r="F158">
        <v>100</v>
      </c>
      <c r="J158" s="51"/>
    </row>
    <row r="159" spans="2:10" x14ac:dyDescent="0.35">
      <c r="B159" s="4">
        <v>156</v>
      </c>
      <c r="C159">
        <v>24</v>
      </c>
      <c r="E159" s="4">
        <v>156</v>
      </c>
      <c r="F159">
        <v>6</v>
      </c>
      <c r="J159" s="52"/>
    </row>
    <row r="160" spans="2:10" x14ac:dyDescent="0.35">
      <c r="B160" s="4">
        <v>157</v>
      </c>
      <c r="C160">
        <v>108</v>
      </c>
      <c r="E160" s="4">
        <v>157</v>
      </c>
      <c r="F160">
        <v>150</v>
      </c>
      <c r="J160" s="51"/>
    </row>
    <row r="161" spans="2:10" x14ac:dyDescent="0.35">
      <c r="B161" s="4">
        <v>158</v>
      </c>
      <c r="C161">
        <v>125</v>
      </c>
      <c r="E161" s="4">
        <v>158</v>
      </c>
      <c r="F161">
        <v>135</v>
      </c>
      <c r="J161" s="52"/>
    </row>
    <row r="162" spans="2:10" x14ac:dyDescent="0.35">
      <c r="B162" s="4">
        <v>159</v>
      </c>
      <c r="C162">
        <v>103</v>
      </c>
      <c r="E162" s="4">
        <v>159</v>
      </c>
      <c r="F162">
        <v>74</v>
      </c>
      <c r="J162" s="51"/>
    </row>
    <row r="163" spans="2:10" x14ac:dyDescent="0.35">
      <c r="B163" s="4">
        <v>160</v>
      </c>
      <c r="C163">
        <v>62</v>
      </c>
      <c r="E163" s="4">
        <v>160</v>
      </c>
      <c r="F163">
        <v>67</v>
      </c>
      <c r="J163" s="52"/>
    </row>
    <row r="164" spans="2:10" x14ac:dyDescent="0.35">
      <c r="B164" s="4">
        <v>161</v>
      </c>
      <c r="C164">
        <v>36</v>
      </c>
      <c r="E164" s="4">
        <v>161</v>
      </c>
      <c r="F164">
        <v>57</v>
      </c>
      <c r="J164" s="51"/>
    </row>
    <row r="165" spans="2:10" x14ac:dyDescent="0.35">
      <c r="B165" s="4">
        <v>162</v>
      </c>
      <c r="C165">
        <v>30</v>
      </c>
      <c r="E165" s="4">
        <v>162</v>
      </c>
      <c r="F165">
        <v>25</v>
      </c>
      <c r="J165" s="52"/>
    </row>
    <row r="166" spans="2:10" x14ac:dyDescent="0.35">
      <c r="B166" s="4">
        <v>163</v>
      </c>
      <c r="C166">
        <v>107</v>
      </c>
      <c r="E166" s="4">
        <v>163</v>
      </c>
      <c r="F166">
        <v>71</v>
      </c>
      <c r="J166" s="51"/>
    </row>
    <row r="167" spans="2:10" x14ac:dyDescent="0.35">
      <c r="B167" s="4">
        <v>164</v>
      </c>
      <c r="C167">
        <v>69</v>
      </c>
      <c r="E167" s="4">
        <v>164</v>
      </c>
      <c r="F167">
        <v>105</v>
      </c>
      <c r="J167" s="52"/>
    </row>
    <row r="168" spans="2:10" x14ac:dyDescent="0.35">
      <c r="B168" s="4">
        <v>165</v>
      </c>
      <c r="C168">
        <v>36</v>
      </c>
      <c r="E168" s="4">
        <v>165</v>
      </c>
      <c r="F168">
        <v>56</v>
      </c>
      <c r="J168" s="51"/>
    </row>
    <row r="169" spans="2:10" x14ac:dyDescent="0.35">
      <c r="B169" s="4">
        <v>166</v>
      </c>
      <c r="C169">
        <v>18</v>
      </c>
      <c r="E169" s="4">
        <v>166</v>
      </c>
      <c r="F169">
        <v>22</v>
      </c>
      <c r="J169" s="52"/>
    </row>
    <row r="170" spans="2:10" x14ac:dyDescent="0.35">
      <c r="B170" s="4">
        <v>167</v>
      </c>
      <c r="C170">
        <v>62</v>
      </c>
      <c r="E170" s="4">
        <v>167</v>
      </c>
      <c r="F170">
        <v>76</v>
      </c>
      <c r="J170" s="51"/>
    </row>
    <row r="171" spans="2:10" x14ac:dyDescent="0.35">
      <c r="B171" s="4">
        <v>168</v>
      </c>
      <c r="C171">
        <v>18</v>
      </c>
      <c r="E171" s="4">
        <v>168</v>
      </c>
      <c r="F171">
        <v>7</v>
      </c>
      <c r="J171" s="52"/>
    </row>
    <row r="172" spans="2:10" x14ac:dyDescent="0.35">
      <c r="B172" s="4">
        <v>169</v>
      </c>
      <c r="C172">
        <v>62</v>
      </c>
      <c r="E172" s="4">
        <v>169</v>
      </c>
      <c r="F172">
        <v>110</v>
      </c>
      <c r="J172" s="51"/>
    </row>
    <row r="173" spans="2:10" x14ac:dyDescent="0.35">
      <c r="B173" s="4">
        <v>170</v>
      </c>
      <c r="C173">
        <v>98</v>
      </c>
      <c r="E173" s="4">
        <v>170</v>
      </c>
      <c r="F173">
        <v>73</v>
      </c>
      <c r="J173" s="52"/>
    </row>
    <row r="174" spans="2:10" x14ac:dyDescent="0.35">
      <c r="B174" s="4">
        <v>171</v>
      </c>
      <c r="C174">
        <v>58</v>
      </c>
      <c r="E174" s="4">
        <v>171</v>
      </c>
      <c r="F174">
        <v>51</v>
      </c>
      <c r="J174" s="51"/>
    </row>
    <row r="175" spans="2:10" x14ac:dyDescent="0.35">
      <c r="B175" s="4">
        <v>172</v>
      </c>
      <c r="C175">
        <v>28</v>
      </c>
      <c r="E175" s="4">
        <v>172</v>
      </c>
      <c r="F175">
        <v>27</v>
      </c>
      <c r="J175" s="52"/>
    </row>
    <row r="176" spans="2:10" x14ac:dyDescent="0.35">
      <c r="B176" s="4">
        <v>173</v>
      </c>
      <c r="C176">
        <v>72</v>
      </c>
      <c r="E176" s="4">
        <v>173</v>
      </c>
      <c r="F176">
        <v>67</v>
      </c>
      <c r="J176" s="51"/>
    </row>
    <row r="177" spans="2:10" x14ac:dyDescent="0.35">
      <c r="B177" s="4">
        <v>174</v>
      </c>
      <c r="C177">
        <v>24</v>
      </c>
      <c r="E177" s="4">
        <v>174</v>
      </c>
      <c r="F177">
        <v>12</v>
      </c>
      <c r="J177" s="52"/>
    </row>
    <row r="178" spans="2:10" x14ac:dyDescent="0.35">
      <c r="B178" s="4">
        <v>175</v>
      </c>
      <c r="C178">
        <v>59</v>
      </c>
      <c r="E178" s="4">
        <v>175</v>
      </c>
      <c r="F178">
        <v>47</v>
      </c>
      <c r="J178" s="51"/>
    </row>
    <row r="179" spans="2:10" x14ac:dyDescent="0.35">
      <c r="B179" s="4">
        <v>176</v>
      </c>
      <c r="C179">
        <v>24</v>
      </c>
      <c r="E179" s="4">
        <v>176</v>
      </c>
      <c r="F179">
        <v>48</v>
      </c>
      <c r="J179" s="52"/>
    </row>
    <row r="180" spans="2:10" x14ac:dyDescent="0.35">
      <c r="B180" s="4">
        <v>177</v>
      </c>
      <c r="C180">
        <v>71</v>
      </c>
      <c r="E180" s="4">
        <v>177</v>
      </c>
      <c r="F180">
        <v>142</v>
      </c>
      <c r="J180" s="51"/>
    </row>
    <row r="181" spans="2:10" x14ac:dyDescent="0.35">
      <c r="B181" s="4">
        <v>178</v>
      </c>
      <c r="C181">
        <v>83</v>
      </c>
      <c r="E181" s="4">
        <v>178</v>
      </c>
      <c r="F181">
        <v>146</v>
      </c>
      <c r="J181" s="52"/>
    </row>
    <row r="182" spans="2:10" x14ac:dyDescent="0.35">
      <c r="B182" s="4">
        <v>179</v>
      </c>
      <c r="C182">
        <v>24</v>
      </c>
      <c r="E182" s="4">
        <v>179</v>
      </c>
      <c r="F182">
        <v>26</v>
      </c>
      <c r="J182" s="51"/>
    </row>
    <row r="183" spans="2:10" x14ac:dyDescent="0.35">
      <c r="B183" s="4">
        <v>180</v>
      </c>
      <c r="C183">
        <v>67</v>
      </c>
      <c r="E183" s="4">
        <v>180</v>
      </c>
      <c r="F183">
        <v>161</v>
      </c>
      <c r="J183" s="52"/>
    </row>
    <row r="184" spans="2:10" x14ac:dyDescent="0.35">
      <c r="B184" s="4">
        <v>181</v>
      </c>
      <c r="C184">
        <v>11</v>
      </c>
      <c r="E184" s="4">
        <v>181</v>
      </c>
      <c r="F184">
        <v>55</v>
      </c>
      <c r="J184" s="51"/>
    </row>
    <row r="185" spans="2:10" x14ac:dyDescent="0.35">
      <c r="B185" s="4">
        <v>182</v>
      </c>
      <c r="C185">
        <v>16</v>
      </c>
      <c r="E185" s="4">
        <v>182</v>
      </c>
      <c r="F185">
        <v>11</v>
      </c>
      <c r="J185" s="52"/>
    </row>
    <row r="186" spans="2:10" x14ac:dyDescent="0.35">
      <c r="B186" s="4">
        <v>183</v>
      </c>
      <c r="C186">
        <v>103</v>
      </c>
      <c r="E186" s="4">
        <v>183</v>
      </c>
      <c r="F186">
        <v>166</v>
      </c>
      <c r="J186" s="51"/>
    </row>
    <row r="187" spans="2:10" x14ac:dyDescent="0.35">
      <c r="B187" s="4">
        <v>184</v>
      </c>
      <c r="C187">
        <v>85</v>
      </c>
      <c r="E187" s="4">
        <v>184</v>
      </c>
      <c r="F187">
        <v>29</v>
      </c>
      <c r="J187" s="52"/>
    </row>
    <row r="188" spans="2:10" x14ac:dyDescent="0.35">
      <c r="B188" s="4">
        <v>185</v>
      </c>
      <c r="C188">
        <v>36</v>
      </c>
      <c r="E188" s="4">
        <v>185</v>
      </c>
      <c r="F188">
        <v>40</v>
      </c>
      <c r="J188" s="51"/>
    </row>
    <row r="189" spans="2:10" x14ac:dyDescent="0.35">
      <c r="B189" s="4">
        <v>186</v>
      </c>
      <c r="C189">
        <v>108</v>
      </c>
      <c r="E189" s="4">
        <v>186</v>
      </c>
      <c r="F189">
        <v>93</v>
      </c>
      <c r="J189" s="52"/>
    </row>
    <row r="190" spans="2:10" x14ac:dyDescent="0.35">
      <c r="B190" s="4">
        <v>187</v>
      </c>
      <c r="C190">
        <v>86</v>
      </c>
      <c r="E190" s="4">
        <v>187</v>
      </c>
      <c r="F190">
        <v>126</v>
      </c>
      <c r="J190" s="51"/>
    </row>
    <row r="191" spans="2:10" x14ac:dyDescent="0.35">
      <c r="B191" s="4">
        <v>188</v>
      </c>
      <c r="C191">
        <v>34</v>
      </c>
      <c r="E191" s="4">
        <v>188</v>
      </c>
      <c r="F191">
        <v>105</v>
      </c>
      <c r="J191" s="52"/>
    </row>
    <row r="192" spans="2:10" x14ac:dyDescent="0.35">
      <c r="B192" s="4">
        <v>189</v>
      </c>
      <c r="C192">
        <v>80</v>
      </c>
      <c r="E192" s="4">
        <v>189</v>
      </c>
      <c r="F192">
        <v>117</v>
      </c>
      <c r="J192" s="51"/>
    </row>
    <row r="193" spans="2:10" x14ac:dyDescent="0.35">
      <c r="B193" s="4">
        <v>190</v>
      </c>
      <c r="C193">
        <v>79</v>
      </c>
      <c r="E193" s="4">
        <v>190</v>
      </c>
      <c r="F193">
        <v>102</v>
      </c>
      <c r="J193" s="52"/>
    </row>
    <row r="194" spans="2:10" x14ac:dyDescent="0.35">
      <c r="B194" s="4">
        <v>191</v>
      </c>
      <c r="C194">
        <v>66</v>
      </c>
      <c r="E194" s="4">
        <v>191</v>
      </c>
      <c r="F194">
        <v>87</v>
      </c>
      <c r="J194" s="51"/>
    </row>
    <row r="195" spans="2:10" x14ac:dyDescent="0.35">
      <c r="B195" s="4">
        <v>192</v>
      </c>
      <c r="C195">
        <v>30</v>
      </c>
      <c r="E195" s="4">
        <v>192</v>
      </c>
      <c r="F195">
        <v>26</v>
      </c>
      <c r="J195" s="52"/>
    </row>
    <row r="196" spans="2:10" x14ac:dyDescent="0.35">
      <c r="B196" s="4">
        <v>193</v>
      </c>
      <c r="C196">
        <v>88</v>
      </c>
      <c r="E196" s="4">
        <v>193</v>
      </c>
      <c r="F196">
        <v>171</v>
      </c>
      <c r="J196" s="51"/>
    </row>
    <row r="197" spans="2:10" x14ac:dyDescent="0.35">
      <c r="B197" s="4">
        <v>194</v>
      </c>
      <c r="C197">
        <v>38</v>
      </c>
      <c r="E197" s="4">
        <v>194</v>
      </c>
      <c r="F197">
        <v>68</v>
      </c>
      <c r="J197" s="52"/>
    </row>
    <row r="198" spans="2:10" x14ac:dyDescent="0.35">
      <c r="B198" s="4">
        <v>195</v>
      </c>
      <c r="C198">
        <v>20</v>
      </c>
      <c r="E198" s="4">
        <v>195</v>
      </c>
      <c r="F198">
        <v>51</v>
      </c>
      <c r="J198" s="51"/>
    </row>
    <row r="199" spans="2:10" x14ac:dyDescent="0.35">
      <c r="B199" s="4">
        <v>196</v>
      </c>
      <c r="C199">
        <v>78</v>
      </c>
      <c r="E199" s="4">
        <v>196</v>
      </c>
      <c r="F199">
        <v>176</v>
      </c>
      <c r="J199" s="52"/>
    </row>
    <row r="200" spans="2:10" x14ac:dyDescent="0.35">
      <c r="B200" s="4">
        <v>197</v>
      </c>
      <c r="C200">
        <v>53</v>
      </c>
      <c r="E200" s="4">
        <v>197</v>
      </c>
      <c r="F200">
        <v>72</v>
      </c>
      <c r="J200" s="51"/>
    </row>
    <row r="201" spans="2:10" x14ac:dyDescent="0.35">
      <c r="B201" s="4">
        <v>198</v>
      </c>
      <c r="C201">
        <v>22</v>
      </c>
      <c r="E201" s="4">
        <v>198</v>
      </c>
      <c r="F201">
        <v>33</v>
      </c>
      <c r="J201" s="52"/>
    </row>
    <row r="202" spans="2:10" x14ac:dyDescent="0.35">
      <c r="B202" s="4">
        <v>199</v>
      </c>
      <c r="C202">
        <v>105</v>
      </c>
      <c r="E202" s="4">
        <v>199</v>
      </c>
      <c r="F202">
        <v>142</v>
      </c>
      <c r="J202" s="51"/>
    </row>
    <row r="203" spans="2:10" x14ac:dyDescent="0.35">
      <c r="B203" s="4">
        <v>200</v>
      </c>
      <c r="C203">
        <v>36</v>
      </c>
      <c r="E203" s="4">
        <v>200</v>
      </c>
      <c r="F203">
        <v>67</v>
      </c>
      <c r="J203" s="52"/>
    </row>
    <row r="204" spans="2:10" x14ac:dyDescent="0.35">
      <c r="B204" s="4">
        <v>201</v>
      </c>
      <c r="C204">
        <v>30</v>
      </c>
      <c r="E204" s="4">
        <v>201</v>
      </c>
      <c r="F204">
        <v>58</v>
      </c>
      <c r="J204" s="51"/>
    </row>
    <row r="205" spans="2:10" x14ac:dyDescent="0.35">
      <c r="B205" s="4">
        <v>202</v>
      </c>
      <c r="C205">
        <v>80</v>
      </c>
      <c r="E205" s="4">
        <v>202</v>
      </c>
      <c r="F205">
        <v>156</v>
      </c>
      <c r="J205" s="52"/>
    </row>
    <row r="206" spans="2:10" x14ac:dyDescent="0.35">
      <c r="B206" s="4">
        <v>203</v>
      </c>
      <c r="C206">
        <v>60</v>
      </c>
      <c r="E206" s="4">
        <v>203</v>
      </c>
      <c r="F206">
        <v>85</v>
      </c>
      <c r="J206" s="51"/>
    </row>
    <row r="207" spans="2:10" x14ac:dyDescent="0.35">
      <c r="B207" s="4">
        <v>204</v>
      </c>
      <c r="C207">
        <v>20</v>
      </c>
      <c r="E207" s="4">
        <v>204</v>
      </c>
      <c r="F207">
        <v>21</v>
      </c>
      <c r="J207" s="52"/>
    </row>
    <row r="208" spans="2:10" x14ac:dyDescent="0.35">
      <c r="B208" s="4">
        <v>205</v>
      </c>
      <c r="C208">
        <v>25</v>
      </c>
      <c r="E208" s="4">
        <v>205</v>
      </c>
      <c r="F208">
        <v>86</v>
      </c>
      <c r="J208" s="51"/>
    </row>
    <row r="209" spans="2:10" x14ac:dyDescent="0.35">
      <c r="B209" s="4">
        <v>206</v>
      </c>
      <c r="C209">
        <v>12</v>
      </c>
      <c r="E209" s="4">
        <v>206</v>
      </c>
      <c r="F209">
        <v>58</v>
      </c>
      <c r="J209" s="52"/>
    </row>
    <row r="210" spans="2:10" x14ac:dyDescent="0.35">
      <c r="B210" s="4">
        <v>207</v>
      </c>
      <c r="C210">
        <v>72</v>
      </c>
      <c r="E210" s="4">
        <v>207</v>
      </c>
      <c r="F210">
        <v>111</v>
      </c>
      <c r="J210" s="51"/>
    </row>
    <row r="211" spans="2:10" x14ac:dyDescent="0.35">
      <c r="B211" s="4">
        <v>208</v>
      </c>
      <c r="C211">
        <v>71</v>
      </c>
      <c r="E211" s="4">
        <v>208</v>
      </c>
      <c r="F211">
        <v>100</v>
      </c>
      <c r="J211" s="52"/>
    </row>
    <row r="212" spans="2:10" x14ac:dyDescent="0.35">
      <c r="B212" s="4">
        <v>209</v>
      </c>
      <c r="C212">
        <v>87</v>
      </c>
      <c r="E212" s="4">
        <v>209</v>
      </c>
      <c r="F212">
        <v>171</v>
      </c>
      <c r="J212" s="51"/>
    </row>
    <row r="213" spans="2:10" x14ac:dyDescent="0.35">
      <c r="B213" s="4">
        <v>210</v>
      </c>
      <c r="C213">
        <v>75</v>
      </c>
      <c r="E213" s="4">
        <v>210</v>
      </c>
      <c r="F213">
        <v>158</v>
      </c>
      <c r="J213" s="52"/>
    </row>
    <row r="214" spans="2:10" x14ac:dyDescent="0.35">
      <c r="B214" s="4">
        <v>211</v>
      </c>
      <c r="C214">
        <v>68</v>
      </c>
      <c r="E214" s="4">
        <v>211</v>
      </c>
      <c r="F214">
        <v>135</v>
      </c>
      <c r="J214" s="51"/>
    </row>
    <row r="215" spans="2:10" x14ac:dyDescent="0.35">
      <c r="B215" s="4">
        <v>212</v>
      </c>
      <c r="C215">
        <v>101</v>
      </c>
      <c r="E215" s="4">
        <v>212</v>
      </c>
      <c r="F215">
        <v>164</v>
      </c>
      <c r="J215" s="52"/>
    </row>
    <row r="216" spans="2:10" x14ac:dyDescent="0.35">
      <c r="B216" s="4">
        <v>213</v>
      </c>
      <c r="C216">
        <v>35</v>
      </c>
      <c r="E216" s="4">
        <v>213</v>
      </c>
      <c r="F216">
        <v>100</v>
      </c>
      <c r="J216" s="51"/>
    </row>
    <row r="217" spans="2:10" x14ac:dyDescent="0.35">
      <c r="B217" s="4">
        <v>214</v>
      </c>
      <c r="C217">
        <v>89</v>
      </c>
      <c r="E217" s="4">
        <v>214</v>
      </c>
      <c r="F217">
        <v>38</v>
      </c>
      <c r="J217" s="52"/>
    </row>
    <row r="218" spans="2:10" x14ac:dyDescent="0.35">
      <c r="B218" s="4">
        <v>215</v>
      </c>
      <c r="C218">
        <v>64</v>
      </c>
      <c r="E218" s="4">
        <v>215</v>
      </c>
      <c r="F218">
        <v>46</v>
      </c>
      <c r="J218" s="51"/>
    </row>
    <row r="219" spans="2:10" x14ac:dyDescent="0.35">
      <c r="B219" s="4">
        <v>216</v>
      </c>
      <c r="C219">
        <v>56</v>
      </c>
      <c r="E219" s="4">
        <v>216</v>
      </c>
      <c r="F219">
        <v>120</v>
      </c>
      <c r="J219" s="52"/>
    </row>
    <row r="220" spans="2:10" x14ac:dyDescent="0.35">
      <c r="B220" s="4">
        <v>217</v>
      </c>
      <c r="C220">
        <v>39</v>
      </c>
      <c r="E220" s="4">
        <v>217</v>
      </c>
      <c r="F220">
        <v>13</v>
      </c>
      <c r="J220" s="51"/>
    </row>
    <row r="221" spans="2:10" x14ac:dyDescent="0.35">
      <c r="B221" s="4">
        <v>218</v>
      </c>
      <c r="C221">
        <v>75</v>
      </c>
      <c r="E221" s="4">
        <v>218</v>
      </c>
      <c r="F221">
        <v>46</v>
      </c>
      <c r="J221" s="52"/>
    </row>
    <row r="222" spans="2:10" x14ac:dyDescent="0.35">
      <c r="B222" s="4">
        <v>219</v>
      </c>
      <c r="C222">
        <v>54</v>
      </c>
      <c r="E222" s="4">
        <v>219</v>
      </c>
      <c r="F222">
        <v>23</v>
      </c>
      <c r="J222" s="51"/>
    </row>
    <row r="223" spans="2:10" x14ac:dyDescent="0.35">
      <c r="B223" s="4">
        <v>220</v>
      </c>
      <c r="C223">
        <v>10</v>
      </c>
      <c r="E223" s="4">
        <v>220</v>
      </c>
      <c r="F223">
        <v>13</v>
      </c>
      <c r="J223" s="52"/>
    </row>
    <row r="224" spans="2:10" x14ac:dyDescent="0.35">
      <c r="B224" s="4">
        <v>221</v>
      </c>
      <c r="C224">
        <v>79</v>
      </c>
      <c r="E224" s="4">
        <v>221</v>
      </c>
      <c r="F224">
        <v>108</v>
      </c>
      <c r="J224" s="51"/>
    </row>
    <row r="225" spans="2:10" x14ac:dyDescent="0.35">
      <c r="B225" s="4">
        <v>222</v>
      </c>
      <c r="C225">
        <v>39</v>
      </c>
      <c r="E225" s="4">
        <v>222</v>
      </c>
      <c r="F225">
        <v>85</v>
      </c>
      <c r="J225" s="52"/>
    </row>
    <row r="226" spans="2:10" x14ac:dyDescent="0.35">
      <c r="B226" s="4">
        <v>223</v>
      </c>
      <c r="C226">
        <v>13</v>
      </c>
      <c r="E226" s="4">
        <v>223</v>
      </c>
      <c r="F226">
        <v>53</v>
      </c>
      <c r="J226" s="51"/>
    </row>
    <row r="227" spans="2:10" x14ac:dyDescent="0.35">
      <c r="B227" s="4">
        <v>224</v>
      </c>
      <c r="C227">
        <v>22</v>
      </c>
      <c r="E227" s="4">
        <v>224</v>
      </c>
      <c r="F227">
        <v>20</v>
      </c>
      <c r="J227" s="52"/>
    </row>
    <row r="228" spans="2:10" x14ac:dyDescent="0.35">
      <c r="B228" s="4">
        <v>225</v>
      </c>
      <c r="C228">
        <v>66</v>
      </c>
      <c r="E228" s="4">
        <v>225</v>
      </c>
      <c r="F228">
        <v>94</v>
      </c>
      <c r="J228" s="51"/>
    </row>
    <row r="229" spans="2:10" x14ac:dyDescent="0.35">
      <c r="B229" s="4">
        <v>226</v>
      </c>
      <c r="C229">
        <v>69</v>
      </c>
      <c r="E229" s="4">
        <v>226</v>
      </c>
      <c r="F229">
        <v>146</v>
      </c>
      <c r="J229" s="52"/>
    </row>
    <row r="230" spans="2:10" x14ac:dyDescent="0.35">
      <c r="B230" s="4">
        <v>227</v>
      </c>
      <c r="C230">
        <v>84</v>
      </c>
      <c r="E230" s="4">
        <v>227</v>
      </c>
      <c r="F230">
        <v>119</v>
      </c>
      <c r="J230" s="51"/>
    </row>
    <row r="231" spans="2:10" x14ac:dyDescent="0.35">
      <c r="B231" s="4">
        <v>228</v>
      </c>
      <c r="C231">
        <v>27</v>
      </c>
      <c r="E231" s="4">
        <v>228</v>
      </c>
      <c r="F231">
        <v>35</v>
      </c>
      <c r="J231" s="52"/>
    </row>
    <row r="232" spans="2:10" x14ac:dyDescent="0.35">
      <c r="B232" s="4">
        <v>229</v>
      </c>
      <c r="C232">
        <v>50</v>
      </c>
      <c r="E232" s="4">
        <v>229</v>
      </c>
      <c r="F232">
        <v>117</v>
      </c>
      <c r="J232" s="51"/>
    </row>
    <row r="233" spans="2:10" x14ac:dyDescent="0.35">
      <c r="B233" s="4">
        <v>230</v>
      </c>
      <c r="C233">
        <v>87</v>
      </c>
      <c r="E233" s="4">
        <v>230</v>
      </c>
      <c r="F233">
        <v>91</v>
      </c>
      <c r="J233" s="52"/>
    </row>
    <row r="234" spans="2:10" x14ac:dyDescent="0.35">
      <c r="B234" s="4">
        <v>231</v>
      </c>
      <c r="C234">
        <v>83</v>
      </c>
      <c r="E234" s="4">
        <v>231</v>
      </c>
      <c r="F234">
        <v>150</v>
      </c>
      <c r="J234" s="51"/>
    </row>
    <row r="235" spans="2:10" x14ac:dyDescent="0.35">
      <c r="B235" s="4">
        <v>232</v>
      </c>
      <c r="C235">
        <v>78</v>
      </c>
      <c r="E235" s="4">
        <v>232</v>
      </c>
      <c r="F235">
        <v>139</v>
      </c>
      <c r="J235" s="52"/>
    </row>
    <row r="236" spans="2:10" x14ac:dyDescent="0.35">
      <c r="B236" s="4">
        <v>233</v>
      </c>
      <c r="C236">
        <v>16</v>
      </c>
      <c r="E236" s="4">
        <v>233</v>
      </c>
      <c r="F236">
        <v>31</v>
      </c>
      <c r="J236" s="51"/>
    </row>
    <row r="237" spans="2:10" x14ac:dyDescent="0.35">
      <c r="B237" s="4">
        <v>234</v>
      </c>
      <c r="C237">
        <v>90</v>
      </c>
      <c r="E237" s="4">
        <v>234</v>
      </c>
      <c r="F237">
        <v>99</v>
      </c>
      <c r="J237" s="52"/>
    </row>
    <row r="238" spans="2:10" x14ac:dyDescent="0.35">
      <c r="B238" s="4">
        <v>235</v>
      </c>
      <c r="C238">
        <v>13</v>
      </c>
      <c r="E238" s="4">
        <v>235</v>
      </c>
      <c r="F238">
        <v>25</v>
      </c>
      <c r="J238" s="51"/>
    </row>
    <row r="239" spans="2:10" x14ac:dyDescent="0.35">
      <c r="B239" s="4">
        <v>236</v>
      </c>
      <c r="C239">
        <v>102</v>
      </c>
      <c r="E239" s="4">
        <v>236</v>
      </c>
      <c r="F239">
        <v>101</v>
      </c>
      <c r="J239" s="52"/>
    </row>
    <row r="240" spans="2:10" x14ac:dyDescent="0.35">
      <c r="B240" s="4">
        <v>237</v>
      </c>
      <c r="C240">
        <v>42</v>
      </c>
      <c r="E240" s="4">
        <v>237</v>
      </c>
      <c r="F240">
        <v>37</v>
      </c>
      <c r="J240" s="51"/>
    </row>
    <row r="241" spans="2:10" x14ac:dyDescent="0.35">
      <c r="B241" s="4">
        <v>238</v>
      </c>
      <c r="C241">
        <v>28</v>
      </c>
      <c r="E241" s="4">
        <v>238</v>
      </c>
      <c r="F241">
        <v>45</v>
      </c>
      <c r="J241" s="52"/>
    </row>
    <row r="242" spans="2:10" x14ac:dyDescent="0.35">
      <c r="B242" s="4">
        <v>239</v>
      </c>
      <c r="C242">
        <v>31</v>
      </c>
      <c r="E242" s="4">
        <v>239</v>
      </c>
      <c r="F242">
        <v>73</v>
      </c>
      <c r="J242" s="51"/>
    </row>
    <row r="243" spans="2:10" x14ac:dyDescent="0.35">
      <c r="B243" s="4">
        <v>240</v>
      </c>
      <c r="C243">
        <v>118</v>
      </c>
      <c r="E243" s="4">
        <v>240</v>
      </c>
      <c r="F243">
        <v>129</v>
      </c>
      <c r="J243" s="52"/>
    </row>
    <row r="244" spans="2:10" x14ac:dyDescent="0.35">
      <c r="B244" s="4">
        <v>241</v>
      </c>
      <c r="C244">
        <v>8</v>
      </c>
      <c r="E244" s="4">
        <v>241</v>
      </c>
      <c r="F244">
        <v>11</v>
      </c>
      <c r="J244" s="51"/>
    </row>
    <row r="245" spans="2:10" x14ac:dyDescent="0.35">
      <c r="B245" s="4">
        <v>242</v>
      </c>
      <c r="C245">
        <v>54</v>
      </c>
      <c r="E245" s="4">
        <v>242</v>
      </c>
      <c r="F245">
        <v>99</v>
      </c>
      <c r="J245" s="52"/>
    </row>
    <row r="246" spans="2:10" x14ac:dyDescent="0.35">
      <c r="B246" s="4">
        <v>243</v>
      </c>
      <c r="C246">
        <v>45</v>
      </c>
      <c r="E246" s="4">
        <v>243</v>
      </c>
      <c r="F246">
        <v>22</v>
      </c>
      <c r="J246" s="51"/>
    </row>
    <row r="247" spans="2:10" x14ac:dyDescent="0.35">
      <c r="B247" s="4">
        <v>244</v>
      </c>
      <c r="C247">
        <v>61</v>
      </c>
      <c r="E247" s="4">
        <v>244</v>
      </c>
      <c r="F247">
        <v>89</v>
      </c>
      <c r="J247" s="52"/>
    </row>
    <row r="248" spans="2:10" x14ac:dyDescent="0.35">
      <c r="B248" s="4">
        <v>245</v>
      </c>
      <c r="C248">
        <v>108</v>
      </c>
      <c r="E248" s="4">
        <v>245</v>
      </c>
      <c r="F248">
        <v>116</v>
      </c>
      <c r="J248" s="51"/>
    </row>
    <row r="249" spans="2:10" x14ac:dyDescent="0.35">
      <c r="B249" s="4">
        <v>246</v>
      </c>
      <c r="C249">
        <v>131</v>
      </c>
      <c r="E249" s="4">
        <v>246</v>
      </c>
      <c r="F249">
        <v>146</v>
      </c>
      <c r="J249" s="52"/>
    </row>
    <row r="250" spans="2:10" x14ac:dyDescent="0.35">
      <c r="B250" s="4">
        <v>247</v>
      </c>
      <c r="C250">
        <v>26</v>
      </c>
      <c r="E250" s="4">
        <v>247</v>
      </c>
      <c r="F250">
        <v>59</v>
      </c>
      <c r="J250" s="51"/>
    </row>
    <row r="251" spans="2:10" x14ac:dyDescent="0.35">
      <c r="B251" s="4">
        <v>248</v>
      </c>
      <c r="C251">
        <v>92</v>
      </c>
      <c r="E251" s="4">
        <v>248</v>
      </c>
      <c r="F251">
        <v>120</v>
      </c>
      <c r="J251" s="52"/>
    </row>
    <row r="252" spans="2:10" x14ac:dyDescent="0.35">
      <c r="B252" s="4">
        <v>249</v>
      </c>
      <c r="C252">
        <v>34</v>
      </c>
      <c r="E252" s="4">
        <v>249</v>
      </c>
      <c r="F252">
        <v>109</v>
      </c>
      <c r="J252" s="51"/>
    </row>
    <row r="253" spans="2:10" x14ac:dyDescent="0.35">
      <c r="B253" s="4">
        <v>250</v>
      </c>
      <c r="C253">
        <v>8</v>
      </c>
      <c r="E253" s="4">
        <v>250</v>
      </c>
      <c r="F253">
        <v>29</v>
      </c>
      <c r="J253" s="52"/>
    </row>
    <row r="254" spans="2:10" x14ac:dyDescent="0.35">
      <c r="B254" s="4">
        <v>251</v>
      </c>
      <c r="C254">
        <v>45</v>
      </c>
      <c r="E254" s="4">
        <v>251</v>
      </c>
      <c r="F254">
        <v>122</v>
      </c>
      <c r="J254" s="51"/>
    </row>
    <row r="255" spans="2:10" x14ac:dyDescent="0.35">
      <c r="B255" s="4">
        <v>252</v>
      </c>
      <c r="C255">
        <v>42</v>
      </c>
      <c r="E255" s="4">
        <v>252</v>
      </c>
      <c r="F255">
        <v>84</v>
      </c>
      <c r="J255" s="52"/>
    </row>
    <row r="256" spans="2:10" x14ac:dyDescent="0.35">
      <c r="B256" s="4">
        <v>253</v>
      </c>
      <c r="C256">
        <v>62</v>
      </c>
      <c r="E256" s="4">
        <v>253</v>
      </c>
      <c r="F256">
        <v>55</v>
      </c>
      <c r="J256" s="51"/>
    </row>
    <row r="257" spans="2:10" x14ac:dyDescent="0.35">
      <c r="B257" s="4">
        <v>254</v>
      </c>
      <c r="C257">
        <v>122</v>
      </c>
      <c r="E257" s="4">
        <v>254</v>
      </c>
      <c r="F257">
        <v>141</v>
      </c>
      <c r="J257" s="52"/>
    </row>
    <row r="258" spans="2:10" x14ac:dyDescent="0.35">
      <c r="B258" s="4">
        <v>255</v>
      </c>
      <c r="C258">
        <v>10</v>
      </c>
      <c r="E258" s="4">
        <v>255</v>
      </c>
      <c r="F258">
        <v>37</v>
      </c>
      <c r="J258" s="51"/>
    </row>
    <row r="259" spans="2:10" x14ac:dyDescent="0.35">
      <c r="B259" s="4">
        <v>256</v>
      </c>
      <c r="C259">
        <v>8</v>
      </c>
      <c r="E259" s="4">
        <v>256</v>
      </c>
      <c r="F259">
        <v>16</v>
      </c>
      <c r="J259" s="52"/>
    </row>
    <row r="260" spans="2:10" x14ac:dyDescent="0.35">
      <c r="B260" s="4">
        <v>257</v>
      </c>
      <c r="C260">
        <v>18</v>
      </c>
      <c r="E260" s="4">
        <v>257</v>
      </c>
      <c r="F260">
        <v>28</v>
      </c>
      <c r="J260" s="51"/>
    </row>
    <row r="261" spans="2:10" x14ac:dyDescent="0.35">
      <c r="B261" s="4">
        <v>258</v>
      </c>
      <c r="C261">
        <v>46</v>
      </c>
      <c r="E261" s="4">
        <v>258</v>
      </c>
      <c r="F261">
        <v>105</v>
      </c>
      <c r="J261" s="52"/>
    </row>
    <row r="262" spans="2:10" x14ac:dyDescent="0.35">
      <c r="B262" s="4">
        <v>259</v>
      </c>
      <c r="C262">
        <v>33</v>
      </c>
      <c r="E262" s="4">
        <v>259</v>
      </c>
      <c r="F262">
        <v>11</v>
      </c>
      <c r="J262" s="51"/>
    </row>
    <row r="263" spans="2:10" x14ac:dyDescent="0.35">
      <c r="B263" s="4">
        <v>260</v>
      </c>
      <c r="C263">
        <v>27</v>
      </c>
      <c r="E263" s="4">
        <v>260</v>
      </c>
      <c r="F263">
        <v>49</v>
      </c>
      <c r="J263" s="52"/>
    </row>
    <row r="264" spans="2:10" x14ac:dyDescent="0.35">
      <c r="B264" s="4">
        <v>261</v>
      </c>
      <c r="C264">
        <v>63</v>
      </c>
      <c r="E264" s="4">
        <v>261</v>
      </c>
      <c r="F264">
        <v>55</v>
      </c>
      <c r="J264" s="51"/>
    </row>
    <row r="265" spans="2:10" x14ac:dyDescent="0.35">
      <c r="B265" s="4">
        <v>262</v>
      </c>
      <c r="C265">
        <v>45</v>
      </c>
      <c r="E265" s="4">
        <v>262</v>
      </c>
      <c r="F265">
        <v>48</v>
      </c>
      <c r="J265" s="52"/>
    </row>
    <row r="266" spans="2:10" x14ac:dyDescent="0.35">
      <c r="B266" s="4">
        <v>263</v>
      </c>
      <c r="C266">
        <v>49</v>
      </c>
      <c r="E266" s="4">
        <v>263</v>
      </c>
      <c r="F266">
        <v>149</v>
      </c>
      <c r="J266" s="51"/>
    </row>
    <row r="267" spans="2:10" x14ac:dyDescent="0.35">
      <c r="B267" s="4">
        <v>264</v>
      </c>
      <c r="C267">
        <v>73</v>
      </c>
      <c r="E267" s="4">
        <v>264</v>
      </c>
      <c r="F267">
        <v>117</v>
      </c>
      <c r="J267" s="52"/>
    </row>
    <row r="268" spans="2:10" x14ac:dyDescent="0.35">
      <c r="B268" s="4">
        <v>265</v>
      </c>
      <c r="C268">
        <v>68</v>
      </c>
      <c r="E268" s="4">
        <v>265</v>
      </c>
      <c r="F268">
        <v>135</v>
      </c>
      <c r="J268" s="51"/>
    </row>
    <row r="269" spans="2:10" x14ac:dyDescent="0.35">
      <c r="B269" s="4">
        <v>266</v>
      </c>
      <c r="C269">
        <v>40</v>
      </c>
      <c r="E269" s="4">
        <v>266</v>
      </c>
      <c r="F269">
        <v>106</v>
      </c>
      <c r="J269" s="52"/>
    </row>
    <row r="270" spans="2:10" x14ac:dyDescent="0.35">
      <c r="B270" s="4">
        <v>267</v>
      </c>
      <c r="C270">
        <v>49</v>
      </c>
      <c r="E270" s="4">
        <v>267</v>
      </c>
      <c r="F270">
        <v>96</v>
      </c>
      <c r="J270" s="51"/>
    </row>
    <row r="271" spans="2:10" x14ac:dyDescent="0.35">
      <c r="B271" s="4">
        <v>268</v>
      </c>
      <c r="C271">
        <v>28</v>
      </c>
      <c r="E271" s="4">
        <v>268</v>
      </c>
      <c r="F271">
        <v>83</v>
      </c>
      <c r="J271" s="52"/>
    </row>
    <row r="272" spans="2:10" x14ac:dyDescent="0.35">
      <c r="B272" s="4">
        <v>269</v>
      </c>
      <c r="C272">
        <v>99</v>
      </c>
      <c r="E272" s="4">
        <v>269</v>
      </c>
      <c r="F272">
        <v>101</v>
      </c>
      <c r="J272" s="51"/>
    </row>
    <row r="273" spans="2:10" x14ac:dyDescent="0.35">
      <c r="B273" s="4">
        <v>270</v>
      </c>
      <c r="C273">
        <v>42</v>
      </c>
      <c r="E273" s="4">
        <v>270</v>
      </c>
      <c r="F273">
        <v>26</v>
      </c>
      <c r="J273" s="52"/>
    </row>
    <row r="274" spans="2:10" x14ac:dyDescent="0.35">
      <c r="B274" s="4">
        <v>271</v>
      </c>
      <c r="C274">
        <v>18</v>
      </c>
      <c r="E274" s="4">
        <v>271</v>
      </c>
      <c r="F274">
        <v>55</v>
      </c>
      <c r="J274" s="51"/>
    </row>
    <row r="275" spans="2:10" x14ac:dyDescent="0.35">
      <c r="B275" s="4">
        <v>272</v>
      </c>
      <c r="C275">
        <v>34</v>
      </c>
      <c r="E275" s="4">
        <v>272</v>
      </c>
      <c r="F275">
        <v>83</v>
      </c>
      <c r="J275" s="52"/>
    </row>
    <row r="276" spans="2:10" x14ac:dyDescent="0.35">
      <c r="B276" s="4">
        <v>273</v>
      </c>
      <c r="C276">
        <v>50</v>
      </c>
      <c r="E276" s="4">
        <v>273</v>
      </c>
      <c r="F276">
        <v>67</v>
      </c>
      <c r="J276" s="51"/>
    </row>
    <row r="277" spans="2:10" x14ac:dyDescent="0.35">
      <c r="B277" s="4">
        <v>274</v>
      </c>
      <c r="C277">
        <v>49</v>
      </c>
      <c r="E277" s="4">
        <v>274</v>
      </c>
      <c r="F277">
        <v>75</v>
      </c>
      <c r="J277" s="52"/>
    </row>
    <row r="278" spans="2:10" x14ac:dyDescent="0.35">
      <c r="B278" s="4">
        <v>275</v>
      </c>
      <c r="C278">
        <v>48</v>
      </c>
      <c r="E278" s="4">
        <v>275</v>
      </c>
      <c r="F278">
        <v>122</v>
      </c>
      <c r="J278" s="51"/>
    </row>
    <row r="279" spans="2:10" x14ac:dyDescent="0.35">
      <c r="B279" s="4">
        <v>276</v>
      </c>
      <c r="C279">
        <v>29</v>
      </c>
      <c r="E279" s="4">
        <v>276</v>
      </c>
      <c r="F279">
        <v>85</v>
      </c>
      <c r="J279" s="52"/>
    </row>
    <row r="280" spans="2:10" x14ac:dyDescent="0.35">
      <c r="B280" s="4">
        <v>277</v>
      </c>
      <c r="C280">
        <v>36</v>
      </c>
      <c r="E280" s="4">
        <v>277</v>
      </c>
      <c r="F280">
        <v>29</v>
      </c>
      <c r="J280" s="51"/>
    </row>
    <row r="281" spans="2:10" x14ac:dyDescent="0.35">
      <c r="B281" s="4">
        <v>278</v>
      </c>
      <c r="C281">
        <v>56</v>
      </c>
      <c r="E281" s="4">
        <v>278</v>
      </c>
      <c r="F281">
        <v>61</v>
      </c>
      <c r="J281" s="52"/>
    </row>
    <row r="282" spans="2:10" x14ac:dyDescent="0.35">
      <c r="B282" s="4">
        <v>279</v>
      </c>
      <c r="C282">
        <v>79</v>
      </c>
      <c r="E282" s="4">
        <v>279</v>
      </c>
      <c r="F282">
        <v>142</v>
      </c>
      <c r="J282" s="51"/>
    </row>
    <row r="283" spans="2:10" x14ac:dyDescent="0.35">
      <c r="B283" s="4">
        <v>280</v>
      </c>
      <c r="C283">
        <v>47</v>
      </c>
      <c r="E283" s="4">
        <v>280</v>
      </c>
      <c r="F283">
        <v>86</v>
      </c>
      <c r="J283" s="52"/>
    </row>
    <row r="284" spans="2:10" x14ac:dyDescent="0.35">
      <c r="B284" s="4">
        <v>281</v>
      </c>
      <c r="C284">
        <v>26</v>
      </c>
      <c r="E284" s="4">
        <v>281</v>
      </c>
      <c r="F284">
        <v>9</v>
      </c>
      <c r="J284" s="51"/>
    </row>
    <row r="285" spans="2:10" x14ac:dyDescent="0.35">
      <c r="B285" s="4">
        <v>282</v>
      </c>
      <c r="C285">
        <v>32</v>
      </c>
      <c r="E285" s="4">
        <v>282</v>
      </c>
      <c r="F285">
        <v>114</v>
      </c>
      <c r="J285" s="52"/>
    </row>
    <row r="286" spans="2:10" x14ac:dyDescent="0.35">
      <c r="B286" s="4">
        <v>283</v>
      </c>
      <c r="C286">
        <v>33</v>
      </c>
      <c r="E286" s="4">
        <v>283</v>
      </c>
      <c r="F286">
        <v>6</v>
      </c>
      <c r="J286" s="51"/>
    </row>
    <row r="287" spans="2:10" x14ac:dyDescent="0.35">
      <c r="B287" s="4">
        <v>284</v>
      </c>
      <c r="C287">
        <v>64</v>
      </c>
      <c r="E287" s="4">
        <v>284</v>
      </c>
      <c r="F287">
        <v>195</v>
      </c>
      <c r="J287" s="52"/>
    </row>
    <row r="288" spans="2:10" x14ac:dyDescent="0.35">
      <c r="B288" s="4">
        <v>285</v>
      </c>
      <c r="C288">
        <v>16</v>
      </c>
      <c r="E288" s="4">
        <v>285</v>
      </c>
      <c r="F288">
        <v>12</v>
      </c>
      <c r="J288" s="51"/>
    </row>
    <row r="289" spans="2:10" x14ac:dyDescent="0.35">
      <c r="B289" s="4">
        <v>286</v>
      </c>
      <c r="C289">
        <v>28</v>
      </c>
      <c r="E289" s="4">
        <v>286</v>
      </c>
      <c r="F289">
        <v>25</v>
      </c>
      <c r="J289" s="52"/>
    </row>
    <row r="290" spans="2:10" x14ac:dyDescent="0.35">
      <c r="B290" s="4">
        <v>287</v>
      </c>
      <c r="C290">
        <v>81</v>
      </c>
      <c r="E290" s="4">
        <v>287</v>
      </c>
      <c r="F290">
        <v>121</v>
      </c>
      <c r="J290" s="51"/>
    </row>
    <row r="291" spans="2:10" x14ac:dyDescent="0.35">
      <c r="B291" s="4">
        <v>288</v>
      </c>
      <c r="C291">
        <v>36</v>
      </c>
      <c r="E291" s="4">
        <v>288</v>
      </c>
      <c r="F291">
        <v>38</v>
      </c>
      <c r="J291" s="52"/>
    </row>
    <row r="292" spans="2:10" x14ac:dyDescent="0.35">
      <c r="B292" s="4">
        <v>289</v>
      </c>
      <c r="C292">
        <v>57</v>
      </c>
      <c r="E292" s="4">
        <v>289</v>
      </c>
      <c r="F292">
        <v>68</v>
      </c>
      <c r="J292" s="51"/>
    </row>
    <row r="293" spans="2:10" x14ac:dyDescent="0.35">
      <c r="B293" s="4">
        <v>290</v>
      </c>
      <c r="C293">
        <v>15</v>
      </c>
      <c r="E293" s="4">
        <v>290</v>
      </c>
      <c r="F293">
        <v>57</v>
      </c>
      <c r="J293" s="52"/>
    </row>
    <row r="294" spans="2:10" x14ac:dyDescent="0.35">
      <c r="B294" s="4">
        <v>291</v>
      </c>
      <c r="C294">
        <v>104</v>
      </c>
      <c r="E294" s="4">
        <v>291</v>
      </c>
      <c r="F294">
        <v>95</v>
      </c>
      <c r="J294" s="51"/>
    </row>
    <row r="295" spans="2:10" x14ac:dyDescent="0.35">
      <c r="B295" s="4">
        <v>292</v>
      </c>
      <c r="C295">
        <v>36</v>
      </c>
      <c r="E295" s="4">
        <v>292</v>
      </c>
      <c r="F295">
        <v>23</v>
      </c>
      <c r="J295" s="52"/>
    </row>
    <row r="296" spans="2:10" x14ac:dyDescent="0.35">
      <c r="B296" s="4">
        <v>293</v>
      </c>
      <c r="C296">
        <v>88</v>
      </c>
      <c r="E296" s="4">
        <v>293</v>
      </c>
      <c r="F296">
        <v>120</v>
      </c>
      <c r="J296" s="51"/>
    </row>
    <row r="297" spans="2:10" x14ac:dyDescent="0.35">
      <c r="B297" s="4">
        <v>294</v>
      </c>
      <c r="C297">
        <v>132</v>
      </c>
      <c r="E297" s="4">
        <v>294</v>
      </c>
      <c r="F297">
        <v>86</v>
      </c>
      <c r="J297" s="52"/>
    </row>
    <row r="298" spans="2:10" x14ac:dyDescent="0.35">
      <c r="B298" s="4">
        <v>295</v>
      </c>
      <c r="C298">
        <v>97</v>
      </c>
      <c r="E298" s="4">
        <v>295</v>
      </c>
      <c r="F298">
        <v>177</v>
      </c>
      <c r="J298" s="51"/>
    </row>
    <row r="299" spans="2:10" x14ac:dyDescent="0.35">
      <c r="B299" s="4">
        <v>296</v>
      </c>
      <c r="C299">
        <v>23</v>
      </c>
      <c r="E299" s="4">
        <v>296</v>
      </c>
      <c r="F299">
        <v>46</v>
      </c>
      <c r="J299" s="52"/>
    </row>
    <row r="300" spans="2:10" x14ac:dyDescent="0.35">
      <c r="B300" s="4">
        <v>297</v>
      </c>
      <c r="C300">
        <v>72</v>
      </c>
      <c r="E300" s="4">
        <v>297</v>
      </c>
      <c r="F300">
        <v>112</v>
      </c>
      <c r="J300" s="51"/>
    </row>
    <row r="301" spans="2:10" x14ac:dyDescent="0.35">
      <c r="B301" s="4">
        <v>298</v>
      </c>
      <c r="C301">
        <v>102</v>
      </c>
      <c r="E301" s="4">
        <v>298</v>
      </c>
      <c r="F301">
        <v>141</v>
      </c>
      <c r="J301" s="52"/>
    </row>
    <row r="302" spans="2:10" x14ac:dyDescent="0.35">
      <c r="B302" s="4">
        <v>299</v>
      </c>
      <c r="C302">
        <v>74</v>
      </c>
      <c r="E302" s="4">
        <v>299</v>
      </c>
      <c r="F302">
        <v>113</v>
      </c>
      <c r="J302" s="51"/>
    </row>
    <row r="303" spans="2:10" x14ac:dyDescent="0.35">
      <c r="B303" s="4">
        <v>300</v>
      </c>
      <c r="C303">
        <v>116</v>
      </c>
      <c r="E303" s="4">
        <v>300</v>
      </c>
      <c r="F303">
        <v>118</v>
      </c>
      <c r="J303" s="52"/>
    </row>
    <row r="304" spans="2:10" x14ac:dyDescent="0.35">
      <c r="B304" s="4">
        <v>301</v>
      </c>
      <c r="C304">
        <v>90</v>
      </c>
      <c r="E304" s="4">
        <v>301</v>
      </c>
      <c r="F304">
        <v>183</v>
      </c>
      <c r="J304" s="51"/>
    </row>
    <row r="305" spans="2:10" x14ac:dyDescent="0.35">
      <c r="B305" s="4">
        <v>302</v>
      </c>
      <c r="C305">
        <v>39</v>
      </c>
      <c r="E305" s="4">
        <v>302</v>
      </c>
      <c r="F305">
        <v>15</v>
      </c>
      <c r="J305" s="52"/>
    </row>
    <row r="306" spans="2:10" x14ac:dyDescent="0.35">
      <c r="B306" s="4">
        <v>303</v>
      </c>
      <c r="C306">
        <v>82</v>
      </c>
      <c r="E306" s="4">
        <v>303</v>
      </c>
      <c r="F306">
        <v>92</v>
      </c>
      <c r="J306" s="51"/>
    </row>
    <row r="307" spans="2:10" x14ac:dyDescent="0.35">
      <c r="B307" s="4">
        <v>304</v>
      </c>
      <c r="C307">
        <v>108</v>
      </c>
      <c r="E307" s="4">
        <v>304</v>
      </c>
      <c r="F307">
        <v>85</v>
      </c>
      <c r="J307" s="52"/>
    </row>
    <row r="308" spans="2:10" x14ac:dyDescent="0.35">
      <c r="B308" s="4">
        <v>305</v>
      </c>
      <c r="C308">
        <v>51</v>
      </c>
      <c r="E308" s="4">
        <v>305</v>
      </c>
      <c r="F308">
        <v>65</v>
      </c>
      <c r="J308" s="51"/>
    </row>
    <row r="309" spans="2:10" x14ac:dyDescent="0.35">
      <c r="B309" s="4">
        <v>306</v>
      </c>
      <c r="C309">
        <v>13</v>
      </c>
      <c r="E309" s="4">
        <v>306</v>
      </c>
      <c r="F309">
        <v>21</v>
      </c>
      <c r="J309" s="52"/>
    </row>
    <row r="310" spans="2:10" x14ac:dyDescent="0.35">
      <c r="B310" s="4">
        <v>307</v>
      </c>
      <c r="C310">
        <v>24</v>
      </c>
      <c r="E310" s="4">
        <v>307</v>
      </c>
      <c r="F310">
        <v>39</v>
      </c>
      <c r="J310" s="51"/>
    </row>
    <row r="311" spans="2:10" x14ac:dyDescent="0.35">
      <c r="B311" s="4">
        <v>308</v>
      </c>
      <c r="C311">
        <v>90</v>
      </c>
      <c r="E311" s="4">
        <v>308</v>
      </c>
      <c r="F311">
        <v>186</v>
      </c>
      <c r="J311" s="52"/>
    </row>
    <row r="312" spans="2:10" x14ac:dyDescent="0.35">
      <c r="B312" s="4">
        <v>309</v>
      </c>
      <c r="C312">
        <v>67</v>
      </c>
      <c r="E312" s="4">
        <v>309</v>
      </c>
      <c r="F312">
        <v>123</v>
      </c>
      <c r="J312" s="51"/>
    </row>
    <row r="313" spans="2:10" x14ac:dyDescent="0.35">
      <c r="B313" s="4">
        <v>310</v>
      </c>
      <c r="C313">
        <v>57</v>
      </c>
      <c r="E313" s="4">
        <v>310</v>
      </c>
      <c r="F313">
        <v>97</v>
      </c>
      <c r="J313" s="52"/>
    </row>
    <row r="314" spans="2:10" x14ac:dyDescent="0.35">
      <c r="B314" s="4">
        <v>311</v>
      </c>
      <c r="C314">
        <v>22</v>
      </c>
      <c r="E314" s="4">
        <v>311</v>
      </c>
      <c r="F314">
        <v>74</v>
      </c>
      <c r="J314" s="51"/>
    </row>
    <row r="315" spans="2:10" x14ac:dyDescent="0.35">
      <c r="B315" s="4">
        <v>312</v>
      </c>
      <c r="C315">
        <v>54</v>
      </c>
      <c r="E315" s="4">
        <v>312</v>
      </c>
      <c r="F315">
        <v>55</v>
      </c>
      <c r="J315" s="52"/>
    </row>
    <row r="316" spans="2:10" x14ac:dyDescent="0.35">
      <c r="B316" s="4">
        <v>313</v>
      </c>
      <c r="C316">
        <v>92</v>
      </c>
      <c r="E316" s="4">
        <v>313</v>
      </c>
      <c r="F316">
        <v>106</v>
      </c>
      <c r="J316" s="51"/>
    </row>
    <row r="317" spans="2:10" x14ac:dyDescent="0.35">
      <c r="B317" s="4">
        <v>314</v>
      </c>
      <c r="C317">
        <v>11</v>
      </c>
      <c r="E317" s="4">
        <v>314</v>
      </c>
      <c r="F317">
        <v>5</v>
      </c>
      <c r="J317" s="52"/>
    </row>
    <row r="318" spans="2:10" x14ac:dyDescent="0.35">
      <c r="B318" s="4">
        <v>315</v>
      </c>
      <c r="C318">
        <v>66</v>
      </c>
      <c r="E318" s="4">
        <v>315</v>
      </c>
      <c r="F318">
        <v>126</v>
      </c>
      <c r="J318" s="51"/>
    </row>
    <row r="319" spans="2:10" x14ac:dyDescent="0.35">
      <c r="B319" s="4">
        <v>316</v>
      </c>
      <c r="C319">
        <v>64</v>
      </c>
      <c r="E319" s="4">
        <v>316</v>
      </c>
      <c r="F319">
        <v>158</v>
      </c>
      <c r="J319" s="52"/>
    </row>
    <row r="320" spans="2:10" x14ac:dyDescent="0.35">
      <c r="B320" s="4">
        <v>317</v>
      </c>
      <c r="C320">
        <v>73</v>
      </c>
      <c r="E320" s="4">
        <v>317</v>
      </c>
      <c r="F320">
        <v>88</v>
      </c>
      <c r="J320" s="51"/>
    </row>
    <row r="321" spans="2:10" x14ac:dyDescent="0.35">
      <c r="B321" s="4">
        <v>318</v>
      </c>
      <c r="C321">
        <v>12</v>
      </c>
      <c r="E321" s="4">
        <v>318</v>
      </c>
      <c r="F321">
        <v>39</v>
      </c>
      <c r="J321" s="52"/>
    </row>
    <row r="322" spans="2:10" x14ac:dyDescent="0.35">
      <c r="B322" s="4">
        <v>319</v>
      </c>
      <c r="C322">
        <v>106</v>
      </c>
      <c r="E322" s="4">
        <v>319</v>
      </c>
      <c r="F322">
        <v>126</v>
      </c>
      <c r="J322" s="51"/>
    </row>
    <row r="323" spans="2:10" x14ac:dyDescent="0.35">
      <c r="B323" s="4">
        <v>320</v>
      </c>
      <c r="C323">
        <v>39</v>
      </c>
      <c r="E323" s="4">
        <v>320</v>
      </c>
      <c r="F323">
        <v>130</v>
      </c>
      <c r="J323" s="52"/>
    </row>
    <row r="324" spans="2:10" x14ac:dyDescent="0.35">
      <c r="B324" s="4">
        <v>321</v>
      </c>
      <c r="C324">
        <v>57</v>
      </c>
      <c r="E324" s="4">
        <v>321</v>
      </c>
      <c r="F324">
        <v>95</v>
      </c>
      <c r="J324" s="51"/>
    </row>
    <row r="325" spans="2:10" x14ac:dyDescent="0.35">
      <c r="B325" s="4">
        <v>322</v>
      </c>
      <c r="C325">
        <v>34</v>
      </c>
      <c r="E325" s="4">
        <v>322</v>
      </c>
      <c r="F325">
        <v>60</v>
      </c>
      <c r="J325" s="52"/>
    </row>
    <row r="326" spans="2:10" x14ac:dyDescent="0.35">
      <c r="B326" s="4">
        <v>323</v>
      </c>
      <c r="C326">
        <v>87</v>
      </c>
      <c r="E326" s="4">
        <v>323</v>
      </c>
      <c r="F326">
        <v>122</v>
      </c>
      <c r="J326" s="51"/>
    </row>
    <row r="327" spans="2:10" x14ac:dyDescent="0.35">
      <c r="B327" s="4">
        <v>324</v>
      </c>
      <c r="C327">
        <v>56</v>
      </c>
      <c r="E327" s="4">
        <v>324</v>
      </c>
      <c r="F327">
        <v>90</v>
      </c>
      <c r="J327" s="52"/>
    </row>
    <row r="328" spans="2:10" x14ac:dyDescent="0.35">
      <c r="B328" s="4">
        <v>325</v>
      </c>
      <c r="C328">
        <v>61</v>
      </c>
      <c r="E328" s="4">
        <v>325</v>
      </c>
      <c r="F328">
        <v>71</v>
      </c>
      <c r="J328" s="51"/>
    </row>
    <row r="329" spans="2:10" x14ac:dyDescent="0.35">
      <c r="B329" s="4">
        <v>326</v>
      </c>
      <c r="C329">
        <v>34</v>
      </c>
      <c r="E329" s="4">
        <v>326</v>
      </c>
      <c r="F329">
        <v>91</v>
      </c>
      <c r="J329" s="52"/>
    </row>
    <row r="330" spans="2:10" x14ac:dyDescent="0.35">
      <c r="B330" s="4">
        <v>327</v>
      </c>
      <c r="C330">
        <v>61</v>
      </c>
      <c r="E330" s="4">
        <v>327</v>
      </c>
      <c r="F330">
        <v>74</v>
      </c>
      <c r="J330" s="51"/>
    </row>
    <row r="331" spans="2:10" x14ac:dyDescent="0.35">
      <c r="B331" s="4">
        <v>328</v>
      </c>
      <c r="C331">
        <v>14</v>
      </c>
      <c r="E331" s="4">
        <v>328</v>
      </c>
      <c r="F331">
        <v>21</v>
      </c>
      <c r="J331" s="52"/>
    </row>
    <row r="332" spans="2:10" x14ac:dyDescent="0.35">
      <c r="B332" s="4">
        <v>329</v>
      </c>
      <c r="C332">
        <v>79</v>
      </c>
      <c r="E332" s="4">
        <v>329</v>
      </c>
      <c r="F332">
        <v>139</v>
      </c>
      <c r="J332" s="51"/>
    </row>
    <row r="333" spans="2:10" x14ac:dyDescent="0.35">
      <c r="B333" s="4">
        <v>330</v>
      </c>
      <c r="C333">
        <v>87</v>
      </c>
      <c r="E333" s="4">
        <v>330</v>
      </c>
      <c r="F333">
        <v>140</v>
      </c>
      <c r="J333" s="52"/>
    </row>
    <row r="334" spans="2:10" x14ac:dyDescent="0.35">
      <c r="B334" s="4">
        <v>331</v>
      </c>
      <c r="C334">
        <v>70</v>
      </c>
      <c r="E334" s="4">
        <v>331</v>
      </c>
      <c r="F334">
        <v>121</v>
      </c>
      <c r="J334" s="51"/>
    </row>
    <row r="335" spans="2:10" x14ac:dyDescent="0.35">
      <c r="B335" s="4">
        <v>332</v>
      </c>
      <c r="C335">
        <v>45</v>
      </c>
      <c r="E335" s="4">
        <v>332</v>
      </c>
      <c r="F335">
        <v>17</v>
      </c>
      <c r="J335" s="52"/>
    </row>
    <row r="336" spans="2:10" x14ac:dyDescent="0.35">
      <c r="B336" s="4">
        <v>333</v>
      </c>
      <c r="C336">
        <v>30</v>
      </c>
      <c r="E336" s="4">
        <v>333</v>
      </c>
      <c r="F336">
        <v>61</v>
      </c>
      <c r="J336" s="51"/>
    </row>
    <row r="337" spans="2:10" x14ac:dyDescent="0.35">
      <c r="B337" s="4">
        <v>334</v>
      </c>
      <c r="C337">
        <v>69</v>
      </c>
      <c r="E337" s="4">
        <v>334</v>
      </c>
      <c r="F337">
        <v>156</v>
      </c>
      <c r="J337" s="52"/>
    </row>
    <row r="338" spans="2:10" x14ac:dyDescent="0.35">
      <c r="B338" s="4">
        <v>335</v>
      </c>
      <c r="C338">
        <v>48</v>
      </c>
      <c r="E338" s="4">
        <v>335</v>
      </c>
      <c r="F338">
        <v>69</v>
      </c>
      <c r="J338" s="51"/>
    </row>
    <row r="339" spans="2:10" x14ac:dyDescent="0.35">
      <c r="B339" s="4">
        <v>336</v>
      </c>
      <c r="C339">
        <v>65</v>
      </c>
      <c r="E339" s="4">
        <v>336</v>
      </c>
      <c r="F339">
        <v>65</v>
      </c>
      <c r="J339" s="52"/>
    </row>
    <row r="340" spans="2:10" x14ac:dyDescent="0.35">
      <c r="B340" s="4">
        <v>337</v>
      </c>
      <c r="C340">
        <v>42</v>
      </c>
      <c r="E340" s="4">
        <v>337</v>
      </c>
      <c r="F340">
        <v>58</v>
      </c>
      <c r="J340" s="51"/>
    </row>
    <row r="341" spans="2:10" x14ac:dyDescent="0.35">
      <c r="B341" s="4">
        <v>338</v>
      </c>
      <c r="C341">
        <v>113</v>
      </c>
      <c r="E341" s="4">
        <v>338</v>
      </c>
      <c r="F341">
        <v>143</v>
      </c>
      <c r="J341" s="52"/>
    </row>
    <row r="342" spans="2:10" x14ac:dyDescent="0.35">
      <c r="B342" s="4">
        <v>339</v>
      </c>
      <c r="C342">
        <v>42</v>
      </c>
      <c r="E342" s="4">
        <v>339</v>
      </c>
      <c r="F342">
        <v>46</v>
      </c>
      <c r="J342" s="51"/>
    </row>
    <row r="343" spans="2:10" x14ac:dyDescent="0.35">
      <c r="B343" s="4">
        <v>340</v>
      </c>
      <c r="C343">
        <v>66</v>
      </c>
      <c r="E343" s="4">
        <v>340</v>
      </c>
      <c r="F343">
        <v>91</v>
      </c>
      <c r="J343" s="52"/>
    </row>
    <row r="344" spans="2:10" x14ac:dyDescent="0.35">
      <c r="B344" s="4">
        <v>341</v>
      </c>
      <c r="C344">
        <v>72</v>
      </c>
      <c r="E344" s="4">
        <v>341</v>
      </c>
      <c r="F344">
        <v>88</v>
      </c>
      <c r="J344" s="51"/>
    </row>
    <row r="345" spans="2:10" x14ac:dyDescent="0.35">
      <c r="B345" s="4">
        <v>342</v>
      </c>
      <c r="C345">
        <v>42</v>
      </c>
      <c r="E345" s="4">
        <v>342</v>
      </c>
      <c r="F345">
        <v>54</v>
      </c>
      <c r="J345" s="52"/>
    </row>
    <row r="346" spans="2:10" x14ac:dyDescent="0.35">
      <c r="B346" s="4">
        <v>343</v>
      </c>
      <c r="C346">
        <v>55</v>
      </c>
      <c r="E346" s="4">
        <v>343</v>
      </c>
      <c r="F346">
        <v>101</v>
      </c>
      <c r="J346" s="51"/>
    </row>
    <row r="347" spans="2:10" x14ac:dyDescent="0.35">
      <c r="B347" s="4">
        <v>344</v>
      </c>
      <c r="C347">
        <v>73</v>
      </c>
      <c r="E347" s="4">
        <v>344</v>
      </c>
      <c r="F347">
        <v>86</v>
      </c>
      <c r="J347" s="52"/>
    </row>
    <row r="348" spans="2:10" x14ac:dyDescent="0.35">
      <c r="B348" s="4">
        <v>345</v>
      </c>
      <c r="C348">
        <v>16</v>
      </c>
      <c r="E348" s="4">
        <v>345</v>
      </c>
      <c r="F348">
        <v>18</v>
      </c>
      <c r="J348" s="51"/>
    </row>
    <row r="349" spans="2:10" x14ac:dyDescent="0.35">
      <c r="B349" s="4">
        <v>346</v>
      </c>
      <c r="C349">
        <v>28</v>
      </c>
      <c r="E349" s="4">
        <v>346</v>
      </c>
      <c r="F349">
        <v>22</v>
      </c>
      <c r="J349" s="52"/>
    </row>
    <row r="350" spans="2:10" x14ac:dyDescent="0.35">
      <c r="B350" s="4">
        <v>347</v>
      </c>
      <c r="C350">
        <v>28</v>
      </c>
      <c r="E350" s="4">
        <v>347</v>
      </c>
      <c r="F350">
        <v>44</v>
      </c>
      <c r="J350" s="51"/>
    </row>
    <row r="351" spans="2:10" x14ac:dyDescent="0.35">
      <c r="B351" s="4">
        <v>348</v>
      </c>
      <c r="C351">
        <v>35</v>
      </c>
      <c r="E351" s="4">
        <v>348</v>
      </c>
      <c r="F351">
        <v>88</v>
      </c>
      <c r="J351" s="52"/>
    </row>
    <row r="352" spans="2:10" x14ac:dyDescent="0.35">
      <c r="B352" s="4">
        <v>349</v>
      </c>
      <c r="C352">
        <v>62</v>
      </c>
      <c r="E352" s="4">
        <v>349</v>
      </c>
      <c r="F352">
        <v>85</v>
      </c>
      <c r="J352" s="51"/>
    </row>
    <row r="353" spans="2:10" x14ac:dyDescent="0.35">
      <c r="B353" s="4">
        <v>350</v>
      </c>
      <c r="C353">
        <v>57</v>
      </c>
      <c r="E353" s="4">
        <v>350</v>
      </c>
      <c r="F353">
        <v>109</v>
      </c>
      <c r="J353" s="52"/>
    </row>
    <row r="354" spans="2:10" x14ac:dyDescent="0.35">
      <c r="B354" s="4">
        <v>351</v>
      </c>
      <c r="C354">
        <v>81</v>
      </c>
      <c r="E354" s="4">
        <v>351</v>
      </c>
      <c r="F354">
        <v>25</v>
      </c>
      <c r="J354" s="51"/>
    </row>
    <row r="355" spans="2:10" x14ac:dyDescent="0.35">
      <c r="B355" s="4">
        <v>352</v>
      </c>
      <c r="C355">
        <v>39</v>
      </c>
      <c r="E355" s="4">
        <v>352</v>
      </c>
      <c r="F355">
        <v>7</v>
      </c>
      <c r="J355" s="52"/>
    </row>
    <row r="356" spans="2:10" x14ac:dyDescent="0.35">
      <c r="B356" s="4">
        <v>353</v>
      </c>
      <c r="C356">
        <v>86</v>
      </c>
      <c r="E356" s="4">
        <v>353</v>
      </c>
      <c r="F356">
        <v>128</v>
      </c>
      <c r="J356" s="51"/>
    </row>
    <row r="357" spans="2:10" x14ac:dyDescent="0.35">
      <c r="B357" s="4">
        <v>354</v>
      </c>
      <c r="C357">
        <v>76</v>
      </c>
      <c r="E357" s="4">
        <v>354</v>
      </c>
      <c r="F357">
        <v>137</v>
      </c>
      <c r="J357" s="52"/>
    </row>
    <row r="358" spans="2:10" x14ac:dyDescent="0.35">
      <c r="B358" s="4">
        <v>355</v>
      </c>
      <c r="C358">
        <v>11</v>
      </c>
      <c r="E358" s="4">
        <v>355</v>
      </c>
      <c r="F358">
        <v>7</v>
      </c>
      <c r="J358" s="51"/>
    </row>
    <row r="359" spans="2:10" x14ac:dyDescent="0.35">
      <c r="B359" s="4">
        <v>356</v>
      </c>
      <c r="C359">
        <v>16</v>
      </c>
      <c r="E359" s="4">
        <v>356</v>
      </c>
      <c r="F359">
        <v>7</v>
      </c>
      <c r="J359" s="52"/>
    </row>
    <row r="360" spans="2:10" x14ac:dyDescent="0.35">
      <c r="B360" s="4">
        <v>357</v>
      </c>
      <c r="C360">
        <v>68</v>
      </c>
      <c r="E360" s="4">
        <v>357</v>
      </c>
      <c r="F360">
        <v>96</v>
      </c>
      <c r="J360" s="51"/>
    </row>
    <row r="361" spans="2:10" x14ac:dyDescent="0.35">
      <c r="B361" s="4">
        <v>358</v>
      </c>
      <c r="C361">
        <v>70</v>
      </c>
      <c r="E361" s="4">
        <v>358</v>
      </c>
      <c r="F361">
        <v>152</v>
      </c>
      <c r="J361" s="52"/>
    </row>
    <row r="362" spans="2:10" x14ac:dyDescent="0.35">
      <c r="B362" s="4">
        <v>359</v>
      </c>
      <c r="C362">
        <v>80</v>
      </c>
      <c r="E362" s="4">
        <v>359</v>
      </c>
      <c r="F362">
        <v>145</v>
      </c>
      <c r="J362" s="51"/>
    </row>
    <row r="363" spans="2:10" x14ac:dyDescent="0.35">
      <c r="B363" s="4">
        <v>360</v>
      </c>
      <c r="C363">
        <v>94</v>
      </c>
      <c r="E363" s="4">
        <v>360</v>
      </c>
      <c r="F363">
        <v>159</v>
      </c>
      <c r="J363" s="52"/>
    </row>
    <row r="364" spans="2:10" x14ac:dyDescent="0.35">
      <c r="B364" s="4">
        <v>361</v>
      </c>
      <c r="C364">
        <v>42</v>
      </c>
      <c r="E364" s="4">
        <v>361</v>
      </c>
      <c r="F364">
        <v>112</v>
      </c>
      <c r="J364" s="51"/>
    </row>
    <row r="365" spans="2:10" x14ac:dyDescent="0.35">
      <c r="B365" s="4">
        <v>362</v>
      </c>
      <c r="C365">
        <v>26</v>
      </c>
      <c r="E365" s="4">
        <v>362</v>
      </c>
      <c r="F365">
        <v>123</v>
      </c>
      <c r="J365" s="52"/>
    </row>
    <row r="366" spans="2:10" x14ac:dyDescent="0.35">
      <c r="B366" s="4">
        <v>363</v>
      </c>
      <c r="C366">
        <v>96</v>
      </c>
      <c r="E366" s="4">
        <v>363</v>
      </c>
      <c r="F366">
        <v>149</v>
      </c>
      <c r="J366" s="51"/>
    </row>
    <row r="367" spans="2:10" x14ac:dyDescent="0.35">
      <c r="B367" s="4">
        <v>364</v>
      </c>
      <c r="C367">
        <v>65</v>
      </c>
      <c r="E367" s="4">
        <v>364</v>
      </c>
      <c r="F367">
        <v>112</v>
      </c>
      <c r="J367" s="52"/>
    </row>
    <row r="368" spans="2:10" x14ac:dyDescent="0.35">
      <c r="B368" s="4">
        <v>365</v>
      </c>
      <c r="C368">
        <v>42</v>
      </c>
      <c r="E368" s="4">
        <v>365</v>
      </c>
      <c r="F368">
        <v>25</v>
      </c>
      <c r="J368" s="51"/>
    </row>
    <row r="369" spans="2:10" x14ac:dyDescent="0.35">
      <c r="B369" s="4">
        <v>366</v>
      </c>
      <c r="C369">
        <v>94</v>
      </c>
      <c r="E369" s="4">
        <v>366</v>
      </c>
      <c r="F369">
        <v>90</v>
      </c>
      <c r="J369" s="52"/>
    </row>
    <row r="370" spans="2:10" x14ac:dyDescent="0.35">
      <c r="B370" s="4">
        <v>367</v>
      </c>
      <c r="C370">
        <v>42</v>
      </c>
      <c r="E370" s="4">
        <v>367</v>
      </c>
      <c r="F370">
        <v>73</v>
      </c>
      <c r="J370" s="51"/>
    </row>
    <row r="371" spans="2:10" x14ac:dyDescent="0.35">
      <c r="B371" s="4">
        <v>368</v>
      </c>
      <c r="C371">
        <v>49</v>
      </c>
      <c r="E371" s="4">
        <v>368</v>
      </c>
      <c r="F371">
        <v>85</v>
      </c>
      <c r="J371" s="52"/>
    </row>
    <row r="372" spans="2:10" x14ac:dyDescent="0.35">
      <c r="B372" s="4">
        <v>369</v>
      </c>
      <c r="C372">
        <v>99</v>
      </c>
      <c r="E372" s="4">
        <v>369</v>
      </c>
      <c r="F372">
        <v>42</v>
      </c>
      <c r="J372" s="51"/>
    </row>
    <row r="373" spans="2:10" x14ac:dyDescent="0.35">
      <c r="B373" s="4">
        <v>370</v>
      </c>
      <c r="C373">
        <v>28</v>
      </c>
      <c r="E373" s="4">
        <v>370</v>
      </c>
      <c r="F373">
        <v>33</v>
      </c>
      <c r="J373" s="52"/>
    </row>
    <row r="374" spans="2:10" x14ac:dyDescent="0.35">
      <c r="B374" s="4">
        <v>371</v>
      </c>
      <c r="C374">
        <v>80</v>
      </c>
      <c r="E374" s="4">
        <v>371</v>
      </c>
      <c r="F374">
        <v>49</v>
      </c>
      <c r="J374" s="51"/>
    </row>
    <row r="375" spans="2:10" x14ac:dyDescent="0.35">
      <c r="B375" s="4">
        <v>372</v>
      </c>
      <c r="C375">
        <v>16</v>
      </c>
      <c r="E375" s="4">
        <v>372</v>
      </c>
      <c r="F375">
        <v>22</v>
      </c>
      <c r="J375" s="52"/>
    </row>
    <row r="376" spans="2:10" x14ac:dyDescent="0.35">
      <c r="B376" s="4">
        <v>373</v>
      </c>
      <c r="C376">
        <v>64</v>
      </c>
      <c r="E376" s="4">
        <v>373</v>
      </c>
      <c r="F376">
        <v>116</v>
      </c>
      <c r="J376" s="51"/>
    </row>
    <row r="377" spans="2:10" x14ac:dyDescent="0.35">
      <c r="B377" s="4">
        <v>374</v>
      </c>
      <c r="C377">
        <v>14</v>
      </c>
      <c r="E377" s="4">
        <v>374</v>
      </c>
      <c r="F377">
        <v>9</v>
      </c>
      <c r="J377" s="52"/>
    </row>
    <row r="378" spans="2:10" x14ac:dyDescent="0.35">
      <c r="B378" s="4">
        <v>375</v>
      </c>
      <c r="C378">
        <v>36</v>
      </c>
      <c r="E378" s="4">
        <v>375</v>
      </c>
      <c r="F378">
        <v>27</v>
      </c>
      <c r="J378" s="51"/>
    </row>
    <row r="379" spans="2:10" x14ac:dyDescent="0.35">
      <c r="B379" s="4">
        <v>376</v>
      </c>
      <c r="C379">
        <v>18</v>
      </c>
      <c r="E379" s="4">
        <v>376</v>
      </c>
      <c r="F379">
        <v>5</v>
      </c>
      <c r="J379" s="52"/>
    </row>
    <row r="380" spans="2:10" x14ac:dyDescent="0.35">
      <c r="B380" s="4">
        <v>377</v>
      </c>
      <c r="C380">
        <v>41</v>
      </c>
      <c r="E380" s="4">
        <v>377</v>
      </c>
      <c r="F380">
        <v>46</v>
      </c>
      <c r="J380" s="51"/>
    </row>
    <row r="381" spans="2:10" x14ac:dyDescent="0.35">
      <c r="B381" s="4">
        <v>378</v>
      </c>
      <c r="C381">
        <v>20</v>
      </c>
      <c r="E381" s="4">
        <v>378</v>
      </c>
      <c r="F381">
        <v>21</v>
      </c>
      <c r="J381" s="52"/>
    </row>
    <row r="382" spans="2:10" x14ac:dyDescent="0.35">
      <c r="B382" s="4">
        <v>379</v>
      </c>
      <c r="C382">
        <v>28</v>
      </c>
      <c r="E382" s="4">
        <v>379</v>
      </c>
      <c r="F382">
        <v>6</v>
      </c>
      <c r="J382" s="51"/>
    </row>
    <row r="383" spans="2:10" x14ac:dyDescent="0.35">
      <c r="B383" s="4">
        <v>380</v>
      </c>
      <c r="C383">
        <v>55</v>
      </c>
      <c r="E383" s="4">
        <v>380</v>
      </c>
      <c r="F383">
        <v>93</v>
      </c>
      <c r="J383" s="52"/>
    </row>
    <row r="384" spans="2:10" x14ac:dyDescent="0.35">
      <c r="B384" s="4">
        <v>381</v>
      </c>
      <c r="C384">
        <v>59</v>
      </c>
      <c r="E384" s="4">
        <v>381</v>
      </c>
      <c r="F384">
        <v>47</v>
      </c>
      <c r="J384" s="51"/>
    </row>
    <row r="385" spans="2:10" x14ac:dyDescent="0.35">
      <c r="B385" s="4">
        <v>382</v>
      </c>
      <c r="C385">
        <v>36</v>
      </c>
      <c r="E385" s="4">
        <v>382</v>
      </c>
      <c r="F385">
        <v>54</v>
      </c>
      <c r="J385" s="52"/>
    </row>
    <row r="386" spans="2:10" x14ac:dyDescent="0.35">
      <c r="B386" s="4">
        <v>383</v>
      </c>
      <c r="C386">
        <v>42</v>
      </c>
      <c r="E386" s="4">
        <v>383</v>
      </c>
      <c r="F386">
        <v>9</v>
      </c>
      <c r="J386" s="51"/>
    </row>
    <row r="387" spans="2:10" x14ac:dyDescent="0.35">
      <c r="B387" s="4">
        <v>384</v>
      </c>
      <c r="C387">
        <v>51</v>
      </c>
      <c r="E387" s="4">
        <v>384</v>
      </c>
      <c r="F387">
        <v>110</v>
      </c>
      <c r="J387" s="52"/>
    </row>
    <row r="388" spans="2:10" x14ac:dyDescent="0.35">
      <c r="B388" s="4">
        <v>385</v>
      </c>
      <c r="C388">
        <v>24</v>
      </c>
      <c r="E388" s="4">
        <v>385</v>
      </c>
      <c r="F388">
        <v>22</v>
      </c>
      <c r="J388" s="51"/>
    </row>
    <row r="389" spans="2:10" x14ac:dyDescent="0.35">
      <c r="B389" s="4">
        <v>386</v>
      </c>
      <c r="C389">
        <v>39</v>
      </c>
      <c r="E389" s="4">
        <v>386</v>
      </c>
      <c r="F389">
        <v>40</v>
      </c>
      <c r="J389" s="52"/>
    </row>
    <row r="390" spans="2:10" x14ac:dyDescent="0.35">
      <c r="B390" s="4">
        <v>387</v>
      </c>
      <c r="C390">
        <v>36</v>
      </c>
      <c r="E390" s="4">
        <v>387</v>
      </c>
      <c r="F390">
        <v>18</v>
      </c>
      <c r="J390" s="51"/>
    </row>
    <row r="391" spans="2:10" x14ac:dyDescent="0.35">
      <c r="B391" s="4">
        <v>388</v>
      </c>
      <c r="C391">
        <v>115</v>
      </c>
      <c r="E391" s="4">
        <v>388</v>
      </c>
      <c r="F391">
        <v>171</v>
      </c>
      <c r="J391" s="52"/>
    </row>
    <row r="392" spans="2:10" x14ac:dyDescent="0.35">
      <c r="B392" s="4">
        <v>389</v>
      </c>
      <c r="C392">
        <v>13</v>
      </c>
      <c r="E392" s="4">
        <v>389</v>
      </c>
      <c r="F392">
        <v>24</v>
      </c>
      <c r="J392" s="51"/>
    </row>
    <row r="393" spans="2:10" x14ac:dyDescent="0.35">
      <c r="B393" s="4">
        <v>390</v>
      </c>
      <c r="C393">
        <v>59</v>
      </c>
      <c r="E393" s="4">
        <v>390</v>
      </c>
      <c r="F393">
        <v>93</v>
      </c>
      <c r="J393" s="52"/>
    </row>
    <row r="394" spans="2:10" x14ac:dyDescent="0.35">
      <c r="B394" s="4">
        <v>391</v>
      </c>
      <c r="C394">
        <v>9</v>
      </c>
      <c r="E394" s="4">
        <v>391</v>
      </c>
      <c r="F394">
        <v>35</v>
      </c>
      <c r="J394" s="51"/>
    </row>
    <row r="395" spans="2:10" x14ac:dyDescent="0.35">
      <c r="B395" s="4">
        <v>392</v>
      </c>
      <c r="C395">
        <v>49</v>
      </c>
      <c r="E395" s="4">
        <v>392</v>
      </c>
      <c r="F395">
        <v>54</v>
      </c>
      <c r="J395" s="52"/>
    </row>
    <row r="396" spans="2:10" x14ac:dyDescent="0.35">
      <c r="B396" s="4">
        <v>393</v>
      </c>
      <c r="C396">
        <v>84</v>
      </c>
      <c r="E396" s="4">
        <v>393</v>
      </c>
      <c r="F396">
        <v>109</v>
      </c>
      <c r="J396" s="51"/>
    </row>
    <row r="397" spans="2:10" x14ac:dyDescent="0.35">
      <c r="B397" s="4">
        <v>394</v>
      </c>
      <c r="C397">
        <v>32</v>
      </c>
      <c r="E397" s="4">
        <v>394</v>
      </c>
      <c r="F397">
        <v>47</v>
      </c>
      <c r="J397" s="52"/>
    </row>
    <row r="398" spans="2:10" x14ac:dyDescent="0.35">
      <c r="B398" s="4">
        <v>395</v>
      </c>
      <c r="C398">
        <v>16</v>
      </c>
      <c r="E398" s="4">
        <v>395</v>
      </c>
      <c r="F398">
        <v>8</v>
      </c>
      <c r="J398" s="51"/>
    </row>
    <row r="399" spans="2:10" x14ac:dyDescent="0.35">
      <c r="B399" s="4">
        <v>396</v>
      </c>
      <c r="C399">
        <v>32</v>
      </c>
      <c r="E399" s="4">
        <v>396</v>
      </c>
      <c r="F399">
        <v>57</v>
      </c>
      <c r="J399" s="52"/>
    </row>
    <row r="400" spans="2:10" x14ac:dyDescent="0.35">
      <c r="B400" s="4">
        <v>397</v>
      </c>
      <c r="C400">
        <v>58</v>
      </c>
      <c r="E400" s="4">
        <v>397</v>
      </c>
      <c r="F400">
        <v>69</v>
      </c>
      <c r="J400" s="51"/>
    </row>
    <row r="401" spans="2:10" x14ac:dyDescent="0.35">
      <c r="B401" s="4">
        <v>398</v>
      </c>
      <c r="C401">
        <v>50</v>
      </c>
      <c r="E401" s="4">
        <v>398</v>
      </c>
      <c r="F401">
        <v>71</v>
      </c>
      <c r="J401" s="52"/>
    </row>
    <row r="402" spans="2:10" x14ac:dyDescent="0.35">
      <c r="B402" s="4">
        <v>399</v>
      </c>
      <c r="C402">
        <v>81</v>
      </c>
      <c r="E402" s="4">
        <v>399</v>
      </c>
      <c r="F402">
        <v>91</v>
      </c>
      <c r="J402" s="51"/>
    </row>
    <row r="403" spans="2:10" x14ac:dyDescent="0.35">
      <c r="B403" s="4">
        <v>400</v>
      </c>
      <c r="C403">
        <v>78</v>
      </c>
      <c r="E403" s="4">
        <v>400</v>
      </c>
      <c r="F403">
        <v>79</v>
      </c>
      <c r="J403" s="52"/>
    </row>
    <row r="404" spans="2:10" x14ac:dyDescent="0.35">
      <c r="B404" s="4">
        <v>401</v>
      </c>
      <c r="C404">
        <v>16</v>
      </c>
      <c r="E404" s="4">
        <v>401</v>
      </c>
      <c r="F404">
        <v>20</v>
      </c>
      <c r="J404" s="51"/>
    </row>
    <row r="405" spans="2:10" x14ac:dyDescent="0.35">
      <c r="B405" s="4">
        <v>402</v>
      </c>
      <c r="C405">
        <v>62</v>
      </c>
      <c r="E405" s="4">
        <v>402</v>
      </c>
      <c r="F405">
        <v>66</v>
      </c>
      <c r="J405" s="52"/>
    </row>
    <row r="406" spans="2:10" x14ac:dyDescent="0.35">
      <c r="B406" s="4">
        <v>403</v>
      </c>
      <c r="C406">
        <v>79</v>
      </c>
      <c r="E406" s="4">
        <v>403</v>
      </c>
      <c r="F406">
        <v>85</v>
      </c>
      <c r="J406" s="51"/>
    </row>
    <row r="407" spans="2:10" x14ac:dyDescent="0.35">
      <c r="B407" s="4">
        <v>404</v>
      </c>
      <c r="C407">
        <v>69</v>
      </c>
      <c r="E407" s="4">
        <v>404</v>
      </c>
      <c r="F407">
        <v>102</v>
      </c>
      <c r="J407" s="52"/>
    </row>
    <row r="408" spans="2:10" x14ac:dyDescent="0.35">
      <c r="B408" s="4">
        <v>405</v>
      </c>
      <c r="C408">
        <v>42</v>
      </c>
      <c r="E408" s="4">
        <v>405</v>
      </c>
      <c r="F408">
        <v>98</v>
      </c>
      <c r="J408" s="51"/>
    </row>
    <row r="409" spans="2:10" x14ac:dyDescent="0.35">
      <c r="B409" s="4">
        <v>406</v>
      </c>
      <c r="C409">
        <v>62</v>
      </c>
      <c r="E409" s="4">
        <v>406</v>
      </c>
      <c r="F409">
        <v>117</v>
      </c>
      <c r="J409" s="52"/>
    </row>
    <row r="410" spans="2:10" x14ac:dyDescent="0.35">
      <c r="B410" s="4">
        <v>407</v>
      </c>
      <c r="C410">
        <v>38</v>
      </c>
      <c r="E410" s="4">
        <v>407</v>
      </c>
      <c r="F410">
        <v>50</v>
      </c>
      <c r="J410" s="51"/>
    </row>
    <row r="411" spans="2:10" x14ac:dyDescent="0.35">
      <c r="B411" s="4">
        <v>408</v>
      </c>
      <c r="C411">
        <v>54</v>
      </c>
      <c r="E411" s="4">
        <v>408</v>
      </c>
      <c r="F411">
        <v>106</v>
      </c>
      <c r="J411" s="52"/>
    </row>
    <row r="412" spans="2:10" x14ac:dyDescent="0.35">
      <c r="B412" s="4">
        <v>409</v>
      </c>
      <c r="C412">
        <v>81</v>
      </c>
      <c r="E412" s="4">
        <v>409</v>
      </c>
      <c r="F412">
        <v>163</v>
      </c>
      <c r="J412" s="51"/>
    </row>
    <row r="413" spans="2:10" x14ac:dyDescent="0.35">
      <c r="B413" s="4">
        <v>410</v>
      </c>
      <c r="C413">
        <v>22</v>
      </c>
      <c r="E413" s="4">
        <v>410</v>
      </c>
      <c r="F413">
        <v>91</v>
      </c>
      <c r="J413" s="52"/>
    </row>
    <row r="414" spans="2:10" x14ac:dyDescent="0.35">
      <c r="B414" s="4">
        <v>411</v>
      </c>
      <c r="C414">
        <v>86</v>
      </c>
      <c r="E414" s="4">
        <v>411</v>
      </c>
      <c r="F414">
        <v>78</v>
      </c>
      <c r="J414" s="51"/>
    </row>
    <row r="415" spans="2:10" x14ac:dyDescent="0.35">
      <c r="B415" s="4">
        <v>412</v>
      </c>
      <c r="C415">
        <v>36</v>
      </c>
      <c r="E415" s="4">
        <v>412</v>
      </c>
      <c r="F415">
        <v>57</v>
      </c>
      <c r="J415" s="52"/>
    </row>
    <row r="416" spans="2:10" x14ac:dyDescent="0.35">
      <c r="B416" s="4">
        <v>413</v>
      </c>
      <c r="C416">
        <v>14</v>
      </c>
      <c r="E416" s="4">
        <v>413</v>
      </c>
      <c r="F416">
        <v>12</v>
      </c>
      <c r="J416" s="51"/>
    </row>
    <row r="417" spans="2:10" x14ac:dyDescent="0.35">
      <c r="B417" s="4">
        <v>414</v>
      </c>
      <c r="C417">
        <v>13</v>
      </c>
      <c r="E417" s="4">
        <v>414</v>
      </c>
      <c r="F417">
        <v>38</v>
      </c>
      <c r="J417" s="52"/>
    </row>
    <row r="418" spans="2:10" x14ac:dyDescent="0.35">
      <c r="B418" s="4">
        <v>415</v>
      </c>
      <c r="C418">
        <v>64</v>
      </c>
      <c r="E418" s="4">
        <v>415</v>
      </c>
      <c r="F418">
        <v>87</v>
      </c>
      <c r="J418" s="51"/>
    </row>
    <row r="419" spans="2:10" x14ac:dyDescent="0.35">
      <c r="B419" s="4">
        <v>416</v>
      </c>
      <c r="C419">
        <v>10</v>
      </c>
      <c r="E419" s="4">
        <v>416</v>
      </c>
      <c r="F419">
        <v>9</v>
      </c>
      <c r="J419" s="52"/>
    </row>
    <row r="420" spans="2:10" x14ac:dyDescent="0.35">
      <c r="B420" s="4">
        <v>417</v>
      </c>
      <c r="C420">
        <v>57</v>
      </c>
      <c r="E420" s="4">
        <v>417</v>
      </c>
      <c r="F420">
        <v>90</v>
      </c>
      <c r="J420" s="51"/>
    </row>
    <row r="421" spans="2:10" x14ac:dyDescent="0.35">
      <c r="B421" s="4">
        <v>418</v>
      </c>
      <c r="C421">
        <v>46</v>
      </c>
      <c r="E421" s="4">
        <v>418</v>
      </c>
      <c r="F421">
        <v>100</v>
      </c>
      <c r="J421" s="52"/>
    </row>
    <row r="422" spans="2:10" x14ac:dyDescent="0.35">
      <c r="B422" s="4">
        <v>419</v>
      </c>
      <c r="C422">
        <v>27</v>
      </c>
      <c r="E422" s="4">
        <v>419</v>
      </c>
      <c r="F422">
        <v>64</v>
      </c>
      <c r="J422" s="51"/>
    </row>
    <row r="423" spans="2:10" x14ac:dyDescent="0.35">
      <c r="B423" s="4">
        <v>420</v>
      </c>
      <c r="C423">
        <v>98</v>
      </c>
      <c r="E423" s="4">
        <v>420</v>
      </c>
      <c r="F423">
        <v>105</v>
      </c>
      <c r="J423" s="52"/>
    </row>
    <row r="424" spans="2:10" x14ac:dyDescent="0.35">
      <c r="B424" s="4">
        <v>421</v>
      </c>
      <c r="C424">
        <v>36</v>
      </c>
      <c r="E424" s="4">
        <v>421</v>
      </c>
      <c r="F424">
        <v>71</v>
      </c>
      <c r="J424" s="51"/>
    </row>
    <row r="425" spans="2:10" x14ac:dyDescent="0.35">
      <c r="B425" s="4">
        <v>422</v>
      </c>
      <c r="C425">
        <v>36</v>
      </c>
      <c r="E425" s="4">
        <v>422</v>
      </c>
      <c r="F425">
        <v>34</v>
      </c>
      <c r="J425" s="52"/>
    </row>
    <row r="426" spans="2:10" x14ac:dyDescent="0.35">
      <c r="B426" s="4">
        <v>423</v>
      </c>
      <c r="C426">
        <v>63</v>
      </c>
      <c r="E426" s="4">
        <v>423</v>
      </c>
      <c r="F426">
        <v>31</v>
      </c>
      <c r="J426" s="51"/>
    </row>
    <row r="427" spans="2:10" x14ac:dyDescent="0.35">
      <c r="B427" s="4">
        <v>424</v>
      </c>
      <c r="C427">
        <v>60</v>
      </c>
      <c r="E427" s="4">
        <v>424</v>
      </c>
      <c r="F427">
        <v>88</v>
      </c>
      <c r="J427" s="52"/>
    </row>
    <row r="428" spans="2:10" x14ac:dyDescent="0.35">
      <c r="B428" s="4">
        <v>425</v>
      </c>
      <c r="C428">
        <v>8</v>
      </c>
      <c r="E428" s="4">
        <v>425</v>
      </c>
      <c r="F428">
        <v>28</v>
      </c>
      <c r="J428" s="51"/>
    </row>
    <row r="429" spans="2:10" x14ac:dyDescent="0.35">
      <c r="B429" s="4">
        <v>426</v>
      </c>
      <c r="C429">
        <v>99</v>
      </c>
      <c r="E429" s="4">
        <v>426</v>
      </c>
      <c r="F429">
        <v>116</v>
      </c>
      <c r="J429" s="52"/>
    </row>
    <row r="430" spans="2:10" x14ac:dyDescent="0.35">
      <c r="B430" s="4">
        <v>427</v>
      </c>
      <c r="C430">
        <v>83</v>
      </c>
      <c r="E430" s="4">
        <v>427</v>
      </c>
      <c r="F430">
        <v>166</v>
      </c>
      <c r="J430" s="51"/>
    </row>
    <row r="431" spans="2:10" x14ac:dyDescent="0.35">
      <c r="B431" s="4">
        <v>428</v>
      </c>
      <c r="C431">
        <v>68</v>
      </c>
      <c r="E431" s="4">
        <v>428</v>
      </c>
      <c r="F431">
        <v>179</v>
      </c>
      <c r="J431" s="52"/>
    </row>
    <row r="432" spans="2:10" x14ac:dyDescent="0.35">
      <c r="B432" s="4">
        <v>429</v>
      </c>
      <c r="C432">
        <v>33</v>
      </c>
      <c r="E432" s="4">
        <v>429</v>
      </c>
      <c r="F432">
        <v>27</v>
      </c>
      <c r="J432" s="51"/>
    </row>
    <row r="433" spans="2:10" x14ac:dyDescent="0.35">
      <c r="B433" s="4">
        <v>430</v>
      </c>
      <c r="C433">
        <v>10</v>
      </c>
      <c r="E433" s="4">
        <v>430</v>
      </c>
      <c r="F433">
        <v>49</v>
      </c>
      <c r="J433" s="52"/>
    </row>
    <row r="434" spans="2:10" x14ac:dyDescent="0.35">
      <c r="B434" s="4">
        <v>431</v>
      </c>
      <c r="C434">
        <v>24</v>
      </c>
      <c r="E434" s="4">
        <v>431</v>
      </c>
      <c r="F434">
        <v>20</v>
      </c>
      <c r="J434" s="51"/>
    </row>
    <row r="435" spans="2:10" x14ac:dyDescent="0.35">
      <c r="B435" s="4">
        <v>432</v>
      </c>
      <c r="C435">
        <v>44</v>
      </c>
      <c r="E435" s="4">
        <v>432</v>
      </c>
      <c r="F435">
        <v>74</v>
      </c>
      <c r="J435" s="52"/>
    </row>
    <row r="436" spans="2:10" x14ac:dyDescent="0.35">
      <c r="B436" s="4">
        <v>433</v>
      </c>
      <c r="C436">
        <v>42</v>
      </c>
      <c r="E436" s="4">
        <v>433</v>
      </c>
      <c r="F436">
        <v>74</v>
      </c>
      <c r="J436" s="51"/>
    </row>
    <row r="437" spans="2:10" x14ac:dyDescent="0.35">
      <c r="B437" s="4">
        <v>434</v>
      </c>
      <c r="C437">
        <v>40</v>
      </c>
      <c r="E437" s="4">
        <v>434</v>
      </c>
      <c r="F437">
        <v>58</v>
      </c>
      <c r="J437" s="52"/>
    </row>
    <row r="438" spans="2:10" x14ac:dyDescent="0.35">
      <c r="B438" s="4">
        <v>435</v>
      </c>
      <c r="C438">
        <v>62</v>
      </c>
      <c r="E438" s="4">
        <v>435</v>
      </c>
      <c r="F438">
        <v>111</v>
      </c>
      <c r="J438" s="51"/>
    </row>
    <row r="439" spans="2:10" x14ac:dyDescent="0.35">
      <c r="B439" s="4">
        <v>436</v>
      </c>
      <c r="C439">
        <v>24</v>
      </c>
      <c r="E439" s="4">
        <v>436</v>
      </c>
      <c r="F439">
        <v>45</v>
      </c>
      <c r="J439" s="52"/>
    </row>
    <row r="440" spans="2:10" x14ac:dyDescent="0.35">
      <c r="B440" s="4">
        <v>437</v>
      </c>
      <c r="C440">
        <v>28</v>
      </c>
      <c r="E440" s="4">
        <v>437</v>
      </c>
      <c r="F440">
        <v>51</v>
      </c>
      <c r="J440" s="51"/>
    </row>
    <row r="441" spans="2:10" x14ac:dyDescent="0.35">
      <c r="B441" s="4">
        <v>438</v>
      </c>
      <c r="C441">
        <v>13</v>
      </c>
      <c r="E441" s="4">
        <v>438</v>
      </c>
      <c r="F441">
        <v>51</v>
      </c>
      <c r="J441" s="52"/>
    </row>
    <row r="442" spans="2:10" x14ac:dyDescent="0.35">
      <c r="B442" s="4">
        <v>439</v>
      </c>
      <c r="C442">
        <v>72</v>
      </c>
      <c r="E442" s="4">
        <v>439</v>
      </c>
      <c r="F442">
        <v>64</v>
      </c>
      <c r="J442" s="51"/>
    </row>
    <row r="443" spans="2:10" x14ac:dyDescent="0.35">
      <c r="B443" s="4">
        <v>440</v>
      </c>
      <c r="C443">
        <v>34</v>
      </c>
      <c r="E443" s="4">
        <v>440</v>
      </c>
      <c r="F443">
        <v>45</v>
      </c>
      <c r="J443" s="52"/>
    </row>
    <row r="444" spans="2:10" x14ac:dyDescent="0.35">
      <c r="B444" s="4">
        <v>441</v>
      </c>
      <c r="C444">
        <v>75</v>
      </c>
      <c r="E444" s="4">
        <v>441</v>
      </c>
      <c r="F444">
        <v>90</v>
      </c>
      <c r="J444" s="51"/>
    </row>
    <row r="445" spans="2:10" x14ac:dyDescent="0.35">
      <c r="B445" s="4">
        <v>442</v>
      </c>
      <c r="C445">
        <v>94</v>
      </c>
      <c r="E445" s="4">
        <v>442</v>
      </c>
      <c r="F445">
        <v>131</v>
      </c>
      <c r="J445" s="52"/>
    </row>
    <row r="446" spans="2:10" x14ac:dyDescent="0.35">
      <c r="B446" s="4">
        <v>443</v>
      </c>
      <c r="C446">
        <v>91</v>
      </c>
      <c r="E446" s="4">
        <v>443</v>
      </c>
      <c r="F446">
        <v>155</v>
      </c>
      <c r="J446" s="51"/>
    </row>
    <row r="447" spans="2:10" x14ac:dyDescent="0.35">
      <c r="B447" s="4">
        <v>444</v>
      </c>
      <c r="C447">
        <v>39</v>
      </c>
      <c r="E447" s="4">
        <v>444</v>
      </c>
      <c r="F447">
        <v>81</v>
      </c>
      <c r="J447" s="52"/>
    </row>
    <row r="448" spans="2:10" x14ac:dyDescent="0.35">
      <c r="B448" s="4">
        <v>445</v>
      </c>
      <c r="C448">
        <v>33</v>
      </c>
      <c r="E448" s="4">
        <v>445</v>
      </c>
      <c r="F448">
        <v>26</v>
      </c>
      <c r="J448" s="51"/>
    </row>
    <row r="449" spans="2:10" x14ac:dyDescent="0.35">
      <c r="B449" s="4">
        <v>446</v>
      </c>
      <c r="C449">
        <v>8</v>
      </c>
      <c r="E449" s="4">
        <v>446</v>
      </c>
      <c r="F449">
        <v>8</v>
      </c>
      <c r="J449" s="52"/>
    </row>
    <row r="450" spans="2:10" x14ac:dyDescent="0.35">
      <c r="B450" s="4">
        <v>447</v>
      </c>
      <c r="C450">
        <v>76</v>
      </c>
      <c r="E450" s="4">
        <v>447</v>
      </c>
      <c r="F450">
        <v>86</v>
      </c>
      <c r="J450" s="51"/>
    </row>
    <row r="451" spans="2:10" x14ac:dyDescent="0.35">
      <c r="B451" s="4">
        <v>448</v>
      </c>
      <c r="C451">
        <v>55</v>
      </c>
      <c r="E451" s="4">
        <v>448</v>
      </c>
      <c r="F451">
        <v>66</v>
      </c>
      <c r="J451" s="52"/>
    </row>
    <row r="452" spans="2:10" x14ac:dyDescent="0.35">
      <c r="B452" s="4">
        <v>449</v>
      </c>
      <c r="C452">
        <v>26</v>
      </c>
      <c r="E452" s="4">
        <v>449</v>
      </c>
      <c r="F452">
        <v>33</v>
      </c>
      <c r="J452" s="51"/>
    </row>
    <row r="453" spans="2:10" x14ac:dyDescent="0.35">
      <c r="B453" s="4">
        <v>450</v>
      </c>
      <c r="C453">
        <v>30</v>
      </c>
      <c r="E453" s="4">
        <v>450</v>
      </c>
      <c r="F453">
        <v>34</v>
      </c>
      <c r="J453" s="52"/>
    </row>
    <row r="454" spans="2:10" x14ac:dyDescent="0.35">
      <c r="B454" s="4">
        <v>451</v>
      </c>
      <c r="C454">
        <v>37</v>
      </c>
      <c r="E454" s="4">
        <v>451</v>
      </c>
      <c r="F454">
        <v>103</v>
      </c>
      <c r="J454" s="51"/>
    </row>
    <row r="455" spans="2:10" x14ac:dyDescent="0.35">
      <c r="B455" s="4">
        <v>452</v>
      </c>
      <c r="C455">
        <v>62</v>
      </c>
      <c r="E455" s="4">
        <v>452</v>
      </c>
      <c r="F455">
        <v>123</v>
      </c>
      <c r="J455" s="52"/>
    </row>
    <row r="456" spans="2:10" x14ac:dyDescent="0.35">
      <c r="B456" s="4">
        <v>453</v>
      </c>
      <c r="C456">
        <v>53</v>
      </c>
      <c r="E456" s="4">
        <v>453</v>
      </c>
      <c r="F456">
        <v>100</v>
      </c>
      <c r="J456" s="51"/>
    </row>
    <row r="457" spans="2:10" x14ac:dyDescent="0.35">
      <c r="B457" s="4">
        <v>454</v>
      </c>
      <c r="C457">
        <v>94</v>
      </c>
      <c r="E457" s="4">
        <v>454</v>
      </c>
      <c r="F457">
        <v>153</v>
      </c>
      <c r="J457" s="52"/>
    </row>
    <row r="458" spans="2:10" x14ac:dyDescent="0.35">
      <c r="B458" s="4">
        <v>455</v>
      </c>
      <c r="C458">
        <v>20</v>
      </c>
      <c r="E458" s="4">
        <v>455</v>
      </c>
      <c r="F458">
        <v>11</v>
      </c>
      <c r="J458" s="51"/>
    </row>
    <row r="459" spans="2:10" x14ac:dyDescent="0.35">
      <c r="B459" s="4">
        <v>456</v>
      </c>
      <c r="C459">
        <v>58</v>
      </c>
      <c r="E459" s="4">
        <v>456</v>
      </c>
      <c r="F459">
        <v>71</v>
      </c>
      <c r="J459" s="52"/>
    </row>
    <row r="460" spans="2:10" x14ac:dyDescent="0.35">
      <c r="B460" s="4">
        <v>457</v>
      </c>
      <c r="C460">
        <v>55</v>
      </c>
      <c r="E460" s="4">
        <v>457</v>
      </c>
      <c r="F460">
        <v>58</v>
      </c>
      <c r="J460" s="51"/>
    </row>
    <row r="461" spans="2:10" x14ac:dyDescent="0.35">
      <c r="B461" s="4">
        <v>458</v>
      </c>
      <c r="C461">
        <v>110</v>
      </c>
      <c r="E461" s="4">
        <v>458</v>
      </c>
      <c r="F461">
        <v>89</v>
      </c>
      <c r="J461" s="52"/>
    </row>
    <row r="462" spans="2:10" x14ac:dyDescent="0.35">
      <c r="B462" s="4">
        <v>459</v>
      </c>
      <c r="C462">
        <v>36</v>
      </c>
      <c r="E462" s="4">
        <v>459</v>
      </c>
      <c r="F462">
        <v>30</v>
      </c>
      <c r="J462" s="51"/>
    </row>
    <row r="463" spans="2:10" x14ac:dyDescent="0.35">
      <c r="B463" s="4">
        <v>460</v>
      </c>
      <c r="C463">
        <v>73</v>
      </c>
      <c r="E463" s="4">
        <v>460</v>
      </c>
      <c r="F463">
        <v>124</v>
      </c>
      <c r="J463" s="52"/>
    </row>
    <row r="464" spans="2:10" x14ac:dyDescent="0.35">
      <c r="B464" s="4">
        <v>461</v>
      </c>
      <c r="C464">
        <v>40</v>
      </c>
      <c r="E464" s="4">
        <v>461</v>
      </c>
      <c r="F464">
        <v>66</v>
      </c>
      <c r="J464" s="51"/>
    </row>
    <row r="465" spans="2:10" x14ac:dyDescent="0.35">
      <c r="B465" s="4">
        <v>462</v>
      </c>
      <c r="C465">
        <v>39</v>
      </c>
      <c r="E465" s="4">
        <v>462</v>
      </c>
      <c r="F465">
        <v>11</v>
      </c>
      <c r="J465" s="52"/>
    </row>
    <row r="466" spans="2:10" x14ac:dyDescent="0.35">
      <c r="B466" s="4">
        <v>463</v>
      </c>
      <c r="C466">
        <v>36</v>
      </c>
      <c r="E466" s="4">
        <v>463</v>
      </c>
      <c r="F466">
        <v>14</v>
      </c>
      <c r="J466" s="51"/>
    </row>
    <row r="467" spans="2:10" x14ac:dyDescent="0.35">
      <c r="B467" s="4">
        <v>464</v>
      </c>
      <c r="C467">
        <v>64</v>
      </c>
      <c r="E467" s="4">
        <v>464</v>
      </c>
      <c r="F467">
        <v>84</v>
      </c>
      <c r="J467" s="52"/>
    </row>
    <row r="468" spans="2:10" x14ac:dyDescent="0.35">
      <c r="B468" s="4">
        <v>465</v>
      </c>
      <c r="C468">
        <v>48</v>
      </c>
      <c r="E468" s="4">
        <v>465</v>
      </c>
      <c r="F468">
        <v>60</v>
      </c>
      <c r="J468" s="51"/>
    </row>
    <row r="469" spans="2:10" x14ac:dyDescent="0.35">
      <c r="B469" s="4">
        <v>466</v>
      </c>
      <c r="C469">
        <v>57</v>
      </c>
      <c r="E469" s="4">
        <v>466</v>
      </c>
      <c r="F469">
        <v>145</v>
      </c>
      <c r="J469" s="52"/>
    </row>
    <row r="470" spans="2:10" x14ac:dyDescent="0.35">
      <c r="B470" s="4">
        <v>467</v>
      </c>
      <c r="C470">
        <v>57</v>
      </c>
      <c r="E470" s="4">
        <v>467</v>
      </c>
      <c r="F470">
        <v>72</v>
      </c>
      <c r="J470" s="51"/>
    </row>
    <row r="471" spans="2:10" x14ac:dyDescent="0.35">
      <c r="B471" s="4">
        <v>468</v>
      </c>
      <c r="C471">
        <v>44</v>
      </c>
      <c r="E471" s="4">
        <v>468</v>
      </c>
      <c r="F471">
        <v>63</v>
      </c>
      <c r="J471" s="52"/>
    </row>
    <row r="472" spans="2:10" x14ac:dyDescent="0.35">
      <c r="B472" s="4">
        <v>469</v>
      </c>
      <c r="C472">
        <v>55</v>
      </c>
      <c r="E472" s="4">
        <v>469</v>
      </c>
      <c r="F472">
        <v>66</v>
      </c>
      <c r="J472" s="51"/>
    </row>
    <row r="473" spans="2:10" x14ac:dyDescent="0.35">
      <c r="B473" s="4">
        <v>470</v>
      </c>
      <c r="C473">
        <v>34</v>
      </c>
      <c r="E473" s="4">
        <v>470</v>
      </c>
      <c r="F473">
        <v>72</v>
      </c>
      <c r="J473" s="52"/>
    </row>
    <row r="474" spans="2:10" x14ac:dyDescent="0.35">
      <c r="B474" s="4">
        <v>471</v>
      </c>
      <c r="C474">
        <v>42</v>
      </c>
      <c r="E474" s="4">
        <v>471</v>
      </c>
      <c r="F474">
        <v>57</v>
      </c>
      <c r="J474" s="51"/>
    </row>
    <row r="475" spans="2:10" x14ac:dyDescent="0.35">
      <c r="B475" s="4">
        <v>472</v>
      </c>
      <c r="C475">
        <v>46</v>
      </c>
      <c r="E475" s="4">
        <v>472</v>
      </c>
      <c r="F475">
        <v>73</v>
      </c>
      <c r="J475" s="52"/>
    </row>
    <row r="476" spans="2:10" x14ac:dyDescent="0.35">
      <c r="B476" s="4">
        <v>473</v>
      </c>
      <c r="C476">
        <v>32</v>
      </c>
      <c r="E476" s="4">
        <v>473</v>
      </c>
      <c r="F476">
        <v>61</v>
      </c>
      <c r="J476" s="51"/>
    </row>
    <row r="477" spans="2:10" x14ac:dyDescent="0.35">
      <c r="B477" s="4">
        <v>474</v>
      </c>
      <c r="C477">
        <v>74</v>
      </c>
      <c r="E477" s="4">
        <v>474</v>
      </c>
      <c r="F477">
        <v>161</v>
      </c>
      <c r="J477" s="52"/>
    </row>
    <row r="478" spans="2:10" x14ac:dyDescent="0.35">
      <c r="B478" s="4">
        <v>475</v>
      </c>
      <c r="C478">
        <v>72</v>
      </c>
      <c r="E478" s="4">
        <v>475</v>
      </c>
      <c r="F478">
        <v>35</v>
      </c>
      <c r="J478" s="51"/>
    </row>
    <row r="479" spans="2:10" x14ac:dyDescent="0.35">
      <c r="B479" s="4">
        <v>476</v>
      </c>
      <c r="C479">
        <v>88</v>
      </c>
      <c r="E479" s="4">
        <v>476</v>
      </c>
      <c r="F479">
        <v>115</v>
      </c>
      <c r="J479" s="52"/>
    </row>
    <row r="480" spans="2:10" x14ac:dyDescent="0.35">
      <c r="B480" s="4">
        <v>477</v>
      </c>
      <c r="C480">
        <v>82</v>
      </c>
      <c r="E480" s="4">
        <v>477</v>
      </c>
      <c r="F480">
        <v>115</v>
      </c>
      <c r="J480" s="51"/>
    </row>
    <row r="481" spans="2:10" x14ac:dyDescent="0.35">
      <c r="B481" s="4">
        <v>478</v>
      </c>
      <c r="C481">
        <v>48</v>
      </c>
      <c r="E481" s="4">
        <v>478</v>
      </c>
      <c r="F481">
        <v>90</v>
      </c>
      <c r="J481" s="52"/>
    </row>
    <row r="482" spans="2:10" x14ac:dyDescent="0.35">
      <c r="B482" s="4">
        <v>479</v>
      </c>
      <c r="C482">
        <v>22</v>
      </c>
      <c r="E482" s="4">
        <v>479</v>
      </c>
      <c r="F482">
        <v>83</v>
      </c>
      <c r="J482" s="51"/>
    </row>
    <row r="483" spans="2:10" x14ac:dyDescent="0.35">
      <c r="B483" s="4">
        <v>480</v>
      </c>
      <c r="C483">
        <v>64</v>
      </c>
      <c r="E483" s="4">
        <v>480</v>
      </c>
      <c r="F483">
        <v>65</v>
      </c>
      <c r="J483" s="52"/>
    </row>
    <row r="484" spans="2:10" x14ac:dyDescent="0.35">
      <c r="B484" s="4">
        <v>481</v>
      </c>
      <c r="C484">
        <v>22</v>
      </c>
      <c r="E484" s="4">
        <v>481</v>
      </c>
      <c r="F484">
        <v>58</v>
      </c>
      <c r="J484" s="51"/>
    </row>
    <row r="485" spans="2:10" x14ac:dyDescent="0.35">
      <c r="B485" s="4">
        <v>482</v>
      </c>
      <c r="C485">
        <v>24</v>
      </c>
      <c r="E485" s="4">
        <v>482</v>
      </c>
      <c r="F485">
        <v>21</v>
      </c>
      <c r="J485" s="52"/>
    </row>
    <row r="486" spans="2:10" x14ac:dyDescent="0.35">
      <c r="B486" s="4">
        <v>483</v>
      </c>
      <c r="C486">
        <v>33</v>
      </c>
      <c r="E486" s="4">
        <v>483</v>
      </c>
      <c r="F486">
        <v>53</v>
      </c>
      <c r="J486" s="51"/>
    </row>
    <row r="487" spans="2:10" x14ac:dyDescent="0.35">
      <c r="B487" s="4">
        <v>484</v>
      </c>
      <c r="C487">
        <v>30</v>
      </c>
      <c r="E487" s="4">
        <v>484</v>
      </c>
      <c r="F487">
        <v>34</v>
      </c>
      <c r="J487" s="52"/>
    </row>
    <row r="488" spans="2:10" x14ac:dyDescent="0.35">
      <c r="B488" s="4">
        <v>485</v>
      </c>
      <c r="C488">
        <v>58</v>
      </c>
      <c r="E488" s="4">
        <v>485</v>
      </c>
      <c r="F488">
        <v>79</v>
      </c>
      <c r="J488" s="51"/>
    </row>
    <row r="489" spans="2:10" x14ac:dyDescent="0.35">
      <c r="B489" s="4">
        <v>486</v>
      </c>
      <c r="C489">
        <v>60</v>
      </c>
      <c r="E489" s="4">
        <v>486</v>
      </c>
      <c r="F489">
        <v>59</v>
      </c>
      <c r="J489" s="52"/>
    </row>
    <row r="490" spans="2:10" x14ac:dyDescent="0.35">
      <c r="B490" s="4">
        <v>487</v>
      </c>
      <c r="C490">
        <v>61</v>
      </c>
      <c r="E490" s="4">
        <v>487</v>
      </c>
      <c r="F490">
        <v>92</v>
      </c>
      <c r="J490" s="51"/>
    </row>
    <row r="491" spans="2:10" x14ac:dyDescent="0.35">
      <c r="B491" s="4">
        <v>488</v>
      </c>
      <c r="C491">
        <v>75</v>
      </c>
      <c r="E491" s="4">
        <v>488</v>
      </c>
      <c r="F491">
        <v>124</v>
      </c>
      <c r="J491" s="52"/>
    </row>
    <row r="492" spans="2:10" x14ac:dyDescent="0.35">
      <c r="B492" s="4">
        <v>489</v>
      </c>
      <c r="C492">
        <v>57</v>
      </c>
      <c r="E492" s="4">
        <v>489</v>
      </c>
      <c r="F492">
        <v>34</v>
      </c>
      <c r="J492" s="51"/>
    </row>
    <row r="493" spans="2:10" x14ac:dyDescent="0.35">
      <c r="B493" s="4">
        <v>490</v>
      </c>
      <c r="C493">
        <v>88</v>
      </c>
      <c r="E493" s="4">
        <v>490</v>
      </c>
      <c r="F493">
        <v>131</v>
      </c>
      <c r="J493" s="52"/>
    </row>
    <row r="494" spans="2:10" x14ac:dyDescent="0.35">
      <c r="B494" s="4">
        <v>491</v>
      </c>
      <c r="C494">
        <v>48</v>
      </c>
      <c r="E494" s="4">
        <v>491</v>
      </c>
      <c r="F494">
        <v>41</v>
      </c>
      <c r="J494" s="51"/>
    </row>
    <row r="495" spans="2:10" x14ac:dyDescent="0.35">
      <c r="B495" s="4">
        <v>492</v>
      </c>
      <c r="C495">
        <v>83</v>
      </c>
      <c r="E495" s="4">
        <v>492</v>
      </c>
      <c r="F495">
        <v>49</v>
      </c>
      <c r="J495" s="52"/>
    </row>
    <row r="496" spans="2:10" x14ac:dyDescent="0.35">
      <c r="B496" s="4">
        <v>493</v>
      </c>
      <c r="C496">
        <v>24</v>
      </c>
      <c r="E496" s="4">
        <v>493</v>
      </c>
      <c r="F496">
        <v>8</v>
      </c>
      <c r="J496" s="51"/>
    </row>
    <row r="497" spans="2:10" x14ac:dyDescent="0.35">
      <c r="B497" s="4">
        <v>494</v>
      </c>
      <c r="C497">
        <v>68</v>
      </c>
      <c r="E497" s="4">
        <v>494</v>
      </c>
      <c r="F497">
        <v>31</v>
      </c>
      <c r="J497" s="52"/>
    </row>
    <row r="498" spans="2:10" x14ac:dyDescent="0.35">
      <c r="B498" s="4">
        <v>495</v>
      </c>
      <c r="C498">
        <v>104</v>
      </c>
      <c r="E498" s="4">
        <v>495</v>
      </c>
      <c r="F498">
        <v>102</v>
      </c>
      <c r="J498" s="51"/>
    </row>
    <row r="499" spans="2:10" x14ac:dyDescent="0.35">
      <c r="B499" s="4">
        <v>496</v>
      </c>
      <c r="C499">
        <v>91</v>
      </c>
      <c r="E499" s="4">
        <v>496</v>
      </c>
      <c r="F499">
        <v>133</v>
      </c>
      <c r="J499" s="52"/>
    </row>
    <row r="500" spans="2:10" x14ac:dyDescent="0.35">
      <c r="B500" s="4">
        <v>497</v>
      </c>
      <c r="C500">
        <v>57</v>
      </c>
      <c r="E500" s="4">
        <v>497</v>
      </c>
      <c r="F500">
        <v>38</v>
      </c>
      <c r="J500" s="51"/>
    </row>
    <row r="501" spans="2:10" x14ac:dyDescent="0.35">
      <c r="B501" s="4">
        <v>498</v>
      </c>
      <c r="C501">
        <v>8</v>
      </c>
      <c r="E501" s="4">
        <v>498</v>
      </c>
      <c r="F501">
        <v>32</v>
      </c>
      <c r="J501" s="52"/>
    </row>
    <row r="502" spans="2:10" x14ac:dyDescent="0.35">
      <c r="B502" s="4">
        <v>499</v>
      </c>
      <c r="C502">
        <v>65</v>
      </c>
      <c r="E502" s="4">
        <v>499</v>
      </c>
      <c r="F502">
        <v>130</v>
      </c>
      <c r="J502" s="51"/>
    </row>
    <row r="503" spans="2:10" x14ac:dyDescent="0.35">
      <c r="B503" s="4">
        <v>500</v>
      </c>
      <c r="C503">
        <v>38</v>
      </c>
      <c r="E503" s="4">
        <v>500</v>
      </c>
      <c r="F503">
        <v>42</v>
      </c>
      <c r="J503" s="52"/>
    </row>
    <row r="504" spans="2:10" x14ac:dyDescent="0.35">
      <c r="B504" s="4">
        <v>501</v>
      </c>
      <c r="C504">
        <v>55</v>
      </c>
      <c r="E504" s="4">
        <v>501</v>
      </c>
      <c r="F504">
        <v>39</v>
      </c>
      <c r="J504" s="51"/>
    </row>
    <row r="505" spans="2:10" x14ac:dyDescent="0.35">
      <c r="B505" s="4">
        <v>502</v>
      </c>
      <c r="C505">
        <v>56</v>
      </c>
      <c r="E505" s="4">
        <v>502</v>
      </c>
      <c r="F505">
        <v>73</v>
      </c>
      <c r="J505" s="52"/>
    </row>
    <row r="506" spans="2:10" x14ac:dyDescent="0.35">
      <c r="B506" s="4">
        <v>503</v>
      </c>
      <c r="C506">
        <v>54</v>
      </c>
      <c r="E506" s="4">
        <v>503</v>
      </c>
      <c r="F506">
        <v>85</v>
      </c>
      <c r="J506" s="51"/>
    </row>
    <row r="507" spans="2:10" x14ac:dyDescent="0.35">
      <c r="B507" s="4">
        <v>504</v>
      </c>
      <c r="C507">
        <v>22</v>
      </c>
      <c r="E507" s="4">
        <v>504</v>
      </c>
      <c r="F507">
        <v>19</v>
      </c>
      <c r="J507" s="52"/>
    </row>
    <row r="508" spans="2:10" x14ac:dyDescent="0.35">
      <c r="B508" s="4">
        <v>505</v>
      </c>
      <c r="C508">
        <v>60</v>
      </c>
      <c r="E508" s="4">
        <v>505</v>
      </c>
      <c r="F508">
        <v>115</v>
      </c>
      <c r="J508" s="51"/>
    </row>
    <row r="509" spans="2:10" x14ac:dyDescent="0.35">
      <c r="B509" s="4">
        <v>506</v>
      </c>
      <c r="C509">
        <v>28</v>
      </c>
      <c r="E509" s="4">
        <v>506</v>
      </c>
      <c r="F509">
        <v>5</v>
      </c>
      <c r="J509" s="52"/>
    </row>
    <row r="510" spans="2:10" x14ac:dyDescent="0.35">
      <c r="B510" s="4">
        <v>507</v>
      </c>
      <c r="C510">
        <v>84</v>
      </c>
      <c r="E510" s="4">
        <v>507</v>
      </c>
      <c r="F510">
        <v>69</v>
      </c>
      <c r="J510" s="51"/>
    </row>
    <row r="511" spans="2:10" x14ac:dyDescent="0.35">
      <c r="B511" s="4">
        <v>508</v>
      </c>
      <c r="C511">
        <v>13</v>
      </c>
      <c r="E511" s="4">
        <v>508</v>
      </c>
      <c r="F511">
        <v>34</v>
      </c>
      <c r="J511" s="52"/>
    </row>
    <row r="512" spans="2:10" x14ac:dyDescent="0.35">
      <c r="B512" s="4">
        <v>509</v>
      </c>
      <c r="C512">
        <v>30</v>
      </c>
      <c r="E512" s="4">
        <v>509</v>
      </c>
      <c r="F512">
        <v>47</v>
      </c>
      <c r="J512" s="51"/>
    </row>
    <row r="513" spans="2:10" x14ac:dyDescent="0.35">
      <c r="B513" s="4">
        <v>510</v>
      </c>
      <c r="C513">
        <v>14</v>
      </c>
      <c r="E513" s="4">
        <v>510</v>
      </c>
      <c r="F513">
        <v>48</v>
      </c>
      <c r="J513" s="52"/>
    </row>
    <row r="514" spans="2:10" x14ac:dyDescent="0.35">
      <c r="B514" s="4">
        <v>511</v>
      </c>
      <c r="C514">
        <v>55</v>
      </c>
      <c r="E514" s="4">
        <v>511</v>
      </c>
      <c r="F514">
        <v>38</v>
      </c>
      <c r="J514" s="51"/>
    </row>
    <row r="515" spans="2:10" x14ac:dyDescent="0.35">
      <c r="B515" s="4">
        <v>512</v>
      </c>
      <c r="C515">
        <v>50</v>
      </c>
      <c r="E515" s="4">
        <v>512</v>
      </c>
      <c r="F515">
        <v>59</v>
      </c>
      <c r="J515" s="52"/>
    </row>
    <row r="516" spans="2:10" x14ac:dyDescent="0.35">
      <c r="B516" s="4">
        <v>513</v>
      </c>
      <c r="C516">
        <v>24</v>
      </c>
      <c r="E516" s="4">
        <v>513</v>
      </c>
      <c r="F516">
        <v>56</v>
      </c>
      <c r="J516" s="51"/>
    </row>
    <row r="517" spans="2:10" x14ac:dyDescent="0.35">
      <c r="B517" s="4">
        <v>514</v>
      </c>
      <c r="C517">
        <v>72</v>
      </c>
      <c r="E517" s="4">
        <v>514</v>
      </c>
      <c r="F517">
        <v>112</v>
      </c>
      <c r="J517" s="52"/>
    </row>
    <row r="518" spans="2:10" x14ac:dyDescent="0.35">
      <c r="B518" s="4">
        <v>515</v>
      </c>
      <c r="C518">
        <v>8</v>
      </c>
      <c r="E518" s="4">
        <v>515</v>
      </c>
      <c r="F518">
        <v>13</v>
      </c>
      <c r="J518" s="51"/>
    </row>
    <row r="519" spans="2:10" x14ac:dyDescent="0.35">
      <c r="B519" s="4">
        <v>516</v>
      </c>
      <c r="C519">
        <v>59</v>
      </c>
      <c r="E519" s="4">
        <v>516</v>
      </c>
      <c r="F519">
        <v>97</v>
      </c>
      <c r="J519" s="52"/>
    </row>
    <row r="520" spans="2:10" x14ac:dyDescent="0.35">
      <c r="B520" s="4">
        <v>517</v>
      </c>
      <c r="C520">
        <v>43</v>
      </c>
      <c r="E520" s="4">
        <v>517</v>
      </c>
      <c r="F520">
        <v>65</v>
      </c>
      <c r="J520" s="51"/>
    </row>
    <row r="521" spans="2:10" x14ac:dyDescent="0.35">
      <c r="B521" s="4">
        <v>518</v>
      </c>
      <c r="C521">
        <v>31</v>
      </c>
      <c r="E521" s="4">
        <v>518</v>
      </c>
      <c r="F521">
        <v>53</v>
      </c>
      <c r="J521" s="52"/>
    </row>
    <row r="522" spans="2:10" x14ac:dyDescent="0.35">
      <c r="B522" s="4">
        <v>519</v>
      </c>
      <c r="C522">
        <v>96</v>
      </c>
      <c r="E522" s="4">
        <v>519</v>
      </c>
      <c r="F522">
        <v>156</v>
      </c>
      <c r="J522" s="51"/>
    </row>
    <row r="523" spans="2:10" x14ac:dyDescent="0.35">
      <c r="B523" s="4">
        <v>520</v>
      </c>
      <c r="C523">
        <v>112</v>
      </c>
      <c r="E523" s="4">
        <v>520</v>
      </c>
      <c r="F523">
        <v>121</v>
      </c>
      <c r="J523" s="52"/>
    </row>
    <row r="524" spans="2:10" x14ac:dyDescent="0.35">
      <c r="B524" s="4">
        <v>521</v>
      </c>
      <c r="C524">
        <v>86</v>
      </c>
      <c r="E524" s="4">
        <v>521</v>
      </c>
      <c r="F524">
        <v>91</v>
      </c>
      <c r="J524" s="51"/>
    </row>
    <row r="525" spans="2:10" x14ac:dyDescent="0.35">
      <c r="B525" s="4">
        <v>522</v>
      </c>
      <c r="C525">
        <v>36</v>
      </c>
      <c r="E525" s="4">
        <v>522</v>
      </c>
      <c r="F525">
        <v>47</v>
      </c>
      <c r="J525" s="52"/>
    </row>
    <row r="526" spans="2:10" x14ac:dyDescent="0.35">
      <c r="B526" s="4">
        <v>523</v>
      </c>
      <c r="C526">
        <v>33</v>
      </c>
      <c r="E526" s="4">
        <v>523</v>
      </c>
      <c r="F526">
        <v>51</v>
      </c>
      <c r="J526" s="51"/>
    </row>
    <row r="527" spans="2:10" x14ac:dyDescent="0.35">
      <c r="B527" s="4">
        <v>524</v>
      </c>
      <c r="C527">
        <v>31</v>
      </c>
      <c r="E527" s="4">
        <v>524</v>
      </c>
      <c r="F527">
        <v>61</v>
      </c>
      <c r="J527" s="52"/>
    </row>
    <row r="528" spans="2:10" x14ac:dyDescent="0.35">
      <c r="B528" s="4">
        <v>525</v>
      </c>
      <c r="C528">
        <v>77</v>
      </c>
      <c r="E528" s="4">
        <v>525</v>
      </c>
      <c r="F528">
        <v>77</v>
      </c>
      <c r="J528" s="51"/>
    </row>
    <row r="529" spans="2:10" x14ac:dyDescent="0.35">
      <c r="B529" s="4">
        <v>526</v>
      </c>
      <c r="C529">
        <v>13</v>
      </c>
      <c r="E529" s="4">
        <v>526</v>
      </c>
      <c r="F529">
        <v>22</v>
      </c>
      <c r="J529" s="52"/>
    </row>
    <row r="530" spans="2:10" x14ac:dyDescent="0.35">
      <c r="B530" s="4">
        <v>527</v>
      </c>
      <c r="C530">
        <v>22</v>
      </c>
      <c r="E530" s="4">
        <v>527</v>
      </c>
      <c r="F530">
        <v>31</v>
      </c>
      <c r="J530" s="51"/>
    </row>
    <row r="531" spans="2:10" x14ac:dyDescent="0.35">
      <c r="B531" s="4">
        <v>528</v>
      </c>
      <c r="C531">
        <v>31</v>
      </c>
      <c r="E531" s="4">
        <v>528</v>
      </c>
      <c r="F531">
        <v>121</v>
      </c>
      <c r="J531" s="52"/>
    </row>
    <row r="532" spans="2:10" x14ac:dyDescent="0.35">
      <c r="B532" s="4">
        <v>529</v>
      </c>
      <c r="C532">
        <v>84</v>
      </c>
      <c r="E532" s="4">
        <v>529</v>
      </c>
      <c r="F532">
        <v>157</v>
      </c>
      <c r="J532" s="51"/>
    </row>
    <row r="533" spans="2:10" x14ac:dyDescent="0.35">
      <c r="B533" s="4">
        <v>530</v>
      </c>
      <c r="C533">
        <v>68</v>
      </c>
      <c r="E533" s="4">
        <v>530</v>
      </c>
      <c r="F533">
        <v>106</v>
      </c>
      <c r="J533" s="52"/>
    </row>
    <row r="534" spans="2:10" x14ac:dyDescent="0.35">
      <c r="B534" s="4">
        <v>531</v>
      </c>
      <c r="C534">
        <v>99</v>
      </c>
      <c r="E534" s="4">
        <v>531</v>
      </c>
      <c r="F534">
        <v>199</v>
      </c>
      <c r="J534" s="51"/>
    </row>
    <row r="535" spans="2:10" x14ac:dyDescent="0.35">
      <c r="B535" s="4">
        <v>532</v>
      </c>
      <c r="C535">
        <v>56</v>
      </c>
      <c r="E535" s="4">
        <v>532</v>
      </c>
      <c r="F535">
        <v>59</v>
      </c>
      <c r="J535" s="52"/>
    </row>
    <row r="536" spans="2:10" x14ac:dyDescent="0.35">
      <c r="B536" s="4">
        <v>533</v>
      </c>
      <c r="C536">
        <v>16</v>
      </c>
      <c r="E536" s="4">
        <v>533</v>
      </c>
      <c r="F536">
        <v>48</v>
      </c>
      <c r="J536" s="51"/>
    </row>
    <row r="537" spans="2:10" x14ac:dyDescent="0.35">
      <c r="B537" s="4">
        <v>534</v>
      </c>
      <c r="C537">
        <v>60</v>
      </c>
      <c r="E537" s="4">
        <v>534</v>
      </c>
      <c r="F537">
        <v>76</v>
      </c>
      <c r="J537" s="52"/>
    </row>
    <row r="538" spans="2:10" x14ac:dyDescent="0.35">
      <c r="B538" s="4">
        <v>535</v>
      </c>
      <c r="C538">
        <v>109</v>
      </c>
      <c r="E538" s="4">
        <v>535</v>
      </c>
      <c r="F538">
        <v>113</v>
      </c>
      <c r="J538" s="51"/>
    </row>
    <row r="539" spans="2:10" x14ac:dyDescent="0.35">
      <c r="B539" s="4">
        <v>536</v>
      </c>
      <c r="C539">
        <v>86</v>
      </c>
      <c r="E539" s="4">
        <v>536</v>
      </c>
      <c r="F539">
        <v>152</v>
      </c>
      <c r="J539" s="52"/>
    </row>
    <row r="540" spans="2:10" x14ac:dyDescent="0.35">
      <c r="B540" s="4">
        <v>537</v>
      </c>
      <c r="C540">
        <v>24</v>
      </c>
      <c r="E540" s="4">
        <v>537</v>
      </c>
      <c r="F540">
        <v>21</v>
      </c>
      <c r="J540" s="51"/>
    </row>
    <row r="541" spans="2:10" x14ac:dyDescent="0.35">
      <c r="B541" s="4">
        <v>538</v>
      </c>
      <c r="C541">
        <v>58</v>
      </c>
      <c r="E541" s="4">
        <v>538</v>
      </c>
      <c r="F541">
        <v>198</v>
      </c>
      <c r="J541" s="52"/>
    </row>
    <row r="542" spans="2:10" x14ac:dyDescent="0.35">
      <c r="B542" s="4">
        <v>539</v>
      </c>
      <c r="C542">
        <v>99</v>
      </c>
      <c r="E542" s="4">
        <v>539</v>
      </c>
      <c r="F542">
        <v>129</v>
      </c>
      <c r="J542" s="51"/>
    </row>
    <row r="543" spans="2:10" x14ac:dyDescent="0.35">
      <c r="B543" s="4">
        <v>540</v>
      </c>
      <c r="C543">
        <v>52</v>
      </c>
      <c r="E543" s="4">
        <v>540</v>
      </c>
      <c r="F543">
        <v>82</v>
      </c>
      <c r="J543" s="52"/>
    </row>
    <row r="544" spans="2:10" x14ac:dyDescent="0.35">
      <c r="B544" s="4">
        <v>541</v>
      </c>
      <c r="C544">
        <v>81</v>
      </c>
      <c r="E544" s="4">
        <v>541</v>
      </c>
      <c r="F544">
        <v>124</v>
      </c>
      <c r="J544" s="51"/>
    </row>
    <row r="545" spans="2:10" x14ac:dyDescent="0.35">
      <c r="B545" s="4">
        <v>542</v>
      </c>
      <c r="C545">
        <v>61</v>
      </c>
      <c r="E545" s="4">
        <v>542</v>
      </c>
      <c r="F545">
        <v>115</v>
      </c>
      <c r="J545" s="52"/>
    </row>
    <row r="546" spans="2:10" x14ac:dyDescent="0.35">
      <c r="B546" s="4">
        <v>543</v>
      </c>
      <c r="C546">
        <v>85</v>
      </c>
      <c r="E546" s="4">
        <v>543</v>
      </c>
      <c r="F546">
        <v>74</v>
      </c>
      <c r="J546" s="51"/>
    </row>
    <row r="547" spans="2:10" x14ac:dyDescent="0.35">
      <c r="B547" s="4">
        <v>544</v>
      </c>
      <c r="C547">
        <v>28</v>
      </c>
      <c r="E547" s="4">
        <v>544</v>
      </c>
      <c r="F547">
        <v>48</v>
      </c>
      <c r="J547" s="52"/>
    </row>
    <row r="548" spans="2:10" x14ac:dyDescent="0.35">
      <c r="B548" s="4">
        <v>545</v>
      </c>
      <c r="C548">
        <v>51</v>
      </c>
      <c r="E548" s="4">
        <v>545</v>
      </c>
      <c r="F548">
        <v>99</v>
      </c>
      <c r="J548" s="51"/>
    </row>
    <row r="549" spans="2:10" x14ac:dyDescent="0.35">
      <c r="B549" s="4">
        <v>546</v>
      </c>
      <c r="C549">
        <v>38</v>
      </c>
      <c r="E549" s="4">
        <v>546</v>
      </c>
      <c r="F549">
        <v>91</v>
      </c>
      <c r="J549" s="52"/>
    </row>
    <row r="550" spans="2:10" x14ac:dyDescent="0.35">
      <c r="B550" s="4">
        <v>547</v>
      </c>
      <c r="C550">
        <v>89</v>
      </c>
      <c r="E550" s="4">
        <v>547</v>
      </c>
      <c r="F550">
        <v>97</v>
      </c>
      <c r="J550" s="51"/>
    </row>
    <row r="551" spans="2:10" x14ac:dyDescent="0.35">
      <c r="B551" s="4">
        <v>548</v>
      </c>
      <c r="C551">
        <v>38</v>
      </c>
      <c r="E551" s="4">
        <v>548</v>
      </c>
      <c r="F551">
        <v>106</v>
      </c>
      <c r="J551" s="52"/>
    </row>
    <row r="552" spans="2:10" x14ac:dyDescent="0.35">
      <c r="B552" s="4">
        <v>549</v>
      </c>
      <c r="C552">
        <v>66</v>
      </c>
      <c r="E552" s="4">
        <v>549</v>
      </c>
      <c r="F552">
        <v>98</v>
      </c>
      <c r="J552" s="51"/>
    </row>
    <row r="553" spans="2:10" x14ac:dyDescent="0.35">
      <c r="B553" s="4">
        <v>550</v>
      </c>
      <c r="C553">
        <v>50</v>
      </c>
      <c r="E553" s="4">
        <v>550</v>
      </c>
      <c r="F553">
        <v>57</v>
      </c>
      <c r="J553" s="52"/>
    </row>
    <row r="554" spans="2:10" x14ac:dyDescent="0.35">
      <c r="B554" s="4">
        <v>551</v>
      </c>
      <c r="C554">
        <v>68</v>
      </c>
      <c r="E554" s="4">
        <v>551</v>
      </c>
      <c r="F554">
        <v>123</v>
      </c>
      <c r="J554" s="51"/>
    </row>
    <row r="555" spans="2:10" x14ac:dyDescent="0.35">
      <c r="B555" s="4">
        <v>552</v>
      </c>
      <c r="C555">
        <v>93</v>
      </c>
      <c r="E555" s="4">
        <v>552</v>
      </c>
      <c r="F555">
        <v>115</v>
      </c>
      <c r="J555" s="52"/>
    </row>
    <row r="556" spans="2:10" x14ac:dyDescent="0.35">
      <c r="B556" s="4">
        <v>553</v>
      </c>
      <c r="C556">
        <v>82</v>
      </c>
      <c r="E556" s="4">
        <v>553</v>
      </c>
      <c r="F556">
        <v>178</v>
      </c>
      <c r="J556" s="51"/>
    </row>
    <row r="557" spans="2:10" x14ac:dyDescent="0.35">
      <c r="B557" s="4">
        <v>554</v>
      </c>
      <c r="C557">
        <v>63</v>
      </c>
      <c r="E557" s="4">
        <v>554</v>
      </c>
      <c r="F557">
        <v>71</v>
      </c>
      <c r="J557" s="52"/>
    </row>
    <row r="558" spans="2:10" x14ac:dyDescent="0.35">
      <c r="B558" s="4">
        <v>555</v>
      </c>
      <c r="C558">
        <v>12</v>
      </c>
      <c r="E558" s="4">
        <v>555</v>
      </c>
      <c r="F558">
        <v>46</v>
      </c>
      <c r="J558" s="51"/>
    </row>
    <row r="559" spans="2:10" x14ac:dyDescent="0.35">
      <c r="B559" s="4">
        <v>556</v>
      </c>
      <c r="C559">
        <v>33</v>
      </c>
      <c r="E559" s="4">
        <v>556</v>
      </c>
      <c r="F559">
        <v>66</v>
      </c>
      <c r="J559" s="52"/>
    </row>
    <row r="560" spans="2:10" x14ac:dyDescent="0.35">
      <c r="B560" s="4">
        <v>557</v>
      </c>
      <c r="C560">
        <v>70</v>
      </c>
      <c r="E560" s="4">
        <v>557</v>
      </c>
      <c r="F560">
        <v>107</v>
      </c>
      <c r="J560" s="51"/>
    </row>
    <row r="561" spans="2:10" x14ac:dyDescent="0.35">
      <c r="B561" s="4">
        <v>558</v>
      </c>
      <c r="C561">
        <v>72</v>
      </c>
      <c r="E561" s="4">
        <v>558</v>
      </c>
      <c r="F561">
        <v>167</v>
      </c>
      <c r="J561" s="52"/>
    </row>
    <row r="562" spans="2:10" x14ac:dyDescent="0.35">
      <c r="B562" s="4">
        <v>559</v>
      </c>
      <c r="C562">
        <v>39</v>
      </c>
      <c r="E562" s="4">
        <v>559</v>
      </c>
      <c r="F562">
        <v>41</v>
      </c>
      <c r="J562" s="51"/>
    </row>
    <row r="563" spans="2:10" x14ac:dyDescent="0.35">
      <c r="B563" s="4">
        <v>560</v>
      </c>
      <c r="C563">
        <v>46</v>
      </c>
      <c r="E563" s="4">
        <v>560</v>
      </c>
      <c r="F563">
        <v>48</v>
      </c>
      <c r="J563" s="52"/>
    </row>
    <row r="564" spans="2:10" x14ac:dyDescent="0.35">
      <c r="B564" s="4">
        <v>561</v>
      </c>
      <c r="C564">
        <v>26</v>
      </c>
      <c r="E564" s="4">
        <v>561</v>
      </c>
      <c r="F564">
        <v>64</v>
      </c>
      <c r="J564" s="51"/>
    </row>
    <row r="565" spans="2:10" x14ac:dyDescent="0.35">
      <c r="B565" s="4">
        <v>562</v>
      </c>
      <c r="C565">
        <v>113</v>
      </c>
      <c r="E565" s="4">
        <v>562</v>
      </c>
      <c r="F565">
        <v>112</v>
      </c>
      <c r="J565" s="52"/>
    </row>
    <row r="566" spans="2:10" x14ac:dyDescent="0.35">
      <c r="B566" s="4">
        <v>563</v>
      </c>
      <c r="C566">
        <v>22</v>
      </c>
      <c r="E566" s="4">
        <v>563</v>
      </c>
      <c r="F566">
        <v>37</v>
      </c>
      <c r="J566" s="51"/>
    </row>
    <row r="567" spans="2:10" x14ac:dyDescent="0.35">
      <c r="B567" s="4">
        <v>564</v>
      </c>
      <c r="C567">
        <v>60</v>
      </c>
      <c r="E567" s="4">
        <v>564</v>
      </c>
      <c r="F567">
        <v>54</v>
      </c>
      <c r="J567" s="52"/>
    </row>
    <row r="568" spans="2:10" x14ac:dyDescent="0.35">
      <c r="B568" s="4">
        <v>565</v>
      </c>
      <c r="C568">
        <v>103</v>
      </c>
      <c r="E568" s="4">
        <v>565</v>
      </c>
      <c r="F568">
        <v>98</v>
      </c>
      <c r="J568" s="51"/>
    </row>
    <row r="569" spans="2:10" x14ac:dyDescent="0.35">
      <c r="B569" s="4">
        <v>566</v>
      </c>
      <c r="C569">
        <v>33</v>
      </c>
      <c r="E569" s="4">
        <v>566</v>
      </c>
      <c r="F569">
        <v>56</v>
      </c>
      <c r="J569" s="52"/>
    </row>
    <row r="570" spans="2:10" x14ac:dyDescent="0.35">
      <c r="B570" s="4">
        <v>567</v>
      </c>
      <c r="C570">
        <v>102</v>
      </c>
      <c r="E570" s="4">
        <v>567</v>
      </c>
      <c r="F570">
        <v>102</v>
      </c>
      <c r="J570" s="51"/>
    </row>
    <row r="571" spans="2:10" x14ac:dyDescent="0.35">
      <c r="B571" s="4">
        <v>568</v>
      </c>
      <c r="C571">
        <v>72</v>
      </c>
      <c r="E571" s="4">
        <v>568</v>
      </c>
      <c r="F571">
        <v>84</v>
      </c>
      <c r="J571" s="52"/>
    </row>
    <row r="572" spans="2:10" x14ac:dyDescent="0.35">
      <c r="B572" s="4">
        <v>569</v>
      </c>
      <c r="C572">
        <v>52</v>
      </c>
      <c r="E572" s="4">
        <v>569</v>
      </c>
      <c r="F572">
        <v>58</v>
      </c>
      <c r="J572" s="51"/>
    </row>
    <row r="573" spans="2:10" x14ac:dyDescent="0.35">
      <c r="B573" s="4">
        <v>570</v>
      </c>
      <c r="C573">
        <v>35</v>
      </c>
      <c r="E573" s="4">
        <v>570</v>
      </c>
      <c r="F573">
        <v>46</v>
      </c>
      <c r="J573" s="52"/>
    </row>
    <row r="574" spans="2:10" x14ac:dyDescent="0.35">
      <c r="B574" s="4">
        <v>571</v>
      </c>
      <c r="C574">
        <v>22</v>
      </c>
      <c r="E574" s="4">
        <v>571</v>
      </c>
      <c r="F574">
        <v>26</v>
      </c>
      <c r="J574" s="51"/>
    </row>
    <row r="575" spans="2:10" x14ac:dyDescent="0.35">
      <c r="B575" s="4">
        <v>572</v>
      </c>
      <c r="C575">
        <v>30</v>
      </c>
      <c r="E575" s="4">
        <v>572</v>
      </c>
      <c r="F575">
        <v>44</v>
      </c>
      <c r="J575" s="52"/>
    </row>
    <row r="576" spans="2:10" x14ac:dyDescent="0.35">
      <c r="B576" s="4">
        <v>573</v>
      </c>
      <c r="C576">
        <v>66</v>
      </c>
      <c r="E576" s="4">
        <v>573</v>
      </c>
      <c r="F576">
        <v>69</v>
      </c>
      <c r="J576" s="51"/>
    </row>
    <row r="577" spans="2:10" x14ac:dyDescent="0.35">
      <c r="B577" s="4">
        <v>574</v>
      </c>
      <c r="C577">
        <v>85</v>
      </c>
      <c r="E577" s="4">
        <v>574</v>
      </c>
      <c r="F577">
        <v>168</v>
      </c>
      <c r="J577" s="52"/>
    </row>
    <row r="578" spans="2:10" x14ac:dyDescent="0.35">
      <c r="B578" s="4">
        <v>575</v>
      </c>
      <c r="C578">
        <v>8</v>
      </c>
      <c r="E578" s="4">
        <v>575</v>
      </c>
      <c r="F578">
        <v>44</v>
      </c>
      <c r="J578" s="51"/>
    </row>
    <row r="579" spans="2:10" x14ac:dyDescent="0.35">
      <c r="B579" s="4">
        <v>576</v>
      </c>
      <c r="C579">
        <v>91</v>
      </c>
      <c r="E579" s="4">
        <v>576</v>
      </c>
      <c r="F579">
        <v>115</v>
      </c>
      <c r="J579" s="52"/>
    </row>
    <row r="580" spans="2:10" x14ac:dyDescent="0.35">
      <c r="B580" s="4">
        <v>577</v>
      </c>
      <c r="C580">
        <v>17</v>
      </c>
      <c r="E580" s="4">
        <v>577</v>
      </c>
      <c r="F580">
        <v>25</v>
      </c>
      <c r="J580" s="51"/>
    </row>
    <row r="581" spans="2:10" x14ac:dyDescent="0.35">
      <c r="B581" s="4">
        <v>578</v>
      </c>
      <c r="C581">
        <v>36</v>
      </c>
      <c r="E581" s="4">
        <v>578</v>
      </c>
      <c r="F581">
        <v>44</v>
      </c>
      <c r="J581" s="52"/>
    </row>
    <row r="582" spans="2:10" x14ac:dyDescent="0.35">
      <c r="B582" s="4">
        <v>579</v>
      </c>
      <c r="C582">
        <v>20</v>
      </c>
      <c r="E582" s="4">
        <v>579</v>
      </c>
      <c r="F582">
        <v>48</v>
      </c>
      <c r="J582" s="51"/>
    </row>
    <row r="583" spans="2:10" x14ac:dyDescent="0.35">
      <c r="B583" s="4">
        <v>580</v>
      </c>
      <c r="C583">
        <v>13</v>
      </c>
      <c r="E583" s="4">
        <v>580</v>
      </c>
      <c r="F583">
        <v>30</v>
      </c>
      <c r="J583" s="52"/>
    </row>
    <row r="584" spans="2:10" x14ac:dyDescent="0.35">
      <c r="B584" s="4">
        <v>581</v>
      </c>
      <c r="C584">
        <v>49</v>
      </c>
      <c r="E584" s="4">
        <v>581</v>
      </c>
      <c r="F584">
        <v>55</v>
      </c>
      <c r="J584" s="51"/>
    </row>
    <row r="585" spans="2:10" x14ac:dyDescent="0.35">
      <c r="B585" s="4">
        <v>582</v>
      </c>
      <c r="C585">
        <v>22</v>
      </c>
      <c r="E585" s="4">
        <v>582</v>
      </c>
      <c r="F585">
        <v>42</v>
      </c>
      <c r="J585" s="52"/>
    </row>
    <row r="586" spans="2:10" x14ac:dyDescent="0.35">
      <c r="B586" s="4">
        <v>583</v>
      </c>
      <c r="C586">
        <v>97</v>
      </c>
      <c r="E586" s="4">
        <v>583</v>
      </c>
      <c r="F586">
        <v>105</v>
      </c>
      <c r="J586" s="51"/>
    </row>
    <row r="587" spans="2:10" x14ac:dyDescent="0.35">
      <c r="B587" s="4">
        <v>584</v>
      </c>
      <c r="C587">
        <v>56</v>
      </c>
      <c r="E587" s="4">
        <v>584</v>
      </c>
      <c r="F587">
        <v>114</v>
      </c>
      <c r="J587" s="52"/>
    </row>
    <row r="588" spans="2:10" x14ac:dyDescent="0.35">
      <c r="B588" s="4">
        <v>585</v>
      </c>
      <c r="C588">
        <v>53</v>
      </c>
      <c r="E588" s="4">
        <v>585</v>
      </c>
      <c r="F588">
        <v>95</v>
      </c>
      <c r="J588" s="51"/>
    </row>
    <row r="589" spans="2:10" x14ac:dyDescent="0.35">
      <c r="B589" s="4">
        <v>586</v>
      </c>
      <c r="C589">
        <v>69</v>
      </c>
      <c r="E589" s="4">
        <v>586</v>
      </c>
      <c r="F589">
        <v>92</v>
      </c>
      <c r="J589" s="52"/>
    </row>
    <row r="590" spans="2:10" x14ac:dyDescent="0.35">
      <c r="B590" s="4">
        <v>587</v>
      </c>
      <c r="C590">
        <v>20</v>
      </c>
      <c r="E590" s="4">
        <v>587</v>
      </c>
      <c r="F590">
        <v>43</v>
      </c>
      <c r="J590" s="51"/>
    </row>
    <row r="591" spans="2:10" x14ac:dyDescent="0.35">
      <c r="B591" s="4">
        <v>588</v>
      </c>
      <c r="C591">
        <v>41</v>
      </c>
      <c r="E591" s="4">
        <v>588</v>
      </c>
      <c r="F591">
        <v>37</v>
      </c>
      <c r="J591" s="52"/>
    </row>
    <row r="592" spans="2:10" x14ac:dyDescent="0.35">
      <c r="B592" s="4">
        <v>589</v>
      </c>
      <c r="C592">
        <v>114</v>
      </c>
      <c r="E592" s="4">
        <v>589</v>
      </c>
      <c r="F592">
        <v>120</v>
      </c>
      <c r="J592" s="51"/>
    </row>
    <row r="593" spans="2:10" x14ac:dyDescent="0.35">
      <c r="B593" s="4">
        <v>590</v>
      </c>
      <c r="C593">
        <v>50</v>
      </c>
      <c r="E593" s="4">
        <v>590</v>
      </c>
      <c r="F593">
        <v>64</v>
      </c>
      <c r="J593" s="52"/>
    </row>
    <row r="594" spans="2:10" x14ac:dyDescent="0.35">
      <c r="B594" s="4">
        <v>591</v>
      </c>
      <c r="C594">
        <v>45</v>
      </c>
      <c r="E594" s="4">
        <v>591</v>
      </c>
      <c r="F594">
        <v>51</v>
      </c>
      <c r="J594" s="51"/>
    </row>
    <row r="595" spans="2:10" x14ac:dyDescent="0.35">
      <c r="B595" s="4">
        <v>592</v>
      </c>
      <c r="C595">
        <v>38</v>
      </c>
      <c r="E595" s="4">
        <v>592</v>
      </c>
      <c r="F595">
        <v>101</v>
      </c>
      <c r="J595" s="52"/>
    </row>
    <row r="596" spans="2:10" x14ac:dyDescent="0.35">
      <c r="B596" s="4">
        <v>593</v>
      </c>
      <c r="C596">
        <v>81</v>
      </c>
      <c r="E596" s="4">
        <v>593</v>
      </c>
      <c r="F596">
        <v>48</v>
      </c>
      <c r="J596" s="51"/>
    </row>
    <row r="597" spans="2:10" x14ac:dyDescent="0.35">
      <c r="B597" s="4">
        <v>594</v>
      </c>
      <c r="C597">
        <v>56</v>
      </c>
      <c r="E597" s="4">
        <v>594</v>
      </c>
      <c r="F597">
        <v>98</v>
      </c>
      <c r="J597" s="52"/>
    </row>
    <row r="598" spans="2:10" x14ac:dyDescent="0.35">
      <c r="B598" s="4">
        <v>595</v>
      </c>
      <c r="C598">
        <v>28</v>
      </c>
      <c r="E598" s="4">
        <v>595</v>
      </c>
      <c r="F598">
        <v>49</v>
      </c>
      <c r="J598" s="51"/>
    </row>
    <row r="599" spans="2:10" x14ac:dyDescent="0.35">
      <c r="B599" s="4">
        <v>596</v>
      </c>
      <c r="C599">
        <v>97</v>
      </c>
      <c r="E599" s="4">
        <v>596</v>
      </c>
      <c r="F599">
        <v>158</v>
      </c>
      <c r="J599" s="52"/>
    </row>
    <row r="600" spans="2:10" x14ac:dyDescent="0.35">
      <c r="B600" s="4">
        <v>597</v>
      </c>
      <c r="C600">
        <v>60</v>
      </c>
      <c r="E600" s="4">
        <v>597</v>
      </c>
      <c r="F600">
        <v>141</v>
      </c>
      <c r="J600" s="51"/>
    </row>
    <row r="601" spans="2:10" x14ac:dyDescent="0.35">
      <c r="B601" s="4">
        <v>598</v>
      </c>
      <c r="C601">
        <v>84</v>
      </c>
      <c r="E601" s="4">
        <v>598</v>
      </c>
      <c r="F601">
        <v>81</v>
      </c>
      <c r="J601" s="52"/>
    </row>
    <row r="602" spans="2:10" x14ac:dyDescent="0.35">
      <c r="B602" s="4">
        <v>599</v>
      </c>
      <c r="C602">
        <v>68</v>
      </c>
      <c r="E602" s="4">
        <v>599</v>
      </c>
      <c r="F602">
        <v>108</v>
      </c>
      <c r="J602" s="51"/>
    </row>
    <row r="603" spans="2:10" x14ac:dyDescent="0.35">
      <c r="B603" s="4">
        <v>600</v>
      </c>
      <c r="C603">
        <v>60</v>
      </c>
      <c r="E603" s="4">
        <v>600</v>
      </c>
      <c r="F603">
        <v>65</v>
      </c>
      <c r="J603" s="52"/>
    </row>
    <row r="604" spans="2:10" x14ac:dyDescent="0.35">
      <c r="B604" s="4">
        <v>601</v>
      </c>
      <c r="C604">
        <v>117</v>
      </c>
      <c r="E604" s="4">
        <v>601</v>
      </c>
      <c r="F604">
        <v>115</v>
      </c>
      <c r="J604" s="51"/>
    </row>
    <row r="605" spans="2:10" x14ac:dyDescent="0.35">
      <c r="B605" s="4">
        <v>602</v>
      </c>
      <c r="C605">
        <v>106</v>
      </c>
      <c r="E605" s="4">
        <v>602</v>
      </c>
      <c r="F605">
        <v>162</v>
      </c>
      <c r="J605" s="52"/>
    </row>
    <row r="606" spans="2:10" x14ac:dyDescent="0.35">
      <c r="B606" s="4">
        <v>603</v>
      </c>
      <c r="C606">
        <v>24</v>
      </c>
      <c r="E606" s="4">
        <v>603</v>
      </c>
      <c r="F606">
        <v>17</v>
      </c>
      <c r="J606" s="51"/>
    </row>
    <row r="607" spans="2:10" x14ac:dyDescent="0.35">
      <c r="B607" s="4">
        <v>604</v>
      </c>
      <c r="C607">
        <v>42</v>
      </c>
      <c r="E607" s="4">
        <v>604</v>
      </c>
      <c r="F607">
        <v>42</v>
      </c>
      <c r="J607" s="52"/>
    </row>
    <row r="608" spans="2:10" x14ac:dyDescent="0.35">
      <c r="B608" s="4">
        <v>605</v>
      </c>
      <c r="C608">
        <v>87</v>
      </c>
      <c r="E608" s="4">
        <v>605</v>
      </c>
      <c r="F608">
        <v>176</v>
      </c>
      <c r="J608" s="51"/>
    </row>
    <row r="609" spans="2:10" x14ac:dyDescent="0.35">
      <c r="B609" s="4">
        <v>606</v>
      </c>
      <c r="C609">
        <v>75</v>
      </c>
      <c r="E609" s="4">
        <v>606</v>
      </c>
      <c r="F609">
        <v>145</v>
      </c>
      <c r="J609" s="52"/>
    </row>
    <row r="610" spans="2:10" x14ac:dyDescent="0.35">
      <c r="B610" s="4">
        <v>607</v>
      </c>
      <c r="C610">
        <v>27</v>
      </c>
      <c r="E610" s="4">
        <v>607</v>
      </c>
      <c r="F610">
        <v>69</v>
      </c>
      <c r="J610" s="51"/>
    </row>
    <row r="611" spans="2:10" x14ac:dyDescent="0.35">
      <c r="B611" s="4">
        <v>608</v>
      </c>
      <c r="C611">
        <v>12</v>
      </c>
      <c r="E611" s="4">
        <v>608</v>
      </c>
      <c r="F611">
        <v>45</v>
      </c>
      <c r="J611" s="52"/>
    </row>
    <row r="612" spans="2:10" x14ac:dyDescent="0.35">
      <c r="B612" s="4">
        <v>609</v>
      </c>
      <c r="C612">
        <v>13</v>
      </c>
      <c r="E612" s="4">
        <v>609</v>
      </c>
      <c r="F612">
        <v>27</v>
      </c>
      <c r="J612" s="51"/>
    </row>
    <row r="613" spans="2:10" x14ac:dyDescent="0.35">
      <c r="B613" s="4">
        <v>610</v>
      </c>
      <c r="C613">
        <v>19</v>
      </c>
      <c r="E613" s="4">
        <v>610</v>
      </c>
      <c r="F613">
        <v>47</v>
      </c>
      <c r="J613" s="52"/>
    </row>
    <row r="614" spans="2:10" x14ac:dyDescent="0.35">
      <c r="B614" s="4">
        <v>611</v>
      </c>
      <c r="C614">
        <v>30</v>
      </c>
      <c r="E614" s="4">
        <v>611</v>
      </c>
      <c r="F614">
        <v>83</v>
      </c>
      <c r="J614" s="51"/>
    </row>
    <row r="615" spans="2:10" x14ac:dyDescent="0.35">
      <c r="B615" s="4">
        <v>612</v>
      </c>
      <c r="C615">
        <v>93</v>
      </c>
      <c r="E615" s="4">
        <v>612</v>
      </c>
      <c r="F615">
        <v>129</v>
      </c>
      <c r="J615" s="52"/>
    </row>
    <row r="616" spans="2:10" x14ac:dyDescent="0.35">
      <c r="B616" s="4">
        <v>613</v>
      </c>
      <c r="C616">
        <v>117</v>
      </c>
      <c r="E616" s="4">
        <v>613</v>
      </c>
      <c r="F616">
        <v>152</v>
      </c>
      <c r="J616" s="51"/>
    </row>
    <row r="617" spans="2:10" x14ac:dyDescent="0.35">
      <c r="B617" s="4">
        <v>614</v>
      </c>
      <c r="C617">
        <v>30</v>
      </c>
      <c r="E617" s="4">
        <v>614</v>
      </c>
      <c r="F617">
        <v>50</v>
      </c>
      <c r="J617" s="52"/>
    </row>
    <row r="618" spans="2:10" x14ac:dyDescent="0.35">
      <c r="B618" s="4">
        <v>615</v>
      </c>
      <c r="C618">
        <v>132</v>
      </c>
      <c r="E618" s="4">
        <v>615</v>
      </c>
      <c r="F618">
        <v>156</v>
      </c>
      <c r="J618" s="51"/>
    </row>
    <row r="619" spans="2:10" x14ac:dyDescent="0.35">
      <c r="B619" s="4">
        <v>616</v>
      </c>
      <c r="C619">
        <v>54</v>
      </c>
      <c r="E619" s="4">
        <v>616</v>
      </c>
      <c r="F619">
        <v>47</v>
      </c>
      <c r="J619" s="52"/>
    </row>
    <row r="620" spans="2:10" x14ac:dyDescent="0.35">
      <c r="B620" s="4">
        <v>617</v>
      </c>
      <c r="C620">
        <v>58</v>
      </c>
      <c r="E620" s="4">
        <v>617</v>
      </c>
      <c r="F620">
        <v>51</v>
      </c>
      <c r="J620" s="51"/>
    </row>
    <row r="621" spans="2:10" x14ac:dyDescent="0.35">
      <c r="B621" s="4">
        <v>618</v>
      </c>
      <c r="C621">
        <v>128</v>
      </c>
      <c r="E621" s="4">
        <v>618</v>
      </c>
      <c r="F621">
        <v>118</v>
      </c>
      <c r="J621" s="52"/>
    </row>
    <row r="622" spans="2:10" x14ac:dyDescent="0.35">
      <c r="B622" s="4">
        <v>619</v>
      </c>
      <c r="C622">
        <v>55</v>
      </c>
      <c r="E622" s="4">
        <v>619</v>
      </c>
      <c r="F622">
        <v>96</v>
      </c>
      <c r="J622" s="51"/>
    </row>
    <row r="623" spans="2:10" x14ac:dyDescent="0.35">
      <c r="B623" s="4">
        <v>620</v>
      </c>
      <c r="C623">
        <v>24</v>
      </c>
      <c r="E623" s="4">
        <v>620</v>
      </c>
      <c r="F623">
        <v>40</v>
      </c>
      <c r="J623" s="52"/>
    </row>
    <row r="624" spans="2:10" x14ac:dyDescent="0.35">
      <c r="B624" s="4">
        <v>621</v>
      </c>
      <c r="C624">
        <v>42</v>
      </c>
      <c r="E624" s="4">
        <v>621</v>
      </c>
      <c r="F624">
        <v>8</v>
      </c>
      <c r="J624" s="51"/>
    </row>
    <row r="625" spans="2:10" x14ac:dyDescent="0.35">
      <c r="B625" s="4">
        <v>622</v>
      </c>
      <c r="C625">
        <v>48</v>
      </c>
      <c r="E625" s="4">
        <v>622</v>
      </c>
      <c r="F625">
        <v>78</v>
      </c>
      <c r="J625" s="52"/>
    </row>
    <row r="626" spans="2:10" x14ac:dyDescent="0.35">
      <c r="B626" s="4">
        <v>623</v>
      </c>
      <c r="C626">
        <v>95</v>
      </c>
      <c r="E626" s="4">
        <v>623</v>
      </c>
      <c r="F626">
        <v>145</v>
      </c>
      <c r="J626" s="51"/>
    </row>
    <row r="627" spans="2:10" x14ac:dyDescent="0.35">
      <c r="B627" s="4">
        <v>624</v>
      </c>
      <c r="C627">
        <v>40</v>
      </c>
      <c r="E627" s="4">
        <v>624</v>
      </c>
      <c r="F627">
        <v>79</v>
      </c>
      <c r="J627" s="52"/>
    </row>
    <row r="628" spans="2:10" x14ac:dyDescent="0.35">
      <c r="B628" s="4">
        <v>625</v>
      </c>
      <c r="C628">
        <v>55</v>
      </c>
      <c r="E628" s="4">
        <v>625</v>
      </c>
      <c r="F628">
        <v>97</v>
      </c>
      <c r="J628" s="51"/>
    </row>
    <row r="629" spans="2:10" x14ac:dyDescent="0.35">
      <c r="B629" s="4">
        <v>626</v>
      </c>
      <c r="C629">
        <v>56</v>
      </c>
      <c r="E629" s="4">
        <v>626</v>
      </c>
      <c r="F629">
        <v>58</v>
      </c>
      <c r="J629" s="52"/>
    </row>
    <row r="630" spans="2:10" x14ac:dyDescent="0.35">
      <c r="B630" s="4">
        <v>627</v>
      </c>
      <c r="C630">
        <v>8</v>
      </c>
      <c r="E630" s="4">
        <v>627</v>
      </c>
      <c r="F630">
        <v>37</v>
      </c>
      <c r="J630" s="51"/>
    </row>
    <row r="631" spans="2:10" x14ac:dyDescent="0.35">
      <c r="B631" s="4">
        <v>628</v>
      </c>
      <c r="C631">
        <v>65</v>
      </c>
      <c r="E631" s="4">
        <v>628</v>
      </c>
      <c r="F631">
        <v>43</v>
      </c>
      <c r="J631" s="52"/>
    </row>
    <row r="632" spans="2:10" x14ac:dyDescent="0.35">
      <c r="B632" s="4">
        <v>629</v>
      </c>
      <c r="C632">
        <v>54</v>
      </c>
      <c r="E632" s="4">
        <v>629</v>
      </c>
      <c r="F632">
        <v>84</v>
      </c>
      <c r="J632" s="51"/>
    </row>
    <row r="633" spans="2:10" x14ac:dyDescent="0.35">
      <c r="B633" s="4">
        <v>630</v>
      </c>
      <c r="C633">
        <v>69</v>
      </c>
      <c r="E633" s="4">
        <v>630</v>
      </c>
      <c r="F633">
        <v>75</v>
      </c>
      <c r="J633" s="52"/>
    </row>
    <row r="634" spans="2:10" x14ac:dyDescent="0.35">
      <c r="B634" s="4">
        <v>631</v>
      </c>
      <c r="C634">
        <v>27</v>
      </c>
      <c r="E634" s="4">
        <v>631</v>
      </c>
      <c r="F634">
        <v>46</v>
      </c>
      <c r="J634" s="51"/>
    </row>
    <row r="635" spans="2:10" x14ac:dyDescent="0.35">
      <c r="B635" s="4">
        <v>632</v>
      </c>
      <c r="C635">
        <v>52</v>
      </c>
      <c r="E635" s="4">
        <v>632</v>
      </c>
      <c r="F635">
        <v>88</v>
      </c>
      <c r="J635" s="52"/>
    </row>
    <row r="636" spans="2:10" x14ac:dyDescent="0.35">
      <c r="B636" s="4">
        <v>633</v>
      </c>
      <c r="C636">
        <v>98</v>
      </c>
      <c r="E636" s="4">
        <v>633</v>
      </c>
      <c r="F636">
        <v>149</v>
      </c>
      <c r="J636" s="51"/>
    </row>
    <row r="637" spans="2:10" x14ac:dyDescent="0.35">
      <c r="B637" s="4">
        <v>634</v>
      </c>
      <c r="C637">
        <v>135</v>
      </c>
      <c r="E637" s="4">
        <v>634</v>
      </c>
      <c r="F637">
        <v>157</v>
      </c>
      <c r="J637" s="52"/>
    </row>
    <row r="638" spans="2:10" x14ac:dyDescent="0.35">
      <c r="B638" s="4">
        <v>635</v>
      </c>
      <c r="C638">
        <v>24</v>
      </c>
      <c r="E638" s="4">
        <v>635</v>
      </c>
      <c r="F638">
        <v>25</v>
      </c>
      <c r="J638" s="51"/>
    </row>
    <row r="639" spans="2:10" x14ac:dyDescent="0.35">
      <c r="B639" s="4">
        <v>636</v>
      </c>
      <c r="C639">
        <v>52</v>
      </c>
      <c r="E639" s="4">
        <v>636</v>
      </c>
      <c r="F639">
        <v>151</v>
      </c>
      <c r="J639" s="52"/>
    </row>
    <row r="640" spans="2:10" x14ac:dyDescent="0.35">
      <c r="B640" s="4">
        <v>637</v>
      </c>
      <c r="C640">
        <v>47</v>
      </c>
      <c r="E640" s="4">
        <v>637</v>
      </c>
      <c r="F640">
        <v>61</v>
      </c>
      <c r="J640" s="51"/>
    </row>
    <row r="641" spans="2:10" x14ac:dyDescent="0.35">
      <c r="B641" s="4">
        <v>638</v>
      </c>
      <c r="C641">
        <v>36</v>
      </c>
      <c r="E641" s="4">
        <v>638</v>
      </c>
      <c r="F641">
        <v>44</v>
      </c>
      <c r="J641" s="52"/>
    </row>
    <row r="642" spans="2:10" x14ac:dyDescent="0.35">
      <c r="B642" s="4">
        <v>639</v>
      </c>
      <c r="C642">
        <v>62</v>
      </c>
      <c r="E642" s="4">
        <v>639</v>
      </c>
      <c r="F642">
        <v>136</v>
      </c>
      <c r="J642" s="51"/>
    </row>
    <row r="643" spans="2:10" x14ac:dyDescent="0.35">
      <c r="B643" s="4">
        <v>640</v>
      </c>
      <c r="C643">
        <v>88</v>
      </c>
      <c r="E643" s="4">
        <v>640</v>
      </c>
      <c r="F643">
        <v>75</v>
      </c>
      <c r="J643" s="52"/>
    </row>
    <row r="644" spans="2:10" x14ac:dyDescent="0.35">
      <c r="B644" s="4">
        <v>641</v>
      </c>
      <c r="C644">
        <v>84</v>
      </c>
      <c r="E644" s="4">
        <v>641</v>
      </c>
      <c r="F644">
        <v>74</v>
      </c>
      <c r="J644" s="51"/>
    </row>
    <row r="645" spans="2:10" x14ac:dyDescent="0.35">
      <c r="B645" s="4">
        <v>642</v>
      </c>
      <c r="C645">
        <v>71</v>
      </c>
      <c r="E645" s="4">
        <v>642</v>
      </c>
      <c r="F645">
        <v>81</v>
      </c>
      <c r="J645" s="52"/>
    </row>
    <row r="646" spans="2:10" x14ac:dyDescent="0.35">
      <c r="B646" s="4">
        <v>643</v>
      </c>
      <c r="C646">
        <v>13</v>
      </c>
      <c r="E646" s="4">
        <v>643</v>
      </c>
      <c r="F646">
        <v>18</v>
      </c>
      <c r="J646" s="51"/>
    </row>
    <row r="647" spans="2:10" x14ac:dyDescent="0.35">
      <c r="B647" s="4">
        <v>644</v>
      </c>
      <c r="C647">
        <v>36</v>
      </c>
      <c r="E647" s="4">
        <v>644</v>
      </c>
      <c r="F647">
        <v>51</v>
      </c>
      <c r="J647" s="52"/>
    </row>
    <row r="648" spans="2:10" x14ac:dyDescent="0.35">
      <c r="B648" s="4">
        <v>645</v>
      </c>
      <c r="C648">
        <v>72</v>
      </c>
      <c r="E648" s="4">
        <v>645</v>
      </c>
      <c r="F648">
        <v>97</v>
      </c>
      <c r="J648" s="51"/>
    </row>
    <row r="649" spans="2:10" x14ac:dyDescent="0.35">
      <c r="B649" s="4">
        <v>646</v>
      </c>
      <c r="C649">
        <v>28</v>
      </c>
      <c r="E649" s="4">
        <v>646</v>
      </c>
      <c r="F649">
        <v>36</v>
      </c>
      <c r="J649" s="52"/>
    </row>
    <row r="650" spans="2:10" x14ac:dyDescent="0.35">
      <c r="B650" s="4">
        <v>647</v>
      </c>
      <c r="C650">
        <v>40</v>
      </c>
      <c r="E650" s="4">
        <v>647</v>
      </c>
      <c r="F650">
        <v>39</v>
      </c>
      <c r="J650" s="51"/>
    </row>
    <row r="651" spans="2:10" x14ac:dyDescent="0.35">
      <c r="B651" s="4">
        <v>648</v>
      </c>
      <c r="C651">
        <v>24</v>
      </c>
      <c r="E651" s="4">
        <v>648</v>
      </c>
      <c r="F651">
        <v>47</v>
      </c>
      <c r="J651" s="52"/>
    </row>
    <row r="652" spans="2:10" x14ac:dyDescent="0.35">
      <c r="B652" s="4">
        <v>649</v>
      </c>
      <c r="C652">
        <v>106</v>
      </c>
      <c r="E652" s="4">
        <v>649</v>
      </c>
      <c r="F652">
        <v>109</v>
      </c>
      <c r="J652" s="51"/>
    </row>
    <row r="653" spans="2:10" x14ac:dyDescent="0.35">
      <c r="B653" s="4">
        <v>650</v>
      </c>
      <c r="C653">
        <v>95</v>
      </c>
      <c r="E653" s="4">
        <v>650</v>
      </c>
      <c r="F653">
        <v>76</v>
      </c>
      <c r="J653" s="52"/>
    </row>
    <row r="654" spans="2:10" x14ac:dyDescent="0.35">
      <c r="B654" s="4">
        <v>651</v>
      </c>
      <c r="C654">
        <v>80</v>
      </c>
      <c r="E654" s="4">
        <v>651</v>
      </c>
      <c r="F654">
        <v>88</v>
      </c>
      <c r="J654" s="51"/>
    </row>
    <row r="655" spans="2:10" x14ac:dyDescent="0.35">
      <c r="B655" s="4">
        <v>652</v>
      </c>
      <c r="C655">
        <v>66</v>
      </c>
      <c r="E655" s="4">
        <v>652</v>
      </c>
      <c r="F655">
        <v>50</v>
      </c>
      <c r="J655" s="52"/>
    </row>
    <row r="656" spans="2:10" x14ac:dyDescent="0.35">
      <c r="B656" s="4">
        <v>653</v>
      </c>
      <c r="C656">
        <v>100</v>
      </c>
      <c r="E656" s="4">
        <v>653</v>
      </c>
      <c r="F656">
        <v>150</v>
      </c>
      <c r="J656" s="51"/>
    </row>
    <row r="657" spans="2:10" x14ac:dyDescent="0.35">
      <c r="B657" s="4">
        <v>654</v>
      </c>
      <c r="C657">
        <v>17</v>
      </c>
      <c r="E657" s="4">
        <v>654</v>
      </c>
      <c r="F657">
        <v>44</v>
      </c>
      <c r="J657" s="52"/>
    </row>
    <row r="658" spans="2:10" x14ac:dyDescent="0.35">
      <c r="B658" s="4">
        <v>655</v>
      </c>
      <c r="C658">
        <v>36</v>
      </c>
      <c r="E658" s="4">
        <v>655</v>
      </c>
      <c r="F658">
        <v>36</v>
      </c>
      <c r="J658" s="51"/>
    </row>
    <row r="659" spans="2:10" x14ac:dyDescent="0.35">
      <c r="B659" s="4">
        <v>656</v>
      </c>
      <c r="C659">
        <v>63</v>
      </c>
      <c r="E659" s="4">
        <v>656</v>
      </c>
      <c r="F659">
        <v>110</v>
      </c>
      <c r="J659" s="52"/>
    </row>
    <row r="660" spans="2:10" x14ac:dyDescent="0.35">
      <c r="B660" s="4">
        <v>657</v>
      </c>
      <c r="C660">
        <v>76</v>
      </c>
      <c r="E660" s="4">
        <v>657</v>
      </c>
      <c r="F660">
        <v>134</v>
      </c>
      <c r="J660" s="51"/>
    </row>
    <row r="661" spans="2:10" x14ac:dyDescent="0.35">
      <c r="B661" s="4">
        <v>658</v>
      </c>
      <c r="C661">
        <v>35</v>
      </c>
      <c r="E661" s="4">
        <v>658</v>
      </c>
      <c r="F661">
        <v>48</v>
      </c>
      <c r="J661" s="52"/>
    </row>
    <row r="662" spans="2:10" x14ac:dyDescent="0.35">
      <c r="B662" s="4">
        <v>659</v>
      </c>
      <c r="C662">
        <v>36</v>
      </c>
      <c r="E662" s="4">
        <v>659</v>
      </c>
      <c r="F662">
        <v>31</v>
      </c>
      <c r="J662" s="51"/>
    </row>
    <row r="663" spans="2:10" x14ac:dyDescent="0.35">
      <c r="B663" s="4">
        <v>660</v>
      </c>
      <c r="C663">
        <v>82</v>
      </c>
      <c r="E663" s="4">
        <v>660</v>
      </c>
      <c r="F663">
        <v>45</v>
      </c>
      <c r="J663" s="52"/>
    </row>
    <row r="664" spans="2:10" x14ac:dyDescent="0.35">
      <c r="B664" s="4">
        <v>661</v>
      </c>
      <c r="C664">
        <v>83</v>
      </c>
      <c r="E664" s="4">
        <v>661</v>
      </c>
      <c r="F664">
        <v>135</v>
      </c>
      <c r="J664" s="51"/>
    </row>
    <row r="665" spans="2:10" x14ac:dyDescent="0.35">
      <c r="B665" s="4">
        <v>662</v>
      </c>
      <c r="C665">
        <v>54</v>
      </c>
      <c r="E665" s="4">
        <v>662</v>
      </c>
      <c r="F665">
        <v>85</v>
      </c>
      <c r="J665" s="52"/>
    </row>
    <row r="666" spans="2:10" x14ac:dyDescent="0.35">
      <c r="B666" s="4">
        <v>663</v>
      </c>
      <c r="C666">
        <v>48</v>
      </c>
      <c r="E666" s="4">
        <v>663</v>
      </c>
      <c r="F666">
        <v>87</v>
      </c>
      <c r="J666" s="51"/>
    </row>
    <row r="667" spans="2:10" x14ac:dyDescent="0.35">
      <c r="B667" s="4">
        <v>664</v>
      </c>
      <c r="C667">
        <v>51</v>
      </c>
      <c r="E667" s="4">
        <v>664</v>
      </c>
      <c r="F667">
        <v>99</v>
      </c>
      <c r="J667" s="52"/>
    </row>
    <row r="668" spans="2:10" x14ac:dyDescent="0.35">
      <c r="B668" s="4">
        <v>665</v>
      </c>
      <c r="C668">
        <v>52</v>
      </c>
      <c r="E668" s="4">
        <v>665</v>
      </c>
      <c r="F668">
        <v>40</v>
      </c>
      <c r="J668" s="51"/>
    </row>
    <row r="669" spans="2:10" x14ac:dyDescent="0.35">
      <c r="B669" s="4">
        <v>666</v>
      </c>
      <c r="C669">
        <v>16</v>
      </c>
      <c r="E669" s="4">
        <v>666</v>
      </c>
      <c r="F669">
        <v>27</v>
      </c>
      <c r="J669" s="52"/>
    </row>
    <row r="670" spans="2:10" x14ac:dyDescent="0.35">
      <c r="B670" s="4">
        <v>667</v>
      </c>
      <c r="C670">
        <v>14</v>
      </c>
      <c r="E670" s="4">
        <v>667</v>
      </c>
      <c r="F670">
        <v>12</v>
      </c>
      <c r="J670" s="51"/>
    </row>
    <row r="671" spans="2:10" x14ac:dyDescent="0.35">
      <c r="B671" s="4">
        <v>668</v>
      </c>
      <c r="C671">
        <v>83</v>
      </c>
      <c r="E671" s="4">
        <v>668</v>
      </c>
      <c r="F671">
        <v>115</v>
      </c>
      <c r="J671" s="52"/>
    </row>
    <row r="672" spans="2:10" x14ac:dyDescent="0.35">
      <c r="B672" s="4">
        <v>669</v>
      </c>
      <c r="C672">
        <v>73</v>
      </c>
      <c r="E672" s="4">
        <v>669</v>
      </c>
      <c r="F672">
        <v>69</v>
      </c>
      <c r="J672" s="51"/>
    </row>
    <row r="673" spans="2:10" x14ac:dyDescent="0.35">
      <c r="B673" s="4">
        <v>670</v>
      </c>
      <c r="C673">
        <v>37</v>
      </c>
      <c r="E673" s="4">
        <v>670</v>
      </c>
      <c r="F673">
        <v>75</v>
      </c>
      <c r="J673" s="52"/>
    </row>
    <row r="674" spans="2:10" x14ac:dyDescent="0.35">
      <c r="B674" s="4">
        <v>671</v>
      </c>
      <c r="C674">
        <v>74</v>
      </c>
      <c r="E674" s="4">
        <v>671</v>
      </c>
      <c r="F674">
        <v>95</v>
      </c>
      <c r="J674" s="51"/>
    </row>
    <row r="675" spans="2:10" x14ac:dyDescent="0.35">
      <c r="B675" s="4">
        <v>672</v>
      </c>
      <c r="C675">
        <v>63</v>
      </c>
      <c r="E675" s="4">
        <v>672</v>
      </c>
      <c r="F675">
        <v>78</v>
      </c>
      <c r="J675" s="52"/>
    </row>
    <row r="676" spans="2:10" x14ac:dyDescent="0.35">
      <c r="B676" s="4">
        <v>673</v>
      </c>
      <c r="C676">
        <v>104</v>
      </c>
      <c r="E676" s="4">
        <v>673</v>
      </c>
      <c r="F676">
        <v>93</v>
      </c>
      <c r="J676" s="51"/>
    </row>
    <row r="677" spans="2:10" x14ac:dyDescent="0.35">
      <c r="B677" s="4">
        <v>674</v>
      </c>
      <c r="C677">
        <v>84</v>
      </c>
      <c r="E677" s="4">
        <v>674</v>
      </c>
      <c r="F677">
        <v>65</v>
      </c>
      <c r="J677" s="52"/>
    </row>
    <row r="678" spans="2:10" x14ac:dyDescent="0.35">
      <c r="B678" s="4">
        <v>675</v>
      </c>
      <c r="C678">
        <v>76</v>
      </c>
      <c r="E678" s="4">
        <v>675</v>
      </c>
      <c r="F678">
        <v>121</v>
      </c>
      <c r="J678" s="51"/>
    </row>
    <row r="679" spans="2:10" x14ac:dyDescent="0.35">
      <c r="B679" s="4">
        <v>676</v>
      </c>
      <c r="C679">
        <v>49</v>
      </c>
      <c r="E679" s="4">
        <v>676</v>
      </c>
      <c r="F679">
        <v>121</v>
      </c>
      <c r="J679" s="52"/>
    </row>
    <row r="680" spans="2:10" x14ac:dyDescent="0.35">
      <c r="B680" s="4">
        <v>677</v>
      </c>
      <c r="C680">
        <v>58</v>
      </c>
      <c r="E680" s="4">
        <v>677</v>
      </c>
      <c r="F680">
        <v>148</v>
      </c>
      <c r="J680" s="51"/>
    </row>
    <row r="681" spans="2:10" x14ac:dyDescent="0.35">
      <c r="B681" s="4">
        <v>678</v>
      </c>
      <c r="C681">
        <v>84</v>
      </c>
      <c r="E681" s="4">
        <v>678</v>
      </c>
      <c r="F681">
        <v>121</v>
      </c>
      <c r="J681" s="52"/>
    </row>
    <row r="682" spans="2:10" x14ac:dyDescent="0.35">
      <c r="B682" s="4">
        <v>679</v>
      </c>
      <c r="C682">
        <v>81</v>
      </c>
      <c r="E682" s="4">
        <v>679</v>
      </c>
      <c r="F682">
        <v>106</v>
      </c>
      <c r="J682" s="51"/>
    </row>
    <row r="683" spans="2:10" x14ac:dyDescent="0.35">
      <c r="B683" s="4">
        <v>680</v>
      </c>
      <c r="C683">
        <v>66</v>
      </c>
      <c r="E683" s="4">
        <v>680</v>
      </c>
      <c r="F683">
        <v>111</v>
      </c>
      <c r="J683" s="52"/>
    </row>
    <row r="684" spans="2:10" x14ac:dyDescent="0.35">
      <c r="B684" s="4">
        <v>681</v>
      </c>
      <c r="C684">
        <v>29</v>
      </c>
      <c r="E684" s="4">
        <v>681</v>
      </c>
      <c r="F684">
        <v>65</v>
      </c>
      <c r="J684" s="51"/>
    </row>
    <row r="685" spans="2:10" x14ac:dyDescent="0.35">
      <c r="B685" s="4">
        <v>682</v>
      </c>
      <c r="C685">
        <v>9</v>
      </c>
      <c r="E685" s="4">
        <v>682</v>
      </c>
      <c r="F685">
        <v>43</v>
      </c>
      <c r="J685" s="52"/>
    </row>
    <row r="686" spans="2:10" x14ac:dyDescent="0.35">
      <c r="B686" s="4">
        <v>683</v>
      </c>
      <c r="C686">
        <v>64</v>
      </c>
      <c r="E686" s="4">
        <v>683</v>
      </c>
      <c r="F686">
        <v>82</v>
      </c>
      <c r="J686" s="51"/>
    </row>
    <row r="687" spans="2:10" x14ac:dyDescent="0.35">
      <c r="B687" s="4">
        <v>684</v>
      </c>
      <c r="C687">
        <v>73</v>
      </c>
      <c r="E687" s="4">
        <v>684</v>
      </c>
      <c r="F687">
        <v>110</v>
      </c>
      <c r="J687" s="52"/>
    </row>
    <row r="688" spans="2:10" x14ac:dyDescent="0.35">
      <c r="B688" s="4">
        <v>685</v>
      </c>
      <c r="C688">
        <v>22</v>
      </c>
      <c r="E688" s="4">
        <v>685</v>
      </c>
      <c r="F688">
        <v>17</v>
      </c>
      <c r="J688" s="51"/>
    </row>
    <row r="689" spans="2:10" x14ac:dyDescent="0.35">
      <c r="B689" s="4">
        <v>686</v>
      </c>
      <c r="C689">
        <v>40</v>
      </c>
      <c r="E689" s="4">
        <v>686</v>
      </c>
      <c r="F689">
        <v>58</v>
      </c>
      <c r="J689" s="52"/>
    </row>
    <row r="690" spans="2:10" x14ac:dyDescent="0.35">
      <c r="B690" s="4">
        <v>687</v>
      </c>
      <c r="C690">
        <v>28</v>
      </c>
      <c r="E690" s="4">
        <v>687</v>
      </c>
      <c r="F690">
        <v>29</v>
      </c>
      <c r="J690" s="51"/>
    </row>
    <row r="691" spans="2:10" x14ac:dyDescent="0.35">
      <c r="B691" s="4">
        <v>688</v>
      </c>
      <c r="C691">
        <v>12</v>
      </c>
      <c r="E691" s="4">
        <v>688</v>
      </c>
      <c r="F691">
        <v>14</v>
      </c>
      <c r="J691" s="52"/>
    </row>
    <row r="692" spans="2:10" x14ac:dyDescent="0.35">
      <c r="B692" s="4">
        <v>689</v>
      </c>
      <c r="C692">
        <v>65</v>
      </c>
      <c r="E692" s="4">
        <v>689</v>
      </c>
      <c r="F692">
        <v>29</v>
      </c>
      <c r="J692" s="51"/>
    </row>
    <row r="693" spans="2:10" x14ac:dyDescent="0.35">
      <c r="B693" s="4">
        <v>690</v>
      </c>
      <c r="C693">
        <v>76</v>
      </c>
      <c r="E693" s="4">
        <v>690</v>
      </c>
      <c r="F693">
        <v>143</v>
      </c>
      <c r="J693" s="52"/>
    </row>
    <row r="694" spans="2:10" x14ac:dyDescent="0.35">
      <c r="B694" s="4">
        <v>691</v>
      </c>
      <c r="C694">
        <v>27</v>
      </c>
      <c r="E694" s="4">
        <v>691</v>
      </c>
      <c r="F694">
        <v>34</v>
      </c>
      <c r="J694" s="51"/>
    </row>
    <row r="695" spans="2:10" x14ac:dyDescent="0.35">
      <c r="B695" s="4">
        <v>692</v>
      </c>
      <c r="C695">
        <v>70</v>
      </c>
      <c r="E695" s="4">
        <v>692</v>
      </c>
      <c r="F695">
        <v>100</v>
      </c>
      <c r="J695" s="52"/>
    </row>
    <row r="696" spans="2:10" x14ac:dyDescent="0.35">
      <c r="B696" s="4">
        <v>693</v>
      </c>
      <c r="C696">
        <v>30</v>
      </c>
      <c r="E696" s="4">
        <v>693</v>
      </c>
      <c r="F696">
        <v>44</v>
      </c>
      <c r="J696" s="51"/>
    </row>
    <row r="697" spans="2:10" x14ac:dyDescent="0.35">
      <c r="B697" s="4">
        <v>694</v>
      </c>
      <c r="C697">
        <v>63</v>
      </c>
      <c r="E697" s="4">
        <v>694</v>
      </c>
      <c r="F697">
        <v>128</v>
      </c>
      <c r="J697" s="52"/>
    </row>
    <row r="698" spans="2:10" x14ac:dyDescent="0.35">
      <c r="B698" s="4">
        <v>695</v>
      </c>
      <c r="C698">
        <v>48</v>
      </c>
      <c r="E698" s="4">
        <v>695</v>
      </c>
      <c r="F698">
        <v>37</v>
      </c>
      <c r="J698" s="51"/>
    </row>
    <row r="699" spans="2:10" x14ac:dyDescent="0.35">
      <c r="B699" s="4">
        <v>696</v>
      </c>
      <c r="C699">
        <v>18</v>
      </c>
      <c r="E699" s="4">
        <v>696</v>
      </c>
      <c r="F699">
        <v>23</v>
      </c>
      <c r="J699" s="52"/>
    </row>
    <row r="700" spans="2:10" x14ac:dyDescent="0.35">
      <c r="B700" s="4">
        <v>697</v>
      </c>
      <c r="C700">
        <v>79</v>
      </c>
      <c r="E700" s="4">
        <v>697</v>
      </c>
      <c r="F700">
        <v>107</v>
      </c>
      <c r="J700" s="51"/>
    </row>
    <row r="701" spans="2:10" x14ac:dyDescent="0.35">
      <c r="B701" s="4">
        <v>698</v>
      </c>
      <c r="C701">
        <v>73</v>
      </c>
      <c r="E701" s="4">
        <v>698</v>
      </c>
      <c r="F701">
        <v>101</v>
      </c>
      <c r="J701" s="52"/>
    </row>
    <row r="702" spans="2:10" x14ac:dyDescent="0.35">
      <c r="B702" s="4">
        <v>699</v>
      </c>
      <c r="C702">
        <v>24</v>
      </c>
      <c r="E702" s="4">
        <v>699</v>
      </c>
      <c r="F702">
        <v>11</v>
      </c>
      <c r="J702" s="51"/>
    </row>
    <row r="703" spans="2:10" x14ac:dyDescent="0.35">
      <c r="B703" s="4">
        <v>700</v>
      </c>
      <c r="C703">
        <v>97</v>
      </c>
      <c r="E703" s="4">
        <v>700</v>
      </c>
      <c r="F703">
        <v>86</v>
      </c>
      <c r="J703" s="52"/>
    </row>
    <row r="704" spans="2:10" x14ac:dyDescent="0.35">
      <c r="B704" s="4">
        <v>701</v>
      </c>
      <c r="C704">
        <v>42</v>
      </c>
      <c r="E704" s="4">
        <v>701</v>
      </c>
      <c r="F704">
        <v>97</v>
      </c>
      <c r="J704" s="51"/>
    </row>
    <row r="705" spans="2:10" x14ac:dyDescent="0.35">
      <c r="B705" s="4">
        <v>702</v>
      </c>
      <c r="C705">
        <v>82</v>
      </c>
      <c r="E705" s="4">
        <v>702</v>
      </c>
      <c r="F705">
        <v>155</v>
      </c>
      <c r="J705" s="52"/>
    </row>
    <row r="706" spans="2:10" x14ac:dyDescent="0.35">
      <c r="B706" s="4">
        <v>703</v>
      </c>
      <c r="C706">
        <v>24</v>
      </c>
      <c r="E706" s="4">
        <v>703</v>
      </c>
      <c r="F706">
        <v>29</v>
      </c>
      <c r="J706" s="51"/>
    </row>
    <row r="707" spans="2:10" x14ac:dyDescent="0.35">
      <c r="B707" s="4">
        <v>704</v>
      </c>
      <c r="C707">
        <v>8</v>
      </c>
      <c r="E707" s="4">
        <v>704</v>
      </c>
      <c r="F707">
        <v>38</v>
      </c>
      <c r="J707" s="52"/>
    </row>
    <row r="708" spans="2:10" x14ac:dyDescent="0.35">
      <c r="B708" s="4">
        <v>705</v>
      </c>
      <c r="C708">
        <v>46</v>
      </c>
      <c r="E708" s="4">
        <v>705</v>
      </c>
      <c r="F708">
        <v>33</v>
      </c>
      <c r="J708" s="51"/>
    </row>
    <row r="709" spans="2:10" x14ac:dyDescent="0.35">
      <c r="B709" s="4">
        <v>706</v>
      </c>
      <c r="C709">
        <v>24</v>
      </c>
      <c r="E709" s="4">
        <v>706</v>
      </c>
      <c r="F709">
        <v>33</v>
      </c>
      <c r="J709" s="52"/>
    </row>
    <row r="710" spans="2:10" x14ac:dyDescent="0.35">
      <c r="B710" s="4">
        <v>707</v>
      </c>
      <c r="C710">
        <v>73</v>
      </c>
      <c r="E710" s="4">
        <v>707</v>
      </c>
      <c r="F710">
        <v>137</v>
      </c>
      <c r="J710" s="51"/>
    </row>
    <row r="711" spans="2:10" x14ac:dyDescent="0.35">
      <c r="B711" s="4">
        <v>708</v>
      </c>
      <c r="C711">
        <v>22</v>
      </c>
      <c r="E711" s="4">
        <v>708</v>
      </c>
      <c r="F711">
        <v>24</v>
      </c>
      <c r="J711" s="52"/>
    </row>
    <row r="712" spans="2:10" x14ac:dyDescent="0.35">
      <c r="B712" s="4">
        <v>709</v>
      </c>
      <c r="C712">
        <v>76</v>
      </c>
      <c r="E712" s="4">
        <v>709</v>
      </c>
      <c r="F712">
        <v>98</v>
      </c>
      <c r="J712" s="51"/>
    </row>
    <row r="713" spans="2:10" x14ac:dyDescent="0.35">
      <c r="B713" s="4">
        <v>710</v>
      </c>
      <c r="C713">
        <v>57</v>
      </c>
      <c r="E713" s="4">
        <v>710</v>
      </c>
      <c r="F713">
        <v>140</v>
      </c>
      <c r="J713" s="52"/>
    </row>
    <row r="714" spans="2:10" x14ac:dyDescent="0.35">
      <c r="B714" s="4">
        <v>711</v>
      </c>
      <c r="C714">
        <v>68</v>
      </c>
      <c r="E714" s="4">
        <v>711</v>
      </c>
      <c r="F714">
        <v>59</v>
      </c>
      <c r="J714" s="51"/>
    </row>
    <row r="715" spans="2:10" x14ac:dyDescent="0.35">
      <c r="B715" s="4">
        <v>712</v>
      </c>
      <c r="C715">
        <v>20</v>
      </c>
      <c r="E715" s="4">
        <v>712</v>
      </c>
      <c r="F715">
        <v>49</v>
      </c>
      <c r="J715" s="52"/>
    </row>
    <row r="716" spans="2:10" x14ac:dyDescent="0.35">
      <c r="B716" s="4">
        <v>713</v>
      </c>
      <c r="C716">
        <v>147</v>
      </c>
      <c r="E716" s="4">
        <v>713</v>
      </c>
      <c r="F716">
        <v>125</v>
      </c>
      <c r="J716" s="51"/>
    </row>
    <row r="717" spans="2:10" x14ac:dyDescent="0.35">
      <c r="B717" s="4">
        <v>714</v>
      </c>
      <c r="C717">
        <v>91</v>
      </c>
      <c r="E717" s="4">
        <v>714</v>
      </c>
      <c r="F717">
        <v>63</v>
      </c>
      <c r="J717" s="52"/>
    </row>
    <row r="718" spans="2:10" x14ac:dyDescent="0.35">
      <c r="B718" s="4">
        <v>715</v>
      </c>
      <c r="C718">
        <v>101</v>
      </c>
      <c r="E718" s="4">
        <v>715</v>
      </c>
      <c r="F718">
        <v>136</v>
      </c>
      <c r="J718" s="51"/>
    </row>
    <row r="719" spans="2:10" x14ac:dyDescent="0.35">
      <c r="B719" s="4">
        <v>716</v>
      </c>
      <c r="C719">
        <v>90</v>
      </c>
      <c r="E719" s="4">
        <v>716</v>
      </c>
      <c r="F719">
        <v>90</v>
      </c>
      <c r="J719" s="52"/>
    </row>
    <row r="720" spans="2:10" x14ac:dyDescent="0.35">
      <c r="B720" s="4">
        <v>717</v>
      </c>
      <c r="C720">
        <v>63</v>
      </c>
      <c r="E720" s="4">
        <v>717</v>
      </c>
      <c r="F720">
        <v>72</v>
      </c>
      <c r="J720" s="51"/>
    </row>
    <row r="721" spans="2:10" x14ac:dyDescent="0.35">
      <c r="B721" s="4">
        <v>718</v>
      </c>
      <c r="C721">
        <v>8</v>
      </c>
      <c r="E721" s="4">
        <v>718</v>
      </c>
      <c r="F721">
        <v>58</v>
      </c>
      <c r="J721" s="52"/>
    </row>
    <row r="722" spans="2:10" x14ac:dyDescent="0.35">
      <c r="B722" s="4">
        <v>719</v>
      </c>
      <c r="C722">
        <v>43</v>
      </c>
      <c r="E722" s="4">
        <v>719</v>
      </c>
      <c r="F722">
        <v>70</v>
      </c>
      <c r="J722" s="51"/>
    </row>
    <row r="723" spans="2:10" x14ac:dyDescent="0.35">
      <c r="B723" s="4">
        <v>720</v>
      </c>
      <c r="C723">
        <v>69</v>
      </c>
      <c r="E723" s="4">
        <v>720</v>
      </c>
      <c r="F723">
        <v>133</v>
      </c>
      <c r="J723" s="52"/>
    </row>
    <row r="724" spans="2:10" x14ac:dyDescent="0.35">
      <c r="B724" s="4">
        <v>721</v>
      </c>
      <c r="C724">
        <v>89</v>
      </c>
      <c r="E724" s="4">
        <v>721</v>
      </c>
      <c r="F724">
        <v>133</v>
      </c>
      <c r="J724" s="51"/>
    </row>
    <row r="725" spans="2:10" x14ac:dyDescent="0.35">
      <c r="B725" s="4">
        <v>722</v>
      </c>
      <c r="C725">
        <v>33</v>
      </c>
      <c r="E725" s="4">
        <v>722</v>
      </c>
      <c r="F725">
        <v>59</v>
      </c>
      <c r="J725" s="52"/>
    </row>
    <row r="726" spans="2:10" x14ac:dyDescent="0.35">
      <c r="B726" s="4">
        <v>723</v>
      </c>
      <c r="C726">
        <v>52</v>
      </c>
      <c r="E726" s="4">
        <v>723</v>
      </c>
      <c r="F726">
        <v>31</v>
      </c>
      <c r="J726" s="51"/>
    </row>
    <row r="727" spans="2:10" x14ac:dyDescent="0.35">
      <c r="B727" s="4">
        <v>724</v>
      </c>
      <c r="C727">
        <v>27</v>
      </c>
      <c r="E727" s="4">
        <v>724</v>
      </c>
      <c r="F727">
        <v>56</v>
      </c>
      <c r="J727" s="52"/>
    </row>
    <row r="728" spans="2:10" x14ac:dyDescent="0.35">
      <c r="B728" s="4">
        <v>725</v>
      </c>
      <c r="C728">
        <v>69</v>
      </c>
      <c r="E728" s="4">
        <v>725</v>
      </c>
      <c r="F728">
        <v>85</v>
      </c>
      <c r="J728" s="51"/>
    </row>
    <row r="729" spans="2:10" x14ac:dyDescent="0.35">
      <c r="B729" s="4">
        <v>726</v>
      </c>
      <c r="C729">
        <v>50</v>
      </c>
      <c r="E729" s="4">
        <v>726</v>
      </c>
      <c r="F729">
        <v>74</v>
      </c>
      <c r="J729" s="52"/>
    </row>
    <row r="730" spans="2:10" x14ac:dyDescent="0.35">
      <c r="B730" s="4">
        <v>727</v>
      </c>
      <c r="C730">
        <v>16</v>
      </c>
      <c r="E730" s="4">
        <v>727</v>
      </c>
      <c r="F730">
        <v>21</v>
      </c>
      <c r="J730" s="51"/>
    </row>
    <row r="731" spans="2:10" x14ac:dyDescent="0.35">
      <c r="B731" s="4">
        <v>728</v>
      </c>
      <c r="C731">
        <v>80</v>
      </c>
      <c r="E731" s="4">
        <v>728</v>
      </c>
      <c r="F731">
        <v>72</v>
      </c>
      <c r="J731" s="52"/>
    </row>
    <row r="732" spans="2:10" x14ac:dyDescent="0.35">
      <c r="B732" s="4">
        <v>729</v>
      </c>
      <c r="C732">
        <v>52</v>
      </c>
      <c r="E732" s="4">
        <v>729</v>
      </c>
      <c r="F732">
        <v>65</v>
      </c>
      <c r="J732" s="51"/>
    </row>
    <row r="733" spans="2:10" x14ac:dyDescent="0.35">
      <c r="B733" s="4">
        <v>730</v>
      </c>
      <c r="C733">
        <v>46</v>
      </c>
      <c r="E733" s="4">
        <v>730</v>
      </c>
      <c r="F733">
        <v>79</v>
      </c>
      <c r="J733" s="52"/>
    </row>
    <row r="734" spans="2:10" x14ac:dyDescent="0.35">
      <c r="B734" s="4">
        <v>731</v>
      </c>
      <c r="C734">
        <v>26</v>
      </c>
      <c r="E734" s="4">
        <v>731</v>
      </c>
      <c r="F734">
        <v>47</v>
      </c>
      <c r="J734" s="51"/>
    </row>
    <row r="735" spans="2:10" x14ac:dyDescent="0.35">
      <c r="B735" s="4">
        <v>732</v>
      </c>
      <c r="C735">
        <v>120</v>
      </c>
      <c r="E735" s="4">
        <v>732</v>
      </c>
      <c r="F735">
        <v>121</v>
      </c>
      <c r="J735" s="52"/>
    </row>
    <row r="736" spans="2:10" x14ac:dyDescent="0.35">
      <c r="B736" s="4">
        <v>733</v>
      </c>
      <c r="C736">
        <v>74</v>
      </c>
      <c r="E736" s="4">
        <v>733</v>
      </c>
      <c r="F736">
        <v>74</v>
      </c>
      <c r="J736" s="51"/>
    </row>
    <row r="737" spans="2:10" x14ac:dyDescent="0.35">
      <c r="B737" s="4">
        <v>734</v>
      </c>
      <c r="C737">
        <v>57</v>
      </c>
      <c r="E737" s="4">
        <v>734</v>
      </c>
      <c r="F737">
        <v>52</v>
      </c>
      <c r="J737" s="52"/>
    </row>
    <row r="738" spans="2:10" x14ac:dyDescent="0.35">
      <c r="B738" s="4">
        <v>735</v>
      </c>
      <c r="C738">
        <v>57</v>
      </c>
      <c r="E738" s="4">
        <v>735</v>
      </c>
      <c r="F738">
        <v>87</v>
      </c>
      <c r="J738" s="51"/>
    </row>
    <row r="739" spans="2:10" x14ac:dyDescent="0.35">
      <c r="B739" s="4">
        <v>736</v>
      </c>
      <c r="C739">
        <v>87</v>
      </c>
      <c r="E739" s="4">
        <v>736</v>
      </c>
      <c r="F739">
        <v>92</v>
      </c>
      <c r="J739" s="52"/>
    </row>
    <row r="740" spans="2:10" x14ac:dyDescent="0.35">
      <c r="B740" s="4">
        <v>737</v>
      </c>
      <c r="C740">
        <v>48</v>
      </c>
      <c r="E740" s="4">
        <v>737</v>
      </c>
      <c r="F740">
        <v>22</v>
      </c>
      <c r="J740" s="51"/>
    </row>
    <row r="741" spans="2:10" x14ac:dyDescent="0.35">
      <c r="B741" s="4">
        <v>738</v>
      </c>
      <c r="C741">
        <v>58</v>
      </c>
      <c r="E741" s="4">
        <v>738</v>
      </c>
      <c r="F741">
        <v>94</v>
      </c>
      <c r="J741" s="52"/>
    </row>
    <row r="742" spans="2:10" x14ac:dyDescent="0.35">
      <c r="B742" s="4">
        <v>739</v>
      </c>
      <c r="C742">
        <v>18</v>
      </c>
      <c r="E742" s="4">
        <v>739</v>
      </c>
      <c r="F742">
        <v>54</v>
      </c>
      <c r="J742" s="51"/>
    </row>
    <row r="743" spans="2:10" x14ac:dyDescent="0.35">
      <c r="B743" s="4">
        <v>740</v>
      </c>
      <c r="C743">
        <v>118</v>
      </c>
      <c r="E743" s="4">
        <v>740</v>
      </c>
      <c r="F743">
        <v>113</v>
      </c>
      <c r="J743" s="52"/>
    </row>
    <row r="744" spans="2:10" x14ac:dyDescent="0.35">
      <c r="B744" s="4">
        <v>741</v>
      </c>
      <c r="C744">
        <v>117</v>
      </c>
      <c r="E744" s="4">
        <v>741</v>
      </c>
      <c r="F744">
        <v>165</v>
      </c>
      <c r="J744" s="51"/>
    </row>
    <row r="745" spans="2:10" x14ac:dyDescent="0.35">
      <c r="B745" s="4">
        <v>742</v>
      </c>
      <c r="C745">
        <v>67</v>
      </c>
      <c r="E745" s="4">
        <v>742</v>
      </c>
      <c r="F745">
        <v>145</v>
      </c>
      <c r="J745" s="52"/>
    </row>
    <row r="746" spans="2:10" x14ac:dyDescent="0.35">
      <c r="B746" s="4">
        <v>743</v>
      </c>
      <c r="C746">
        <v>56</v>
      </c>
      <c r="E746" s="4">
        <v>743</v>
      </c>
      <c r="F746">
        <v>143</v>
      </c>
      <c r="J746" s="51"/>
    </row>
    <row r="747" spans="2:10" x14ac:dyDescent="0.35">
      <c r="B747" s="4">
        <v>744</v>
      </c>
      <c r="C747">
        <v>32</v>
      </c>
      <c r="E747" s="4">
        <v>744</v>
      </c>
      <c r="F747">
        <v>67</v>
      </c>
      <c r="J747" s="52"/>
    </row>
    <row r="748" spans="2:10" x14ac:dyDescent="0.35">
      <c r="B748" s="4">
        <v>745</v>
      </c>
      <c r="C748">
        <v>115</v>
      </c>
      <c r="E748" s="4">
        <v>745</v>
      </c>
      <c r="F748">
        <v>73</v>
      </c>
      <c r="J748" s="51"/>
    </row>
    <row r="749" spans="2:10" x14ac:dyDescent="0.35">
      <c r="B749" s="4">
        <v>746</v>
      </c>
      <c r="C749">
        <v>81</v>
      </c>
      <c r="E749" s="4">
        <v>746</v>
      </c>
      <c r="F749">
        <v>77</v>
      </c>
      <c r="J749" s="52"/>
    </row>
    <row r="750" spans="2:10" x14ac:dyDescent="0.35">
      <c r="B750" s="4">
        <v>747</v>
      </c>
      <c r="C750">
        <v>10</v>
      </c>
      <c r="E750" s="4">
        <v>747</v>
      </c>
      <c r="F750">
        <v>28</v>
      </c>
      <c r="J750" s="51"/>
    </row>
    <row r="751" spans="2:10" x14ac:dyDescent="0.35">
      <c r="B751" s="4">
        <v>748</v>
      </c>
      <c r="C751">
        <v>46</v>
      </c>
      <c r="E751" s="4">
        <v>748</v>
      </c>
      <c r="F751">
        <v>37</v>
      </c>
      <c r="J751" s="52"/>
    </row>
    <row r="752" spans="2:10" x14ac:dyDescent="0.35">
      <c r="B752" s="4">
        <v>749</v>
      </c>
      <c r="C752">
        <v>28</v>
      </c>
      <c r="E752" s="4">
        <v>749</v>
      </c>
      <c r="F752">
        <v>8</v>
      </c>
      <c r="J752" s="51"/>
    </row>
    <row r="753" spans="2:10" x14ac:dyDescent="0.35">
      <c r="B753" s="4">
        <v>750</v>
      </c>
      <c r="C753">
        <v>47</v>
      </c>
      <c r="E753" s="4">
        <v>750</v>
      </c>
      <c r="F753">
        <v>86</v>
      </c>
      <c r="J753" s="52"/>
    </row>
    <row r="754" spans="2:10" x14ac:dyDescent="0.35">
      <c r="B754" s="4">
        <v>751</v>
      </c>
      <c r="C754">
        <v>69</v>
      </c>
      <c r="E754" s="4">
        <v>751</v>
      </c>
      <c r="F754">
        <v>87</v>
      </c>
      <c r="J754" s="51"/>
    </row>
    <row r="755" spans="2:10" x14ac:dyDescent="0.35">
      <c r="B755" s="4">
        <v>752</v>
      </c>
      <c r="C755">
        <v>24</v>
      </c>
      <c r="E755" s="4">
        <v>752</v>
      </c>
      <c r="F755">
        <v>30</v>
      </c>
      <c r="J755" s="52"/>
    </row>
    <row r="756" spans="2:10" x14ac:dyDescent="0.35">
      <c r="B756" s="4">
        <v>753</v>
      </c>
      <c r="C756">
        <v>66</v>
      </c>
      <c r="E756" s="4">
        <v>753</v>
      </c>
      <c r="F756">
        <v>128</v>
      </c>
      <c r="J756" s="51"/>
    </row>
    <row r="757" spans="2:10" x14ac:dyDescent="0.35">
      <c r="B757" s="4">
        <v>754</v>
      </c>
      <c r="C757">
        <v>99</v>
      </c>
      <c r="E757" s="4">
        <v>754</v>
      </c>
      <c r="F757">
        <v>89</v>
      </c>
      <c r="J757" s="52"/>
    </row>
    <row r="758" spans="2:10" x14ac:dyDescent="0.35">
      <c r="B758" s="4">
        <v>755</v>
      </c>
      <c r="C758">
        <v>86</v>
      </c>
      <c r="E758" s="4">
        <v>755</v>
      </c>
      <c r="F758">
        <v>109</v>
      </c>
      <c r="J758" s="51"/>
    </row>
    <row r="759" spans="2:10" x14ac:dyDescent="0.35">
      <c r="B759" s="4">
        <v>756</v>
      </c>
      <c r="C759">
        <v>20</v>
      </c>
      <c r="E759" s="4">
        <v>756</v>
      </c>
      <c r="F759">
        <v>34</v>
      </c>
      <c r="J759" s="52"/>
    </row>
    <row r="760" spans="2:10" x14ac:dyDescent="0.35">
      <c r="B760" s="4">
        <v>757</v>
      </c>
      <c r="C760">
        <v>24</v>
      </c>
      <c r="E760" s="4">
        <v>757</v>
      </c>
      <c r="F760">
        <v>40</v>
      </c>
      <c r="J760" s="51"/>
    </row>
    <row r="761" spans="2:10" x14ac:dyDescent="0.35">
      <c r="B761" s="4">
        <v>758</v>
      </c>
      <c r="C761">
        <v>21</v>
      </c>
      <c r="E761" s="4">
        <v>758</v>
      </c>
      <c r="F761">
        <v>41</v>
      </c>
      <c r="J761" s="52"/>
    </row>
    <row r="762" spans="2:10" x14ac:dyDescent="0.35">
      <c r="B762" s="4">
        <v>759</v>
      </c>
      <c r="C762">
        <v>138</v>
      </c>
      <c r="E762" s="4">
        <v>759</v>
      </c>
      <c r="F762">
        <v>196</v>
      </c>
      <c r="J762" s="51"/>
    </row>
    <row r="763" spans="2:10" x14ac:dyDescent="0.35">
      <c r="B763" s="4">
        <v>760</v>
      </c>
      <c r="C763">
        <v>42</v>
      </c>
      <c r="E763" s="4">
        <v>760</v>
      </c>
      <c r="F763">
        <v>20</v>
      </c>
      <c r="J763" s="52"/>
    </row>
    <row r="764" spans="2:10" x14ac:dyDescent="0.35">
      <c r="B764" s="4">
        <v>761</v>
      </c>
      <c r="C764">
        <v>72</v>
      </c>
      <c r="E764" s="4">
        <v>761</v>
      </c>
      <c r="F764">
        <v>102</v>
      </c>
      <c r="J764" s="51"/>
    </row>
    <row r="765" spans="2:10" x14ac:dyDescent="0.35">
      <c r="B765" s="4">
        <v>762</v>
      </c>
      <c r="C765">
        <v>41</v>
      </c>
      <c r="E765" s="4">
        <v>762</v>
      </c>
      <c r="F765">
        <v>29</v>
      </c>
      <c r="J765" s="52"/>
    </row>
    <row r="766" spans="2:10" x14ac:dyDescent="0.35">
      <c r="B766" s="4">
        <v>763</v>
      </c>
      <c r="C766">
        <v>42</v>
      </c>
      <c r="E766" s="4">
        <v>763</v>
      </c>
      <c r="F766">
        <v>32</v>
      </c>
      <c r="J766" s="51"/>
    </row>
    <row r="767" spans="2:10" x14ac:dyDescent="0.35">
      <c r="B767" s="4">
        <v>764</v>
      </c>
      <c r="C767">
        <v>35</v>
      </c>
      <c r="E767" s="4">
        <v>764</v>
      </c>
      <c r="F767">
        <v>112</v>
      </c>
      <c r="J767" s="52"/>
    </row>
    <row r="768" spans="2:10" x14ac:dyDescent="0.35">
      <c r="B768" s="4">
        <v>765</v>
      </c>
      <c r="C768">
        <v>95</v>
      </c>
      <c r="E768" s="4">
        <v>765</v>
      </c>
      <c r="F768">
        <v>164</v>
      </c>
      <c r="J768" s="51"/>
    </row>
    <row r="769" spans="2:10" x14ac:dyDescent="0.35">
      <c r="B769" s="4">
        <v>766</v>
      </c>
      <c r="C769">
        <v>74</v>
      </c>
      <c r="E769" s="4">
        <v>766</v>
      </c>
      <c r="F769">
        <v>134</v>
      </c>
      <c r="J769" s="52"/>
    </row>
    <row r="770" spans="2:10" x14ac:dyDescent="0.35">
      <c r="B770" s="4">
        <v>767</v>
      </c>
      <c r="C770">
        <v>68</v>
      </c>
      <c r="E770" s="4">
        <v>767</v>
      </c>
      <c r="F770">
        <v>85</v>
      </c>
      <c r="J770" s="51"/>
    </row>
    <row r="771" spans="2:10" x14ac:dyDescent="0.35">
      <c r="B771" s="4" t="s">
        <v>1236</v>
      </c>
      <c r="C771">
        <v>42881</v>
      </c>
      <c r="E771" s="4" t="s">
        <v>1236</v>
      </c>
      <c r="F771">
        <v>60562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2097-84A2-423A-8981-0B0A23161BAA}">
  <dimension ref="A1:M768"/>
  <sheetViews>
    <sheetView zoomScale="69" workbookViewId="0">
      <selection activeCell="C3" sqref="C3"/>
    </sheetView>
  </sheetViews>
  <sheetFormatPr baseColWidth="10" defaultRowHeight="14.5" x14ac:dyDescent="0.35"/>
  <cols>
    <col min="1" max="1" width="79" bestFit="1" customWidth="1"/>
    <col min="2" max="2" width="19.26953125" bestFit="1" customWidth="1"/>
    <col min="3" max="3" width="23" bestFit="1" customWidth="1"/>
    <col min="4" max="4" width="16.26953125" bestFit="1" customWidth="1"/>
    <col min="5" max="5" width="15.08984375" bestFit="1" customWidth="1"/>
    <col min="6" max="6" width="17.08984375" bestFit="1" customWidth="1"/>
    <col min="7" max="7" width="16.1796875" bestFit="1" customWidth="1"/>
    <col min="8" max="8" width="16.08984375" bestFit="1" customWidth="1"/>
    <col min="9" max="9" width="9.54296875" bestFit="1" customWidth="1"/>
    <col min="10" max="10" width="17.81640625" bestFit="1" customWidth="1"/>
    <col min="11" max="11" width="17.6328125" bestFit="1" customWidth="1"/>
    <col min="12" max="12" width="14.90625" bestFit="1" customWidth="1"/>
    <col min="13" max="13" width="17.7265625" bestFit="1" customWidth="1"/>
  </cols>
  <sheetData>
    <row r="1" spans="1:13" x14ac:dyDescent="0.35">
      <c r="A1" s="15" t="s">
        <v>51</v>
      </c>
      <c r="B1" s="15" t="s">
        <v>52</v>
      </c>
      <c r="C1" s="15" t="s">
        <v>53</v>
      </c>
      <c r="D1" s="15" t="s">
        <v>54</v>
      </c>
      <c r="E1" s="15" t="s">
        <v>55</v>
      </c>
      <c r="F1" s="15" t="s">
        <v>56</v>
      </c>
      <c r="G1" s="15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</row>
    <row r="2" spans="1:13" x14ac:dyDescent="0.35">
      <c r="A2" s="11" t="s">
        <v>64</v>
      </c>
      <c r="B2" s="11" t="s">
        <v>65</v>
      </c>
      <c r="C2" s="11"/>
      <c r="D2" s="12"/>
      <c r="E2" s="12"/>
      <c r="F2" s="11" t="s">
        <v>65</v>
      </c>
      <c r="G2" s="11" t="s">
        <v>65</v>
      </c>
      <c r="H2" s="11" t="s">
        <v>65</v>
      </c>
      <c r="I2" s="11"/>
      <c r="J2" s="11" t="s">
        <v>65</v>
      </c>
      <c r="K2" s="11"/>
      <c r="L2" s="11" t="s">
        <v>65</v>
      </c>
      <c r="M2" s="11" t="s">
        <v>65</v>
      </c>
    </row>
    <row r="3" spans="1:13" x14ac:dyDescent="0.35">
      <c r="A3" s="13" t="s">
        <v>66</v>
      </c>
      <c r="B3" s="13" t="s">
        <v>65</v>
      </c>
      <c r="C3" s="13"/>
      <c r="D3" s="14"/>
      <c r="E3" s="14"/>
      <c r="F3" s="13" t="s">
        <v>65</v>
      </c>
      <c r="G3" s="13" t="s">
        <v>65</v>
      </c>
      <c r="H3" s="13" t="s">
        <v>65</v>
      </c>
      <c r="I3" s="13"/>
      <c r="J3" s="13" t="s">
        <v>65</v>
      </c>
      <c r="K3" s="13"/>
      <c r="L3" s="13" t="s">
        <v>65</v>
      </c>
      <c r="M3" s="13" t="s">
        <v>65</v>
      </c>
    </row>
    <row r="4" spans="1:13" x14ac:dyDescent="0.35">
      <c r="A4" s="11" t="s">
        <v>67</v>
      </c>
      <c r="B4" s="11" t="s">
        <v>65</v>
      </c>
      <c r="C4" s="11"/>
      <c r="D4" s="12"/>
      <c r="E4" s="12"/>
      <c r="F4" s="11" t="s">
        <v>65</v>
      </c>
      <c r="G4" s="11" t="s">
        <v>65</v>
      </c>
      <c r="H4" s="11" t="s">
        <v>65</v>
      </c>
      <c r="I4" s="11"/>
      <c r="J4" s="11" t="s">
        <v>65</v>
      </c>
      <c r="K4" s="11"/>
      <c r="L4" s="11" t="s">
        <v>65</v>
      </c>
      <c r="M4" s="11" t="s">
        <v>65</v>
      </c>
    </row>
    <row r="5" spans="1:13" x14ac:dyDescent="0.35">
      <c r="A5" s="13" t="s">
        <v>68</v>
      </c>
      <c r="B5" s="13" t="s">
        <v>65</v>
      </c>
      <c r="C5" s="13"/>
      <c r="D5" s="14"/>
      <c r="E5" s="14"/>
      <c r="F5" s="13" t="s">
        <v>65</v>
      </c>
      <c r="G5" s="13" t="s">
        <v>65</v>
      </c>
      <c r="H5" s="13" t="s">
        <v>65</v>
      </c>
      <c r="I5" s="13"/>
      <c r="J5" s="13" t="s">
        <v>65</v>
      </c>
      <c r="K5" s="13"/>
      <c r="L5" s="13" t="s">
        <v>65</v>
      </c>
      <c r="M5" s="13" t="s">
        <v>65</v>
      </c>
    </row>
    <row r="6" spans="1:13" x14ac:dyDescent="0.35">
      <c r="A6" s="11" t="s">
        <v>69</v>
      </c>
      <c r="B6" s="11" t="s">
        <v>65</v>
      </c>
      <c r="C6" s="11"/>
      <c r="D6" s="12"/>
      <c r="E6" s="12"/>
      <c r="F6" s="11" t="s">
        <v>65</v>
      </c>
      <c r="G6" s="11" t="s">
        <v>65</v>
      </c>
      <c r="H6" s="11" t="s">
        <v>65</v>
      </c>
      <c r="I6" s="11"/>
      <c r="J6" s="11" t="s">
        <v>65</v>
      </c>
      <c r="K6" s="11"/>
      <c r="L6" s="11" t="s">
        <v>65</v>
      </c>
      <c r="M6" s="11" t="s">
        <v>65</v>
      </c>
    </row>
    <row r="7" spans="1:13" x14ac:dyDescent="0.35">
      <c r="A7" s="13" t="s">
        <v>70</v>
      </c>
      <c r="B7" s="13" t="s">
        <v>71</v>
      </c>
      <c r="C7" s="13">
        <v>5</v>
      </c>
      <c r="D7" s="14">
        <v>45017.058333333334</v>
      </c>
      <c r="E7" s="14">
        <v>45017.147222222222</v>
      </c>
      <c r="F7" s="13" t="s">
        <v>72</v>
      </c>
      <c r="G7" s="13" t="s">
        <v>73</v>
      </c>
      <c r="H7" s="13" t="s">
        <v>74</v>
      </c>
      <c r="I7" s="13">
        <v>2657</v>
      </c>
      <c r="J7" s="13" t="s">
        <v>75</v>
      </c>
      <c r="K7" s="13">
        <v>6</v>
      </c>
      <c r="L7" s="13" t="s">
        <v>76</v>
      </c>
      <c r="M7" s="13" t="s">
        <v>31</v>
      </c>
    </row>
    <row r="8" spans="1:13" x14ac:dyDescent="0.35">
      <c r="A8" s="11" t="s">
        <v>77</v>
      </c>
      <c r="B8" s="11" t="s">
        <v>65</v>
      </c>
      <c r="C8" s="11"/>
      <c r="D8" s="12"/>
      <c r="E8" s="12"/>
      <c r="F8" s="11" t="s">
        <v>65</v>
      </c>
      <c r="G8" s="11" t="s">
        <v>65</v>
      </c>
      <c r="H8" s="11" t="s">
        <v>65</v>
      </c>
      <c r="I8" s="11"/>
      <c r="J8" s="11" t="s">
        <v>65</v>
      </c>
      <c r="K8" s="11"/>
      <c r="L8" s="11" t="s">
        <v>65</v>
      </c>
      <c r="M8" s="11" t="s">
        <v>65</v>
      </c>
    </row>
    <row r="9" spans="1:13" x14ac:dyDescent="0.35">
      <c r="A9" s="13" t="s">
        <v>78</v>
      </c>
      <c r="B9" s="13" t="s">
        <v>65</v>
      </c>
      <c r="C9" s="13"/>
      <c r="D9" s="14"/>
      <c r="E9" s="14"/>
      <c r="F9" s="13" t="s">
        <v>65</v>
      </c>
      <c r="G9" s="13" t="s">
        <v>65</v>
      </c>
      <c r="H9" s="13" t="s">
        <v>65</v>
      </c>
      <c r="I9" s="13"/>
      <c r="J9" s="13" t="s">
        <v>65</v>
      </c>
      <c r="K9" s="13"/>
      <c r="L9" s="13" t="s">
        <v>65</v>
      </c>
      <c r="M9" s="13" t="s">
        <v>65</v>
      </c>
    </row>
    <row r="10" spans="1:13" x14ac:dyDescent="0.35">
      <c r="A10" s="11" t="s">
        <v>79</v>
      </c>
      <c r="B10" s="11" t="s">
        <v>65</v>
      </c>
      <c r="C10" s="11"/>
      <c r="D10" s="12"/>
      <c r="E10" s="12"/>
      <c r="F10" s="11" t="s">
        <v>65</v>
      </c>
      <c r="G10" s="11" t="s">
        <v>65</v>
      </c>
      <c r="H10" s="11" t="s">
        <v>65</v>
      </c>
      <c r="I10" s="11"/>
      <c r="J10" s="11" t="s">
        <v>65</v>
      </c>
      <c r="K10" s="11"/>
      <c r="L10" s="11" t="s">
        <v>65</v>
      </c>
      <c r="M10" s="11" t="s">
        <v>65</v>
      </c>
    </row>
    <row r="11" spans="1:13" x14ac:dyDescent="0.35">
      <c r="A11" s="13" t="s">
        <v>80</v>
      </c>
      <c r="B11" s="13" t="s">
        <v>65</v>
      </c>
      <c r="C11" s="13"/>
      <c r="D11" s="14"/>
      <c r="E11" s="14"/>
      <c r="F11" s="13" t="s">
        <v>65</v>
      </c>
      <c r="G11" s="13" t="s">
        <v>65</v>
      </c>
      <c r="H11" s="13" t="s">
        <v>65</v>
      </c>
      <c r="I11" s="13"/>
      <c r="J11" s="13" t="s">
        <v>65</v>
      </c>
      <c r="K11" s="13"/>
      <c r="L11" s="13" t="s">
        <v>65</v>
      </c>
      <c r="M11" s="13" t="s">
        <v>65</v>
      </c>
    </row>
    <row r="12" spans="1:13" x14ac:dyDescent="0.35">
      <c r="A12" s="11" t="s">
        <v>81</v>
      </c>
      <c r="B12" s="11" t="s">
        <v>65</v>
      </c>
      <c r="C12" s="11"/>
      <c r="D12" s="12"/>
      <c r="E12" s="12"/>
      <c r="F12" s="11" t="s">
        <v>65</v>
      </c>
      <c r="G12" s="11" t="s">
        <v>65</v>
      </c>
      <c r="H12" s="11" t="s">
        <v>65</v>
      </c>
      <c r="I12" s="11"/>
      <c r="J12" s="11" t="s">
        <v>65</v>
      </c>
      <c r="K12" s="11"/>
      <c r="L12" s="11" t="s">
        <v>65</v>
      </c>
      <c r="M12" s="11" t="s">
        <v>65</v>
      </c>
    </row>
    <row r="13" spans="1:13" x14ac:dyDescent="0.35">
      <c r="A13" s="13" t="s">
        <v>82</v>
      </c>
      <c r="B13" s="13" t="s">
        <v>65</v>
      </c>
      <c r="C13" s="13"/>
      <c r="D13" s="14"/>
      <c r="E13" s="14"/>
      <c r="F13" s="13" t="s">
        <v>65</v>
      </c>
      <c r="G13" s="13" t="s">
        <v>65</v>
      </c>
      <c r="H13" s="13" t="s">
        <v>65</v>
      </c>
      <c r="I13" s="13"/>
      <c r="J13" s="13" t="s">
        <v>65</v>
      </c>
      <c r="K13" s="13"/>
      <c r="L13" s="13" t="s">
        <v>65</v>
      </c>
      <c r="M13" s="13" t="s">
        <v>65</v>
      </c>
    </row>
    <row r="14" spans="1:13" x14ac:dyDescent="0.35">
      <c r="A14" s="11" t="s">
        <v>83</v>
      </c>
      <c r="B14" s="11" t="s">
        <v>84</v>
      </c>
      <c r="C14" s="11">
        <v>1</v>
      </c>
      <c r="D14" s="12">
        <v>45017.131249999999</v>
      </c>
      <c r="E14" s="12">
        <v>45017.230555555558</v>
      </c>
      <c r="F14" s="11" t="s">
        <v>85</v>
      </c>
      <c r="G14" s="11" t="s">
        <v>86</v>
      </c>
      <c r="H14" s="11" t="s">
        <v>87</v>
      </c>
      <c r="I14" s="11">
        <v>2206</v>
      </c>
      <c r="J14" s="11" t="s">
        <v>88</v>
      </c>
      <c r="K14" s="11">
        <v>13</v>
      </c>
      <c r="L14" s="11" t="s">
        <v>89</v>
      </c>
      <c r="M14" s="11" t="s">
        <v>23</v>
      </c>
    </row>
    <row r="15" spans="1:13" x14ac:dyDescent="0.35">
      <c r="A15" s="13" t="s">
        <v>90</v>
      </c>
      <c r="B15" s="13" t="s">
        <v>65</v>
      </c>
      <c r="C15" s="13"/>
      <c r="D15" s="14"/>
      <c r="E15" s="14"/>
      <c r="F15" s="13" t="s">
        <v>65</v>
      </c>
      <c r="G15" s="13" t="s">
        <v>65</v>
      </c>
      <c r="H15" s="13" t="s">
        <v>65</v>
      </c>
      <c r="I15" s="13"/>
      <c r="J15" s="13" t="s">
        <v>65</v>
      </c>
      <c r="K15" s="13"/>
      <c r="L15" s="13" t="s">
        <v>65</v>
      </c>
      <c r="M15" s="13" t="s">
        <v>65</v>
      </c>
    </row>
    <row r="16" spans="1:13" x14ac:dyDescent="0.35">
      <c r="A16" s="11" t="s">
        <v>91</v>
      </c>
      <c r="B16" s="11" t="s">
        <v>65</v>
      </c>
      <c r="C16" s="11"/>
      <c r="D16" s="12"/>
      <c r="E16" s="12"/>
      <c r="F16" s="11" t="s">
        <v>65</v>
      </c>
      <c r="G16" s="11" t="s">
        <v>65</v>
      </c>
      <c r="H16" s="11" t="s">
        <v>65</v>
      </c>
      <c r="I16" s="11"/>
      <c r="J16" s="11" t="s">
        <v>65</v>
      </c>
      <c r="K16" s="11"/>
      <c r="L16" s="11" t="s">
        <v>65</v>
      </c>
      <c r="M16" s="11" t="s">
        <v>65</v>
      </c>
    </row>
    <row r="17" spans="1:13" x14ac:dyDescent="0.35">
      <c r="A17" s="13" t="s">
        <v>92</v>
      </c>
      <c r="B17" s="13" t="s">
        <v>93</v>
      </c>
      <c r="C17" s="13">
        <v>5</v>
      </c>
      <c r="D17" s="14">
        <v>45017.104861111111</v>
      </c>
      <c r="E17" s="14">
        <v>45017.183333333334</v>
      </c>
      <c r="F17" s="13" t="s">
        <v>72</v>
      </c>
      <c r="G17" s="13" t="s">
        <v>86</v>
      </c>
      <c r="H17" s="13" t="s">
        <v>87</v>
      </c>
      <c r="I17" s="13">
        <v>379</v>
      </c>
      <c r="J17" s="13" t="s">
        <v>94</v>
      </c>
      <c r="K17" s="13">
        <v>16</v>
      </c>
      <c r="L17" s="13" t="s">
        <v>95</v>
      </c>
      <c r="M17" s="13" t="s">
        <v>27</v>
      </c>
    </row>
    <row r="18" spans="1:13" x14ac:dyDescent="0.35">
      <c r="A18" s="11" t="s">
        <v>96</v>
      </c>
      <c r="B18" s="11" t="s">
        <v>65</v>
      </c>
      <c r="C18" s="11"/>
      <c r="D18" s="12"/>
      <c r="E18" s="12"/>
      <c r="F18" s="11" t="s">
        <v>65</v>
      </c>
      <c r="G18" s="11" t="s">
        <v>65</v>
      </c>
      <c r="H18" s="11" t="s">
        <v>65</v>
      </c>
      <c r="I18" s="11"/>
      <c r="J18" s="11" t="s">
        <v>65</v>
      </c>
      <c r="K18" s="11"/>
      <c r="L18" s="11" t="s">
        <v>65</v>
      </c>
      <c r="M18" s="11" t="s">
        <v>65</v>
      </c>
    </row>
    <row r="19" spans="1:13" x14ac:dyDescent="0.35">
      <c r="A19" s="13" t="s">
        <v>97</v>
      </c>
      <c r="B19" s="13" t="s">
        <v>65</v>
      </c>
      <c r="C19" s="13"/>
      <c r="D19" s="14"/>
      <c r="E19" s="14"/>
      <c r="F19" s="13" t="s">
        <v>65</v>
      </c>
      <c r="G19" s="13" t="s">
        <v>65</v>
      </c>
      <c r="H19" s="13" t="s">
        <v>65</v>
      </c>
      <c r="I19" s="13"/>
      <c r="J19" s="13" t="s">
        <v>65</v>
      </c>
      <c r="K19" s="13"/>
      <c r="L19" s="13" t="s">
        <v>65</v>
      </c>
      <c r="M19" s="13" t="s">
        <v>65</v>
      </c>
    </row>
    <row r="20" spans="1:13" x14ac:dyDescent="0.35">
      <c r="A20" s="11" t="s">
        <v>98</v>
      </c>
      <c r="B20" s="11" t="s">
        <v>99</v>
      </c>
      <c r="C20" s="11">
        <v>3</v>
      </c>
      <c r="D20" s="12">
        <v>45017.024305555555</v>
      </c>
      <c r="E20" s="12">
        <v>45017.145138888889</v>
      </c>
      <c r="F20" s="11" t="s">
        <v>100</v>
      </c>
      <c r="G20" s="11" t="s">
        <v>86</v>
      </c>
      <c r="H20" s="11" t="s">
        <v>74</v>
      </c>
      <c r="I20" s="11">
        <v>1745</v>
      </c>
      <c r="J20" s="11" t="s">
        <v>75</v>
      </c>
      <c r="K20" s="11">
        <v>19</v>
      </c>
      <c r="L20" s="11" t="s">
        <v>101</v>
      </c>
      <c r="M20" s="11" t="s">
        <v>19</v>
      </c>
    </row>
    <row r="21" spans="1:13" x14ac:dyDescent="0.35">
      <c r="A21" s="13" t="s">
        <v>102</v>
      </c>
      <c r="B21" s="13" t="s">
        <v>65</v>
      </c>
      <c r="C21" s="13"/>
      <c r="D21" s="14"/>
      <c r="E21" s="14"/>
      <c r="F21" s="13" t="s">
        <v>65</v>
      </c>
      <c r="G21" s="13" t="s">
        <v>65</v>
      </c>
      <c r="H21" s="13" t="s">
        <v>65</v>
      </c>
      <c r="I21" s="13"/>
      <c r="J21" s="13" t="s">
        <v>65</v>
      </c>
      <c r="K21" s="13"/>
      <c r="L21" s="13" t="s">
        <v>65</v>
      </c>
      <c r="M21" s="13" t="s">
        <v>65</v>
      </c>
    </row>
    <row r="22" spans="1:13" x14ac:dyDescent="0.35">
      <c r="A22" s="11" t="s">
        <v>103</v>
      </c>
      <c r="B22" s="11" t="s">
        <v>65</v>
      </c>
      <c r="C22" s="11"/>
      <c r="D22" s="12"/>
      <c r="E22" s="12"/>
      <c r="F22" s="11" t="s">
        <v>65</v>
      </c>
      <c r="G22" s="11" t="s">
        <v>65</v>
      </c>
      <c r="H22" s="11" t="s">
        <v>65</v>
      </c>
      <c r="I22" s="11"/>
      <c r="J22" s="11" t="s">
        <v>65</v>
      </c>
      <c r="K22" s="11"/>
      <c r="L22" s="11" t="s">
        <v>65</v>
      </c>
      <c r="M22" s="11" t="s">
        <v>65</v>
      </c>
    </row>
    <row r="23" spans="1:13" x14ac:dyDescent="0.35">
      <c r="A23" s="13" t="s">
        <v>104</v>
      </c>
      <c r="B23" s="13" t="s">
        <v>65</v>
      </c>
      <c r="C23" s="13"/>
      <c r="D23" s="14"/>
      <c r="E23" s="14"/>
      <c r="F23" s="13" t="s">
        <v>65</v>
      </c>
      <c r="G23" s="13" t="s">
        <v>65</v>
      </c>
      <c r="H23" s="13" t="s">
        <v>65</v>
      </c>
      <c r="I23" s="13"/>
      <c r="J23" s="13" t="s">
        <v>65</v>
      </c>
      <c r="K23" s="13"/>
      <c r="L23" s="13" t="s">
        <v>65</v>
      </c>
      <c r="M23" s="13" t="s">
        <v>65</v>
      </c>
    </row>
    <row r="24" spans="1:13" x14ac:dyDescent="0.35">
      <c r="A24" s="11" t="s">
        <v>105</v>
      </c>
      <c r="B24" s="11" t="s">
        <v>65</v>
      </c>
      <c r="C24" s="11"/>
      <c r="D24" s="12"/>
      <c r="E24" s="12"/>
      <c r="F24" s="11" t="s">
        <v>65</v>
      </c>
      <c r="G24" s="11" t="s">
        <v>65</v>
      </c>
      <c r="H24" s="11" t="s">
        <v>65</v>
      </c>
      <c r="I24" s="11"/>
      <c r="J24" s="11" t="s">
        <v>65</v>
      </c>
      <c r="K24" s="11"/>
      <c r="L24" s="11" t="s">
        <v>65</v>
      </c>
      <c r="M24" s="11" t="s">
        <v>65</v>
      </c>
    </row>
    <row r="25" spans="1:13" x14ac:dyDescent="0.35">
      <c r="A25" s="13" t="s">
        <v>106</v>
      </c>
      <c r="B25" s="13" t="s">
        <v>65</v>
      </c>
      <c r="C25" s="13"/>
      <c r="D25" s="14"/>
      <c r="E25" s="14"/>
      <c r="F25" s="13" t="s">
        <v>65</v>
      </c>
      <c r="G25" s="13" t="s">
        <v>65</v>
      </c>
      <c r="H25" s="13" t="s">
        <v>65</v>
      </c>
      <c r="I25" s="13"/>
      <c r="J25" s="13" t="s">
        <v>65</v>
      </c>
      <c r="K25" s="13"/>
      <c r="L25" s="13" t="s">
        <v>65</v>
      </c>
      <c r="M25" s="13" t="s">
        <v>65</v>
      </c>
    </row>
    <row r="26" spans="1:13" x14ac:dyDescent="0.35">
      <c r="A26" s="11" t="s">
        <v>107</v>
      </c>
      <c r="B26" s="11" t="s">
        <v>108</v>
      </c>
      <c r="C26" s="11">
        <v>5</v>
      </c>
      <c r="D26" s="12">
        <v>45017.125694444447</v>
      </c>
      <c r="E26" s="12">
        <v>45017.207638888889</v>
      </c>
      <c r="F26" s="11" t="s">
        <v>85</v>
      </c>
      <c r="G26" s="11" t="s">
        <v>73</v>
      </c>
      <c r="H26" s="11" t="s">
        <v>109</v>
      </c>
      <c r="I26" s="11">
        <v>4615</v>
      </c>
      <c r="J26" s="11" t="s">
        <v>88</v>
      </c>
      <c r="K26" s="11">
        <v>25</v>
      </c>
      <c r="L26" s="11" t="s">
        <v>110</v>
      </c>
      <c r="M26" s="11" t="s">
        <v>37</v>
      </c>
    </row>
    <row r="27" spans="1:13" x14ac:dyDescent="0.35">
      <c r="A27" s="13" t="s">
        <v>111</v>
      </c>
      <c r="B27" s="13" t="s">
        <v>65</v>
      </c>
      <c r="C27" s="13"/>
      <c r="D27" s="14"/>
      <c r="E27" s="14"/>
      <c r="F27" s="13" t="s">
        <v>65</v>
      </c>
      <c r="G27" s="13" t="s">
        <v>65</v>
      </c>
      <c r="H27" s="13" t="s">
        <v>65</v>
      </c>
      <c r="I27" s="13"/>
      <c r="J27" s="13" t="s">
        <v>65</v>
      </c>
      <c r="K27" s="13"/>
      <c r="L27" s="13" t="s">
        <v>65</v>
      </c>
      <c r="M27" s="13" t="s">
        <v>65</v>
      </c>
    </row>
    <row r="28" spans="1:13" x14ac:dyDescent="0.35">
      <c r="A28" s="11" t="s">
        <v>112</v>
      </c>
      <c r="B28" s="11" t="s">
        <v>65</v>
      </c>
      <c r="C28" s="11"/>
      <c r="D28" s="12"/>
      <c r="E28" s="12"/>
      <c r="F28" s="11" t="s">
        <v>65</v>
      </c>
      <c r="G28" s="11" t="s">
        <v>65</v>
      </c>
      <c r="H28" s="11" t="s">
        <v>65</v>
      </c>
      <c r="I28" s="11"/>
      <c r="J28" s="11" t="s">
        <v>65</v>
      </c>
      <c r="K28" s="11"/>
      <c r="L28" s="11" t="s">
        <v>65</v>
      </c>
      <c r="M28" s="11" t="s">
        <v>65</v>
      </c>
    </row>
    <row r="29" spans="1:13" x14ac:dyDescent="0.35">
      <c r="A29" s="13" t="s">
        <v>113</v>
      </c>
      <c r="B29" s="13" t="s">
        <v>65</v>
      </c>
      <c r="C29" s="13"/>
      <c r="D29" s="14"/>
      <c r="E29" s="14"/>
      <c r="F29" s="13" t="s">
        <v>65</v>
      </c>
      <c r="G29" s="13" t="s">
        <v>65</v>
      </c>
      <c r="H29" s="13" t="s">
        <v>65</v>
      </c>
      <c r="I29" s="13"/>
      <c r="J29" s="13" t="s">
        <v>65</v>
      </c>
      <c r="K29" s="13"/>
      <c r="L29" s="13" t="s">
        <v>65</v>
      </c>
      <c r="M29" s="13" t="s">
        <v>65</v>
      </c>
    </row>
    <row r="30" spans="1:13" x14ac:dyDescent="0.35">
      <c r="A30" s="11" t="s">
        <v>114</v>
      </c>
      <c r="B30" s="11" t="s">
        <v>65</v>
      </c>
      <c r="C30" s="11"/>
      <c r="D30" s="12"/>
      <c r="E30" s="12"/>
      <c r="F30" s="11" t="s">
        <v>65</v>
      </c>
      <c r="G30" s="11" t="s">
        <v>65</v>
      </c>
      <c r="H30" s="11" t="s">
        <v>65</v>
      </c>
      <c r="I30" s="11"/>
      <c r="J30" s="11" t="s">
        <v>65</v>
      </c>
      <c r="K30" s="11"/>
      <c r="L30" s="11" t="s">
        <v>65</v>
      </c>
      <c r="M30" s="11" t="s">
        <v>65</v>
      </c>
    </row>
    <row r="31" spans="1:13" x14ac:dyDescent="0.35">
      <c r="A31" s="13" t="s">
        <v>115</v>
      </c>
      <c r="B31" s="13" t="s">
        <v>65</v>
      </c>
      <c r="C31" s="13"/>
      <c r="D31" s="14"/>
      <c r="E31" s="14"/>
      <c r="F31" s="13" t="s">
        <v>65</v>
      </c>
      <c r="G31" s="13" t="s">
        <v>65</v>
      </c>
      <c r="H31" s="13" t="s">
        <v>65</v>
      </c>
      <c r="I31" s="13"/>
      <c r="J31" s="13" t="s">
        <v>65</v>
      </c>
      <c r="K31" s="13"/>
      <c r="L31" s="13" t="s">
        <v>65</v>
      </c>
      <c r="M31" s="13" t="s">
        <v>65</v>
      </c>
    </row>
    <row r="32" spans="1:13" x14ac:dyDescent="0.35">
      <c r="A32" s="11" t="s">
        <v>116</v>
      </c>
      <c r="B32" s="11" t="s">
        <v>65</v>
      </c>
      <c r="C32" s="11"/>
      <c r="D32" s="12"/>
      <c r="E32" s="12"/>
      <c r="F32" s="11" t="s">
        <v>65</v>
      </c>
      <c r="G32" s="11" t="s">
        <v>65</v>
      </c>
      <c r="H32" s="11" t="s">
        <v>65</v>
      </c>
      <c r="I32" s="11"/>
      <c r="J32" s="11" t="s">
        <v>65</v>
      </c>
      <c r="K32" s="11"/>
      <c r="L32" s="11" t="s">
        <v>65</v>
      </c>
      <c r="M32" s="11" t="s">
        <v>65</v>
      </c>
    </row>
    <row r="33" spans="1:13" x14ac:dyDescent="0.35">
      <c r="A33" s="13" t="s">
        <v>117</v>
      </c>
      <c r="B33" s="13" t="s">
        <v>65</v>
      </c>
      <c r="C33" s="13"/>
      <c r="D33" s="14"/>
      <c r="E33" s="14"/>
      <c r="F33" s="13" t="s">
        <v>65</v>
      </c>
      <c r="G33" s="13" t="s">
        <v>65</v>
      </c>
      <c r="H33" s="13" t="s">
        <v>65</v>
      </c>
      <c r="I33" s="13"/>
      <c r="J33" s="13" t="s">
        <v>65</v>
      </c>
      <c r="K33" s="13"/>
      <c r="L33" s="13" t="s">
        <v>65</v>
      </c>
      <c r="M33" s="13" t="s">
        <v>65</v>
      </c>
    </row>
    <row r="34" spans="1:13" x14ac:dyDescent="0.35">
      <c r="A34" s="11" t="s">
        <v>118</v>
      </c>
      <c r="B34" s="11" t="s">
        <v>65</v>
      </c>
      <c r="C34" s="11"/>
      <c r="D34" s="12"/>
      <c r="E34" s="12"/>
      <c r="F34" s="11" t="s">
        <v>65</v>
      </c>
      <c r="G34" s="11" t="s">
        <v>65</v>
      </c>
      <c r="H34" s="11" t="s">
        <v>65</v>
      </c>
      <c r="I34" s="11"/>
      <c r="J34" s="11" t="s">
        <v>65</v>
      </c>
      <c r="K34" s="11"/>
      <c r="L34" s="11" t="s">
        <v>65</v>
      </c>
      <c r="M34" s="11" t="s">
        <v>65</v>
      </c>
    </row>
    <row r="35" spans="1:13" x14ac:dyDescent="0.35">
      <c r="A35" s="13" t="s">
        <v>119</v>
      </c>
      <c r="B35" s="13" t="s">
        <v>65</v>
      </c>
      <c r="C35" s="13"/>
      <c r="D35" s="14"/>
      <c r="E35" s="14"/>
      <c r="F35" s="13" t="s">
        <v>65</v>
      </c>
      <c r="G35" s="13" t="s">
        <v>65</v>
      </c>
      <c r="H35" s="13" t="s">
        <v>65</v>
      </c>
      <c r="I35" s="13"/>
      <c r="J35" s="13" t="s">
        <v>65</v>
      </c>
      <c r="K35" s="13"/>
      <c r="L35" s="13" t="s">
        <v>65</v>
      </c>
      <c r="M35" s="13" t="s">
        <v>65</v>
      </c>
    </row>
    <row r="36" spans="1:13" x14ac:dyDescent="0.35">
      <c r="A36" s="11" t="s">
        <v>120</v>
      </c>
      <c r="B36" s="11" t="s">
        <v>65</v>
      </c>
      <c r="C36" s="11"/>
      <c r="D36" s="12"/>
      <c r="E36" s="12"/>
      <c r="F36" s="11" t="s">
        <v>65</v>
      </c>
      <c r="G36" s="11" t="s">
        <v>65</v>
      </c>
      <c r="H36" s="11" t="s">
        <v>65</v>
      </c>
      <c r="I36" s="11"/>
      <c r="J36" s="11" t="s">
        <v>65</v>
      </c>
      <c r="K36" s="11"/>
      <c r="L36" s="11" t="s">
        <v>65</v>
      </c>
      <c r="M36" s="11" t="s">
        <v>65</v>
      </c>
    </row>
    <row r="37" spans="1:13" x14ac:dyDescent="0.35">
      <c r="A37" s="13" t="s">
        <v>121</v>
      </c>
      <c r="B37" s="13" t="s">
        <v>122</v>
      </c>
      <c r="C37" s="13">
        <v>5</v>
      </c>
      <c r="D37" s="14">
        <v>45017.143750000003</v>
      </c>
      <c r="E37" s="14">
        <v>45017.268055555556</v>
      </c>
      <c r="F37" s="13" t="s">
        <v>100</v>
      </c>
      <c r="G37" s="13" t="s">
        <v>86</v>
      </c>
      <c r="H37" s="13" t="s">
        <v>74</v>
      </c>
      <c r="I37" s="13">
        <v>4528</v>
      </c>
      <c r="J37" s="13" t="s">
        <v>88</v>
      </c>
      <c r="K37" s="13">
        <v>36</v>
      </c>
      <c r="L37" s="13" t="s">
        <v>95</v>
      </c>
      <c r="M37" s="13" t="s">
        <v>12</v>
      </c>
    </row>
    <row r="38" spans="1:13" x14ac:dyDescent="0.35">
      <c r="A38" s="11" t="s">
        <v>92</v>
      </c>
      <c r="B38" s="11" t="s">
        <v>123</v>
      </c>
      <c r="C38" s="11">
        <v>1</v>
      </c>
      <c r="D38" s="12">
        <v>45017.14166666667</v>
      </c>
      <c r="E38" s="12">
        <v>45017.251388888886</v>
      </c>
      <c r="F38" s="11" t="s">
        <v>85</v>
      </c>
      <c r="G38" s="11" t="s">
        <v>73</v>
      </c>
      <c r="H38" s="11" t="s">
        <v>74</v>
      </c>
      <c r="I38" s="11">
        <v>1039</v>
      </c>
      <c r="J38" s="11" t="s">
        <v>88</v>
      </c>
      <c r="K38" s="11">
        <v>37</v>
      </c>
      <c r="L38" s="11" t="s">
        <v>89</v>
      </c>
      <c r="M38" s="11" t="s">
        <v>43</v>
      </c>
    </row>
    <row r="39" spans="1:13" x14ac:dyDescent="0.35">
      <c r="A39" s="13" t="s">
        <v>124</v>
      </c>
      <c r="B39" s="13" t="s">
        <v>65</v>
      </c>
      <c r="C39" s="13"/>
      <c r="D39" s="14"/>
      <c r="E39" s="14"/>
      <c r="F39" s="13" t="s">
        <v>65</v>
      </c>
      <c r="G39" s="13" t="s">
        <v>65</v>
      </c>
      <c r="H39" s="13" t="s">
        <v>65</v>
      </c>
      <c r="I39" s="13"/>
      <c r="J39" s="13" t="s">
        <v>65</v>
      </c>
      <c r="K39" s="13"/>
      <c r="L39" s="13" t="s">
        <v>65</v>
      </c>
      <c r="M39" s="13" t="s">
        <v>65</v>
      </c>
    </row>
    <row r="40" spans="1:13" x14ac:dyDescent="0.35">
      <c r="A40" s="11" t="s">
        <v>125</v>
      </c>
      <c r="B40" s="11" t="s">
        <v>126</v>
      </c>
      <c r="C40" s="11">
        <v>3</v>
      </c>
      <c r="D40" s="12">
        <v>45017.15347222222</v>
      </c>
      <c r="E40" s="12">
        <v>45017.318749999999</v>
      </c>
      <c r="F40" s="11" t="s">
        <v>100</v>
      </c>
      <c r="G40" s="11" t="s">
        <v>73</v>
      </c>
      <c r="H40" s="11" t="s">
        <v>87</v>
      </c>
      <c r="I40" s="11">
        <v>4836</v>
      </c>
      <c r="J40" s="11" t="s">
        <v>88</v>
      </c>
      <c r="K40" s="11">
        <v>39</v>
      </c>
      <c r="L40" s="11" t="s">
        <v>95</v>
      </c>
      <c r="M40" s="11" t="s">
        <v>21</v>
      </c>
    </row>
    <row r="41" spans="1:13" x14ac:dyDescent="0.35">
      <c r="A41" s="13" t="s">
        <v>127</v>
      </c>
      <c r="B41" s="13" t="s">
        <v>65</v>
      </c>
      <c r="C41" s="13"/>
      <c r="D41" s="14"/>
      <c r="E41" s="14"/>
      <c r="F41" s="13" t="s">
        <v>65</v>
      </c>
      <c r="G41" s="13" t="s">
        <v>65</v>
      </c>
      <c r="H41" s="13" t="s">
        <v>65</v>
      </c>
      <c r="I41" s="13"/>
      <c r="J41" s="13" t="s">
        <v>65</v>
      </c>
      <c r="K41" s="13"/>
      <c r="L41" s="13" t="s">
        <v>65</v>
      </c>
      <c r="M41" s="13" t="s">
        <v>65</v>
      </c>
    </row>
    <row r="42" spans="1:13" x14ac:dyDescent="0.35">
      <c r="A42" s="11" t="s">
        <v>128</v>
      </c>
      <c r="B42" s="11" t="s">
        <v>65</v>
      </c>
      <c r="C42" s="11"/>
      <c r="D42" s="12"/>
      <c r="E42" s="12"/>
      <c r="F42" s="11" t="s">
        <v>65</v>
      </c>
      <c r="G42" s="11" t="s">
        <v>65</v>
      </c>
      <c r="H42" s="11" t="s">
        <v>65</v>
      </c>
      <c r="I42" s="11"/>
      <c r="J42" s="11" t="s">
        <v>65</v>
      </c>
      <c r="K42" s="11"/>
      <c r="L42" s="11" t="s">
        <v>65</v>
      </c>
      <c r="M42" s="11" t="s">
        <v>65</v>
      </c>
    </row>
    <row r="43" spans="1:13" x14ac:dyDescent="0.35">
      <c r="A43" s="13" t="s">
        <v>129</v>
      </c>
      <c r="B43" s="13" t="s">
        <v>65</v>
      </c>
      <c r="C43" s="13"/>
      <c r="D43" s="14"/>
      <c r="E43" s="14"/>
      <c r="F43" s="13" t="s">
        <v>65</v>
      </c>
      <c r="G43" s="13" t="s">
        <v>65</v>
      </c>
      <c r="H43" s="13" t="s">
        <v>65</v>
      </c>
      <c r="I43" s="13"/>
      <c r="J43" s="13" t="s">
        <v>65</v>
      </c>
      <c r="K43" s="13"/>
      <c r="L43" s="13" t="s">
        <v>65</v>
      </c>
      <c r="M43" s="13" t="s">
        <v>65</v>
      </c>
    </row>
    <row r="44" spans="1:13" x14ac:dyDescent="0.35">
      <c r="A44" s="11" t="s">
        <v>130</v>
      </c>
      <c r="B44" s="11" t="s">
        <v>65</v>
      </c>
      <c r="C44" s="11"/>
      <c r="D44" s="12"/>
      <c r="E44" s="12"/>
      <c r="F44" s="11" t="s">
        <v>65</v>
      </c>
      <c r="G44" s="11" t="s">
        <v>65</v>
      </c>
      <c r="H44" s="11" t="s">
        <v>65</v>
      </c>
      <c r="I44" s="11"/>
      <c r="J44" s="11" t="s">
        <v>65</v>
      </c>
      <c r="K44" s="11"/>
      <c r="L44" s="11" t="s">
        <v>65</v>
      </c>
      <c r="M44" s="11" t="s">
        <v>65</v>
      </c>
    </row>
    <row r="45" spans="1:13" x14ac:dyDescent="0.35">
      <c r="A45" s="13" t="s">
        <v>131</v>
      </c>
      <c r="B45" s="13" t="s">
        <v>65</v>
      </c>
      <c r="C45" s="13"/>
      <c r="D45" s="14"/>
      <c r="E45" s="14"/>
      <c r="F45" s="13" t="s">
        <v>65</v>
      </c>
      <c r="G45" s="13" t="s">
        <v>65</v>
      </c>
      <c r="H45" s="13" t="s">
        <v>65</v>
      </c>
      <c r="I45" s="13"/>
      <c r="J45" s="13" t="s">
        <v>65</v>
      </c>
      <c r="K45" s="13"/>
      <c r="L45" s="13" t="s">
        <v>65</v>
      </c>
      <c r="M45" s="13" t="s">
        <v>65</v>
      </c>
    </row>
    <row r="46" spans="1:13" x14ac:dyDescent="0.35">
      <c r="A46" s="11" t="s">
        <v>132</v>
      </c>
      <c r="B46" s="11" t="s">
        <v>133</v>
      </c>
      <c r="C46" s="11">
        <v>2</v>
      </c>
      <c r="D46" s="12">
        <v>45017.09375</v>
      </c>
      <c r="E46" s="12">
        <v>45017.167361111111</v>
      </c>
      <c r="F46" s="11" t="s">
        <v>100</v>
      </c>
      <c r="G46" s="11" t="s">
        <v>86</v>
      </c>
      <c r="H46" s="11" t="s">
        <v>74</v>
      </c>
      <c r="I46" s="11">
        <v>2541</v>
      </c>
      <c r="J46" s="11" t="s">
        <v>94</v>
      </c>
      <c r="K46" s="11">
        <v>45</v>
      </c>
      <c r="L46" s="11" t="s">
        <v>76</v>
      </c>
      <c r="M46" s="11" t="s">
        <v>45</v>
      </c>
    </row>
    <row r="47" spans="1:13" x14ac:dyDescent="0.35">
      <c r="A47" s="13" t="s">
        <v>134</v>
      </c>
      <c r="B47" s="13" t="s">
        <v>65</v>
      </c>
      <c r="C47" s="13"/>
      <c r="D47" s="14"/>
      <c r="E47" s="14"/>
      <c r="F47" s="13" t="s">
        <v>65</v>
      </c>
      <c r="G47" s="13" t="s">
        <v>65</v>
      </c>
      <c r="H47" s="13" t="s">
        <v>65</v>
      </c>
      <c r="I47" s="13"/>
      <c r="J47" s="13" t="s">
        <v>65</v>
      </c>
      <c r="K47" s="13"/>
      <c r="L47" s="13" t="s">
        <v>65</v>
      </c>
      <c r="M47" s="13" t="s">
        <v>65</v>
      </c>
    </row>
    <row r="48" spans="1:13" x14ac:dyDescent="0.35">
      <c r="A48" s="11" t="s">
        <v>135</v>
      </c>
      <c r="B48" s="11" t="s">
        <v>65</v>
      </c>
      <c r="C48" s="11"/>
      <c r="D48" s="12"/>
      <c r="E48" s="12"/>
      <c r="F48" s="11" t="s">
        <v>65</v>
      </c>
      <c r="G48" s="11" t="s">
        <v>65</v>
      </c>
      <c r="H48" s="11" t="s">
        <v>65</v>
      </c>
      <c r="I48" s="11"/>
      <c r="J48" s="11" t="s">
        <v>65</v>
      </c>
      <c r="K48" s="11"/>
      <c r="L48" s="11" t="s">
        <v>65</v>
      </c>
      <c r="M48" s="11" t="s">
        <v>65</v>
      </c>
    </row>
    <row r="49" spans="1:13" x14ac:dyDescent="0.35">
      <c r="A49" s="13" t="s">
        <v>136</v>
      </c>
      <c r="B49" s="13" t="s">
        <v>65</v>
      </c>
      <c r="C49" s="13"/>
      <c r="D49" s="14"/>
      <c r="E49" s="14"/>
      <c r="F49" s="13" t="s">
        <v>65</v>
      </c>
      <c r="G49" s="13" t="s">
        <v>65</v>
      </c>
      <c r="H49" s="13" t="s">
        <v>65</v>
      </c>
      <c r="I49" s="13"/>
      <c r="J49" s="13" t="s">
        <v>65</v>
      </c>
      <c r="K49" s="13"/>
      <c r="L49" s="13" t="s">
        <v>65</v>
      </c>
      <c r="M49" s="13" t="s">
        <v>65</v>
      </c>
    </row>
    <row r="50" spans="1:13" x14ac:dyDescent="0.35">
      <c r="A50" s="11" t="s">
        <v>137</v>
      </c>
      <c r="B50" s="11" t="s">
        <v>65</v>
      </c>
      <c r="C50" s="11"/>
      <c r="D50" s="12"/>
      <c r="E50" s="12"/>
      <c r="F50" s="11" t="s">
        <v>65</v>
      </c>
      <c r="G50" s="11" t="s">
        <v>65</v>
      </c>
      <c r="H50" s="11" t="s">
        <v>65</v>
      </c>
      <c r="I50" s="11"/>
      <c r="J50" s="11" t="s">
        <v>65</v>
      </c>
      <c r="K50" s="11"/>
      <c r="L50" s="11" t="s">
        <v>65</v>
      </c>
      <c r="M50" s="11" t="s">
        <v>65</v>
      </c>
    </row>
    <row r="51" spans="1:13" x14ac:dyDescent="0.35">
      <c r="A51" s="13" t="s">
        <v>138</v>
      </c>
      <c r="B51" s="13" t="s">
        <v>65</v>
      </c>
      <c r="C51" s="13"/>
      <c r="D51" s="14"/>
      <c r="E51" s="14"/>
      <c r="F51" s="13" t="s">
        <v>65</v>
      </c>
      <c r="G51" s="13" t="s">
        <v>65</v>
      </c>
      <c r="H51" s="13" t="s">
        <v>65</v>
      </c>
      <c r="I51" s="13"/>
      <c r="J51" s="13" t="s">
        <v>65</v>
      </c>
      <c r="K51" s="13"/>
      <c r="L51" s="13" t="s">
        <v>65</v>
      </c>
      <c r="M51" s="13" t="s">
        <v>65</v>
      </c>
    </row>
    <row r="52" spans="1:13" x14ac:dyDescent="0.35">
      <c r="A52" s="11" t="s">
        <v>139</v>
      </c>
      <c r="B52" s="11" t="s">
        <v>65</v>
      </c>
      <c r="C52" s="11"/>
      <c r="D52" s="12"/>
      <c r="E52" s="12"/>
      <c r="F52" s="11" t="s">
        <v>65</v>
      </c>
      <c r="G52" s="11" t="s">
        <v>65</v>
      </c>
      <c r="H52" s="11" t="s">
        <v>65</v>
      </c>
      <c r="I52" s="11"/>
      <c r="J52" s="11" t="s">
        <v>65</v>
      </c>
      <c r="K52" s="11"/>
      <c r="L52" s="11" t="s">
        <v>65</v>
      </c>
      <c r="M52" s="11" t="s">
        <v>65</v>
      </c>
    </row>
    <row r="53" spans="1:13" x14ac:dyDescent="0.35">
      <c r="A53" s="13" t="s">
        <v>140</v>
      </c>
      <c r="B53" s="13" t="s">
        <v>65</v>
      </c>
      <c r="C53" s="13"/>
      <c r="D53" s="14"/>
      <c r="E53" s="14"/>
      <c r="F53" s="13" t="s">
        <v>65</v>
      </c>
      <c r="G53" s="13" t="s">
        <v>65</v>
      </c>
      <c r="H53" s="13" t="s">
        <v>65</v>
      </c>
      <c r="I53" s="13"/>
      <c r="J53" s="13" t="s">
        <v>65</v>
      </c>
      <c r="K53" s="13"/>
      <c r="L53" s="13" t="s">
        <v>65</v>
      </c>
      <c r="M53" s="13" t="s">
        <v>65</v>
      </c>
    </row>
    <row r="54" spans="1:13" x14ac:dyDescent="0.35">
      <c r="A54" s="11" t="s">
        <v>141</v>
      </c>
      <c r="B54" s="11" t="s">
        <v>65</v>
      </c>
      <c r="C54" s="11"/>
      <c r="D54" s="12"/>
      <c r="E54" s="12"/>
      <c r="F54" s="11" t="s">
        <v>65</v>
      </c>
      <c r="G54" s="11" t="s">
        <v>65</v>
      </c>
      <c r="H54" s="11" t="s">
        <v>65</v>
      </c>
      <c r="I54" s="11"/>
      <c r="J54" s="11" t="s">
        <v>65</v>
      </c>
      <c r="K54" s="11"/>
      <c r="L54" s="11" t="s">
        <v>65</v>
      </c>
      <c r="M54" s="11" t="s">
        <v>65</v>
      </c>
    </row>
    <row r="55" spans="1:13" x14ac:dyDescent="0.35">
      <c r="A55" s="13" t="s">
        <v>142</v>
      </c>
      <c r="B55" s="13" t="s">
        <v>65</v>
      </c>
      <c r="C55" s="13"/>
      <c r="D55" s="14"/>
      <c r="E55" s="14"/>
      <c r="F55" s="13" t="s">
        <v>65</v>
      </c>
      <c r="G55" s="13" t="s">
        <v>65</v>
      </c>
      <c r="H55" s="13" t="s">
        <v>65</v>
      </c>
      <c r="I55" s="13"/>
      <c r="J55" s="13" t="s">
        <v>65</v>
      </c>
      <c r="K55" s="13"/>
      <c r="L55" s="13" t="s">
        <v>65</v>
      </c>
      <c r="M55" s="13" t="s">
        <v>65</v>
      </c>
    </row>
    <row r="56" spans="1:13" x14ac:dyDescent="0.35">
      <c r="A56" s="11" t="s">
        <v>143</v>
      </c>
      <c r="B56" s="11" t="s">
        <v>65</v>
      </c>
      <c r="C56" s="11"/>
      <c r="D56" s="12"/>
      <c r="E56" s="12"/>
      <c r="F56" s="11" t="s">
        <v>65</v>
      </c>
      <c r="G56" s="11" t="s">
        <v>65</v>
      </c>
      <c r="H56" s="11" t="s">
        <v>65</v>
      </c>
      <c r="I56" s="11"/>
      <c r="J56" s="11" t="s">
        <v>65</v>
      </c>
      <c r="K56" s="11"/>
      <c r="L56" s="11" t="s">
        <v>65</v>
      </c>
      <c r="M56" s="11" t="s">
        <v>65</v>
      </c>
    </row>
    <row r="57" spans="1:13" x14ac:dyDescent="0.35">
      <c r="A57" s="13" t="s">
        <v>144</v>
      </c>
      <c r="B57" s="13" t="s">
        <v>65</v>
      </c>
      <c r="C57" s="13"/>
      <c r="D57" s="14"/>
      <c r="E57" s="14"/>
      <c r="F57" s="13" t="s">
        <v>65</v>
      </c>
      <c r="G57" s="13" t="s">
        <v>65</v>
      </c>
      <c r="H57" s="13" t="s">
        <v>65</v>
      </c>
      <c r="I57" s="13"/>
      <c r="J57" s="13" t="s">
        <v>65</v>
      </c>
      <c r="K57" s="13"/>
      <c r="L57" s="13" t="s">
        <v>65</v>
      </c>
      <c r="M57" s="13" t="s">
        <v>65</v>
      </c>
    </row>
    <row r="58" spans="1:13" x14ac:dyDescent="0.35">
      <c r="A58" s="11" t="s">
        <v>145</v>
      </c>
      <c r="B58" s="11" t="s">
        <v>65</v>
      </c>
      <c r="C58" s="11"/>
      <c r="D58" s="12"/>
      <c r="E58" s="12"/>
      <c r="F58" s="11" t="s">
        <v>65</v>
      </c>
      <c r="G58" s="11" t="s">
        <v>65</v>
      </c>
      <c r="H58" s="11" t="s">
        <v>65</v>
      </c>
      <c r="I58" s="11"/>
      <c r="J58" s="11" t="s">
        <v>65</v>
      </c>
      <c r="K58" s="11"/>
      <c r="L58" s="11" t="s">
        <v>65</v>
      </c>
      <c r="M58" s="11" t="s">
        <v>65</v>
      </c>
    </row>
    <row r="59" spans="1:13" x14ac:dyDescent="0.35">
      <c r="A59" s="13" t="s">
        <v>146</v>
      </c>
      <c r="B59" s="13" t="s">
        <v>65</v>
      </c>
      <c r="C59" s="13"/>
      <c r="D59" s="14"/>
      <c r="E59" s="14"/>
      <c r="F59" s="13" t="s">
        <v>65</v>
      </c>
      <c r="G59" s="13" t="s">
        <v>65</v>
      </c>
      <c r="H59" s="13" t="s">
        <v>65</v>
      </c>
      <c r="I59" s="13"/>
      <c r="J59" s="13" t="s">
        <v>65</v>
      </c>
      <c r="K59" s="13"/>
      <c r="L59" s="13" t="s">
        <v>65</v>
      </c>
      <c r="M59" s="13" t="s">
        <v>65</v>
      </c>
    </row>
    <row r="60" spans="1:13" x14ac:dyDescent="0.35">
      <c r="A60" s="11" t="s">
        <v>147</v>
      </c>
      <c r="B60" s="11" t="s">
        <v>65</v>
      </c>
      <c r="C60" s="11"/>
      <c r="D60" s="12"/>
      <c r="E60" s="12"/>
      <c r="F60" s="11" t="s">
        <v>65</v>
      </c>
      <c r="G60" s="11" t="s">
        <v>65</v>
      </c>
      <c r="H60" s="11" t="s">
        <v>65</v>
      </c>
      <c r="I60" s="11"/>
      <c r="J60" s="11" t="s">
        <v>65</v>
      </c>
      <c r="K60" s="11"/>
      <c r="L60" s="11" t="s">
        <v>65</v>
      </c>
      <c r="M60" s="11" t="s">
        <v>65</v>
      </c>
    </row>
    <row r="61" spans="1:13" x14ac:dyDescent="0.35">
      <c r="A61" s="13" t="s">
        <v>148</v>
      </c>
      <c r="B61" s="13" t="s">
        <v>65</v>
      </c>
      <c r="C61" s="13"/>
      <c r="D61" s="14"/>
      <c r="E61" s="14"/>
      <c r="F61" s="13" t="s">
        <v>65</v>
      </c>
      <c r="G61" s="13" t="s">
        <v>65</v>
      </c>
      <c r="H61" s="13" t="s">
        <v>65</v>
      </c>
      <c r="I61" s="13"/>
      <c r="J61" s="13" t="s">
        <v>65</v>
      </c>
      <c r="K61" s="13"/>
      <c r="L61" s="13" t="s">
        <v>65</v>
      </c>
      <c r="M61" s="13" t="s">
        <v>65</v>
      </c>
    </row>
    <row r="62" spans="1:13" x14ac:dyDescent="0.35">
      <c r="A62" s="11" t="s">
        <v>149</v>
      </c>
      <c r="B62" s="11" t="s">
        <v>65</v>
      </c>
      <c r="C62" s="11"/>
      <c r="D62" s="12"/>
      <c r="E62" s="12"/>
      <c r="F62" s="11" t="s">
        <v>65</v>
      </c>
      <c r="G62" s="11" t="s">
        <v>65</v>
      </c>
      <c r="H62" s="11" t="s">
        <v>65</v>
      </c>
      <c r="I62" s="11"/>
      <c r="J62" s="11" t="s">
        <v>65</v>
      </c>
      <c r="K62" s="11"/>
      <c r="L62" s="11" t="s">
        <v>65</v>
      </c>
      <c r="M62" s="11" t="s">
        <v>65</v>
      </c>
    </row>
    <row r="63" spans="1:13" x14ac:dyDescent="0.35">
      <c r="A63" s="13" t="s">
        <v>150</v>
      </c>
      <c r="B63" s="13" t="s">
        <v>65</v>
      </c>
      <c r="C63" s="13"/>
      <c r="D63" s="14"/>
      <c r="E63" s="14"/>
      <c r="F63" s="13" t="s">
        <v>65</v>
      </c>
      <c r="G63" s="13" t="s">
        <v>65</v>
      </c>
      <c r="H63" s="13" t="s">
        <v>65</v>
      </c>
      <c r="I63" s="13"/>
      <c r="J63" s="13" t="s">
        <v>65</v>
      </c>
      <c r="K63" s="13"/>
      <c r="L63" s="13" t="s">
        <v>65</v>
      </c>
      <c r="M63" s="13" t="s">
        <v>65</v>
      </c>
    </row>
    <row r="64" spans="1:13" x14ac:dyDescent="0.35">
      <c r="A64" s="11" t="s">
        <v>151</v>
      </c>
      <c r="B64" s="11" t="s">
        <v>65</v>
      </c>
      <c r="C64" s="11"/>
      <c r="D64" s="12"/>
      <c r="E64" s="12"/>
      <c r="F64" s="11" t="s">
        <v>65</v>
      </c>
      <c r="G64" s="11" t="s">
        <v>65</v>
      </c>
      <c r="H64" s="11" t="s">
        <v>65</v>
      </c>
      <c r="I64" s="11"/>
      <c r="J64" s="11" t="s">
        <v>65</v>
      </c>
      <c r="K64" s="11"/>
      <c r="L64" s="11" t="s">
        <v>65</v>
      </c>
      <c r="M64" s="11" t="s">
        <v>65</v>
      </c>
    </row>
    <row r="65" spans="1:13" x14ac:dyDescent="0.35">
      <c r="A65" s="13" t="s">
        <v>152</v>
      </c>
      <c r="B65" s="13" t="s">
        <v>65</v>
      </c>
      <c r="C65" s="13"/>
      <c r="D65" s="14"/>
      <c r="E65" s="14"/>
      <c r="F65" s="13" t="s">
        <v>65</v>
      </c>
      <c r="G65" s="13" t="s">
        <v>65</v>
      </c>
      <c r="H65" s="13" t="s">
        <v>65</v>
      </c>
      <c r="I65" s="13"/>
      <c r="J65" s="13" t="s">
        <v>65</v>
      </c>
      <c r="K65" s="13"/>
      <c r="L65" s="13" t="s">
        <v>65</v>
      </c>
      <c r="M65" s="13" t="s">
        <v>65</v>
      </c>
    </row>
    <row r="66" spans="1:13" x14ac:dyDescent="0.35">
      <c r="A66" s="11" t="s">
        <v>153</v>
      </c>
      <c r="B66" s="11" t="s">
        <v>65</v>
      </c>
      <c r="C66" s="11"/>
      <c r="D66" s="12"/>
      <c r="E66" s="12"/>
      <c r="F66" s="11" t="s">
        <v>65</v>
      </c>
      <c r="G66" s="11" t="s">
        <v>65</v>
      </c>
      <c r="H66" s="11" t="s">
        <v>65</v>
      </c>
      <c r="I66" s="11"/>
      <c r="J66" s="11" t="s">
        <v>65</v>
      </c>
      <c r="K66" s="11"/>
      <c r="L66" s="11" t="s">
        <v>65</v>
      </c>
      <c r="M66" s="11" t="s">
        <v>65</v>
      </c>
    </row>
    <row r="67" spans="1:13" x14ac:dyDescent="0.35">
      <c r="A67" s="13" t="s">
        <v>154</v>
      </c>
      <c r="B67" s="13" t="s">
        <v>65</v>
      </c>
      <c r="C67" s="13"/>
      <c r="D67" s="14"/>
      <c r="E67" s="14"/>
      <c r="F67" s="13" t="s">
        <v>65</v>
      </c>
      <c r="G67" s="13" t="s">
        <v>65</v>
      </c>
      <c r="H67" s="13" t="s">
        <v>65</v>
      </c>
      <c r="I67" s="13"/>
      <c r="J67" s="13" t="s">
        <v>65</v>
      </c>
      <c r="K67" s="13"/>
      <c r="L67" s="13" t="s">
        <v>65</v>
      </c>
      <c r="M67" s="13" t="s">
        <v>65</v>
      </c>
    </row>
    <row r="68" spans="1:13" x14ac:dyDescent="0.35">
      <c r="A68" s="11" t="s">
        <v>155</v>
      </c>
      <c r="B68" s="11" t="s">
        <v>65</v>
      </c>
      <c r="C68" s="11"/>
      <c r="D68" s="12"/>
      <c r="E68" s="12"/>
      <c r="F68" s="11" t="s">
        <v>65</v>
      </c>
      <c r="G68" s="11" t="s">
        <v>65</v>
      </c>
      <c r="H68" s="11" t="s">
        <v>65</v>
      </c>
      <c r="I68" s="11"/>
      <c r="J68" s="11" t="s">
        <v>65</v>
      </c>
      <c r="K68" s="11"/>
      <c r="L68" s="11" t="s">
        <v>65</v>
      </c>
      <c r="M68" s="11" t="s">
        <v>65</v>
      </c>
    </row>
    <row r="69" spans="1:13" x14ac:dyDescent="0.35">
      <c r="A69" s="13" t="s">
        <v>156</v>
      </c>
      <c r="B69" s="13" t="s">
        <v>65</v>
      </c>
      <c r="C69" s="13"/>
      <c r="D69" s="14"/>
      <c r="E69" s="14"/>
      <c r="F69" s="13" t="s">
        <v>65</v>
      </c>
      <c r="G69" s="13" t="s">
        <v>65</v>
      </c>
      <c r="H69" s="13" t="s">
        <v>65</v>
      </c>
      <c r="I69" s="13"/>
      <c r="J69" s="13" t="s">
        <v>65</v>
      </c>
      <c r="K69" s="13"/>
      <c r="L69" s="13" t="s">
        <v>65</v>
      </c>
      <c r="M69" s="13" t="s">
        <v>65</v>
      </c>
    </row>
    <row r="70" spans="1:13" x14ac:dyDescent="0.35">
      <c r="A70" s="11" t="s">
        <v>157</v>
      </c>
      <c r="B70" s="11" t="s">
        <v>65</v>
      </c>
      <c r="C70" s="11"/>
      <c r="D70" s="12"/>
      <c r="E70" s="12"/>
      <c r="F70" s="11" t="s">
        <v>65</v>
      </c>
      <c r="G70" s="11" t="s">
        <v>65</v>
      </c>
      <c r="H70" s="11" t="s">
        <v>65</v>
      </c>
      <c r="I70" s="11"/>
      <c r="J70" s="11" t="s">
        <v>65</v>
      </c>
      <c r="K70" s="11"/>
      <c r="L70" s="11" t="s">
        <v>65</v>
      </c>
      <c r="M70" s="11" t="s">
        <v>65</v>
      </c>
    </row>
    <row r="71" spans="1:13" x14ac:dyDescent="0.35">
      <c r="A71" s="13" t="s">
        <v>158</v>
      </c>
      <c r="B71" s="13" t="s">
        <v>65</v>
      </c>
      <c r="C71" s="13"/>
      <c r="D71" s="14"/>
      <c r="E71" s="14"/>
      <c r="F71" s="13" t="s">
        <v>65</v>
      </c>
      <c r="G71" s="13" t="s">
        <v>65</v>
      </c>
      <c r="H71" s="13" t="s">
        <v>65</v>
      </c>
      <c r="I71" s="13"/>
      <c r="J71" s="13" t="s">
        <v>65</v>
      </c>
      <c r="K71" s="13"/>
      <c r="L71" s="13" t="s">
        <v>65</v>
      </c>
      <c r="M71" s="13" t="s">
        <v>65</v>
      </c>
    </row>
    <row r="72" spans="1:13" x14ac:dyDescent="0.35">
      <c r="A72" s="11" t="s">
        <v>159</v>
      </c>
      <c r="B72" s="11" t="s">
        <v>65</v>
      </c>
      <c r="C72" s="11"/>
      <c r="D72" s="12"/>
      <c r="E72" s="12"/>
      <c r="F72" s="11" t="s">
        <v>65</v>
      </c>
      <c r="G72" s="11" t="s">
        <v>65</v>
      </c>
      <c r="H72" s="11" t="s">
        <v>65</v>
      </c>
      <c r="I72" s="11"/>
      <c r="J72" s="11" t="s">
        <v>65</v>
      </c>
      <c r="K72" s="11"/>
      <c r="L72" s="11" t="s">
        <v>65</v>
      </c>
      <c r="M72" s="11" t="s">
        <v>65</v>
      </c>
    </row>
    <row r="73" spans="1:13" x14ac:dyDescent="0.35">
      <c r="A73" s="13" t="s">
        <v>160</v>
      </c>
      <c r="B73" s="13" t="s">
        <v>65</v>
      </c>
      <c r="C73" s="13"/>
      <c r="D73" s="14"/>
      <c r="E73" s="14"/>
      <c r="F73" s="13" t="s">
        <v>65</v>
      </c>
      <c r="G73" s="13" t="s">
        <v>65</v>
      </c>
      <c r="H73" s="13" t="s">
        <v>65</v>
      </c>
      <c r="I73" s="13"/>
      <c r="J73" s="13" t="s">
        <v>65</v>
      </c>
      <c r="K73" s="13"/>
      <c r="L73" s="13" t="s">
        <v>65</v>
      </c>
      <c r="M73" s="13" t="s">
        <v>65</v>
      </c>
    </row>
    <row r="74" spans="1:13" x14ac:dyDescent="0.35">
      <c r="A74" s="11" t="s">
        <v>161</v>
      </c>
      <c r="B74" s="11" t="s">
        <v>162</v>
      </c>
      <c r="C74" s="11">
        <v>4</v>
      </c>
      <c r="D74" s="12">
        <v>45017.11041666667</v>
      </c>
      <c r="E74" s="12">
        <v>45017.256249999999</v>
      </c>
      <c r="F74" s="11" t="s">
        <v>72</v>
      </c>
      <c r="G74" s="11" t="s">
        <v>163</v>
      </c>
      <c r="H74" s="11" t="s">
        <v>74</v>
      </c>
      <c r="I74" s="11">
        <v>3451</v>
      </c>
      <c r="J74" s="11" t="s">
        <v>75</v>
      </c>
      <c r="K74" s="11">
        <v>73</v>
      </c>
      <c r="L74" s="11" t="s">
        <v>164</v>
      </c>
      <c r="M74" s="11" t="s">
        <v>17</v>
      </c>
    </row>
    <row r="75" spans="1:13" x14ac:dyDescent="0.35">
      <c r="A75" s="13" t="s">
        <v>165</v>
      </c>
      <c r="B75" s="13" t="s">
        <v>65</v>
      </c>
      <c r="C75" s="13"/>
      <c r="D75" s="14"/>
      <c r="E75" s="14"/>
      <c r="F75" s="13" t="s">
        <v>65</v>
      </c>
      <c r="G75" s="13" t="s">
        <v>65</v>
      </c>
      <c r="H75" s="13" t="s">
        <v>65</v>
      </c>
      <c r="I75" s="13"/>
      <c r="J75" s="13" t="s">
        <v>65</v>
      </c>
      <c r="K75" s="13"/>
      <c r="L75" s="13" t="s">
        <v>65</v>
      </c>
      <c r="M75" s="13" t="s">
        <v>65</v>
      </c>
    </row>
    <row r="76" spans="1:13" x14ac:dyDescent="0.35">
      <c r="A76" s="11" t="s">
        <v>166</v>
      </c>
      <c r="B76" s="11" t="s">
        <v>65</v>
      </c>
      <c r="C76" s="11"/>
      <c r="D76" s="12"/>
      <c r="E76" s="12"/>
      <c r="F76" s="11" t="s">
        <v>65</v>
      </c>
      <c r="G76" s="11" t="s">
        <v>65</v>
      </c>
      <c r="H76" s="11" t="s">
        <v>65</v>
      </c>
      <c r="I76" s="11"/>
      <c r="J76" s="11" t="s">
        <v>65</v>
      </c>
      <c r="K76" s="11"/>
      <c r="L76" s="11" t="s">
        <v>65</v>
      </c>
      <c r="M76" s="11" t="s">
        <v>65</v>
      </c>
    </row>
    <row r="77" spans="1:13" x14ac:dyDescent="0.35">
      <c r="A77" s="13" t="s">
        <v>167</v>
      </c>
      <c r="B77" s="13" t="s">
        <v>65</v>
      </c>
      <c r="C77" s="13"/>
      <c r="D77" s="14"/>
      <c r="E77" s="14"/>
      <c r="F77" s="13" t="s">
        <v>65</v>
      </c>
      <c r="G77" s="13" t="s">
        <v>65</v>
      </c>
      <c r="H77" s="13" t="s">
        <v>65</v>
      </c>
      <c r="I77" s="13"/>
      <c r="J77" s="13" t="s">
        <v>65</v>
      </c>
      <c r="K77" s="13"/>
      <c r="L77" s="13" t="s">
        <v>65</v>
      </c>
      <c r="M77" s="13" t="s">
        <v>65</v>
      </c>
    </row>
    <row r="78" spans="1:13" x14ac:dyDescent="0.35">
      <c r="A78" s="11" t="s">
        <v>168</v>
      </c>
      <c r="B78" s="11" t="s">
        <v>65</v>
      </c>
      <c r="C78" s="11"/>
      <c r="D78" s="12"/>
      <c r="E78" s="12"/>
      <c r="F78" s="11" t="s">
        <v>65</v>
      </c>
      <c r="G78" s="11" t="s">
        <v>65</v>
      </c>
      <c r="H78" s="11" t="s">
        <v>65</v>
      </c>
      <c r="I78" s="11"/>
      <c r="J78" s="11" t="s">
        <v>65</v>
      </c>
      <c r="K78" s="11"/>
      <c r="L78" s="11" t="s">
        <v>65</v>
      </c>
      <c r="M78" s="11" t="s">
        <v>65</v>
      </c>
    </row>
    <row r="79" spans="1:13" x14ac:dyDescent="0.35">
      <c r="A79" s="13" t="s">
        <v>70</v>
      </c>
      <c r="B79" s="13" t="s">
        <v>169</v>
      </c>
      <c r="C79" s="13">
        <v>4</v>
      </c>
      <c r="D79" s="14">
        <v>45017.06527777778</v>
      </c>
      <c r="E79" s="14">
        <v>45017.127083333333</v>
      </c>
      <c r="F79" s="13" t="s">
        <v>170</v>
      </c>
      <c r="G79" s="13" t="s">
        <v>86</v>
      </c>
      <c r="H79" s="13" t="s">
        <v>74</v>
      </c>
      <c r="I79" s="13">
        <v>2002</v>
      </c>
      <c r="J79" s="13" t="s">
        <v>75</v>
      </c>
      <c r="K79" s="13">
        <v>78</v>
      </c>
      <c r="L79" s="13" t="s">
        <v>110</v>
      </c>
      <c r="M79" s="13" t="s">
        <v>29</v>
      </c>
    </row>
    <row r="80" spans="1:13" x14ac:dyDescent="0.35">
      <c r="A80" s="11" t="s">
        <v>171</v>
      </c>
      <c r="B80" s="11" t="s">
        <v>65</v>
      </c>
      <c r="C80" s="11"/>
      <c r="D80" s="12"/>
      <c r="E80" s="12"/>
      <c r="F80" s="11" t="s">
        <v>65</v>
      </c>
      <c r="G80" s="11" t="s">
        <v>65</v>
      </c>
      <c r="H80" s="11" t="s">
        <v>65</v>
      </c>
      <c r="I80" s="11"/>
      <c r="J80" s="11" t="s">
        <v>65</v>
      </c>
      <c r="K80" s="11"/>
      <c r="L80" s="11" t="s">
        <v>65</v>
      </c>
      <c r="M80" s="11" t="s">
        <v>65</v>
      </c>
    </row>
    <row r="81" spans="1:13" x14ac:dyDescent="0.35">
      <c r="A81" s="13" t="s">
        <v>172</v>
      </c>
      <c r="B81" s="13" t="s">
        <v>65</v>
      </c>
      <c r="C81" s="13"/>
      <c r="D81" s="14"/>
      <c r="E81" s="14"/>
      <c r="F81" s="13" t="s">
        <v>65</v>
      </c>
      <c r="G81" s="13" t="s">
        <v>65</v>
      </c>
      <c r="H81" s="13" t="s">
        <v>65</v>
      </c>
      <c r="I81" s="13"/>
      <c r="J81" s="13" t="s">
        <v>65</v>
      </c>
      <c r="K81" s="13"/>
      <c r="L81" s="13" t="s">
        <v>65</v>
      </c>
      <c r="M81" s="13" t="s">
        <v>65</v>
      </c>
    </row>
    <row r="82" spans="1:13" x14ac:dyDescent="0.35">
      <c r="A82" s="11" t="s">
        <v>132</v>
      </c>
      <c r="B82" s="11" t="s">
        <v>173</v>
      </c>
      <c r="C82" s="11">
        <v>4</v>
      </c>
      <c r="D82" s="12">
        <v>45017.152777777781</v>
      </c>
      <c r="E82" s="12">
        <v>45017.271527777775</v>
      </c>
      <c r="F82" s="11" t="s">
        <v>85</v>
      </c>
      <c r="G82" s="11" t="s">
        <v>73</v>
      </c>
      <c r="H82" s="11" t="s">
        <v>74</v>
      </c>
      <c r="I82" s="11">
        <v>2369</v>
      </c>
      <c r="J82" s="11" t="s">
        <v>88</v>
      </c>
      <c r="K82" s="11">
        <v>81</v>
      </c>
      <c r="L82" s="11" t="s">
        <v>174</v>
      </c>
      <c r="M82" s="11" t="s">
        <v>15</v>
      </c>
    </row>
    <row r="83" spans="1:13" x14ac:dyDescent="0.35">
      <c r="A83" s="13" t="s">
        <v>175</v>
      </c>
      <c r="B83" s="13" t="s">
        <v>65</v>
      </c>
      <c r="C83" s="13"/>
      <c r="D83" s="14"/>
      <c r="E83" s="14"/>
      <c r="F83" s="13" t="s">
        <v>65</v>
      </c>
      <c r="G83" s="13" t="s">
        <v>65</v>
      </c>
      <c r="H83" s="13" t="s">
        <v>65</v>
      </c>
      <c r="I83" s="13"/>
      <c r="J83" s="13" t="s">
        <v>65</v>
      </c>
      <c r="K83" s="13"/>
      <c r="L83" s="13" t="s">
        <v>65</v>
      </c>
      <c r="M83" s="13" t="s">
        <v>65</v>
      </c>
    </row>
    <row r="84" spans="1:13" x14ac:dyDescent="0.35">
      <c r="A84" s="11" t="s">
        <v>176</v>
      </c>
      <c r="B84" s="11" t="s">
        <v>65</v>
      </c>
      <c r="C84" s="11"/>
      <c r="D84" s="12"/>
      <c r="E84" s="12"/>
      <c r="F84" s="11" t="s">
        <v>65</v>
      </c>
      <c r="G84" s="11" t="s">
        <v>65</v>
      </c>
      <c r="H84" s="11" t="s">
        <v>65</v>
      </c>
      <c r="I84" s="11"/>
      <c r="J84" s="11" t="s">
        <v>65</v>
      </c>
      <c r="K84" s="11"/>
      <c r="L84" s="11" t="s">
        <v>65</v>
      </c>
      <c r="M84" s="11" t="s">
        <v>65</v>
      </c>
    </row>
    <row r="85" spans="1:13" x14ac:dyDescent="0.35">
      <c r="A85" s="13" t="s">
        <v>177</v>
      </c>
      <c r="B85" s="13" t="s">
        <v>178</v>
      </c>
      <c r="C85" s="13">
        <v>5</v>
      </c>
      <c r="D85" s="14">
        <v>45017.070833333331</v>
      </c>
      <c r="E85" s="14">
        <v>45017.137499999997</v>
      </c>
      <c r="F85" s="13" t="s">
        <v>72</v>
      </c>
      <c r="G85" s="13" t="s">
        <v>86</v>
      </c>
      <c r="H85" s="13" t="s">
        <v>74</v>
      </c>
      <c r="I85" s="13">
        <v>1511</v>
      </c>
      <c r="J85" s="13" t="s">
        <v>88</v>
      </c>
      <c r="K85" s="13">
        <v>84</v>
      </c>
      <c r="L85" s="13" t="s">
        <v>76</v>
      </c>
      <c r="M85" s="13" t="s">
        <v>12</v>
      </c>
    </row>
    <row r="86" spans="1:13" x14ac:dyDescent="0.35">
      <c r="A86" s="11" t="s">
        <v>179</v>
      </c>
      <c r="B86" s="11" t="s">
        <v>65</v>
      </c>
      <c r="C86" s="11"/>
      <c r="D86" s="12"/>
      <c r="E86" s="12"/>
      <c r="F86" s="11" t="s">
        <v>65</v>
      </c>
      <c r="G86" s="11" t="s">
        <v>65</v>
      </c>
      <c r="H86" s="11" t="s">
        <v>65</v>
      </c>
      <c r="I86" s="11"/>
      <c r="J86" s="11" t="s">
        <v>65</v>
      </c>
      <c r="K86" s="11"/>
      <c r="L86" s="11" t="s">
        <v>65</v>
      </c>
      <c r="M86" s="11" t="s">
        <v>65</v>
      </c>
    </row>
    <row r="87" spans="1:13" x14ac:dyDescent="0.35">
      <c r="A87" s="13" t="s">
        <v>92</v>
      </c>
      <c r="B87" s="13" t="s">
        <v>180</v>
      </c>
      <c r="C87" s="13">
        <v>3</v>
      </c>
      <c r="D87" s="14">
        <v>45017.001388888886</v>
      </c>
      <c r="E87" s="14">
        <v>45017.088888888888</v>
      </c>
      <c r="F87" s="13" t="s">
        <v>85</v>
      </c>
      <c r="G87" s="13" t="s">
        <v>86</v>
      </c>
      <c r="H87" s="13" t="s">
        <v>109</v>
      </c>
      <c r="I87" s="13">
        <v>1184</v>
      </c>
      <c r="J87" s="13" t="s">
        <v>75</v>
      </c>
      <c r="K87" s="13">
        <v>86</v>
      </c>
      <c r="L87" s="13" t="s">
        <v>181</v>
      </c>
      <c r="M87" s="13" t="s">
        <v>49</v>
      </c>
    </row>
    <row r="88" spans="1:13" x14ac:dyDescent="0.35">
      <c r="A88" s="11" t="s">
        <v>182</v>
      </c>
      <c r="B88" s="11" t="s">
        <v>65</v>
      </c>
      <c r="C88" s="11"/>
      <c r="D88" s="12"/>
      <c r="E88" s="12"/>
      <c r="F88" s="11" t="s">
        <v>65</v>
      </c>
      <c r="G88" s="11" t="s">
        <v>65</v>
      </c>
      <c r="H88" s="11" t="s">
        <v>65</v>
      </c>
      <c r="I88" s="11"/>
      <c r="J88" s="11" t="s">
        <v>65</v>
      </c>
      <c r="K88" s="11"/>
      <c r="L88" s="11" t="s">
        <v>65</v>
      </c>
      <c r="M88" s="11" t="s">
        <v>65</v>
      </c>
    </row>
    <row r="89" spans="1:13" x14ac:dyDescent="0.35">
      <c r="A89" s="13" t="s">
        <v>183</v>
      </c>
      <c r="B89" s="13" t="s">
        <v>65</v>
      </c>
      <c r="C89" s="13"/>
      <c r="D89" s="14"/>
      <c r="E89" s="14"/>
      <c r="F89" s="13" t="s">
        <v>65</v>
      </c>
      <c r="G89" s="13" t="s">
        <v>65</v>
      </c>
      <c r="H89" s="13" t="s">
        <v>65</v>
      </c>
      <c r="I89" s="13"/>
      <c r="J89" s="13" t="s">
        <v>65</v>
      </c>
      <c r="K89" s="13"/>
      <c r="L89" s="13" t="s">
        <v>65</v>
      </c>
      <c r="M89" s="13" t="s">
        <v>65</v>
      </c>
    </row>
    <row r="90" spans="1:13" x14ac:dyDescent="0.35">
      <c r="A90" s="11" t="s">
        <v>184</v>
      </c>
      <c r="B90" s="11" t="s">
        <v>65</v>
      </c>
      <c r="C90" s="11"/>
      <c r="D90" s="12"/>
      <c r="E90" s="12"/>
      <c r="F90" s="11" t="s">
        <v>65</v>
      </c>
      <c r="G90" s="11" t="s">
        <v>65</v>
      </c>
      <c r="H90" s="11" t="s">
        <v>65</v>
      </c>
      <c r="I90" s="11"/>
      <c r="J90" s="11" t="s">
        <v>65</v>
      </c>
      <c r="K90" s="11"/>
      <c r="L90" s="11" t="s">
        <v>65</v>
      </c>
      <c r="M90" s="11" t="s">
        <v>65</v>
      </c>
    </row>
    <row r="91" spans="1:13" x14ac:dyDescent="0.35">
      <c r="A91" s="13" t="s">
        <v>185</v>
      </c>
      <c r="B91" s="13" t="s">
        <v>186</v>
      </c>
      <c r="C91" s="13">
        <v>3</v>
      </c>
      <c r="D91" s="14">
        <v>45017.053472222222</v>
      </c>
      <c r="E91" s="14">
        <v>45017.134027777778</v>
      </c>
      <c r="F91" s="13" t="s">
        <v>85</v>
      </c>
      <c r="G91" s="13" t="s">
        <v>86</v>
      </c>
      <c r="H91" s="13" t="s">
        <v>109</v>
      </c>
      <c r="I91" s="13">
        <v>3069</v>
      </c>
      <c r="J91" s="13" t="s">
        <v>94</v>
      </c>
      <c r="K91" s="13">
        <v>90</v>
      </c>
      <c r="L91" s="13" t="s">
        <v>187</v>
      </c>
      <c r="M91" s="13" t="s">
        <v>37</v>
      </c>
    </row>
    <row r="92" spans="1:13" x14ac:dyDescent="0.35">
      <c r="A92" s="11" t="s">
        <v>188</v>
      </c>
      <c r="B92" s="11" t="s">
        <v>65</v>
      </c>
      <c r="C92" s="11"/>
      <c r="D92" s="12"/>
      <c r="E92" s="12"/>
      <c r="F92" s="11" t="s">
        <v>65</v>
      </c>
      <c r="G92" s="11" t="s">
        <v>65</v>
      </c>
      <c r="H92" s="11" t="s">
        <v>65</v>
      </c>
      <c r="I92" s="11"/>
      <c r="J92" s="11" t="s">
        <v>65</v>
      </c>
      <c r="K92" s="11"/>
      <c r="L92" s="11" t="s">
        <v>65</v>
      </c>
      <c r="M92" s="11" t="s">
        <v>65</v>
      </c>
    </row>
    <row r="93" spans="1:13" x14ac:dyDescent="0.35">
      <c r="A93" s="13" t="s">
        <v>189</v>
      </c>
      <c r="B93" s="13" t="s">
        <v>65</v>
      </c>
      <c r="C93" s="13"/>
      <c r="D93" s="14"/>
      <c r="E93" s="14"/>
      <c r="F93" s="13" t="s">
        <v>65</v>
      </c>
      <c r="G93" s="13" t="s">
        <v>65</v>
      </c>
      <c r="H93" s="13" t="s">
        <v>65</v>
      </c>
      <c r="I93" s="13"/>
      <c r="J93" s="13" t="s">
        <v>65</v>
      </c>
      <c r="K93" s="13"/>
      <c r="L93" s="13" t="s">
        <v>65</v>
      </c>
      <c r="M93" s="13" t="s">
        <v>65</v>
      </c>
    </row>
    <row r="94" spans="1:13" x14ac:dyDescent="0.35">
      <c r="A94" s="11" t="s">
        <v>83</v>
      </c>
      <c r="B94" s="11" t="s">
        <v>190</v>
      </c>
      <c r="C94" s="11">
        <v>2</v>
      </c>
      <c r="D94" s="12">
        <v>45017.068749999999</v>
      </c>
      <c r="E94" s="12">
        <v>45017.158333333333</v>
      </c>
      <c r="F94" s="11" t="s">
        <v>100</v>
      </c>
      <c r="G94" s="11" t="s">
        <v>86</v>
      </c>
      <c r="H94" s="11" t="s">
        <v>74</v>
      </c>
      <c r="I94" s="11">
        <v>4566</v>
      </c>
      <c r="J94" s="11" t="s">
        <v>75</v>
      </c>
      <c r="K94" s="11">
        <v>93</v>
      </c>
      <c r="L94" s="11" t="s">
        <v>76</v>
      </c>
      <c r="M94" s="11" t="s">
        <v>23</v>
      </c>
    </row>
    <row r="95" spans="1:13" x14ac:dyDescent="0.35">
      <c r="A95" s="13" t="s">
        <v>191</v>
      </c>
      <c r="B95" s="13" t="s">
        <v>65</v>
      </c>
      <c r="C95" s="13"/>
      <c r="D95" s="14"/>
      <c r="E95" s="14"/>
      <c r="F95" s="13" t="s">
        <v>65</v>
      </c>
      <c r="G95" s="13" t="s">
        <v>65</v>
      </c>
      <c r="H95" s="13" t="s">
        <v>65</v>
      </c>
      <c r="I95" s="13"/>
      <c r="J95" s="13" t="s">
        <v>65</v>
      </c>
      <c r="K95" s="13"/>
      <c r="L95" s="13" t="s">
        <v>65</v>
      </c>
      <c r="M95" s="13" t="s">
        <v>65</v>
      </c>
    </row>
    <row r="96" spans="1:13" x14ac:dyDescent="0.35">
      <c r="A96" s="11" t="s">
        <v>192</v>
      </c>
      <c r="B96" s="11" t="s">
        <v>65</v>
      </c>
      <c r="C96" s="11"/>
      <c r="D96" s="12"/>
      <c r="E96" s="12"/>
      <c r="F96" s="11" t="s">
        <v>65</v>
      </c>
      <c r="G96" s="11" t="s">
        <v>65</v>
      </c>
      <c r="H96" s="11" t="s">
        <v>65</v>
      </c>
      <c r="I96" s="11"/>
      <c r="J96" s="11" t="s">
        <v>65</v>
      </c>
      <c r="K96" s="11"/>
      <c r="L96" s="11" t="s">
        <v>65</v>
      </c>
      <c r="M96" s="11" t="s">
        <v>65</v>
      </c>
    </row>
    <row r="97" spans="1:13" x14ac:dyDescent="0.35">
      <c r="A97" s="13" t="s">
        <v>193</v>
      </c>
      <c r="B97" s="13" t="s">
        <v>65</v>
      </c>
      <c r="C97" s="13"/>
      <c r="D97" s="14"/>
      <c r="E97" s="14"/>
      <c r="F97" s="13" t="s">
        <v>65</v>
      </c>
      <c r="G97" s="13" t="s">
        <v>65</v>
      </c>
      <c r="H97" s="13" t="s">
        <v>65</v>
      </c>
      <c r="I97" s="13"/>
      <c r="J97" s="13" t="s">
        <v>65</v>
      </c>
      <c r="K97" s="13"/>
      <c r="L97" s="13" t="s">
        <v>65</v>
      </c>
      <c r="M97" s="13" t="s">
        <v>65</v>
      </c>
    </row>
    <row r="98" spans="1:13" x14ac:dyDescent="0.35">
      <c r="A98" s="11" t="s">
        <v>194</v>
      </c>
      <c r="B98" s="11" t="s">
        <v>65</v>
      </c>
      <c r="C98" s="11"/>
      <c r="D98" s="12"/>
      <c r="E98" s="12"/>
      <c r="F98" s="11" t="s">
        <v>65</v>
      </c>
      <c r="G98" s="11" t="s">
        <v>65</v>
      </c>
      <c r="H98" s="11" t="s">
        <v>65</v>
      </c>
      <c r="I98" s="11"/>
      <c r="J98" s="11" t="s">
        <v>65</v>
      </c>
      <c r="K98" s="11"/>
      <c r="L98" s="11" t="s">
        <v>65</v>
      </c>
      <c r="M98" s="11" t="s">
        <v>65</v>
      </c>
    </row>
    <row r="99" spans="1:13" x14ac:dyDescent="0.35">
      <c r="A99" s="13" t="s">
        <v>195</v>
      </c>
      <c r="B99" s="13" t="s">
        <v>65</v>
      </c>
      <c r="C99" s="13"/>
      <c r="D99" s="14"/>
      <c r="E99" s="14"/>
      <c r="F99" s="13" t="s">
        <v>65</v>
      </c>
      <c r="G99" s="13" t="s">
        <v>65</v>
      </c>
      <c r="H99" s="13" t="s">
        <v>65</v>
      </c>
      <c r="I99" s="13"/>
      <c r="J99" s="13" t="s">
        <v>65</v>
      </c>
      <c r="K99" s="13"/>
      <c r="L99" s="13" t="s">
        <v>65</v>
      </c>
      <c r="M99" s="13" t="s">
        <v>65</v>
      </c>
    </row>
    <row r="100" spans="1:13" x14ac:dyDescent="0.35">
      <c r="A100" s="11" t="s">
        <v>196</v>
      </c>
      <c r="B100" s="11" t="s">
        <v>65</v>
      </c>
      <c r="C100" s="11"/>
      <c r="D100" s="12"/>
      <c r="E100" s="12"/>
      <c r="F100" s="11" t="s">
        <v>65</v>
      </c>
      <c r="G100" s="11" t="s">
        <v>65</v>
      </c>
      <c r="H100" s="11" t="s">
        <v>65</v>
      </c>
      <c r="I100" s="11"/>
      <c r="J100" s="11" t="s">
        <v>65</v>
      </c>
      <c r="K100" s="11"/>
      <c r="L100" s="11" t="s">
        <v>65</v>
      </c>
      <c r="M100" s="11" t="s">
        <v>65</v>
      </c>
    </row>
    <row r="101" spans="1:13" x14ac:dyDescent="0.35">
      <c r="A101" s="13" t="s">
        <v>197</v>
      </c>
      <c r="B101" s="13" t="s">
        <v>65</v>
      </c>
      <c r="C101" s="13"/>
      <c r="D101" s="14"/>
      <c r="E101" s="14"/>
      <c r="F101" s="13" t="s">
        <v>65</v>
      </c>
      <c r="G101" s="13" t="s">
        <v>65</v>
      </c>
      <c r="H101" s="13" t="s">
        <v>65</v>
      </c>
      <c r="I101" s="13"/>
      <c r="J101" s="13" t="s">
        <v>65</v>
      </c>
      <c r="K101" s="13"/>
      <c r="L101" s="13" t="s">
        <v>65</v>
      </c>
      <c r="M101" s="13" t="s">
        <v>65</v>
      </c>
    </row>
    <row r="102" spans="1:13" x14ac:dyDescent="0.35">
      <c r="A102" s="11" t="s">
        <v>198</v>
      </c>
      <c r="B102" s="11" t="s">
        <v>65</v>
      </c>
      <c r="C102" s="11"/>
      <c r="D102" s="12"/>
      <c r="E102" s="12"/>
      <c r="F102" s="11" t="s">
        <v>65</v>
      </c>
      <c r="G102" s="11" t="s">
        <v>65</v>
      </c>
      <c r="H102" s="11" t="s">
        <v>65</v>
      </c>
      <c r="I102" s="11"/>
      <c r="J102" s="11" t="s">
        <v>65</v>
      </c>
      <c r="K102" s="11"/>
      <c r="L102" s="11" t="s">
        <v>65</v>
      </c>
      <c r="M102" s="11" t="s">
        <v>65</v>
      </c>
    </row>
    <row r="103" spans="1:13" x14ac:dyDescent="0.35">
      <c r="A103" s="13" t="s">
        <v>199</v>
      </c>
      <c r="B103" s="13" t="s">
        <v>65</v>
      </c>
      <c r="C103" s="13"/>
      <c r="D103" s="14"/>
      <c r="E103" s="14"/>
      <c r="F103" s="13" t="s">
        <v>65</v>
      </c>
      <c r="G103" s="13" t="s">
        <v>65</v>
      </c>
      <c r="H103" s="13" t="s">
        <v>65</v>
      </c>
      <c r="I103" s="13"/>
      <c r="J103" s="13" t="s">
        <v>65</v>
      </c>
      <c r="K103" s="13"/>
      <c r="L103" s="13" t="s">
        <v>65</v>
      </c>
      <c r="M103" s="13" t="s">
        <v>65</v>
      </c>
    </row>
    <row r="104" spans="1:13" x14ac:dyDescent="0.35">
      <c r="A104" s="11" t="s">
        <v>200</v>
      </c>
      <c r="B104" s="11" t="s">
        <v>65</v>
      </c>
      <c r="C104" s="11"/>
      <c r="D104" s="12"/>
      <c r="E104" s="12"/>
      <c r="F104" s="11" t="s">
        <v>65</v>
      </c>
      <c r="G104" s="11" t="s">
        <v>65</v>
      </c>
      <c r="H104" s="11" t="s">
        <v>65</v>
      </c>
      <c r="I104" s="11"/>
      <c r="J104" s="11" t="s">
        <v>65</v>
      </c>
      <c r="K104" s="11"/>
      <c r="L104" s="11" t="s">
        <v>65</v>
      </c>
      <c r="M104" s="11" t="s">
        <v>65</v>
      </c>
    </row>
    <row r="105" spans="1:13" x14ac:dyDescent="0.35">
      <c r="A105" s="13" t="s">
        <v>201</v>
      </c>
      <c r="B105" s="13" t="s">
        <v>65</v>
      </c>
      <c r="C105" s="13"/>
      <c r="D105" s="14"/>
      <c r="E105" s="14"/>
      <c r="F105" s="13" t="s">
        <v>65</v>
      </c>
      <c r="G105" s="13" t="s">
        <v>65</v>
      </c>
      <c r="H105" s="13" t="s">
        <v>65</v>
      </c>
      <c r="I105" s="13"/>
      <c r="J105" s="13" t="s">
        <v>65</v>
      </c>
      <c r="K105" s="13"/>
      <c r="L105" s="13" t="s">
        <v>65</v>
      </c>
      <c r="M105" s="13" t="s">
        <v>65</v>
      </c>
    </row>
    <row r="106" spans="1:13" x14ac:dyDescent="0.35">
      <c r="A106" s="11" t="s">
        <v>202</v>
      </c>
      <c r="B106" s="11" t="s">
        <v>65</v>
      </c>
      <c r="C106" s="11"/>
      <c r="D106" s="12"/>
      <c r="E106" s="12"/>
      <c r="F106" s="11" t="s">
        <v>65</v>
      </c>
      <c r="G106" s="11" t="s">
        <v>65</v>
      </c>
      <c r="H106" s="11" t="s">
        <v>65</v>
      </c>
      <c r="I106" s="11"/>
      <c r="J106" s="11" t="s">
        <v>65</v>
      </c>
      <c r="K106" s="11"/>
      <c r="L106" s="11" t="s">
        <v>65</v>
      </c>
      <c r="M106" s="11" t="s">
        <v>65</v>
      </c>
    </row>
    <row r="107" spans="1:13" x14ac:dyDescent="0.35">
      <c r="A107" s="13" t="s">
        <v>125</v>
      </c>
      <c r="B107" s="13" t="s">
        <v>203</v>
      </c>
      <c r="C107" s="13">
        <v>3</v>
      </c>
      <c r="D107" s="14">
        <v>45017.083333333336</v>
      </c>
      <c r="E107" s="14">
        <v>45017.213888888888</v>
      </c>
      <c r="F107" s="13" t="s">
        <v>72</v>
      </c>
      <c r="G107" s="13" t="s">
        <v>163</v>
      </c>
      <c r="H107" s="13" t="s">
        <v>87</v>
      </c>
      <c r="I107" s="13">
        <v>2272</v>
      </c>
      <c r="J107" s="13" t="s">
        <v>75</v>
      </c>
      <c r="K107" s="13">
        <v>106</v>
      </c>
      <c r="L107" s="13" t="s">
        <v>174</v>
      </c>
      <c r="M107" s="13" t="s">
        <v>37</v>
      </c>
    </row>
    <row r="108" spans="1:13" x14ac:dyDescent="0.35">
      <c r="A108" s="11" t="s">
        <v>204</v>
      </c>
      <c r="B108" s="11" t="s">
        <v>65</v>
      </c>
      <c r="C108" s="11"/>
      <c r="D108" s="12"/>
      <c r="E108" s="12"/>
      <c r="F108" s="11" t="s">
        <v>65</v>
      </c>
      <c r="G108" s="11" t="s">
        <v>65</v>
      </c>
      <c r="H108" s="11" t="s">
        <v>65</v>
      </c>
      <c r="I108" s="11"/>
      <c r="J108" s="11" t="s">
        <v>65</v>
      </c>
      <c r="K108" s="11"/>
      <c r="L108" s="11" t="s">
        <v>65</v>
      </c>
      <c r="M108" s="11" t="s">
        <v>65</v>
      </c>
    </row>
    <row r="109" spans="1:13" x14ac:dyDescent="0.35">
      <c r="A109" s="13" t="s">
        <v>205</v>
      </c>
      <c r="B109" s="13" t="s">
        <v>65</v>
      </c>
      <c r="C109" s="13"/>
      <c r="D109" s="14"/>
      <c r="E109" s="14"/>
      <c r="F109" s="13" t="s">
        <v>65</v>
      </c>
      <c r="G109" s="13" t="s">
        <v>65</v>
      </c>
      <c r="H109" s="13" t="s">
        <v>65</v>
      </c>
      <c r="I109" s="13"/>
      <c r="J109" s="13" t="s">
        <v>65</v>
      </c>
      <c r="K109" s="13"/>
      <c r="L109" s="13" t="s">
        <v>65</v>
      </c>
      <c r="M109" s="13" t="s">
        <v>65</v>
      </c>
    </row>
    <row r="110" spans="1:13" x14ac:dyDescent="0.35">
      <c r="A110" s="11" t="s">
        <v>206</v>
      </c>
      <c r="B110" s="11" t="s">
        <v>65</v>
      </c>
      <c r="C110" s="11"/>
      <c r="D110" s="12"/>
      <c r="E110" s="12"/>
      <c r="F110" s="11" t="s">
        <v>65</v>
      </c>
      <c r="G110" s="11" t="s">
        <v>65</v>
      </c>
      <c r="H110" s="11" t="s">
        <v>65</v>
      </c>
      <c r="I110" s="11"/>
      <c r="J110" s="11" t="s">
        <v>65</v>
      </c>
      <c r="K110" s="11"/>
      <c r="L110" s="11" t="s">
        <v>65</v>
      </c>
      <c r="M110" s="11" t="s">
        <v>65</v>
      </c>
    </row>
    <row r="111" spans="1:13" x14ac:dyDescent="0.35">
      <c r="A111" s="13" t="s">
        <v>207</v>
      </c>
      <c r="B111" s="13" t="s">
        <v>65</v>
      </c>
      <c r="C111" s="13"/>
      <c r="D111" s="14"/>
      <c r="E111" s="14"/>
      <c r="F111" s="13" t="s">
        <v>65</v>
      </c>
      <c r="G111" s="13" t="s">
        <v>65</v>
      </c>
      <c r="H111" s="13" t="s">
        <v>65</v>
      </c>
      <c r="I111" s="13"/>
      <c r="J111" s="13" t="s">
        <v>65</v>
      </c>
      <c r="K111" s="13"/>
      <c r="L111" s="13" t="s">
        <v>65</v>
      </c>
      <c r="M111" s="13" t="s">
        <v>65</v>
      </c>
    </row>
    <row r="112" spans="1:13" x14ac:dyDescent="0.35">
      <c r="A112" s="11" t="s">
        <v>208</v>
      </c>
      <c r="B112" s="11" t="s">
        <v>65</v>
      </c>
      <c r="C112" s="11"/>
      <c r="D112" s="12"/>
      <c r="E112" s="12"/>
      <c r="F112" s="11" t="s">
        <v>65</v>
      </c>
      <c r="G112" s="11" t="s">
        <v>65</v>
      </c>
      <c r="H112" s="11" t="s">
        <v>65</v>
      </c>
      <c r="I112" s="11"/>
      <c r="J112" s="11" t="s">
        <v>65</v>
      </c>
      <c r="K112" s="11"/>
      <c r="L112" s="11" t="s">
        <v>65</v>
      </c>
      <c r="M112" s="11" t="s">
        <v>65</v>
      </c>
    </row>
    <row r="113" spans="1:13" x14ac:dyDescent="0.35">
      <c r="A113" s="13" t="s">
        <v>185</v>
      </c>
      <c r="B113" s="13" t="s">
        <v>209</v>
      </c>
      <c r="C113" s="13">
        <v>2</v>
      </c>
      <c r="D113" s="14">
        <v>45017.075694444444</v>
      </c>
      <c r="E113" s="14">
        <v>45017.167361111111</v>
      </c>
      <c r="F113" s="13" t="s">
        <v>100</v>
      </c>
      <c r="G113" s="13" t="s">
        <v>73</v>
      </c>
      <c r="H113" s="13" t="s">
        <v>87</v>
      </c>
      <c r="I113" s="13">
        <v>3536</v>
      </c>
      <c r="J113" s="13" t="s">
        <v>88</v>
      </c>
      <c r="K113" s="13">
        <v>112</v>
      </c>
      <c r="L113" s="13" t="s">
        <v>76</v>
      </c>
      <c r="M113" s="13" t="s">
        <v>39</v>
      </c>
    </row>
    <row r="114" spans="1:13" x14ac:dyDescent="0.35">
      <c r="A114" s="11" t="s">
        <v>210</v>
      </c>
      <c r="B114" s="11" t="s">
        <v>211</v>
      </c>
      <c r="C114" s="11">
        <v>2</v>
      </c>
      <c r="D114" s="12">
        <v>45017.05</v>
      </c>
      <c r="E114" s="12">
        <v>45017.181250000001</v>
      </c>
      <c r="F114" s="11" t="s">
        <v>170</v>
      </c>
      <c r="G114" s="11" t="s">
        <v>86</v>
      </c>
      <c r="H114" s="11" t="s">
        <v>74</v>
      </c>
      <c r="I114" s="11">
        <v>2974</v>
      </c>
      <c r="J114" s="11" t="s">
        <v>88</v>
      </c>
      <c r="K114" s="11">
        <v>113</v>
      </c>
      <c r="L114" s="11" t="s">
        <v>89</v>
      </c>
      <c r="M114" s="11" t="s">
        <v>37</v>
      </c>
    </row>
    <row r="115" spans="1:13" x14ac:dyDescent="0.35">
      <c r="A115" s="13" t="s">
        <v>212</v>
      </c>
      <c r="B115" s="13" t="s">
        <v>65</v>
      </c>
      <c r="C115" s="13"/>
      <c r="D115" s="14"/>
      <c r="E115" s="14"/>
      <c r="F115" s="13" t="s">
        <v>65</v>
      </c>
      <c r="G115" s="13" t="s">
        <v>65</v>
      </c>
      <c r="H115" s="13" t="s">
        <v>65</v>
      </c>
      <c r="I115" s="13"/>
      <c r="J115" s="13" t="s">
        <v>65</v>
      </c>
      <c r="K115" s="13"/>
      <c r="L115" s="13" t="s">
        <v>65</v>
      </c>
      <c r="M115" s="13" t="s">
        <v>65</v>
      </c>
    </row>
    <row r="116" spans="1:13" x14ac:dyDescent="0.35">
      <c r="A116" s="11" t="s">
        <v>213</v>
      </c>
      <c r="B116" s="11" t="s">
        <v>65</v>
      </c>
      <c r="C116" s="11"/>
      <c r="D116" s="12"/>
      <c r="E116" s="12"/>
      <c r="F116" s="11" t="s">
        <v>65</v>
      </c>
      <c r="G116" s="11" t="s">
        <v>65</v>
      </c>
      <c r="H116" s="11" t="s">
        <v>65</v>
      </c>
      <c r="I116" s="11"/>
      <c r="J116" s="11" t="s">
        <v>65</v>
      </c>
      <c r="K116" s="11"/>
      <c r="L116" s="11" t="s">
        <v>65</v>
      </c>
      <c r="M116" s="11" t="s">
        <v>65</v>
      </c>
    </row>
    <row r="117" spans="1:13" x14ac:dyDescent="0.35">
      <c r="A117" s="13" t="s">
        <v>214</v>
      </c>
      <c r="B117" s="13" t="s">
        <v>65</v>
      </c>
      <c r="C117" s="13"/>
      <c r="D117" s="14"/>
      <c r="E117" s="14"/>
      <c r="F117" s="13" t="s">
        <v>65</v>
      </c>
      <c r="G117" s="13" t="s">
        <v>65</v>
      </c>
      <c r="H117" s="13" t="s">
        <v>65</v>
      </c>
      <c r="I117" s="13"/>
      <c r="J117" s="13" t="s">
        <v>65</v>
      </c>
      <c r="K117" s="13"/>
      <c r="L117" s="13" t="s">
        <v>65</v>
      </c>
      <c r="M117" s="13" t="s">
        <v>65</v>
      </c>
    </row>
    <row r="118" spans="1:13" x14ac:dyDescent="0.35">
      <c r="A118" s="11" t="s">
        <v>215</v>
      </c>
      <c r="B118" s="11" t="s">
        <v>216</v>
      </c>
      <c r="C118" s="11">
        <v>4</v>
      </c>
      <c r="D118" s="12">
        <v>45017.121527777781</v>
      </c>
      <c r="E118" s="12">
        <v>45017.239583333336</v>
      </c>
      <c r="F118" s="11" t="s">
        <v>170</v>
      </c>
      <c r="G118" s="11" t="s">
        <v>163</v>
      </c>
      <c r="H118" s="11" t="s">
        <v>74</v>
      </c>
      <c r="I118" s="11">
        <v>1165</v>
      </c>
      <c r="J118" s="11" t="s">
        <v>88</v>
      </c>
      <c r="K118" s="11">
        <v>117</v>
      </c>
      <c r="L118" s="11" t="s">
        <v>101</v>
      </c>
      <c r="M118" s="11" t="s">
        <v>31</v>
      </c>
    </row>
    <row r="119" spans="1:13" x14ac:dyDescent="0.35">
      <c r="A119" s="13" t="s">
        <v>217</v>
      </c>
      <c r="B119" s="13" t="s">
        <v>65</v>
      </c>
      <c r="C119" s="13"/>
      <c r="D119" s="14"/>
      <c r="E119" s="14"/>
      <c r="F119" s="13" t="s">
        <v>65</v>
      </c>
      <c r="G119" s="13" t="s">
        <v>65</v>
      </c>
      <c r="H119" s="13" t="s">
        <v>65</v>
      </c>
      <c r="I119" s="13"/>
      <c r="J119" s="13" t="s">
        <v>65</v>
      </c>
      <c r="K119" s="13"/>
      <c r="L119" s="13" t="s">
        <v>65</v>
      </c>
      <c r="M119" s="13" t="s">
        <v>65</v>
      </c>
    </row>
    <row r="120" spans="1:13" x14ac:dyDescent="0.35">
      <c r="A120" s="11" t="s">
        <v>218</v>
      </c>
      <c r="B120" s="11" t="s">
        <v>65</v>
      </c>
      <c r="C120" s="11"/>
      <c r="D120" s="12"/>
      <c r="E120" s="12"/>
      <c r="F120" s="11" t="s">
        <v>65</v>
      </c>
      <c r="G120" s="11" t="s">
        <v>65</v>
      </c>
      <c r="H120" s="11" t="s">
        <v>65</v>
      </c>
      <c r="I120" s="11"/>
      <c r="J120" s="11" t="s">
        <v>65</v>
      </c>
      <c r="K120" s="11"/>
      <c r="L120" s="11" t="s">
        <v>65</v>
      </c>
      <c r="M120" s="11" t="s">
        <v>65</v>
      </c>
    </row>
    <row r="121" spans="1:13" x14ac:dyDescent="0.35">
      <c r="A121" s="13" t="s">
        <v>219</v>
      </c>
      <c r="B121" s="13" t="s">
        <v>65</v>
      </c>
      <c r="C121" s="13"/>
      <c r="D121" s="14"/>
      <c r="E121" s="14"/>
      <c r="F121" s="13" t="s">
        <v>65</v>
      </c>
      <c r="G121" s="13" t="s">
        <v>65</v>
      </c>
      <c r="H121" s="13" t="s">
        <v>65</v>
      </c>
      <c r="I121" s="13"/>
      <c r="J121" s="13" t="s">
        <v>65</v>
      </c>
      <c r="K121" s="13"/>
      <c r="L121" s="13" t="s">
        <v>65</v>
      </c>
      <c r="M121" s="13" t="s">
        <v>65</v>
      </c>
    </row>
    <row r="122" spans="1:13" x14ac:dyDescent="0.35">
      <c r="A122" s="11" t="s">
        <v>121</v>
      </c>
      <c r="B122" s="11" t="s">
        <v>220</v>
      </c>
      <c r="C122" s="11">
        <v>4</v>
      </c>
      <c r="D122" s="12">
        <v>45018.15625</v>
      </c>
      <c r="E122" s="12">
        <v>45018.259027777778</v>
      </c>
      <c r="F122" s="11" t="s">
        <v>72</v>
      </c>
      <c r="G122" s="11" t="s">
        <v>86</v>
      </c>
      <c r="H122" s="11" t="s">
        <v>74</v>
      </c>
      <c r="I122" s="11">
        <v>123</v>
      </c>
      <c r="J122" s="11" t="s">
        <v>94</v>
      </c>
      <c r="K122" s="11">
        <v>121</v>
      </c>
      <c r="L122" s="11" t="s">
        <v>221</v>
      </c>
      <c r="M122" s="11" t="s">
        <v>47</v>
      </c>
    </row>
    <row r="123" spans="1:13" x14ac:dyDescent="0.35">
      <c r="A123" s="13" t="s">
        <v>185</v>
      </c>
      <c r="B123" s="13" t="s">
        <v>222</v>
      </c>
      <c r="C123" s="13">
        <v>6</v>
      </c>
      <c r="D123" s="14">
        <v>45018.057638888888</v>
      </c>
      <c r="E123" s="14">
        <v>45018.116666666669</v>
      </c>
      <c r="F123" s="13" t="s">
        <v>223</v>
      </c>
      <c r="G123" s="13" t="s">
        <v>86</v>
      </c>
      <c r="H123" s="13" t="s">
        <v>109</v>
      </c>
      <c r="I123" s="13">
        <v>2038</v>
      </c>
      <c r="J123" s="13" t="s">
        <v>88</v>
      </c>
      <c r="K123" s="13">
        <v>122</v>
      </c>
      <c r="L123" s="13" t="s">
        <v>110</v>
      </c>
      <c r="M123" s="13" t="s">
        <v>31</v>
      </c>
    </row>
    <row r="124" spans="1:13" x14ac:dyDescent="0.35">
      <c r="A124" s="11" t="s">
        <v>224</v>
      </c>
      <c r="B124" s="11" t="s">
        <v>225</v>
      </c>
      <c r="C124" s="11">
        <v>6</v>
      </c>
      <c r="D124" s="12">
        <v>45018.131249999999</v>
      </c>
      <c r="E124" s="12">
        <v>45018.173611111109</v>
      </c>
      <c r="F124" s="11" t="s">
        <v>72</v>
      </c>
      <c r="G124" s="11" t="s">
        <v>86</v>
      </c>
      <c r="H124" s="11" t="s">
        <v>109</v>
      </c>
      <c r="I124" s="11">
        <v>4688</v>
      </c>
      <c r="J124" s="11" t="s">
        <v>94</v>
      </c>
      <c r="K124" s="11">
        <v>123</v>
      </c>
      <c r="L124" s="11" t="s">
        <v>164</v>
      </c>
      <c r="M124" s="11" t="s">
        <v>9</v>
      </c>
    </row>
    <row r="125" spans="1:13" x14ac:dyDescent="0.35">
      <c r="A125" s="13" t="s">
        <v>226</v>
      </c>
      <c r="B125" s="13" t="s">
        <v>65</v>
      </c>
      <c r="C125" s="13"/>
      <c r="D125" s="14"/>
      <c r="E125" s="14"/>
      <c r="F125" s="13" t="s">
        <v>65</v>
      </c>
      <c r="G125" s="13" t="s">
        <v>65</v>
      </c>
      <c r="H125" s="13" t="s">
        <v>65</v>
      </c>
      <c r="I125" s="13"/>
      <c r="J125" s="13" t="s">
        <v>65</v>
      </c>
      <c r="K125" s="13"/>
      <c r="L125" s="13" t="s">
        <v>65</v>
      </c>
      <c r="M125" s="13" t="s">
        <v>65</v>
      </c>
    </row>
    <row r="126" spans="1:13" x14ac:dyDescent="0.35">
      <c r="A126" s="11" t="s">
        <v>227</v>
      </c>
      <c r="B126" s="11" t="s">
        <v>65</v>
      </c>
      <c r="C126" s="11"/>
      <c r="D126" s="12"/>
      <c r="E126" s="12"/>
      <c r="F126" s="11" t="s">
        <v>65</v>
      </c>
      <c r="G126" s="11" t="s">
        <v>65</v>
      </c>
      <c r="H126" s="11" t="s">
        <v>65</v>
      </c>
      <c r="I126" s="11"/>
      <c r="J126" s="11" t="s">
        <v>65</v>
      </c>
      <c r="K126" s="11"/>
      <c r="L126" s="11" t="s">
        <v>65</v>
      </c>
      <c r="M126" s="11" t="s">
        <v>65</v>
      </c>
    </row>
    <row r="127" spans="1:13" x14ac:dyDescent="0.35">
      <c r="A127" s="13" t="s">
        <v>228</v>
      </c>
      <c r="B127" s="13" t="s">
        <v>65</v>
      </c>
      <c r="C127" s="13"/>
      <c r="D127" s="14"/>
      <c r="E127" s="14"/>
      <c r="F127" s="13" t="s">
        <v>65</v>
      </c>
      <c r="G127" s="13" t="s">
        <v>65</v>
      </c>
      <c r="H127" s="13" t="s">
        <v>65</v>
      </c>
      <c r="I127" s="13"/>
      <c r="J127" s="13" t="s">
        <v>65</v>
      </c>
      <c r="K127" s="13"/>
      <c r="L127" s="13" t="s">
        <v>65</v>
      </c>
      <c r="M127" s="13" t="s">
        <v>65</v>
      </c>
    </row>
    <row r="128" spans="1:13" x14ac:dyDescent="0.35">
      <c r="A128" s="11" t="s">
        <v>185</v>
      </c>
      <c r="B128" s="11" t="s">
        <v>229</v>
      </c>
      <c r="C128" s="11">
        <v>4</v>
      </c>
      <c r="D128" s="12">
        <v>45018.029166666667</v>
      </c>
      <c r="E128" s="12">
        <v>45018.102777777778</v>
      </c>
      <c r="F128" s="11" t="s">
        <v>72</v>
      </c>
      <c r="G128" s="11" t="s">
        <v>86</v>
      </c>
      <c r="H128" s="11" t="s">
        <v>74</v>
      </c>
      <c r="I128" s="11">
        <v>3282</v>
      </c>
      <c r="J128" s="11" t="s">
        <v>75</v>
      </c>
      <c r="K128" s="11">
        <v>127</v>
      </c>
      <c r="L128" s="11" t="s">
        <v>164</v>
      </c>
      <c r="M128" s="11" t="s">
        <v>21</v>
      </c>
    </row>
    <row r="129" spans="1:13" x14ac:dyDescent="0.35">
      <c r="A129" s="13" t="s">
        <v>230</v>
      </c>
      <c r="B129" s="13" t="s">
        <v>65</v>
      </c>
      <c r="C129" s="13"/>
      <c r="D129" s="14"/>
      <c r="E129" s="14"/>
      <c r="F129" s="13" t="s">
        <v>65</v>
      </c>
      <c r="G129" s="13" t="s">
        <v>65</v>
      </c>
      <c r="H129" s="13" t="s">
        <v>65</v>
      </c>
      <c r="I129" s="13"/>
      <c r="J129" s="13" t="s">
        <v>65</v>
      </c>
      <c r="K129" s="13"/>
      <c r="L129" s="13" t="s">
        <v>65</v>
      </c>
      <c r="M129" s="13" t="s">
        <v>65</v>
      </c>
    </row>
    <row r="130" spans="1:13" x14ac:dyDescent="0.35">
      <c r="A130" s="11" t="s">
        <v>231</v>
      </c>
      <c r="B130" s="11" t="s">
        <v>65</v>
      </c>
      <c r="C130" s="11"/>
      <c r="D130" s="12"/>
      <c r="E130" s="12"/>
      <c r="F130" s="11" t="s">
        <v>65</v>
      </c>
      <c r="G130" s="11" t="s">
        <v>65</v>
      </c>
      <c r="H130" s="11" t="s">
        <v>65</v>
      </c>
      <c r="I130" s="11"/>
      <c r="J130" s="11" t="s">
        <v>65</v>
      </c>
      <c r="K130" s="11"/>
      <c r="L130" s="11" t="s">
        <v>65</v>
      </c>
      <c r="M130" s="11" t="s">
        <v>65</v>
      </c>
    </row>
    <row r="131" spans="1:13" x14ac:dyDescent="0.35">
      <c r="A131" s="13" t="s">
        <v>232</v>
      </c>
      <c r="B131" s="13" t="s">
        <v>233</v>
      </c>
      <c r="C131" s="13">
        <v>4</v>
      </c>
      <c r="D131" s="14">
        <v>45018.018055555556</v>
      </c>
      <c r="E131" s="14">
        <v>45018.063888888886</v>
      </c>
      <c r="F131" s="13" t="s">
        <v>100</v>
      </c>
      <c r="G131" s="13" t="s">
        <v>86</v>
      </c>
      <c r="H131" s="13" t="s">
        <v>74</v>
      </c>
      <c r="I131" s="13">
        <v>3813</v>
      </c>
      <c r="J131" s="13" t="s">
        <v>75</v>
      </c>
      <c r="K131" s="13">
        <v>130</v>
      </c>
      <c r="L131" s="13" t="s">
        <v>110</v>
      </c>
      <c r="M131" s="13" t="s">
        <v>31</v>
      </c>
    </row>
    <row r="132" spans="1:13" x14ac:dyDescent="0.35">
      <c r="A132" s="11" t="s">
        <v>234</v>
      </c>
      <c r="B132" s="11" t="s">
        <v>65</v>
      </c>
      <c r="C132" s="11"/>
      <c r="D132" s="12"/>
      <c r="E132" s="12"/>
      <c r="F132" s="11" t="s">
        <v>65</v>
      </c>
      <c r="G132" s="11" t="s">
        <v>65</v>
      </c>
      <c r="H132" s="11" t="s">
        <v>65</v>
      </c>
      <c r="I132" s="11"/>
      <c r="J132" s="11" t="s">
        <v>65</v>
      </c>
      <c r="K132" s="11"/>
      <c r="L132" s="11" t="s">
        <v>65</v>
      </c>
      <c r="M132" s="11" t="s">
        <v>65</v>
      </c>
    </row>
    <row r="133" spans="1:13" x14ac:dyDescent="0.35">
      <c r="A133" s="13" t="s">
        <v>235</v>
      </c>
      <c r="B133" s="13" t="s">
        <v>65</v>
      </c>
      <c r="C133" s="13"/>
      <c r="D133" s="14"/>
      <c r="E133" s="14"/>
      <c r="F133" s="13" t="s">
        <v>65</v>
      </c>
      <c r="G133" s="13" t="s">
        <v>65</v>
      </c>
      <c r="H133" s="13" t="s">
        <v>65</v>
      </c>
      <c r="I133" s="13"/>
      <c r="J133" s="13" t="s">
        <v>65</v>
      </c>
      <c r="K133" s="13"/>
      <c r="L133" s="13" t="s">
        <v>65</v>
      </c>
      <c r="M133" s="13" t="s">
        <v>65</v>
      </c>
    </row>
    <row r="134" spans="1:13" x14ac:dyDescent="0.35">
      <c r="A134" s="11" t="s">
        <v>236</v>
      </c>
      <c r="B134" s="11" t="s">
        <v>65</v>
      </c>
      <c r="C134" s="11"/>
      <c r="D134" s="12"/>
      <c r="E134" s="12"/>
      <c r="F134" s="11" t="s">
        <v>65</v>
      </c>
      <c r="G134" s="11" t="s">
        <v>65</v>
      </c>
      <c r="H134" s="11" t="s">
        <v>65</v>
      </c>
      <c r="I134" s="11"/>
      <c r="J134" s="11" t="s">
        <v>65</v>
      </c>
      <c r="K134" s="11"/>
      <c r="L134" s="11" t="s">
        <v>65</v>
      </c>
      <c r="M134" s="11" t="s">
        <v>65</v>
      </c>
    </row>
    <row r="135" spans="1:13" x14ac:dyDescent="0.35">
      <c r="A135" s="13" t="s">
        <v>237</v>
      </c>
      <c r="B135" s="13" t="s">
        <v>65</v>
      </c>
      <c r="C135" s="13"/>
      <c r="D135" s="14"/>
      <c r="E135" s="14"/>
      <c r="F135" s="13" t="s">
        <v>65</v>
      </c>
      <c r="G135" s="13" t="s">
        <v>65</v>
      </c>
      <c r="H135" s="13" t="s">
        <v>65</v>
      </c>
      <c r="I135" s="13"/>
      <c r="J135" s="13" t="s">
        <v>65</v>
      </c>
      <c r="K135" s="13"/>
      <c r="L135" s="13" t="s">
        <v>65</v>
      </c>
      <c r="M135" s="13" t="s">
        <v>65</v>
      </c>
    </row>
    <row r="136" spans="1:13" x14ac:dyDescent="0.35">
      <c r="A136" s="11" t="s">
        <v>238</v>
      </c>
      <c r="B136" s="11" t="s">
        <v>65</v>
      </c>
      <c r="C136" s="11"/>
      <c r="D136" s="12"/>
      <c r="E136" s="12"/>
      <c r="F136" s="11" t="s">
        <v>65</v>
      </c>
      <c r="G136" s="11" t="s">
        <v>65</v>
      </c>
      <c r="H136" s="11" t="s">
        <v>65</v>
      </c>
      <c r="I136" s="11"/>
      <c r="J136" s="11" t="s">
        <v>65</v>
      </c>
      <c r="K136" s="11"/>
      <c r="L136" s="11" t="s">
        <v>65</v>
      </c>
      <c r="M136" s="11" t="s">
        <v>65</v>
      </c>
    </row>
    <row r="137" spans="1:13" x14ac:dyDescent="0.35">
      <c r="A137" s="13" t="s">
        <v>185</v>
      </c>
      <c r="B137" s="13" t="s">
        <v>239</v>
      </c>
      <c r="C137" s="13">
        <v>1</v>
      </c>
      <c r="D137" s="14">
        <v>45018.076388888891</v>
      </c>
      <c r="E137" s="14">
        <v>45018.209027777775</v>
      </c>
      <c r="F137" s="13" t="s">
        <v>223</v>
      </c>
      <c r="G137" s="13" t="s">
        <v>86</v>
      </c>
      <c r="H137" s="13" t="s">
        <v>74</v>
      </c>
      <c r="I137" s="13">
        <v>3025</v>
      </c>
      <c r="J137" s="13" t="s">
        <v>88</v>
      </c>
      <c r="K137" s="13">
        <v>136</v>
      </c>
      <c r="L137" s="13" t="s">
        <v>95</v>
      </c>
      <c r="M137" s="13" t="s">
        <v>19</v>
      </c>
    </row>
    <row r="138" spans="1:13" x14ac:dyDescent="0.35">
      <c r="A138" s="11" t="s">
        <v>240</v>
      </c>
      <c r="B138" s="11" t="s">
        <v>241</v>
      </c>
      <c r="C138" s="11">
        <v>3</v>
      </c>
      <c r="D138" s="12">
        <v>45018.056250000001</v>
      </c>
      <c r="E138" s="12">
        <v>45018.174305555556</v>
      </c>
      <c r="F138" s="11" t="s">
        <v>72</v>
      </c>
      <c r="G138" s="11" t="s">
        <v>163</v>
      </c>
      <c r="H138" s="11" t="s">
        <v>74</v>
      </c>
      <c r="I138" s="11">
        <v>124</v>
      </c>
      <c r="J138" s="11" t="s">
        <v>88</v>
      </c>
      <c r="K138" s="11">
        <v>137</v>
      </c>
      <c r="L138" s="11" t="s">
        <v>110</v>
      </c>
      <c r="M138" s="11" t="s">
        <v>43</v>
      </c>
    </row>
    <row r="139" spans="1:13" x14ac:dyDescent="0.35">
      <c r="A139" s="13" t="s">
        <v>242</v>
      </c>
      <c r="B139" s="13" t="s">
        <v>65</v>
      </c>
      <c r="C139" s="13"/>
      <c r="D139" s="14"/>
      <c r="E139" s="14"/>
      <c r="F139" s="13" t="s">
        <v>65</v>
      </c>
      <c r="G139" s="13" t="s">
        <v>65</v>
      </c>
      <c r="H139" s="13" t="s">
        <v>65</v>
      </c>
      <c r="I139" s="13"/>
      <c r="J139" s="13" t="s">
        <v>65</v>
      </c>
      <c r="K139" s="13"/>
      <c r="L139" s="13" t="s">
        <v>65</v>
      </c>
      <c r="M139" s="13" t="s">
        <v>65</v>
      </c>
    </row>
    <row r="140" spans="1:13" x14ac:dyDescent="0.35">
      <c r="A140" s="11" t="s">
        <v>224</v>
      </c>
      <c r="B140" s="11" t="s">
        <v>243</v>
      </c>
      <c r="C140" s="11">
        <v>3</v>
      </c>
      <c r="D140" s="12">
        <v>45018.027777777781</v>
      </c>
      <c r="E140" s="12">
        <v>45018.193749999999</v>
      </c>
      <c r="F140" s="11" t="s">
        <v>100</v>
      </c>
      <c r="G140" s="11" t="s">
        <v>86</v>
      </c>
      <c r="H140" s="11" t="s">
        <v>74</v>
      </c>
      <c r="I140" s="11">
        <v>472</v>
      </c>
      <c r="J140" s="11" t="s">
        <v>75</v>
      </c>
      <c r="K140" s="11">
        <v>139</v>
      </c>
      <c r="L140" s="11" t="s">
        <v>101</v>
      </c>
      <c r="M140" s="11" t="s">
        <v>31</v>
      </c>
    </row>
    <row r="141" spans="1:13" x14ac:dyDescent="0.35">
      <c r="A141" s="13" t="s">
        <v>244</v>
      </c>
      <c r="B141" s="13" t="s">
        <v>65</v>
      </c>
      <c r="C141" s="13"/>
      <c r="D141" s="14"/>
      <c r="E141" s="14"/>
      <c r="F141" s="13" t="s">
        <v>65</v>
      </c>
      <c r="G141" s="13" t="s">
        <v>65</v>
      </c>
      <c r="H141" s="13" t="s">
        <v>65</v>
      </c>
      <c r="I141" s="13"/>
      <c r="J141" s="13" t="s">
        <v>65</v>
      </c>
      <c r="K141" s="13"/>
      <c r="L141" s="13" t="s">
        <v>65</v>
      </c>
      <c r="M141" s="13" t="s">
        <v>65</v>
      </c>
    </row>
    <row r="142" spans="1:13" x14ac:dyDescent="0.35">
      <c r="A142" s="11" t="s">
        <v>210</v>
      </c>
      <c r="B142" s="11" t="s">
        <v>245</v>
      </c>
      <c r="C142" s="11">
        <v>4</v>
      </c>
      <c r="D142" s="12">
        <v>45018.081944444442</v>
      </c>
      <c r="E142" s="12">
        <v>45018.239583333336</v>
      </c>
      <c r="F142" s="11" t="s">
        <v>170</v>
      </c>
      <c r="G142" s="11" t="s">
        <v>163</v>
      </c>
      <c r="H142" s="11" t="s">
        <v>74</v>
      </c>
      <c r="I142" s="11">
        <v>4156</v>
      </c>
      <c r="J142" s="11" t="s">
        <v>94</v>
      </c>
      <c r="K142" s="11">
        <v>141</v>
      </c>
      <c r="L142" s="11" t="s">
        <v>187</v>
      </c>
      <c r="M142" s="11" t="s">
        <v>43</v>
      </c>
    </row>
    <row r="143" spans="1:13" x14ac:dyDescent="0.35">
      <c r="A143" s="13" t="s">
        <v>246</v>
      </c>
      <c r="B143" s="13" t="s">
        <v>65</v>
      </c>
      <c r="C143" s="13"/>
      <c r="D143" s="14"/>
      <c r="E143" s="14"/>
      <c r="F143" s="13" t="s">
        <v>65</v>
      </c>
      <c r="G143" s="13" t="s">
        <v>65</v>
      </c>
      <c r="H143" s="13" t="s">
        <v>65</v>
      </c>
      <c r="I143" s="13"/>
      <c r="J143" s="13" t="s">
        <v>65</v>
      </c>
      <c r="K143" s="13"/>
      <c r="L143" s="13" t="s">
        <v>65</v>
      </c>
      <c r="M143" s="13" t="s">
        <v>65</v>
      </c>
    </row>
    <row r="144" spans="1:13" x14ac:dyDescent="0.35">
      <c r="A144" s="11" t="s">
        <v>247</v>
      </c>
      <c r="B144" s="11" t="s">
        <v>248</v>
      </c>
      <c r="C144" s="11">
        <v>4</v>
      </c>
      <c r="D144" s="12">
        <v>45018.022222222222</v>
      </c>
      <c r="E144" s="12">
        <v>45018.1875</v>
      </c>
      <c r="F144" s="11" t="s">
        <v>72</v>
      </c>
      <c r="G144" s="11" t="s">
        <v>86</v>
      </c>
      <c r="H144" s="11" t="s">
        <v>87</v>
      </c>
      <c r="I144" s="11">
        <v>4826</v>
      </c>
      <c r="J144" s="11" t="s">
        <v>75</v>
      </c>
      <c r="K144" s="11">
        <v>143</v>
      </c>
      <c r="L144" s="11" t="s">
        <v>76</v>
      </c>
      <c r="M144" s="11" t="s">
        <v>49</v>
      </c>
    </row>
    <row r="145" spans="1:13" x14ac:dyDescent="0.35">
      <c r="A145" s="13" t="s">
        <v>249</v>
      </c>
      <c r="B145" s="13" t="s">
        <v>65</v>
      </c>
      <c r="C145" s="13"/>
      <c r="D145" s="14"/>
      <c r="E145" s="14"/>
      <c r="F145" s="13" t="s">
        <v>65</v>
      </c>
      <c r="G145" s="13" t="s">
        <v>65</v>
      </c>
      <c r="H145" s="13" t="s">
        <v>65</v>
      </c>
      <c r="I145" s="13"/>
      <c r="J145" s="13" t="s">
        <v>65</v>
      </c>
      <c r="K145" s="13"/>
      <c r="L145" s="13" t="s">
        <v>65</v>
      </c>
      <c r="M145" s="13" t="s">
        <v>65</v>
      </c>
    </row>
    <row r="146" spans="1:13" x14ac:dyDescent="0.35">
      <c r="A146" s="11" t="s">
        <v>250</v>
      </c>
      <c r="B146" s="11" t="s">
        <v>65</v>
      </c>
      <c r="C146" s="11"/>
      <c r="D146" s="12"/>
      <c r="E146" s="12"/>
      <c r="F146" s="11" t="s">
        <v>65</v>
      </c>
      <c r="G146" s="11" t="s">
        <v>65</v>
      </c>
      <c r="H146" s="11" t="s">
        <v>65</v>
      </c>
      <c r="I146" s="11"/>
      <c r="J146" s="11" t="s">
        <v>65</v>
      </c>
      <c r="K146" s="11"/>
      <c r="L146" s="11" t="s">
        <v>65</v>
      </c>
      <c r="M146" s="11" t="s">
        <v>65</v>
      </c>
    </row>
    <row r="147" spans="1:13" x14ac:dyDescent="0.35">
      <c r="A147" s="13" t="s">
        <v>215</v>
      </c>
      <c r="B147" s="13" t="s">
        <v>251</v>
      </c>
      <c r="C147" s="13">
        <v>6</v>
      </c>
      <c r="D147" s="14">
        <v>45018.069444444445</v>
      </c>
      <c r="E147" s="14">
        <v>45018.120833333334</v>
      </c>
      <c r="F147" s="13" t="s">
        <v>170</v>
      </c>
      <c r="G147" s="13" t="s">
        <v>86</v>
      </c>
      <c r="H147" s="13" t="s">
        <v>74</v>
      </c>
      <c r="I147" s="13">
        <v>384</v>
      </c>
      <c r="J147" s="13" t="s">
        <v>94</v>
      </c>
      <c r="K147" s="13">
        <v>146</v>
      </c>
      <c r="L147" s="13" t="s">
        <v>221</v>
      </c>
      <c r="M147" s="13" t="s">
        <v>15</v>
      </c>
    </row>
    <row r="148" spans="1:13" x14ac:dyDescent="0.35">
      <c r="A148" s="11" t="s">
        <v>252</v>
      </c>
      <c r="B148" s="11" t="s">
        <v>65</v>
      </c>
      <c r="C148" s="11"/>
      <c r="D148" s="12"/>
      <c r="E148" s="12"/>
      <c r="F148" s="11" t="s">
        <v>65</v>
      </c>
      <c r="G148" s="11" t="s">
        <v>65</v>
      </c>
      <c r="H148" s="11" t="s">
        <v>65</v>
      </c>
      <c r="I148" s="11"/>
      <c r="J148" s="11" t="s">
        <v>65</v>
      </c>
      <c r="K148" s="11"/>
      <c r="L148" s="11" t="s">
        <v>65</v>
      </c>
      <c r="M148" s="11" t="s">
        <v>65</v>
      </c>
    </row>
    <row r="149" spans="1:13" x14ac:dyDescent="0.35">
      <c r="A149" s="13" t="s">
        <v>253</v>
      </c>
      <c r="B149" s="13" t="s">
        <v>65</v>
      </c>
      <c r="C149" s="13"/>
      <c r="D149" s="14"/>
      <c r="E149" s="14"/>
      <c r="F149" s="13" t="s">
        <v>65</v>
      </c>
      <c r="G149" s="13" t="s">
        <v>65</v>
      </c>
      <c r="H149" s="13" t="s">
        <v>65</v>
      </c>
      <c r="I149" s="13"/>
      <c r="J149" s="13" t="s">
        <v>65</v>
      </c>
      <c r="K149" s="13"/>
      <c r="L149" s="13" t="s">
        <v>65</v>
      </c>
      <c r="M149" s="13" t="s">
        <v>65</v>
      </c>
    </row>
    <row r="150" spans="1:13" x14ac:dyDescent="0.35">
      <c r="A150" s="11" t="s">
        <v>254</v>
      </c>
      <c r="B150" s="11" t="s">
        <v>65</v>
      </c>
      <c r="C150" s="11"/>
      <c r="D150" s="12"/>
      <c r="E150" s="12"/>
      <c r="F150" s="11" t="s">
        <v>65</v>
      </c>
      <c r="G150" s="11" t="s">
        <v>65</v>
      </c>
      <c r="H150" s="11" t="s">
        <v>65</v>
      </c>
      <c r="I150" s="11"/>
      <c r="J150" s="11" t="s">
        <v>65</v>
      </c>
      <c r="K150" s="11"/>
      <c r="L150" s="11" t="s">
        <v>65</v>
      </c>
      <c r="M150" s="11" t="s">
        <v>65</v>
      </c>
    </row>
    <row r="151" spans="1:13" x14ac:dyDescent="0.35">
      <c r="A151" s="13" t="s">
        <v>255</v>
      </c>
      <c r="B151" s="13" t="s">
        <v>65</v>
      </c>
      <c r="C151" s="13"/>
      <c r="D151" s="14"/>
      <c r="E151" s="14"/>
      <c r="F151" s="13" t="s">
        <v>65</v>
      </c>
      <c r="G151" s="13" t="s">
        <v>65</v>
      </c>
      <c r="H151" s="13" t="s">
        <v>65</v>
      </c>
      <c r="I151" s="13"/>
      <c r="J151" s="13" t="s">
        <v>65</v>
      </c>
      <c r="K151" s="13"/>
      <c r="L151" s="13" t="s">
        <v>65</v>
      </c>
      <c r="M151" s="13" t="s">
        <v>65</v>
      </c>
    </row>
    <row r="152" spans="1:13" x14ac:dyDescent="0.35">
      <c r="A152" s="11" t="s">
        <v>256</v>
      </c>
      <c r="B152" s="11" t="s">
        <v>65</v>
      </c>
      <c r="C152" s="11"/>
      <c r="D152" s="12"/>
      <c r="E152" s="12"/>
      <c r="F152" s="11" t="s">
        <v>65</v>
      </c>
      <c r="G152" s="11" t="s">
        <v>65</v>
      </c>
      <c r="H152" s="11" t="s">
        <v>65</v>
      </c>
      <c r="I152" s="11"/>
      <c r="J152" s="11" t="s">
        <v>65</v>
      </c>
      <c r="K152" s="11"/>
      <c r="L152" s="11" t="s">
        <v>65</v>
      </c>
      <c r="M152" s="11" t="s">
        <v>65</v>
      </c>
    </row>
    <row r="153" spans="1:13" x14ac:dyDescent="0.35">
      <c r="A153" s="13" t="s">
        <v>121</v>
      </c>
      <c r="B153" s="13" t="s">
        <v>257</v>
      </c>
      <c r="C153" s="13">
        <v>6</v>
      </c>
      <c r="D153" s="14">
        <v>45018.051388888889</v>
      </c>
      <c r="E153" s="14">
        <v>45018.119444444441</v>
      </c>
      <c r="F153" s="13" t="s">
        <v>72</v>
      </c>
      <c r="G153" s="13" t="s">
        <v>86</v>
      </c>
      <c r="H153" s="13" t="s">
        <v>109</v>
      </c>
      <c r="I153" s="13">
        <v>2557</v>
      </c>
      <c r="J153" s="13" t="s">
        <v>94</v>
      </c>
      <c r="K153" s="13">
        <v>152</v>
      </c>
      <c r="L153" s="13" t="s">
        <v>187</v>
      </c>
      <c r="M153" s="13" t="s">
        <v>27</v>
      </c>
    </row>
    <row r="154" spans="1:13" x14ac:dyDescent="0.35">
      <c r="A154" s="11" t="s">
        <v>258</v>
      </c>
      <c r="B154" s="11" t="s">
        <v>65</v>
      </c>
      <c r="C154" s="11"/>
      <c r="D154" s="12"/>
      <c r="E154" s="12"/>
      <c r="F154" s="11" t="s">
        <v>65</v>
      </c>
      <c r="G154" s="11" t="s">
        <v>65</v>
      </c>
      <c r="H154" s="11" t="s">
        <v>65</v>
      </c>
      <c r="I154" s="11"/>
      <c r="J154" s="11" t="s">
        <v>65</v>
      </c>
      <c r="K154" s="11"/>
      <c r="L154" s="11" t="s">
        <v>65</v>
      </c>
      <c r="M154" s="11" t="s">
        <v>65</v>
      </c>
    </row>
    <row r="155" spans="1:13" x14ac:dyDescent="0.35">
      <c r="A155" s="13" t="s">
        <v>259</v>
      </c>
      <c r="B155" s="13" t="s">
        <v>65</v>
      </c>
      <c r="C155" s="13"/>
      <c r="D155" s="14"/>
      <c r="E155" s="14"/>
      <c r="F155" s="13" t="s">
        <v>65</v>
      </c>
      <c r="G155" s="13" t="s">
        <v>65</v>
      </c>
      <c r="H155" s="13" t="s">
        <v>65</v>
      </c>
      <c r="I155" s="13"/>
      <c r="J155" s="13" t="s">
        <v>65</v>
      </c>
      <c r="K155" s="13"/>
      <c r="L155" s="13" t="s">
        <v>65</v>
      </c>
      <c r="M155" s="13" t="s">
        <v>65</v>
      </c>
    </row>
    <row r="156" spans="1:13" x14ac:dyDescent="0.35">
      <c r="A156" s="11" t="s">
        <v>260</v>
      </c>
      <c r="B156" s="11" t="s">
        <v>65</v>
      </c>
      <c r="C156" s="11"/>
      <c r="D156" s="12"/>
      <c r="E156" s="12"/>
      <c r="F156" s="11" t="s">
        <v>65</v>
      </c>
      <c r="G156" s="11" t="s">
        <v>65</v>
      </c>
      <c r="H156" s="11" t="s">
        <v>65</v>
      </c>
      <c r="I156" s="11"/>
      <c r="J156" s="11" t="s">
        <v>65</v>
      </c>
      <c r="K156" s="11"/>
      <c r="L156" s="11" t="s">
        <v>65</v>
      </c>
      <c r="M156" s="11" t="s">
        <v>65</v>
      </c>
    </row>
    <row r="157" spans="1:13" x14ac:dyDescent="0.35">
      <c r="A157" s="13" t="s">
        <v>185</v>
      </c>
      <c r="B157" s="13" t="s">
        <v>261</v>
      </c>
      <c r="C157" s="13">
        <v>4</v>
      </c>
      <c r="D157" s="14">
        <v>45018.027777777781</v>
      </c>
      <c r="E157" s="14">
        <v>45018.178472222222</v>
      </c>
      <c r="F157" s="13" t="s">
        <v>170</v>
      </c>
      <c r="G157" s="13" t="s">
        <v>73</v>
      </c>
      <c r="H157" s="13" t="s">
        <v>74</v>
      </c>
      <c r="I157" s="13">
        <v>1903</v>
      </c>
      <c r="J157" s="13" t="s">
        <v>75</v>
      </c>
      <c r="K157" s="13">
        <v>156</v>
      </c>
      <c r="L157" s="13" t="s">
        <v>181</v>
      </c>
      <c r="M157" s="13" t="s">
        <v>27</v>
      </c>
    </row>
    <row r="158" spans="1:13" x14ac:dyDescent="0.35">
      <c r="A158" s="11" t="s">
        <v>262</v>
      </c>
      <c r="B158" s="11" t="s">
        <v>65</v>
      </c>
      <c r="C158" s="11"/>
      <c r="D158" s="12"/>
      <c r="E158" s="12"/>
      <c r="F158" s="11" t="s">
        <v>65</v>
      </c>
      <c r="G158" s="11" t="s">
        <v>65</v>
      </c>
      <c r="H158" s="11" t="s">
        <v>65</v>
      </c>
      <c r="I158" s="11"/>
      <c r="J158" s="11" t="s">
        <v>65</v>
      </c>
      <c r="K158" s="11"/>
      <c r="L158" s="11" t="s">
        <v>65</v>
      </c>
      <c r="M158" s="11" t="s">
        <v>65</v>
      </c>
    </row>
    <row r="159" spans="1:13" x14ac:dyDescent="0.35">
      <c r="A159" s="13" t="s">
        <v>263</v>
      </c>
      <c r="B159" s="13" t="s">
        <v>65</v>
      </c>
      <c r="C159" s="13"/>
      <c r="D159" s="14"/>
      <c r="E159" s="14"/>
      <c r="F159" s="13" t="s">
        <v>65</v>
      </c>
      <c r="G159" s="13" t="s">
        <v>65</v>
      </c>
      <c r="H159" s="13" t="s">
        <v>65</v>
      </c>
      <c r="I159" s="13"/>
      <c r="J159" s="13" t="s">
        <v>65</v>
      </c>
      <c r="K159" s="13"/>
      <c r="L159" s="13" t="s">
        <v>65</v>
      </c>
      <c r="M159" s="13" t="s">
        <v>65</v>
      </c>
    </row>
    <row r="160" spans="1:13" x14ac:dyDescent="0.35">
      <c r="A160" s="11" t="s">
        <v>264</v>
      </c>
      <c r="B160" s="11" t="s">
        <v>65</v>
      </c>
      <c r="C160" s="11"/>
      <c r="D160" s="12"/>
      <c r="E160" s="12"/>
      <c r="F160" s="11" t="s">
        <v>65</v>
      </c>
      <c r="G160" s="11" t="s">
        <v>65</v>
      </c>
      <c r="H160" s="11" t="s">
        <v>65</v>
      </c>
      <c r="I160" s="11"/>
      <c r="J160" s="11" t="s">
        <v>65</v>
      </c>
      <c r="K160" s="11"/>
      <c r="L160" s="11" t="s">
        <v>65</v>
      </c>
      <c r="M160" s="11" t="s">
        <v>65</v>
      </c>
    </row>
    <row r="161" spans="1:13" x14ac:dyDescent="0.35">
      <c r="A161" s="13" t="s">
        <v>265</v>
      </c>
      <c r="B161" s="13" t="s">
        <v>65</v>
      </c>
      <c r="C161" s="13"/>
      <c r="D161" s="14"/>
      <c r="E161" s="14"/>
      <c r="F161" s="13" t="s">
        <v>65</v>
      </c>
      <c r="G161" s="13" t="s">
        <v>65</v>
      </c>
      <c r="H161" s="13" t="s">
        <v>65</v>
      </c>
      <c r="I161" s="13"/>
      <c r="J161" s="13" t="s">
        <v>65</v>
      </c>
      <c r="K161" s="13"/>
      <c r="L161" s="13" t="s">
        <v>65</v>
      </c>
      <c r="M161" s="13" t="s">
        <v>65</v>
      </c>
    </row>
    <row r="162" spans="1:13" x14ac:dyDescent="0.35">
      <c r="A162" s="11" t="s">
        <v>240</v>
      </c>
      <c r="B162" s="11" t="s">
        <v>266</v>
      </c>
      <c r="C162" s="11">
        <v>6</v>
      </c>
      <c r="D162" s="12">
        <v>45018.03125</v>
      </c>
      <c r="E162" s="12">
        <v>45018.182638888888</v>
      </c>
      <c r="F162" s="11" t="s">
        <v>100</v>
      </c>
      <c r="G162" s="11" t="s">
        <v>86</v>
      </c>
      <c r="H162" s="11" t="s">
        <v>74</v>
      </c>
      <c r="I162" s="11">
        <v>1886</v>
      </c>
      <c r="J162" s="11" t="s">
        <v>94</v>
      </c>
      <c r="K162" s="11">
        <v>161</v>
      </c>
      <c r="L162" s="11" t="s">
        <v>221</v>
      </c>
      <c r="M162" s="11" t="s">
        <v>27</v>
      </c>
    </row>
    <row r="163" spans="1:13" x14ac:dyDescent="0.35">
      <c r="A163" s="13" t="s">
        <v>267</v>
      </c>
      <c r="B163" s="13" t="s">
        <v>268</v>
      </c>
      <c r="C163" s="13">
        <v>4</v>
      </c>
      <c r="D163" s="14">
        <v>45018.039583333331</v>
      </c>
      <c r="E163" s="14">
        <v>45018.106944444444</v>
      </c>
      <c r="F163" s="13" t="s">
        <v>223</v>
      </c>
      <c r="G163" s="13" t="s">
        <v>86</v>
      </c>
      <c r="H163" s="13" t="s">
        <v>74</v>
      </c>
      <c r="I163" s="13">
        <v>1755</v>
      </c>
      <c r="J163" s="13" t="s">
        <v>94</v>
      </c>
      <c r="K163" s="13">
        <v>162</v>
      </c>
      <c r="L163" s="13" t="s">
        <v>221</v>
      </c>
      <c r="M163" s="13" t="s">
        <v>9</v>
      </c>
    </row>
    <row r="164" spans="1:13" x14ac:dyDescent="0.35">
      <c r="A164" s="11" t="s">
        <v>269</v>
      </c>
      <c r="B164" s="11" t="s">
        <v>65</v>
      </c>
      <c r="C164" s="11"/>
      <c r="D164" s="12"/>
      <c r="E164" s="12"/>
      <c r="F164" s="11" t="s">
        <v>65</v>
      </c>
      <c r="G164" s="11" t="s">
        <v>65</v>
      </c>
      <c r="H164" s="11" t="s">
        <v>65</v>
      </c>
      <c r="I164" s="11"/>
      <c r="J164" s="11" t="s">
        <v>65</v>
      </c>
      <c r="K164" s="11"/>
      <c r="L164" s="11" t="s">
        <v>65</v>
      </c>
      <c r="M164" s="11" t="s">
        <v>65</v>
      </c>
    </row>
    <row r="165" spans="1:13" x14ac:dyDescent="0.35">
      <c r="A165" s="13" t="s">
        <v>270</v>
      </c>
      <c r="B165" s="13" t="s">
        <v>65</v>
      </c>
      <c r="C165" s="13"/>
      <c r="D165" s="14"/>
      <c r="E165" s="14"/>
      <c r="F165" s="13" t="s">
        <v>65</v>
      </c>
      <c r="G165" s="13" t="s">
        <v>65</v>
      </c>
      <c r="H165" s="13" t="s">
        <v>65</v>
      </c>
      <c r="I165" s="13"/>
      <c r="J165" s="13" t="s">
        <v>65</v>
      </c>
      <c r="K165" s="13"/>
      <c r="L165" s="13" t="s">
        <v>65</v>
      </c>
      <c r="M165" s="13" t="s">
        <v>65</v>
      </c>
    </row>
    <row r="166" spans="1:13" x14ac:dyDescent="0.35">
      <c r="A166" s="11" t="s">
        <v>271</v>
      </c>
      <c r="B166" s="11" t="s">
        <v>65</v>
      </c>
      <c r="C166" s="11"/>
      <c r="D166" s="12"/>
      <c r="E166" s="12"/>
      <c r="F166" s="11" t="s">
        <v>65</v>
      </c>
      <c r="G166" s="11" t="s">
        <v>65</v>
      </c>
      <c r="H166" s="11" t="s">
        <v>65</v>
      </c>
      <c r="I166" s="11"/>
      <c r="J166" s="11" t="s">
        <v>65</v>
      </c>
      <c r="K166" s="11"/>
      <c r="L166" s="11" t="s">
        <v>65</v>
      </c>
      <c r="M166" s="11" t="s">
        <v>65</v>
      </c>
    </row>
    <row r="167" spans="1:13" x14ac:dyDescent="0.35">
      <c r="A167" s="13" t="s">
        <v>107</v>
      </c>
      <c r="B167" s="13" t="s">
        <v>272</v>
      </c>
      <c r="C167" s="13">
        <v>1</v>
      </c>
      <c r="D167" s="14">
        <v>45018.054166666669</v>
      </c>
      <c r="E167" s="14">
        <v>45018.113888888889</v>
      </c>
      <c r="F167" s="13" t="s">
        <v>72</v>
      </c>
      <c r="G167" s="13" t="s">
        <v>86</v>
      </c>
      <c r="H167" s="13" t="s">
        <v>87</v>
      </c>
      <c r="I167" s="13">
        <v>4395</v>
      </c>
      <c r="J167" s="13" t="s">
        <v>88</v>
      </c>
      <c r="K167" s="13">
        <v>166</v>
      </c>
      <c r="L167" s="13" t="s">
        <v>76</v>
      </c>
      <c r="M167" s="13" t="s">
        <v>41</v>
      </c>
    </row>
    <row r="168" spans="1:13" x14ac:dyDescent="0.35">
      <c r="A168" s="11" t="s">
        <v>273</v>
      </c>
      <c r="B168" s="11" t="s">
        <v>65</v>
      </c>
      <c r="C168" s="11"/>
      <c r="D168" s="12"/>
      <c r="E168" s="12"/>
      <c r="F168" s="11" t="s">
        <v>65</v>
      </c>
      <c r="G168" s="11" t="s">
        <v>65</v>
      </c>
      <c r="H168" s="11" t="s">
        <v>65</v>
      </c>
      <c r="I168" s="11"/>
      <c r="J168" s="11" t="s">
        <v>65</v>
      </c>
      <c r="K168" s="11"/>
      <c r="L168" s="11" t="s">
        <v>65</v>
      </c>
      <c r="M168" s="11" t="s">
        <v>65</v>
      </c>
    </row>
    <row r="169" spans="1:13" x14ac:dyDescent="0.35">
      <c r="A169" s="13" t="s">
        <v>132</v>
      </c>
      <c r="B169" s="13" t="s">
        <v>274</v>
      </c>
      <c r="C169" s="13">
        <v>4</v>
      </c>
      <c r="D169" s="14">
        <v>45018.086805555555</v>
      </c>
      <c r="E169" s="14">
        <v>45018.140972222223</v>
      </c>
      <c r="F169" s="13" t="s">
        <v>223</v>
      </c>
      <c r="G169" s="13" t="s">
        <v>86</v>
      </c>
      <c r="H169" s="13" t="s">
        <v>74</v>
      </c>
      <c r="I169" s="13">
        <v>1709</v>
      </c>
      <c r="J169" s="13" t="s">
        <v>94</v>
      </c>
      <c r="K169" s="13">
        <v>168</v>
      </c>
      <c r="L169" s="13" t="s">
        <v>275</v>
      </c>
      <c r="M169" s="13" t="s">
        <v>35</v>
      </c>
    </row>
    <row r="170" spans="1:13" x14ac:dyDescent="0.35">
      <c r="A170" s="11" t="s">
        <v>276</v>
      </c>
      <c r="B170" s="11" t="s">
        <v>65</v>
      </c>
      <c r="C170" s="11"/>
      <c r="D170" s="12"/>
      <c r="E170" s="12"/>
      <c r="F170" s="11" t="s">
        <v>65</v>
      </c>
      <c r="G170" s="11" t="s">
        <v>65</v>
      </c>
      <c r="H170" s="11" t="s">
        <v>65</v>
      </c>
      <c r="I170" s="11"/>
      <c r="J170" s="11" t="s">
        <v>65</v>
      </c>
      <c r="K170" s="11"/>
      <c r="L170" s="11" t="s">
        <v>65</v>
      </c>
      <c r="M170" s="11" t="s">
        <v>65</v>
      </c>
    </row>
    <row r="171" spans="1:13" x14ac:dyDescent="0.35">
      <c r="A171" s="13" t="s">
        <v>277</v>
      </c>
      <c r="B171" s="13" t="s">
        <v>65</v>
      </c>
      <c r="C171" s="13"/>
      <c r="D171" s="14"/>
      <c r="E171" s="14"/>
      <c r="F171" s="13" t="s">
        <v>65</v>
      </c>
      <c r="G171" s="13" t="s">
        <v>65</v>
      </c>
      <c r="H171" s="13" t="s">
        <v>65</v>
      </c>
      <c r="I171" s="13"/>
      <c r="J171" s="13" t="s">
        <v>65</v>
      </c>
      <c r="K171" s="13"/>
      <c r="L171" s="13" t="s">
        <v>65</v>
      </c>
      <c r="M171" s="13" t="s">
        <v>65</v>
      </c>
    </row>
    <row r="172" spans="1:13" x14ac:dyDescent="0.35">
      <c r="A172" s="11" t="s">
        <v>278</v>
      </c>
      <c r="B172" s="11" t="s">
        <v>65</v>
      </c>
      <c r="C172" s="11"/>
      <c r="D172" s="12"/>
      <c r="E172" s="12"/>
      <c r="F172" s="11" t="s">
        <v>65</v>
      </c>
      <c r="G172" s="11" t="s">
        <v>65</v>
      </c>
      <c r="H172" s="11" t="s">
        <v>65</v>
      </c>
      <c r="I172" s="11"/>
      <c r="J172" s="11" t="s">
        <v>65</v>
      </c>
      <c r="K172" s="11"/>
      <c r="L172" s="11" t="s">
        <v>65</v>
      </c>
      <c r="M172" s="11" t="s">
        <v>65</v>
      </c>
    </row>
    <row r="173" spans="1:13" x14ac:dyDescent="0.35">
      <c r="A173" s="13" t="s">
        <v>107</v>
      </c>
      <c r="B173" s="13" t="s">
        <v>279</v>
      </c>
      <c r="C173" s="13">
        <v>3</v>
      </c>
      <c r="D173" s="14">
        <v>45018.117361111108</v>
      </c>
      <c r="E173" s="14">
        <v>45018.254166666666</v>
      </c>
      <c r="F173" s="13" t="s">
        <v>223</v>
      </c>
      <c r="G173" s="13" t="s">
        <v>86</v>
      </c>
      <c r="H173" s="13" t="s">
        <v>74</v>
      </c>
      <c r="I173" s="13">
        <v>4517</v>
      </c>
      <c r="J173" s="13" t="s">
        <v>88</v>
      </c>
      <c r="K173" s="13">
        <v>172</v>
      </c>
      <c r="L173" s="13" t="s">
        <v>95</v>
      </c>
      <c r="M173" s="13" t="s">
        <v>37</v>
      </c>
    </row>
    <row r="174" spans="1:13" x14ac:dyDescent="0.35">
      <c r="A174" s="11" t="s">
        <v>280</v>
      </c>
      <c r="B174" s="11" t="s">
        <v>65</v>
      </c>
      <c r="C174" s="11"/>
      <c r="D174" s="12"/>
      <c r="E174" s="12"/>
      <c r="F174" s="11" t="s">
        <v>65</v>
      </c>
      <c r="G174" s="11" t="s">
        <v>65</v>
      </c>
      <c r="H174" s="11" t="s">
        <v>65</v>
      </c>
      <c r="I174" s="11"/>
      <c r="J174" s="11" t="s">
        <v>65</v>
      </c>
      <c r="K174" s="11"/>
      <c r="L174" s="11" t="s">
        <v>65</v>
      </c>
      <c r="M174" s="11" t="s">
        <v>65</v>
      </c>
    </row>
    <row r="175" spans="1:13" x14ac:dyDescent="0.35">
      <c r="A175" s="13" t="s">
        <v>232</v>
      </c>
      <c r="B175" s="13" t="s">
        <v>281</v>
      </c>
      <c r="C175" s="13">
        <v>5</v>
      </c>
      <c r="D175" s="14">
        <v>45018.006249999999</v>
      </c>
      <c r="E175" s="14">
        <v>45018.05</v>
      </c>
      <c r="F175" s="13" t="s">
        <v>72</v>
      </c>
      <c r="G175" s="13" t="s">
        <v>86</v>
      </c>
      <c r="H175" s="13" t="s">
        <v>74</v>
      </c>
      <c r="I175" s="13">
        <v>4824</v>
      </c>
      <c r="J175" s="13" t="s">
        <v>94</v>
      </c>
      <c r="K175" s="13">
        <v>174</v>
      </c>
      <c r="L175" s="13" t="s">
        <v>275</v>
      </c>
      <c r="M175" s="13" t="s">
        <v>12</v>
      </c>
    </row>
    <row r="176" spans="1:13" x14ac:dyDescent="0.35">
      <c r="A176" s="11" t="s">
        <v>282</v>
      </c>
      <c r="B176" s="11" t="s">
        <v>65</v>
      </c>
      <c r="C176" s="11"/>
      <c r="D176" s="12"/>
      <c r="E176" s="12"/>
      <c r="F176" s="11" t="s">
        <v>65</v>
      </c>
      <c r="G176" s="11" t="s">
        <v>65</v>
      </c>
      <c r="H176" s="11" t="s">
        <v>65</v>
      </c>
      <c r="I176" s="11"/>
      <c r="J176" s="11" t="s">
        <v>65</v>
      </c>
      <c r="K176" s="11"/>
      <c r="L176" s="11" t="s">
        <v>65</v>
      </c>
      <c r="M176" s="11" t="s">
        <v>65</v>
      </c>
    </row>
    <row r="177" spans="1:13" x14ac:dyDescent="0.35">
      <c r="A177" s="13" t="s">
        <v>92</v>
      </c>
      <c r="B177" s="13" t="s">
        <v>283</v>
      </c>
      <c r="C177" s="13">
        <v>4</v>
      </c>
      <c r="D177" s="14">
        <v>45018.102083333331</v>
      </c>
      <c r="E177" s="14">
        <v>45018.188888888886</v>
      </c>
      <c r="F177" s="13" t="s">
        <v>100</v>
      </c>
      <c r="G177" s="13" t="s">
        <v>86</v>
      </c>
      <c r="H177" s="13" t="s">
        <v>74</v>
      </c>
      <c r="I177" s="13">
        <v>305</v>
      </c>
      <c r="J177" s="13" t="s">
        <v>88</v>
      </c>
      <c r="K177" s="13">
        <v>176</v>
      </c>
      <c r="L177" s="13" t="s">
        <v>101</v>
      </c>
      <c r="M177" s="13" t="s">
        <v>43</v>
      </c>
    </row>
    <row r="178" spans="1:13" x14ac:dyDescent="0.35">
      <c r="A178" s="11" t="s">
        <v>284</v>
      </c>
      <c r="B178" s="11" t="s">
        <v>65</v>
      </c>
      <c r="C178" s="11"/>
      <c r="D178" s="12"/>
      <c r="E178" s="12"/>
      <c r="F178" s="11" t="s">
        <v>65</v>
      </c>
      <c r="G178" s="11" t="s">
        <v>65</v>
      </c>
      <c r="H178" s="11" t="s">
        <v>65</v>
      </c>
      <c r="I178" s="11"/>
      <c r="J178" s="11" t="s">
        <v>65</v>
      </c>
      <c r="K178" s="11"/>
      <c r="L178" s="11" t="s">
        <v>65</v>
      </c>
      <c r="M178" s="11" t="s">
        <v>65</v>
      </c>
    </row>
    <row r="179" spans="1:13" x14ac:dyDescent="0.35">
      <c r="A179" s="13" t="s">
        <v>285</v>
      </c>
      <c r="B179" s="13" t="s">
        <v>65</v>
      </c>
      <c r="C179" s="13"/>
      <c r="D179" s="14"/>
      <c r="E179" s="14"/>
      <c r="F179" s="13" t="s">
        <v>65</v>
      </c>
      <c r="G179" s="13" t="s">
        <v>65</v>
      </c>
      <c r="H179" s="13" t="s">
        <v>65</v>
      </c>
      <c r="I179" s="13"/>
      <c r="J179" s="13" t="s">
        <v>65</v>
      </c>
      <c r="K179" s="13"/>
      <c r="L179" s="13" t="s">
        <v>65</v>
      </c>
      <c r="M179" s="13" t="s">
        <v>65</v>
      </c>
    </row>
    <row r="180" spans="1:13" x14ac:dyDescent="0.35">
      <c r="A180" s="11" t="s">
        <v>107</v>
      </c>
      <c r="B180" s="11" t="s">
        <v>286</v>
      </c>
      <c r="C180" s="11">
        <v>2</v>
      </c>
      <c r="D180" s="12">
        <v>45018.030555555553</v>
      </c>
      <c r="E180" s="12">
        <v>45018.130555555559</v>
      </c>
      <c r="F180" s="11" t="s">
        <v>72</v>
      </c>
      <c r="G180" s="11" t="s">
        <v>163</v>
      </c>
      <c r="H180" s="11" t="s">
        <v>74</v>
      </c>
      <c r="I180" s="11">
        <v>133</v>
      </c>
      <c r="J180" s="11" t="s">
        <v>94</v>
      </c>
      <c r="K180" s="11">
        <v>179</v>
      </c>
      <c r="L180" s="11" t="s">
        <v>110</v>
      </c>
      <c r="M180" s="11" t="s">
        <v>15</v>
      </c>
    </row>
    <row r="181" spans="1:13" x14ac:dyDescent="0.35">
      <c r="A181" s="13" t="s">
        <v>287</v>
      </c>
      <c r="B181" s="13" t="s">
        <v>65</v>
      </c>
      <c r="C181" s="13"/>
      <c r="D181" s="14"/>
      <c r="E181" s="14"/>
      <c r="F181" s="13" t="s">
        <v>65</v>
      </c>
      <c r="G181" s="13" t="s">
        <v>65</v>
      </c>
      <c r="H181" s="13" t="s">
        <v>65</v>
      </c>
      <c r="I181" s="13"/>
      <c r="J181" s="13" t="s">
        <v>65</v>
      </c>
      <c r="K181" s="13"/>
      <c r="L181" s="13" t="s">
        <v>65</v>
      </c>
      <c r="M181" s="13" t="s">
        <v>65</v>
      </c>
    </row>
    <row r="182" spans="1:13" x14ac:dyDescent="0.35">
      <c r="A182" s="11" t="s">
        <v>125</v>
      </c>
      <c r="B182" s="11" t="s">
        <v>288</v>
      </c>
      <c r="C182" s="11">
        <v>1</v>
      </c>
      <c r="D182" s="12">
        <v>45018.114583333336</v>
      </c>
      <c r="E182" s="12">
        <v>45018.162499999999</v>
      </c>
      <c r="F182" s="11" t="s">
        <v>223</v>
      </c>
      <c r="G182" s="11" t="s">
        <v>73</v>
      </c>
      <c r="H182" s="11" t="s">
        <v>74</v>
      </c>
      <c r="I182" s="11">
        <v>4258</v>
      </c>
      <c r="J182" s="11" t="s">
        <v>88</v>
      </c>
      <c r="K182" s="11">
        <v>181</v>
      </c>
      <c r="L182" s="11" t="s">
        <v>221</v>
      </c>
      <c r="M182" s="11" t="s">
        <v>17</v>
      </c>
    </row>
    <row r="183" spans="1:13" x14ac:dyDescent="0.35">
      <c r="A183" s="13" t="s">
        <v>98</v>
      </c>
      <c r="B183" s="13" t="s">
        <v>289</v>
      </c>
      <c r="C183" s="13">
        <v>2</v>
      </c>
      <c r="D183" s="14">
        <v>45018.161805555559</v>
      </c>
      <c r="E183" s="14">
        <v>45018.270833333336</v>
      </c>
      <c r="F183" s="13" t="s">
        <v>170</v>
      </c>
      <c r="G183" s="13" t="s">
        <v>86</v>
      </c>
      <c r="H183" s="13" t="s">
        <v>109</v>
      </c>
      <c r="I183" s="13">
        <v>3836</v>
      </c>
      <c r="J183" s="13" t="s">
        <v>75</v>
      </c>
      <c r="K183" s="13">
        <v>182</v>
      </c>
      <c r="L183" s="13" t="s">
        <v>221</v>
      </c>
      <c r="M183" s="13" t="s">
        <v>29</v>
      </c>
    </row>
    <row r="184" spans="1:13" x14ac:dyDescent="0.35">
      <c r="A184" s="11" t="s">
        <v>290</v>
      </c>
      <c r="B184" s="11" t="s">
        <v>65</v>
      </c>
      <c r="C184" s="11"/>
      <c r="D184" s="12"/>
      <c r="E184" s="12"/>
      <c r="F184" s="11" t="s">
        <v>65</v>
      </c>
      <c r="G184" s="11" t="s">
        <v>65</v>
      </c>
      <c r="H184" s="11" t="s">
        <v>65</v>
      </c>
      <c r="I184" s="11"/>
      <c r="J184" s="11" t="s">
        <v>65</v>
      </c>
      <c r="K184" s="11"/>
      <c r="L184" s="11" t="s">
        <v>65</v>
      </c>
      <c r="M184" s="11" t="s">
        <v>65</v>
      </c>
    </row>
    <row r="185" spans="1:13" x14ac:dyDescent="0.35">
      <c r="A185" s="13" t="s">
        <v>291</v>
      </c>
      <c r="B185" s="13" t="s">
        <v>65</v>
      </c>
      <c r="C185" s="13"/>
      <c r="D185" s="14"/>
      <c r="E185" s="14"/>
      <c r="F185" s="13" t="s">
        <v>65</v>
      </c>
      <c r="G185" s="13" t="s">
        <v>65</v>
      </c>
      <c r="H185" s="13" t="s">
        <v>65</v>
      </c>
      <c r="I185" s="13"/>
      <c r="J185" s="13" t="s">
        <v>65</v>
      </c>
      <c r="K185" s="13"/>
      <c r="L185" s="13" t="s">
        <v>65</v>
      </c>
      <c r="M185" s="13" t="s">
        <v>65</v>
      </c>
    </row>
    <row r="186" spans="1:13" x14ac:dyDescent="0.35">
      <c r="A186" s="11" t="s">
        <v>292</v>
      </c>
      <c r="B186" s="11" t="s">
        <v>65</v>
      </c>
      <c r="C186" s="11"/>
      <c r="D186" s="12"/>
      <c r="E186" s="12"/>
      <c r="F186" s="11" t="s">
        <v>65</v>
      </c>
      <c r="G186" s="11" t="s">
        <v>65</v>
      </c>
      <c r="H186" s="11" t="s">
        <v>65</v>
      </c>
      <c r="I186" s="11"/>
      <c r="J186" s="11" t="s">
        <v>65</v>
      </c>
      <c r="K186" s="11"/>
      <c r="L186" s="11" t="s">
        <v>65</v>
      </c>
      <c r="M186" s="11" t="s">
        <v>65</v>
      </c>
    </row>
    <row r="187" spans="1:13" x14ac:dyDescent="0.35">
      <c r="A187" s="13" t="s">
        <v>293</v>
      </c>
      <c r="B187" s="13" t="s">
        <v>65</v>
      </c>
      <c r="C187" s="13"/>
      <c r="D187" s="14"/>
      <c r="E187" s="14"/>
      <c r="F187" s="13" t="s">
        <v>65</v>
      </c>
      <c r="G187" s="13" t="s">
        <v>65</v>
      </c>
      <c r="H187" s="13" t="s">
        <v>65</v>
      </c>
      <c r="I187" s="13"/>
      <c r="J187" s="13" t="s">
        <v>65</v>
      </c>
      <c r="K187" s="13"/>
      <c r="L187" s="13" t="s">
        <v>65</v>
      </c>
      <c r="M187" s="13" t="s">
        <v>65</v>
      </c>
    </row>
    <row r="188" spans="1:13" x14ac:dyDescent="0.35">
      <c r="A188" s="11" t="s">
        <v>294</v>
      </c>
      <c r="B188" s="11" t="s">
        <v>65</v>
      </c>
      <c r="C188" s="11"/>
      <c r="D188" s="12"/>
      <c r="E188" s="12"/>
      <c r="F188" s="11" t="s">
        <v>65</v>
      </c>
      <c r="G188" s="11" t="s">
        <v>65</v>
      </c>
      <c r="H188" s="11" t="s">
        <v>65</v>
      </c>
      <c r="I188" s="11"/>
      <c r="J188" s="11" t="s">
        <v>65</v>
      </c>
      <c r="K188" s="11"/>
      <c r="L188" s="11" t="s">
        <v>65</v>
      </c>
      <c r="M188" s="11" t="s">
        <v>65</v>
      </c>
    </row>
    <row r="189" spans="1:13" x14ac:dyDescent="0.35">
      <c r="A189" s="13" t="s">
        <v>295</v>
      </c>
      <c r="B189" s="13" t="s">
        <v>65</v>
      </c>
      <c r="C189" s="13"/>
      <c r="D189" s="14"/>
      <c r="E189" s="14"/>
      <c r="F189" s="13" t="s">
        <v>65</v>
      </c>
      <c r="G189" s="13" t="s">
        <v>65</v>
      </c>
      <c r="H189" s="13" t="s">
        <v>65</v>
      </c>
      <c r="I189" s="13"/>
      <c r="J189" s="13" t="s">
        <v>65</v>
      </c>
      <c r="K189" s="13"/>
      <c r="L189" s="13" t="s">
        <v>65</v>
      </c>
      <c r="M189" s="13" t="s">
        <v>65</v>
      </c>
    </row>
    <row r="190" spans="1:13" x14ac:dyDescent="0.35">
      <c r="A190" s="11" t="s">
        <v>296</v>
      </c>
      <c r="B190" s="11" t="s">
        <v>65</v>
      </c>
      <c r="C190" s="11"/>
      <c r="D190" s="12"/>
      <c r="E190" s="12"/>
      <c r="F190" s="11" t="s">
        <v>65</v>
      </c>
      <c r="G190" s="11" t="s">
        <v>65</v>
      </c>
      <c r="H190" s="11" t="s">
        <v>65</v>
      </c>
      <c r="I190" s="11"/>
      <c r="J190" s="11" t="s">
        <v>65</v>
      </c>
      <c r="K190" s="11"/>
      <c r="L190" s="11" t="s">
        <v>65</v>
      </c>
      <c r="M190" s="11" t="s">
        <v>65</v>
      </c>
    </row>
    <row r="191" spans="1:13" x14ac:dyDescent="0.35">
      <c r="A191" s="13" t="s">
        <v>297</v>
      </c>
      <c r="B191" s="13" t="s">
        <v>65</v>
      </c>
      <c r="C191" s="13"/>
      <c r="D191" s="14"/>
      <c r="E191" s="14"/>
      <c r="F191" s="13" t="s">
        <v>65</v>
      </c>
      <c r="G191" s="13" t="s">
        <v>65</v>
      </c>
      <c r="H191" s="13" t="s">
        <v>65</v>
      </c>
      <c r="I191" s="13"/>
      <c r="J191" s="13" t="s">
        <v>65</v>
      </c>
      <c r="K191" s="13"/>
      <c r="L191" s="13" t="s">
        <v>65</v>
      </c>
      <c r="M191" s="13" t="s">
        <v>65</v>
      </c>
    </row>
    <row r="192" spans="1:13" x14ac:dyDescent="0.35">
      <c r="A192" s="11" t="s">
        <v>298</v>
      </c>
      <c r="B192" s="11" t="s">
        <v>65</v>
      </c>
      <c r="C192" s="11"/>
      <c r="D192" s="12"/>
      <c r="E192" s="12"/>
      <c r="F192" s="11" t="s">
        <v>65</v>
      </c>
      <c r="G192" s="11" t="s">
        <v>65</v>
      </c>
      <c r="H192" s="11" t="s">
        <v>65</v>
      </c>
      <c r="I192" s="11"/>
      <c r="J192" s="11" t="s">
        <v>65</v>
      </c>
      <c r="K192" s="11"/>
      <c r="L192" s="11" t="s">
        <v>65</v>
      </c>
      <c r="M192" s="11" t="s">
        <v>65</v>
      </c>
    </row>
    <row r="193" spans="1:13" x14ac:dyDescent="0.35">
      <c r="A193" s="13" t="s">
        <v>132</v>
      </c>
      <c r="B193" s="13" t="s">
        <v>299</v>
      </c>
      <c r="C193" s="13">
        <v>4</v>
      </c>
      <c r="D193" s="14">
        <v>45018.10833333333</v>
      </c>
      <c r="E193" s="14">
        <v>45018.203472222223</v>
      </c>
      <c r="F193" s="13" t="s">
        <v>100</v>
      </c>
      <c r="G193" s="13" t="s">
        <v>163</v>
      </c>
      <c r="H193" s="13" t="s">
        <v>87</v>
      </c>
      <c r="I193" s="13">
        <v>1599</v>
      </c>
      <c r="J193" s="13" t="s">
        <v>75</v>
      </c>
      <c r="K193" s="13">
        <v>192</v>
      </c>
      <c r="L193" s="13" t="s">
        <v>101</v>
      </c>
      <c r="M193" s="13" t="s">
        <v>49</v>
      </c>
    </row>
    <row r="194" spans="1:13" x14ac:dyDescent="0.35">
      <c r="A194" s="11" t="s">
        <v>300</v>
      </c>
      <c r="B194" s="11" t="s">
        <v>65</v>
      </c>
      <c r="C194" s="11"/>
      <c r="D194" s="12"/>
      <c r="E194" s="12"/>
      <c r="F194" s="11" t="s">
        <v>65</v>
      </c>
      <c r="G194" s="11" t="s">
        <v>65</v>
      </c>
      <c r="H194" s="11" t="s">
        <v>65</v>
      </c>
      <c r="I194" s="11"/>
      <c r="J194" s="11" t="s">
        <v>65</v>
      </c>
      <c r="K194" s="11"/>
      <c r="L194" s="11" t="s">
        <v>65</v>
      </c>
      <c r="M194" s="11" t="s">
        <v>65</v>
      </c>
    </row>
    <row r="195" spans="1:13" x14ac:dyDescent="0.35">
      <c r="A195" s="13" t="s">
        <v>301</v>
      </c>
      <c r="B195" s="13" t="s">
        <v>65</v>
      </c>
      <c r="C195" s="13"/>
      <c r="D195" s="14"/>
      <c r="E195" s="14"/>
      <c r="F195" s="13" t="s">
        <v>65</v>
      </c>
      <c r="G195" s="13" t="s">
        <v>65</v>
      </c>
      <c r="H195" s="13" t="s">
        <v>65</v>
      </c>
      <c r="I195" s="13"/>
      <c r="J195" s="13" t="s">
        <v>65</v>
      </c>
      <c r="K195" s="13"/>
      <c r="L195" s="13" t="s">
        <v>65</v>
      </c>
      <c r="M195" s="13" t="s">
        <v>65</v>
      </c>
    </row>
    <row r="196" spans="1:13" x14ac:dyDescent="0.35">
      <c r="A196" s="11" t="s">
        <v>83</v>
      </c>
      <c r="B196" s="11" t="s">
        <v>302</v>
      </c>
      <c r="C196" s="11">
        <v>1</v>
      </c>
      <c r="D196" s="12">
        <v>45018.12777777778</v>
      </c>
      <c r="E196" s="12">
        <v>45018.17291666667</v>
      </c>
      <c r="F196" s="11" t="s">
        <v>170</v>
      </c>
      <c r="G196" s="11" t="s">
        <v>86</v>
      </c>
      <c r="H196" s="11" t="s">
        <v>109</v>
      </c>
      <c r="I196" s="11">
        <v>1006</v>
      </c>
      <c r="J196" s="11" t="s">
        <v>88</v>
      </c>
      <c r="K196" s="11">
        <v>195</v>
      </c>
      <c r="L196" s="11" t="s">
        <v>110</v>
      </c>
      <c r="M196" s="11" t="s">
        <v>49</v>
      </c>
    </row>
    <row r="197" spans="1:13" x14ac:dyDescent="0.35">
      <c r="A197" s="13" t="s">
        <v>303</v>
      </c>
      <c r="B197" s="13" t="s">
        <v>65</v>
      </c>
      <c r="C197" s="13"/>
      <c r="D197" s="14"/>
      <c r="E197" s="14"/>
      <c r="F197" s="13" t="s">
        <v>65</v>
      </c>
      <c r="G197" s="13" t="s">
        <v>65</v>
      </c>
      <c r="H197" s="13" t="s">
        <v>65</v>
      </c>
      <c r="I197" s="13"/>
      <c r="J197" s="13" t="s">
        <v>65</v>
      </c>
      <c r="K197" s="13"/>
      <c r="L197" s="13" t="s">
        <v>65</v>
      </c>
      <c r="M197" s="13" t="s">
        <v>65</v>
      </c>
    </row>
    <row r="198" spans="1:13" x14ac:dyDescent="0.35">
      <c r="A198" s="11" t="s">
        <v>304</v>
      </c>
      <c r="B198" s="11" t="s">
        <v>65</v>
      </c>
      <c r="C198" s="11"/>
      <c r="D198" s="12"/>
      <c r="E198" s="12"/>
      <c r="F198" s="11" t="s">
        <v>65</v>
      </c>
      <c r="G198" s="11" t="s">
        <v>65</v>
      </c>
      <c r="H198" s="11" t="s">
        <v>65</v>
      </c>
      <c r="I198" s="11"/>
      <c r="J198" s="11" t="s">
        <v>65</v>
      </c>
      <c r="K198" s="11"/>
      <c r="L198" s="11" t="s">
        <v>65</v>
      </c>
      <c r="M198" s="11" t="s">
        <v>65</v>
      </c>
    </row>
    <row r="199" spans="1:13" x14ac:dyDescent="0.35">
      <c r="A199" s="13" t="s">
        <v>247</v>
      </c>
      <c r="B199" s="13" t="s">
        <v>305</v>
      </c>
      <c r="C199" s="13">
        <v>4</v>
      </c>
      <c r="D199" s="14">
        <v>45018.025000000001</v>
      </c>
      <c r="E199" s="14">
        <v>45018.128472222219</v>
      </c>
      <c r="F199" s="13" t="s">
        <v>223</v>
      </c>
      <c r="G199" s="13" t="s">
        <v>86</v>
      </c>
      <c r="H199" s="13" t="s">
        <v>74</v>
      </c>
      <c r="I199" s="13">
        <v>3672</v>
      </c>
      <c r="J199" s="13" t="s">
        <v>94</v>
      </c>
      <c r="K199" s="13">
        <v>198</v>
      </c>
      <c r="L199" s="13" t="s">
        <v>181</v>
      </c>
      <c r="M199" s="13" t="s">
        <v>17</v>
      </c>
    </row>
    <row r="200" spans="1:13" x14ac:dyDescent="0.35">
      <c r="A200" s="11" t="s">
        <v>306</v>
      </c>
      <c r="B200" s="11" t="s">
        <v>65</v>
      </c>
      <c r="C200" s="11"/>
      <c r="D200" s="12"/>
      <c r="E200" s="12"/>
      <c r="F200" s="11" t="s">
        <v>65</v>
      </c>
      <c r="G200" s="11" t="s">
        <v>65</v>
      </c>
      <c r="H200" s="11" t="s">
        <v>65</v>
      </c>
      <c r="I200" s="11"/>
      <c r="J200" s="11" t="s">
        <v>65</v>
      </c>
      <c r="K200" s="11"/>
      <c r="L200" s="11" t="s">
        <v>65</v>
      </c>
      <c r="M200" s="11" t="s">
        <v>65</v>
      </c>
    </row>
    <row r="201" spans="1:13" x14ac:dyDescent="0.35">
      <c r="A201" s="13" t="s">
        <v>307</v>
      </c>
      <c r="B201" s="13" t="s">
        <v>65</v>
      </c>
      <c r="C201" s="13"/>
      <c r="D201" s="14"/>
      <c r="E201" s="14"/>
      <c r="F201" s="13" t="s">
        <v>65</v>
      </c>
      <c r="G201" s="13" t="s">
        <v>65</v>
      </c>
      <c r="H201" s="13" t="s">
        <v>65</v>
      </c>
      <c r="I201" s="13"/>
      <c r="J201" s="13" t="s">
        <v>65</v>
      </c>
      <c r="K201" s="13"/>
      <c r="L201" s="13" t="s">
        <v>65</v>
      </c>
      <c r="M201" s="13" t="s">
        <v>65</v>
      </c>
    </row>
    <row r="202" spans="1:13" x14ac:dyDescent="0.35">
      <c r="A202" s="11" t="s">
        <v>308</v>
      </c>
      <c r="B202" s="11" t="s">
        <v>309</v>
      </c>
      <c r="C202" s="11">
        <v>5</v>
      </c>
      <c r="D202" s="12">
        <v>45018.012499999997</v>
      </c>
      <c r="E202" s="12">
        <v>45018.076388888891</v>
      </c>
      <c r="F202" s="11" t="s">
        <v>223</v>
      </c>
      <c r="G202" s="11" t="s">
        <v>73</v>
      </c>
      <c r="H202" s="11" t="s">
        <v>74</v>
      </c>
      <c r="I202" s="11">
        <v>1984</v>
      </c>
      <c r="J202" s="11" t="s">
        <v>94</v>
      </c>
      <c r="K202" s="11">
        <v>201</v>
      </c>
      <c r="L202" s="11" t="s">
        <v>76</v>
      </c>
      <c r="M202" s="11" t="s">
        <v>9</v>
      </c>
    </row>
    <row r="203" spans="1:13" x14ac:dyDescent="0.35">
      <c r="A203" s="13" t="s">
        <v>310</v>
      </c>
      <c r="B203" s="13" t="s">
        <v>65</v>
      </c>
      <c r="C203" s="13"/>
      <c r="D203" s="14"/>
      <c r="E203" s="14"/>
      <c r="F203" s="13" t="s">
        <v>65</v>
      </c>
      <c r="G203" s="13" t="s">
        <v>65</v>
      </c>
      <c r="H203" s="13" t="s">
        <v>65</v>
      </c>
      <c r="I203" s="13"/>
      <c r="J203" s="13" t="s">
        <v>65</v>
      </c>
      <c r="K203" s="13"/>
      <c r="L203" s="13" t="s">
        <v>65</v>
      </c>
      <c r="M203" s="13" t="s">
        <v>65</v>
      </c>
    </row>
    <row r="204" spans="1:13" x14ac:dyDescent="0.35">
      <c r="A204" s="11" t="s">
        <v>311</v>
      </c>
      <c r="B204" s="11" t="s">
        <v>65</v>
      </c>
      <c r="C204" s="11"/>
      <c r="D204" s="12"/>
      <c r="E204" s="12"/>
      <c r="F204" s="11" t="s">
        <v>65</v>
      </c>
      <c r="G204" s="11" t="s">
        <v>65</v>
      </c>
      <c r="H204" s="11" t="s">
        <v>65</v>
      </c>
      <c r="I204" s="11"/>
      <c r="J204" s="11" t="s">
        <v>65</v>
      </c>
      <c r="K204" s="11"/>
      <c r="L204" s="11" t="s">
        <v>65</v>
      </c>
      <c r="M204" s="11" t="s">
        <v>65</v>
      </c>
    </row>
    <row r="205" spans="1:13" x14ac:dyDescent="0.35">
      <c r="A205" s="13" t="s">
        <v>224</v>
      </c>
      <c r="B205" s="13" t="s">
        <v>312</v>
      </c>
      <c r="C205" s="13">
        <v>5</v>
      </c>
      <c r="D205" s="14">
        <v>45018.011805555558</v>
      </c>
      <c r="E205" s="14">
        <v>45018.100694444445</v>
      </c>
      <c r="F205" s="13" t="s">
        <v>223</v>
      </c>
      <c r="G205" s="13" t="s">
        <v>86</v>
      </c>
      <c r="H205" s="13" t="s">
        <v>87</v>
      </c>
      <c r="I205" s="13">
        <v>4956</v>
      </c>
      <c r="J205" s="13" t="s">
        <v>75</v>
      </c>
      <c r="K205" s="13">
        <v>204</v>
      </c>
      <c r="L205" s="13" t="s">
        <v>174</v>
      </c>
      <c r="M205" s="13" t="s">
        <v>9</v>
      </c>
    </row>
    <row r="206" spans="1:13" x14ac:dyDescent="0.35">
      <c r="A206" s="11" t="s">
        <v>313</v>
      </c>
      <c r="B206" s="11" t="s">
        <v>65</v>
      </c>
      <c r="C206" s="11"/>
      <c r="D206" s="12"/>
      <c r="E206" s="12"/>
      <c r="F206" s="11" t="s">
        <v>65</v>
      </c>
      <c r="G206" s="11" t="s">
        <v>65</v>
      </c>
      <c r="H206" s="11" t="s">
        <v>65</v>
      </c>
      <c r="I206" s="11"/>
      <c r="J206" s="11" t="s">
        <v>65</v>
      </c>
      <c r="K206" s="11"/>
      <c r="L206" s="11" t="s">
        <v>65</v>
      </c>
      <c r="M206" s="11" t="s">
        <v>65</v>
      </c>
    </row>
    <row r="207" spans="1:13" x14ac:dyDescent="0.35">
      <c r="A207" s="13" t="s">
        <v>210</v>
      </c>
      <c r="B207" s="13" t="s">
        <v>314</v>
      </c>
      <c r="C207" s="13">
        <v>6</v>
      </c>
      <c r="D207" s="14">
        <v>45018.143750000003</v>
      </c>
      <c r="E207" s="14">
        <v>45018.256249999999</v>
      </c>
      <c r="F207" s="13" t="s">
        <v>72</v>
      </c>
      <c r="G207" s="13" t="s">
        <v>86</v>
      </c>
      <c r="H207" s="13" t="s">
        <v>74</v>
      </c>
      <c r="I207" s="13">
        <v>3696</v>
      </c>
      <c r="J207" s="13" t="s">
        <v>88</v>
      </c>
      <c r="K207" s="13">
        <v>206</v>
      </c>
      <c r="L207" s="13" t="s">
        <v>95</v>
      </c>
      <c r="M207" s="13" t="s">
        <v>12</v>
      </c>
    </row>
    <row r="208" spans="1:13" x14ac:dyDescent="0.35">
      <c r="A208" s="11" t="s">
        <v>315</v>
      </c>
      <c r="B208" s="11" t="s">
        <v>65</v>
      </c>
      <c r="C208" s="11"/>
      <c r="D208" s="12"/>
      <c r="E208" s="12"/>
      <c r="F208" s="11" t="s">
        <v>65</v>
      </c>
      <c r="G208" s="11" t="s">
        <v>65</v>
      </c>
      <c r="H208" s="11" t="s">
        <v>65</v>
      </c>
      <c r="I208" s="11"/>
      <c r="J208" s="11" t="s">
        <v>65</v>
      </c>
      <c r="K208" s="11"/>
      <c r="L208" s="11" t="s">
        <v>65</v>
      </c>
      <c r="M208" s="11" t="s">
        <v>65</v>
      </c>
    </row>
    <row r="209" spans="1:13" x14ac:dyDescent="0.35">
      <c r="A209" s="13" t="s">
        <v>316</v>
      </c>
      <c r="B209" s="13" t="s">
        <v>65</v>
      </c>
      <c r="C209" s="13"/>
      <c r="D209" s="14"/>
      <c r="E209" s="14"/>
      <c r="F209" s="13" t="s">
        <v>65</v>
      </c>
      <c r="G209" s="13" t="s">
        <v>65</v>
      </c>
      <c r="H209" s="13" t="s">
        <v>65</v>
      </c>
      <c r="I209" s="13"/>
      <c r="J209" s="13" t="s">
        <v>65</v>
      </c>
      <c r="K209" s="13"/>
      <c r="L209" s="13" t="s">
        <v>65</v>
      </c>
      <c r="M209" s="13" t="s">
        <v>65</v>
      </c>
    </row>
    <row r="210" spans="1:13" x14ac:dyDescent="0.35">
      <c r="A210" s="11" t="s">
        <v>317</v>
      </c>
      <c r="B210" s="11" t="s">
        <v>65</v>
      </c>
      <c r="C210" s="11"/>
      <c r="D210" s="12"/>
      <c r="E210" s="12"/>
      <c r="F210" s="11" t="s">
        <v>65</v>
      </c>
      <c r="G210" s="11" t="s">
        <v>65</v>
      </c>
      <c r="H210" s="11" t="s">
        <v>65</v>
      </c>
      <c r="I210" s="11"/>
      <c r="J210" s="11" t="s">
        <v>65</v>
      </c>
      <c r="K210" s="11"/>
      <c r="L210" s="11" t="s">
        <v>65</v>
      </c>
      <c r="M210" s="11" t="s">
        <v>65</v>
      </c>
    </row>
    <row r="211" spans="1:13" x14ac:dyDescent="0.35">
      <c r="A211" s="13" t="s">
        <v>318</v>
      </c>
      <c r="B211" s="13" t="s">
        <v>65</v>
      </c>
      <c r="C211" s="13"/>
      <c r="D211" s="14"/>
      <c r="E211" s="14"/>
      <c r="F211" s="13" t="s">
        <v>65</v>
      </c>
      <c r="G211" s="13" t="s">
        <v>65</v>
      </c>
      <c r="H211" s="13" t="s">
        <v>65</v>
      </c>
      <c r="I211" s="13"/>
      <c r="J211" s="13" t="s">
        <v>65</v>
      </c>
      <c r="K211" s="13"/>
      <c r="L211" s="13" t="s">
        <v>65</v>
      </c>
      <c r="M211" s="13" t="s">
        <v>65</v>
      </c>
    </row>
    <row r="212" spans="1:13" x14ac:dyDescent="0.35">
      <c r="A212" s="11" t="s">
        <v>319</v>
      </c>
      <c r="B212" s="11" t="s">
        <v>65</v>
      </c>
      <c r="C212" s="11"/>
      <c r="D212" s="12"/>
      <c r="E212" s="12"/>
      <c r="F212" s="11" t="s">
        <v>65</v>
      </c>
      <c r="G212" s="11" t="s">
        <v>65</v>
      </c>
      <c r="H212" s="11" t="s">
        <v>65</v>
      </c>
      <c r="I212" s="11"/>
      <c r="J212" s="11" t="s">
        <v>65</v>
      </c>
      <c r="K212" s="11"/>
      <c r="L212" s="11" t="s">
        <v>65</v>
      </c>
      <c r="M212" s="11" t="s">
        <v>65</v>
      </c>
    </row>
    <row r="213" spans="1:13" x14ac:dyDescent="0.35">
      <c r="A213" s="13" t="s">
        <v>320</v>
      </c>
      <c r="B213" s="13" t="s">
        <v>65</v>
      </c>
      <c r="C213" s="13"/>
      <c r="D213" s="14"/>
      <c r="E213" s="14"/>
      <c r="F213" s="13" t="s">
        <v>65</v>
      </c>
      <c r="G213" s="13" t="s">
        <v>65</v>
      </c>
      <c r="H213" s="13" t="s">
        <v>65</v>
      </c>
      <c r="I213" s="13"/>
      <c r="J213" s="13" t="s">
        <v>65</v>
      </c>
      <c r="K213" s="13"/>
      <c r="L213" s="13" t="s">
        <v>65</v>
      </c>
      <c r="M213" s="13" t="s">
        <v>65</v>
      </c>
    </row>
    <row r="214" spans="1:13" x14ac:dyDescent="0.35">
      <c r="A214" s="11" t="s">
        <v>321</v>
      </c>
      <c r="B214" s="11" t="s">
        <v>65</v>
      </c>
      <c r="C214" s="11"/>
      <c r="D214" s="12"/>
      <c r="E214" s="12"/>
      <c r="F214" s="11" t="s">
        <v>65</v>
      </c>
      <c r="G214" s="11" t="s">
        <v>65</v>
      </c>
      <c r="H214" s="11" t="s">
        <v>65</v>
      </c>
      <c r="I214" s="11"/>
      <c r="J214" s="11" t="s">
        <v>65</v>
      </c>
      <c r="K214" s="11"/>
      <c r="L214" s="11" t="s">
        <v>65</v>
      </c>
      <c r="M214" s="11" t="s">
        <v>65</v>
      </c>
    </row>
    <row r="215" spans="1:13" x14ac:dyDescent="0.35">
      <c r="A215" s="13" t="s">
        <v>322</v>
      </c>
      <c r="B215" s="13" t="s">
        <v>65</v>
      </c>
      <c r="C215" s="13"/>
      <c r="D215" s="14"/>
      <c r="E215" s="14"/>
      <c r="F215" s="13" t="s">
        <v>65</v>
      </c>
      <c r="G215" s="13" t="s">
        <v>65</v>
      </c>
      <c r="H215" s="13" t="s">
        <v>65</v>
      </c>
      <c r="I215" s="13"/>
      <c r="J215" s="13" t="s">
        <v>65</v>
      </c>
      <c r="K215" s="13"/>
      <c r="L215" s="13" t="s">
        <v>65</v>
      </c>
      <c r="M215" s="13" t="s">
        <v>65</v>
      </c>
    </row>
    <row r="216" spans="1:13" x14ac:dyDescent="0.35">
      <c r="A216" s="11" t="s">
        <v>323</v>
      </c>
      <c r="B216" s="11" t="s">
        <v>65</v>
      </c>
      <c r="C216" s="11"/>
      <c r="D216" s="12"/>
      <c r="E216" s="12"/>
      <c r="F216" s="11" t="s">
        <v>65</v>
      </c>
      <c r="G216" s="11" t="s">
        <v>65</v>
      </c>
      <c r="H216" s="11" t="s">
        <v>65</v>
      </c>
      <c r="I216" s="11"/>
      <c r="J216" s="11" t="s">
        <v>65</v>
      </c>
      <c r="K216" s="11"/>
      <c r="L216" s="11" t="s">
        <v>65</v>
      </c>
      <c r="M216" s="11" t="s">
        <v>65</v>
      </c>
    </row>
    <row r="217" spans="1:13" x14ac:dyDescent="0.35">
      <c r="A217" s="13" t="s">
        <v>324</v>
      </c>
      <c r="B217" s="13" t="s">
        <v>65</v>
      </c>
      <c r="C217" s="13"/>
      <c r="D217" s="14"/>
      <c r="E217" s="14"/>
      <c r="F217" s="13" t="s">
        <v>65</v>
      </c>
      <c r="G217" s="13" t="s">
        <v>65</v>
      </c>
      <c r="H217" s="13" t="s">
        <v>65</v>
      </c>
      <c r="I217" s="13"/>
      <c r="J217" s="13" t="s">
        <v>65</v>
      </c>
      <c r="K217" s="13"/>
      <c r="L217" s="13" t="s">
        <v>65</v>
      </c>
      <c r="M217" s="13" t="s">
        <v>65</v>
      </c>
    </row>
    <row r="218" spans="1:13" x14ac:dyDescent="0.35">
      <c r="A218" s="11" t="s">
        <v>161</v>
      </c>
      <c r="B218" s="11" t="s">
        <v>281</v>
      </c>
      <c r="C218" s="11">
        <v>2</v>
      </c>
      <c r="D218" s="12">
        <v>45018.037499999999</v>
      </c>
      <c r="E218" s="12">
        <v>45018.197916666664</v>
      </c>
      <c r="F218" s="11" t="s">
        <v>170</v>
      </c>
      <c r="G218" s="11" t="s">
        <v>73</v>
      </c>
      <c r="H218" s="11" t="s">
        <v>74</v>
      </c>
      <c r="I218" s="11">
        <v>3117</v>
      </c>
      <c r="J218" s="11" t="s">
        <v>88</v>
      </c>
      <c r="K218" s="11">
        <v>217</v>
      </c>
      <c r="L218" s="11" t="s">
        <v>110</v>
      </c>
      <c r="M218" s="11" t="s">
        <v>33</v>
      </c>
    </row>
    <row r="219" spans="1:13" x14ac:dyDescent="0.35">
      <c r="A219" s="13" t="s">
        <v>325</v>
      </c>
      <c r="B219" s="13" t="s">
        <v>65</v>
      </c>
      <c r="C219" s="13"/>
      <c r="D219" s="14"/>
      <c r="E219" s="14"/>
      <c r="F219" s="13" t="s">
        <v>65</v>
      </c>
      <c r="G219" s="13" t="s">
        <v>65</v>
      </c>
      <c r="H219" s="13" t="s">
        <v>65</v>
      </c>
      <c r="I219" s="13"/>
      <c r="J219" s="13" t="s">
        <v>65</v>
      </c>
      <c r="K219" s="13"/>
      <c r="L219" s="13" t="s">
        <v>65</v>
      </c>
      <c r="M219" s="13" t="s">
        <v>65</v>
      </c>
    </row>
    <row r="220" spans="1:13" x14ac:dyDescent="0.35">
      <c r="A220" s="11" t="s">
        <v>326</v>
      </c>
      <c r="B220" s="11" t="s">
        <v>65</v>
      </c>
      <c r="C220" s="11"/>
      <c r="D220" s="12"/>
      <c r="E220" s="12"/>
      <c r="F220" s="11" t="s">
        <v>65</v>
      </c>
      <c r="G220" s="11" t="s">
        <v>65</v>
      </c>
      <c r="H220" s="11" t="s">
        <v>65</v>
      </c>
      <c r="I220" s="11"/>
      <c r="J220" s="11" t="s">
        <v>65</v>
      </c>
      <c r="K220" s="11"/>
      <c r="L220" s="11" t="s">
        <v>65</v>
      </c>
      <c r="M220" s="11" t="s">
        <v>65</v>
      </c>
    </row>
    <row r="221" spans="1:13" x14ac:dyDescent="0.35">
      <c r="A221" s="13" t="s">
        <v>125</v>
      </c>
      <c r="B221" s="13" t="s">
        <v>327</v>
      </c>
      <c r="C221" s="13">
        <v>6</v>
      </c>
      <c r="D221" s="14">
        <v>45018.042361111111</v>
      </c>
      <c r="E221" s="14">
        <v>45018.206250000003</v>
      </c>
      <c r="F221" s="13" t="s">
        <v>85</v>
      </c>
      <c r="G221" s="13" t="s">
        <v>86</v>
      </c>
      <c r="H221" s="13" t="s">
        <v>74</v>
      </c>
      <c r="I221" s="13">
        <v>485</v>
      </c>
      <c r="J221" s="13" t="s">
        <v>94</v>
      </c>
      <c r="K221" s="13">
        <v>220</v>
      </c>
      <c r="L221" s="13" t="s">
        <v>187</v>
      </c>
      <c r="M221" s="13" t="s">
        <v>9</v>
      </c>
    </row>
    <row r="222" spans="1:13" x14ac:dyDescent="0.35">
      <c r="A222" s="11" t="s">
        <v>328</v>
      </c>
      <c r="B222" s="11" t="s">
        <v>65</v>
      </c>
      <c r="C222" s="11"/>
      <c r="D222" s="12"/>
      <c r="E222" s="12"/>
      <c r="F222" s="11" t="s">
        <v>65</v>
      </c>
      <c r="G222" s="11" t="s">
        <v>65</v>
      </c>
      <c r="H222" s="11" t="s">
        <v>65</v>
      </c>
      <c r="I222" s="11"/>
      <c r="J222" s="11" t="s">
        <v>65</v>
      </c>
      <c r="K222" s="11"/>
      <c r="L222" s="11" t="s">
        <v>65</v>
      </c>
      <c r="M222" s="11" t="s">
        <v>65</v>
      </c>
    </row>
    <row r="223" spans="1:13" x14ac:dyDescent="0.35">
      <c r="A223" s="13" t="s">
        <v>329</v>
      </c>
      <c r="B223" s="13" t="s">
        <v>65</v>
      </c>
      <c r="C223" s="13"/>
      <c r="D223" s="14"/>
      <c r="E223" s="14"/>
      <c r="F223" s="13" t="s">
        <v>65</v>
      </c>
      <c r="G223" s="13" t="s">
        <v>65</v>
      </c>
      <c r="H223" s="13" t="s">
        <v>65</v>
      </c>
      <c r="I223" s="13"/>
      <c r="J223" s="13" t="s">
        <v>65</v>
      </c>
      <c r="K223" s="13"/>
      <c r="L223" s="13" t="s">
        <v>65</v>
      </c>
      <c r="M223" s="13" t="s">
        <v>65</v>
      </c>
    </row>
    <row r="224" spans="1:13" x14ac:dyDescent="0.35">
      <c r="A224" s="11" t="s">
        <v>177</v>
      </c>
      <c r="B224" s="11" t="s">
        <v>330</v>
      </c>
      <c r="C224" s="11">
        <v>2</v>
      </c>
      <c r="D224" s="12">
        <v>45018.052777777775</v>
      </c>
      <c r="E224" s="12">
        <v>45018.118055555555</v>
      </c>
      <c r="F224" s="11" t="s">
        <v>85</v>
      </c>
      <c r="G224" s="11" t="s">
        <v>73</v>
      </c>
      <c r="H224" s="11" t="s">
        <v>74</v>
      </c>
      <c r="I224" s="11">
        <v>4962</v>
      </c>
      <c r="J224" s="11" t="s">
        <v>94</v>
      </c>
      <c r="K224" s="11">
        <v>223</v>
      </c>
      <c r="L224" s="11" t="s">
        <v>164</v>
      </c>
      <c r="M224" s="11" t="s">
        <v>33</v>
      </c>
    </row>
    <row r="225" spans="1:13" x14ac:dyDescent="0.35">
      <c r="A225" s="13" t="s">
        <v>70</v>
      </c>
      <c r="B225" s="13" t="s">
        <v>331</v>
      </c>
      <c r="C225" s="13">
        <v>6</v>
      </c>
      <c r="D225" s="14">
        <v>45018.088194444441</v>
      </c>
      <c r="E225" s="14">
        <v>45018.240972222222</v>
      </c>
      <c r="F225" s="13" t="s">
        <v>170</v>
      </c>
      <c r="G225" s="13" t="s">
        <v>86</v>
      </c>
      <c r="H225" s="13" t="s">
        <v>74</v>
      </c>
      <c r="I225" s="13">
        <v>1761</v>
      </c>
      <c r="J225" s="13" t="s">
        <v>88</v>
      </c>
      <c r="K225" s="13">
        <v>224</v>
      </c>
      <c r="L225" s="13" t="s">
        <v>95</v>
      </c>
      <c r="M225" s="13" t="s">
        <v>47</v>
      </c>
    </row>
    <row r="226" spans="1:13" x14ac:dyDescent="0.35">
      <c r="A226" s="11" t="s">
        <v>332</v>
      </c>
      <c r="B226" s="11" t="s">
        <v>65</v>
      </c>
      <c r="C226" s="11"/>
      <c r="D226" s="12"/>
      <c r="E226" s="12"/>
      <c r="F226" s="11" t="s">
        <v>65</v>
      </c>
      <c r="G226" s="11" t="s">
        <v>65</v>
      </c>
      <c r="H226" s="11" t="s">
        <v>65</v>
      </c>
      <c r="I226" s="11"/>
      <c r="J226" s="11" t="s">
        <v>65</v>
      </c>
      <c r="K226" s="11"/>
      <c r="L226" s="11" t="s">
        <v>65</v>
      </c>
      <c r="M226" s="11" t="s">
        <v>65</v>
      </c>
    </row>
    <row r="227" spans="1:13" x14ac:dyDescent="0.35">
      <c r="A227" s="13" t="s">
        <v>333</v>
      </c>
      <c r="B227" s="13" t="s">
        <v>65</v>
      </c>
      <c r="C227" s="13"/>
      <c r="D227" s="14"/>
      <c r="E227" s="14"/>
      <c r="F227" s="13" t="s">
        <v>65</v>
      </c>
      <c r="G227" s="13" t="s">
        <v>65</v>
      </c>
      <c r="H227" s="13" t="s">
        <v>65</v>
      </c>
      <c r="I227" s="13"/>
      <c r="J227" s="13" t="s">
        <v>65</v>
      </c>
      <c r="K227" s="13"/>
      <c r="L227" s="13" t="s">
        <v>65</v>
      </c>
      <c r="M227" s="13" t="s">
        <v>65</v>
      </c>
    </row>
    <row r="228" spans="1:13" x14ac:dyDescent="0.35">
      <c r="A228" s="11" t="s">
        <v>334</v>
      </c>
      <c r="B228" s="11" t="s">
        <v>65</v>
      </c>
      <c r="C228" s="11"/>
      <c r="D228" s="12"/>
      <c r="E228" s="12"/>
      <c r="F228" s="11" t="s">
        <v>65</v>
      </c>
      <c r="G228" s="11" t="s">
        <v>65</v>
      </c>
      <c r="H228" s="11" t="s">
        <v>65</v>
      </c>
      <c r="I228" s="11"/>
      <c r="J228" s="11" t="s">
        <v>65</v>
      </c>
      <c r="K228" s="11"/>
      <c r="L228" s="11" t="s">
        <v>65</v>
      </c>
      <c r="M228" s="11" t="s">
        <v>65</v>
      </c>
    </row>
    <row r="229" spans="1:13" x14ac:dyDescent="0.35">
      <c r="A229" s="13" t="s">
        <v>224</v>
      </c>
      <c r="B229" s="13" t="s">
        <v>335</v>
      </c>
      <c r="C229" s="13">
        <v>4</v>
      </c>
      <c r="D229" s="14">
        <v>45018.069444444445</v>
      </c>
      <c r="E229" s="14">
        <v>45018.168055555558</v>
      </c>
      <c r="F229" s="13" t="s">
        <v>170</v>
      </c>
      <c r="G229" s="13" t="s">
        <v>86</v>
      </c>
      <c r="H229" s="13" t="s">
        <v>74</v>
      </c>
      <c r="I229" s="13">
        <v>1066</v>
      </c>
      <c r="J229" s="13" t="s">
        <v>88</v>
      </c>
      <c r="K229" s="13">
        <v>228</v>
      </c>
      <c r="L229" s="13" t="s">
        <v>187</v>
      </c>
      <c r="M229" s="13" t="s">
        <v>41</v>
      </c>
    </row>
    <row r="230" spans="1:13" x14ac:dyDescent="0.35">
      <c r="A230" s="11" t="s">
        <v>336</v>
      </c>
      <c r="B230" s="11" t="s">
        <v>65</v>
      </c>
      <c r="C230" s="11"/>
      <c r="D230" s="12"/>
      <c r="E230" s="12"/>
      <c r="F230" s="11" t="s">
        <v>65</v>
      </c>
      <c r="G230" s="11" t="s">
        <v>65</v>
      </c>
      <c r="H230" s="11" t="s">
        <v>65</v>
      </c>
      <c r="I230" s="11"/>
      <c r="J230" s="11" t="s">
        <v>65</v>
      </c>
      <c r="K230" s="11"/>
      <c r="L230" s="11" t="s">
        <v>65</v>
      </c>
      <c r="M230" s="11" t="s">
        <v>65</v>
      </c>
    </row>
    <row r="231" spans="1:13" x14ac:dyDescent="0.35">
      <c r="A231" s="13" t="s">
        <v>337</v>
      </c>
      <c r="B231" s="13" t="s">
        <v>65</v>
      </c>
      <c r="C231" s="13"/>
      <c r="D231" s="14"/>
      <c r="E231" s="14"/>
      <c r="F231" s="13" t="s">
        <v>65</v>
      </c>
      <c r="G231" s="13" t="s">
        <v>65</v>
      </c>
      <c r="H231" s="13" t="s">
        <v>65</v>
      </c>
      <c r="I231" s="13"/>
      <c r="J231" s="13" t="s">
        <v>65</v>
      </c>
      <c r="K231" s="13"/>
      <c r="L231" s="13" t="s">
        <v>65</v>
      </c>
      <c r="M231" s="13" t="s">
        <v>65</v>
      </c>
    </row>
    <row r="232" spans="1:13" x14ac:dyDescent="0.35">
      <c r="A232" s="11" t="s">
        <v>338</v>
      </c>
      <c r="B232" s="11" t="s">
        <v>65</v>
      </c>
      <c r="C232" s="11"/>
      <c r="D232" s="12"/>
      <c r="E232" s="12"/>
      <c r="F232" s="11" t="s">
        <v>65</v>
      </c>
      <c r="G232" s="11" t="s">
        <v>65</v>
      </c>
      <c r="H232" s="11" t="s">
        <v>65</v>
      </c>
      <c r="I232" s="11"/>
      <c r="J232" s="11" t="s">
        <v>65</v>
      </c>
      <c r="K232" s="11"/>
      <c r="L232" s="11" t="s">
        <v>65</v>
      </c>
      <c r="M232" s="11" t="s">
        <v>65</v>
      </c>
    </row>
    <row r="233" spans="1:13" x14ac:dyDescent="0.35">
      <c r="A233" s="13" t="s">
        <v>339</v>
      </c>
      <c r="B233" s="13" t="s">
        <v>65</v>
      </c>
      <c r="C233" s="13"/>
      <c r="D233" s="14"/>
      <c r="E233" s="14"/>
      <c r="F233" s="13" t="s">
        <v>65</v>
      </c>
      <c r="G233" s="13" t="s">
        <v>65</v>
      </c>
      <c r="H233" s="13" t="s">
        <v>65</v>
      </c>
      <c r="I233" s="13"/>
      <c r="J233" s="13" t="s">
        <v>65</v>
      </c>
      <c r="K233" s="13"/>
      <c r="L233" s="13" t="s">
        <v>65</v>
      </c>
      <c r="M233" s="13" t="s">
        <v>65</v>
      </c>
    </row>
    <row r="234" spans="1:13" x14ac:dyDescent="0.35">
      <c r="A234" s="11" t="s">
        <v>215</v>
      </c>
      <c r="B234" s="11" t="s">
        <v>340</v>
      </c>
      <c r="C234" s="11">
        <v>1</v>
      </c>
      <c r="D234" s="12">
        <v>45018.036111111112</v>
      </c>
      <c r="E234" s="12">
        <v>45018.11041666667</v>
      </c>
      <c r="F234" s="11" t="s">
        <v>100</v>
      </c>
      <c r="G234" s="11" t="s">
        <v>163</v>
      </c>
      <c r="H234" s="11" t="s">
        <v>109</v>
      </c>
      <c r="I234" s="11">
        <v>4564</v>
      </c>
      <c r="J234" s="11" t="s">
        <v>75</v>
      </c>
      <c r="K234" s="11">
        <v>233</v>
      </c>
      <c r="L234" s="11" t="s">
        <v>164</v>
      </c>
      <c r="M234" s="11" t="s">
        <v>29</v>
      </c>
    </row>
    <row r="235" spans="1:13" x14ac:dyDescent="0.35">
      <c r="A235" s="13" t="s">
        <v>341</v>
      </c>
      <c r="B235" s="13" t="s">
        <v>65</v>
      </c>
      <c r="C235" s="13"/>
      <c r="D235" s="14"/>
      <c r="E235" s="14"/>
      <c r="F235" s="13" t="s">
        <v>65</v>
      </c>
      <c r="G235" s="13" t="s">
        <v>65</v>
      </c>
      <c r="H235" s="13" t="s">
        <v>65</v>
      </c>
      <c r="I235" s="13"/>
      <c r="J235" s="13" t="s">
        <v>65</v>
      </c>
      <c r="K235" s="13"/>
      <c r="L235" s="13" t="s">
        <v>65</v>
      </c>
      <c r="M235" s="13" t="s">
        <v>65</v>
      </c>
    </row>
    <row r="236" spans="1:13" x14ac:dyDescent="0.35">
      <c r="A236" s="11" t="s">
        <v>240</v>
      </c>
      <c r="B236" s="11" t="s">
        <v>342</v>
      </c>
      <c r="C236" s="11">
        <v>5</v>
      </c>
      <c r="D236" s="12">
        <v>45018.015277777777</v>
      </c>
      <c r="E236" s="12">
        <v>45018.116666666669</v>
      </c>
      <c r="F236" s="11" t="s">
        <v>170</v>
      </c>
      <c r="G236" s="11" t="s">
        <v>73</v>
      </c>
      <c r="H236" s="11" t="s">
        <v>74</v>
      </c>
      <c r="I236" s="11">
        <v>2637</v>
      </c>
      <c r="J236" s="11" t="s">
        <v>94</v>
      </c>
      <c r="K236" s="11">
        <v>235</v>
      </c>
      <c r="L236" s="11" t="s">
        <v>181</v>
      </c>
      <c r="M236" s="11" t="s">
        <v>25</v>
      </c>
    </row>
    <row r="237" spans="1:13" x14ac:dyDescent="0.35">
      <c r="A237" s="13" t="s">
        <v>343</v>
      </c>
      <c r="B237" s="13" t="s">
        <v>65</v>
      </c>
      <c r="C237" s="13"/>
      <c r="D237" s="14"/>
      <c r="E237" s="14"/>
      <c r="F237" s="13" t="s">
        <v>65</v>
      </c>
      <c r="G237" s="13" t="s">
        <v>65</v>
      </c>
      <c r="H237" s="13" t="s">
        <v>65</v>
      </c>
      <c r="I237" s="13"/>
      <c r="J237" s="13" t="s">
        <v>65</v>
      </c>
      <c r="K237" s="13"/>
      <c r="L237" s="13" t="s">
        <v>65</v>
      </c>
      <c r="M237" s="13" t="s">
        <v>65</v>
      </c>
    </row>
    <row r="238" spans="1:13" x14ac:dyDescent="0.35">
      <c r="A238" s="11" t="s">
        <v>344</v>
      </c>
      <c r="B238" s="11" t="s">
        <v>65</v>
      </c>
      <c r="C238" s="11"/>
      <c r="D238" s="12"/>
      <c r="E238" s="12"/>
      <c r="F238" s="11" t="s">
        <v>65</v>
      </c>
      <c r="G238" s="11" t="s">
        <v>65</v>
      </c>
      <c r="H238" s="11" t="s">
        <v>65</v>
      </c>
      <c r="I238" s="11"/>
      <c r="J238" s="11" t="s">
        <v>65</v>
      </c>
      <c r="K238" s="11"/>
      <c r="L238" s="11" t="s">
        <v>65</v>
      </c>
      <c r="M238" s="11" t="s">
        <v>65</v>
      </c>
    </row>
    <row r="239" spans="1:13" x14ac:dyDescent="0.35">
      <c r="A239" s="13" t="s">
        <v>240</v>
      </c>
      <c r="B239" s="13" t="s">
        <v>345</v>
      </c>
      <c r="C239" s="13">
        <v>6</v>
      </c>
      <c r="D239" s="14">
        <v>45018.095138888886</v>
      </c>
      <c r="E239" s="14">
        <v>45018.205555555556</v>
      </c>
      <c r="F239" s="13" t="s">
        <v>100</v>
      </c>
      <c r="G239" s="13" t="s">
        <v>163</v>
      </c>
      <c r="H239" s="13" t="s">
        <v>74</v>
      </c>
      <c r="I239" s="13">
        <v>3302</v>
      </c>
      <c r="J239" s="13" t="s">
        <v>75</v>
      </c>
      <c r="K239" s="13">
        <v>238</v>
      </c>
      <c r="L239" s="13" t="s">
        <v>89</v>
      </c>
      <c r="M239" s="13" t="s">
        <v>21</v>
      </c>
    </row>
    <row r="240" spans="1:13" x14ac:dyDescent="0.35">
      <c r="A240" s="11" t="s">
        <v>346</v>
      </c>
      <c r="B240" s="11" t="s">
        <v>65</v>
      </c>
      <c r="C240" s="11"/>
      <c r="D240" s="12"/>
      <c r="E240" s="12"/>
      <c r="F240" s="11" t="s">
        <v>65</v>
      </c>
      <c r="G240" s="11" t="s">
        <v>65</v>
      </c>
      <c r="H240" s="11" t="s">
        <v>65</v>
      </c>
      <c r="I240" s="11"/>
      <c r="J240" s="11" t="s">
        <v>65</v>
      </c>
      <c r="K240" s="11"/>
      <c r="L240" s="11" t="s">
        <v>65</v>
      </c>
      <c r="M240" s="11" t="s">
        <v>65</v>
      </c>
    </row>
    <row r="241" spans="1:13" x14ac:dyDescent="0.35">
      <c r="A241" s="13" t="s">
        <v>347</v>
      </c>
      <c r="B241" s="13" t="s">
        <v>65</v>
      </c>
      <c r="C241" s="13"/>
      <c r="D241" s="14"/>
      <c r="E241" s="14"/>
      <c r="F241" s="13" t="s">
        <v>65</v>
      </c>
      <c r="G241" s="13" t="s">
        <v>65</v>
      </c>
      <c r="H241" s="13" t="s">
        <v>65</v>
      </c>
      <c r="I241" s="13"/>
      <c r="J241" s="13" t="s">
        <v>65</v>
      </c>
      <c r="K241" s="13"/>
      <c r="L241" s="13" t="s">
        <v>65</v>
      </c>
      <c r="M241" s="13" t="s">
        <v>65</v>
      </c>
    </row>
    <row r="242" spans="1:13" x14ac:dyDescent="0.35">
      <c r="A242" s="11" t="s">
        <v>107</v>
      </c>
      <c r="B242" s="11" t="s">
        <v>348</v>
      </c>
      <c r="C242" s="11">
        <v>4</v>
      </c>
      <c r="D242" s="12">
        <v>45018.00277777778</v>
      </c>
      <c r="E242" s="12">
        <v>45018.044444444444</v>
      </c>
      <c r="F242" s="11" t="s">
        <v>85</v>
      </c>
      <c r="G242" s="11" t="s">
        <v>86</v>
      </c>
      <c r="H242" s="11" t="s">
        <v>74</v>
      </c>
      <c r="I242" s="11">
        <v>3897</v>
      </c>
      <c r="J242" s="11" t="s">
        <v>88</v>
      </c>
      <c r="K242" s="11">
        <v>241</v>
      </c>
      <c r="L242" s="11" t="s">
        <v>89</v>
      </c>
      <c r="M242" s="11" t="s">
        <v>45</v>
      </c>
    </row>
    <row r="243" spans="1:13" x14ac:dyDescent="0.35">
      <c r="A243" s="13" t="s">
        <v>349</v>
      </c>
      <c r="B243" s="13" t="s">
        <v>65</v>
      </c>
      <c r="C243" s="13"/>
      <c r="D243" s="14"/>
      <c r="E243" s="14"/>
      <c r="F243" s="13" t="s">
        <v>65</v>
      </c>
      <c r="G243" s="13" t="s">
        <v>65</v>
      </c>
      <c r="H243" s="13" t="s">
        <v>65</v>
      </c>
      <c r="I243" s="13"/>
      <c r="J243" s="13" t="s">
        <v>65</v>
      </c>
      <c r="K243" s="13"/>
      <c r="L243" s="13" t="s">
        <v>65</v>
      </c>
      <c r="M243" s="13" t="s">
        <v>65</v>
      </c>
    </row>
    <row r="244" spans="1:13" x14ac:dyDescent="0.35">
      <c r="A244" s="11" t="s">
        <v>210</v>
      </c>
      <c r="B244" s="11" t="s">
        <v>350</v>
      </c>
      <c r="C244" s="11">
        <v>4</v>
      </c>
      <c r="D244" s="12">
        <v>45018.029166666667</v>
      </c>
      <c r="E244" s="12">
        <v>45018.174305555556</v>
      </c>
      <c r="F244" s="11" t="s">
        <v>100</v>
      </c>
      <c r="G244" s="11" t="s">
        <v>86</v>
      </c>
      <c r="H244" s="11" t="s">
        <v>74</v>
      </c>
      <c r="I244" s="11">
        <v>2145</v>
      </c>
      <c r="J244" s="11" t="s">
        <v>75</v>
      </c>
      <c r="K244" s="11">
        <v>243</v>
      </c>
      <c r="L244" s="11" t="s">
        <v>181</v>
      </c>
      <c r="M244" s="11" t="s">
        <v>19</v>
      </c>
    </row>
    <row r="245" spans="1:13" x14ac:dyDescent="0.35">
      <c r="A245" s="13" t="s">
        <v>351</v>
      </c>
      <c r="B245" s="13" t="s">
        <v>65</v>
      </c>
      <c r="C245" s="13"/>
      <c r="D245" s="14"/>
      <c r="E245" s="14"/>
      <c r="F245" s="13" t="s">
        <v>65</v>
      </c>
      <c r="G245" s="13" t="s">
        <v>65</v>
      </c>
      <c r="H245" s="13" t="s">
        <v>65</v>
      </c>
      <c r="I245" s="13"/>
      <c r="J245" s="13" t="s">
        <v>65</v>
      </c>
      <c r="K245" s="13"/>
      <c r="L245" s="13" t="s">
        <v>65</v>
      </c>
      <c r="M245" s="13" t="s">
        <v>65</v>
      </c>
    </row>
    <row r="246" spans="1:13" x14ac:dyDescent="0.35">
      <c r="A246" s="11" t="s">
        <v>352</v>
      </c>
      <c r="B246" s="11" t="s">
        <v>65</v>
      </c>
      <c r="C246" s="11"/>
      <c r="D246" s="12"/>
      <c r="E246" s="12"/>
      <c r="F246" s="11" t="s">
        <v>65</v>
      </c>
      <c r="G246" s="11" t="s">
        <v>65</v>
      </c>
      <c r="H246" s="11" t="s">
        <v>65</v>
      </c>
      <c r="I246" s="11"/>
      <c r="J246" s="11" t="s">
        <v>65</v>
      </c>
      <c r="K246" s="11"/>
      <c r="L246" s="11" t="s">
        <v>65</v>
      </c>
      <c r="M246" s="11" t="s">
        <v>65</v>
      </c>
    </row>
    <row r="247" spans="1:13" x14ac:dyDescent="0.35">
      <c r="A247" s="13" t="s">
        <v>353</v>
      </c>
      <c r="B247" s="13" t="s">
        <v>65</v>
      </c>
      <c r="C247" s="13"/>
      <c r="D247" s="14"/>
      <c r="E247" s="14"/>
      <c r="F247" s="13" t="s">
        <v>65</v>
      </c>
      <c r="G247" s="13" t="s">
        <v>65</v>
      </c>
      <c r="H247" s="13" t="s">
        <v>65</v>
      </c>
      <c r="I247" s="13"/>
      <c r="J247" s="13" t="s">
        <v>65</v>
      </c>
      <c r="K247" s="13"/>
      <c r="L247" s="13" t="s">
        <v>65</v>
      </c>
      <c r="M247" s="13" t="s">
        <v>65</v>
      </c>
    </row>
    <row r="248" spans="1:13" x14ac:dyDescent="0.35">
      <c r="A248" s="11" t="s">
        <v>354</v>
      </c>
      <c r="B248" s="11" t="s">
        <v>355</v>
      </c>
      <c r="C248" s="11">
        <v>6</v>
      </c>
      <c r="D248" s="12">
        <v>45018.106944444444</v>
      </c>
      <c r="E248" s="12">
        <v>45018.222916666666</v>
      </c>
      <c r="F248" s="11" t="s">
        <v>100</v>
      </c>
      <c r="G248" s="11" t="s">
        <v>86</v>
      </c>
      <c r="H248" s="11" t="s">
        <v>74</v>
      </c>
      <c r="I248" s="11">
        <v>4907</v>
      </c>
      <c r="J248" s="11" t="s">
        <v>88</v>
      </c>
      <c r="K248" s="11">
        <v>247</v>
      </c>
      <c r="L248" s="11" t="s">
        <v>187</v>
      </c>
      <c r="M248" s="11" t="s">
        <v>25</v>
      </c>
    </row>
    <row r="249" spans="1:13" x14ac:dyDescent="0.35">
      <c r="A249" s="13" t="s">
        <v>356</v>
      </c>
      <c r="B249" s="13" t="s">
        <v>65</v>
      </c>
      <c r="C249" s="13"/>
      <c r="D249" s="14"/>
      <c r="E249" s="14"/>
      <c r="F249" s="13" t="s">
        <v>65</v>
      </c>
      <c r="G249" s="13" t="s">
        <v>65</v>
      </c>
      <c r="H249" s="13" t="s">
        <v>65</v>
      </c>
      <c r="I249" s="13"/>
      <c r="J249" s="13" t="s">
        <v>65</v>
      </c>
      <c r="K249" s="13"/>
      <c r="L249" s="13" t="s">
        <v>65</v>
      </c>
      <c r="M249" s="13" t="s">
        <v>65</v>
      </c>
    </row>
    <row r="250" spans="1:13" x14ac:dyDescent="0.35">
      <c r="A250" s="11" t="s">
        <v>357</v>
      </c>
      <c r="B250" s="11" t="s">
        <v>65</v>
      </c>
      <c r="C250" s="11"/>
      <c r="D250" s="12"/>
      <c r="E250" s="12"/>
      <c r="F250" s="11" t="s">
        <v>65</v>
      </c>
      <c r="G250" s="11" t="s">
        <v>65</v>
      </c>
      <c r="H250" s="11" t="s">
        <v>65</v>
      </c>
      <c r="I250" s="11"/>
      <c r="J250" s="11" t="s">
        <v>65</v>
      </c>
      <c r="K250" s="11"/>
      <c r="L250" s="11" t="s">
        <v>65</v>
      </c>
      <c r="M250" s="11" t="s">
        <v>65</v>
      </c>
    </row>
    <row r="251" spans="1:13" x14ac:dyDescent="0.35">
      <c r="A251" s="13" t="s">
        <v>215</v>
      </c>
      <c r="B251" s="13" t="s">
        <v>358</v>
      </c>
      <c r="C251" s="13">
        <v>2</v>
      </c>
      <c r="D251" s="14">
        <v>45018.12222222222</v>
      </c>
      <c r="E251" s="14">
        <v>45018.272916666669</v>
      </c>
      <c r="F251" s="13" t="s">
        <v>72</v>
      </c>
      <c r="G251" s="13" t="s">
        <v>86</v>
      </c>
      <c r="H251" s="13" t="s">
        <v>74</v>
      </c>
      <c r="I251" s="13">
        <v>2321</v>
      </c>
      <c r="J251" s="13" t="s">
        <v>75</v>
      </c>
      <c r="K251" s="13">
        <v>250</v>
      </c>
      <c r="L251" s="13" t="s">
        <v>181</v>
      </c>
      <c r="M251" s="13" t="s">
        <v>39</v>
      </c>
    </row>
    <row r="252" spans="1:13" x14ac:dyDescent="0.35">
      <c r="A252" s="11" t="s">
        <v>359</v>
      </c>
      <c r="B252" s="11" t="s">
        <v>65</v>
      </c>
      <c r="C252" s="11"/>
      <c r="D252" s="12"/>
      <c r="E252" s="12"/>
      <c r="F252" s="11" t="s">
        <v>65</v>
      </c>
      <c r="G252" s="11" t="s">
        <v>65</v>
      </c>
      <c r="H252" s="11" t="s">
        <v>65</v>
      </c>
      <c r="I252" s="11"/>
      <c r="J252" s="11" t="s">
        <v>65</v>
      </c>
      <c r="K252" s="11"/>
      <c r="L252" s="11" t="s">
        <v>65</v>
      </c>
      <c r="M252" s="11" t="s">
        <v>65</v>
      </c>
    </row>
    <row r="253" spans="1:13" x14ac:dyDescent="0.35">
      <c r="A253" s="13" t="s">
        <v>360</v>
      </c>
      <c r="B253" s="13" t="s">
        <v>65</v>
      </c>
      <c r="C253" s="13"/>
      <c r="D253" s="14"/>
      <c r="E253" s="14"/>
      <c r="F253" s="13" t="s">
        <v>65</v>
      </c>
      <c r="G253" s="13" t="s">
        <v>65</v>
      </c>
      <c r="H253" s="13" t="s">
        <v>65</v>
      </c>
      <c r="I253" s="13"/>
      <c r="J253" s="13" t="s">
        <v>65</v>
      </c>
      <c r="K253" s="13"/>
      <c r="L253" s="13" t="s">
        <v>65</v>
      </c>
      <c r="M253" s="13" t="s">
        <v>65</v>
      </c>
    </row>
    <row r="254" spans="1:13" x14ac:dyDescent="0.35">
      <c r="A254" s="11" t="s">
        <v>361</v>
      </c>
      <c r="B254" s="11" t="s">
        <v>65</v>
      </c>
      <c r="C254" s="11"/>
      <c r="D254" s="12"/>
      <c r="E254" s="12"/>
      <c r="F254" s="11" t="s">
        <v>65</v>
      </c>
      <c r="G254" s="11" t="s">
        <v>65</v>
      </c>
      <c r="H254" s="11" t="s">
        <v>65</v>
      </c>
      <c r="I254" s="11"/>
      <c r="J254" s="11" t="s">
        <v>65</v>
      </c>
      <c r="K254" s="11"/>
      <c r="L254" s="11" t="s">
        <v>65</v>
      </c>
      <c r="M254" s="11" t="s">
        <v>65</v>
      </c>
    </row>
    <row r="255" spans="1:13" x14ac:dyDescent="0.35">
      <c r="A255" s="13" t="s">
        <v>362</v>
      </c>
      <c r="B255" s="13" t="s">
        <v>65</v>
      </c>
      <c r="C255" s="13"/>
      <c r="D255" s="14"/>
      <c r="E255" s="14"/>
      <c r="F255" s="13" t="s">
        <v>65</v>
      </c>
      <c r="G255" s="13" t="s">
        <v>65</v>
      </c>
      <c r="H255" s="13" t="s">
        <v>65</v>
      </c>
      <c r="I255" s="13"/>
      <c r="J255" s="13" t="s">
        <v>65</v>
      </c>
      <c r="K255" s="13"/>
      <c r="L255" s="13" t="s">
        <v>65</v>
      </c>
      <c r="M255" s="13" t="s">
        <v>65</v>
      </c>
    </row>
    <row r="256" spans="1:13" x14ac:dyDescent="0.35">
      <c r="A256" s="11" t="s">
        <v>215</v>
      </c>
      <c r="B256" s="11" t="s">
        <v>363</v>
      </c>
      <c r="C256" s="11">
        <v>4</v>
      </c>
      <c r="D256" s="12">
        <v>45018.099305555559</v>
      </c>
      <c r="E256" s="12">
        <v>45018.165972222225</v>
      </c>
      <c r="F256" s="11" t="s">
        <v>100</v>
      </c>
      <c r="G256" s="11" t="s">
        <v>73</v>
      </c>
      <c r="H256" s="11" t="s">
        <v>87</v>
      </c>
      <c r="I256" s="11">
        <v>1334</v>
      </c>
      <c r="J256" s="11" t="s">
        <v>94</v>
      </c>
      <c r="K256" s="11">
        <v>255</v>
      </c>
      <c r="L256" s="11" t="s">
        <v>174</v>
      </c>
      <c r="M256" s="11" t="s">
        <v>49</v>
      </c>
    </row>
    <row r="257" spans="1:13" x14ac:dyDescent="0.35">
      <c r="A257" s="13" t="s">
        <v>121</v>
      </c>
      <c r="B257" s="13" t="s">
        <v>364</v>
      </c>
      <c r="C257" s="13">
        <v>2</v>
      </c>
      <c r="D257" s="14">
        <v>45018.015972222223</v>
      </c>
      <c r="E257" s="14">
        <v>45018.143750000003</v>
      </c>
      <c r="F257" s="13" t="s">
        <v>85</v>
      </c>
      <c r="G257" s="13" t="s">
        <v>163</v>
      </c>
      <c r="H257" s="13" t="s">
        <v>87</v>
      </c>
      <c r="I257" s="13">
        <v>4988</v>
      </c>
      <c r="J257" s="13" t="s">
        <v>94</v>
      </c>
      <c r="K257" s="13">
        <v>256</v>
      </c>
      <c r="L257" s="13" t="s">
        <v>164</v>
      </c>
      <c r="M257" s="13" t="s">
        <v>43</v>
      </c>
    </row>
    <row r="258" spans="1:13" x14ac:dyDescent="0.35">
      <c r="A258" s="11" t="s">
        <v>107</v>
      </c>
      <c r="B258" s="11" t="s">
        <v>365</v>
      </c>
      <c r="C258" s="11">
        <v>5</v>
      </c>
      <c r="D258" s="12">
        <v>45018.088888888888</v>
      </c>
      <c r="E258" s="12">
        <v>45018.136805555558</v>
      </c>
      <c r="F258" s="11" t="s">
        <v>100</v>
      </c>
      <c r="G258" s="11" t="s">
        <v>86</v>
      </c>
      <c r="H258" s="11" t="s">
        <v>74</v>
      </c>
      <c r="I258" s="11">
        <v>2678</v>
      </c>
      <c r="J258" s="11" t="s">
        <v>94</v>
      </c>
      <c r="K258" s="11">
        <v>257</v>
      </c>
      <c r="L258" s="11" t="s">
        <v>187</v>
      </c>
      <c r="M258" s="11" t="s">
        <v>41</v>
      </c>
    </row>
    <row r="259" spans="1:13" x14ac:dyDescent="0.35">
      <c r="A259" s="13" t="s">
        <v>366</v>
      </c>
      <c r="B259" s="13" t="s">
        <v>65</v>
      </c>
      <c r="C259" s="13"/>
      <c r="D259" s="14"/>
      <c r="E259" s="14"/>
      <c r="F259" s="13" t="s">
        <v>65</v>
      </c>
      <c r="G259" s="13" t="s">
        <v>65</v>
      </c>
      <c r="H259" s="13" t="s">
        <v>65</v>
      </c>
      <c r="I259" s="13"/>
      <c r="J259" s="13" t="s">
        <v>65</v>
      </c>
      <c r="K259" s="13"/>
      <c r="L259" s="13" t="s">
        <v>65</v>
      </c>
      <c r="M259" s="13" t="s">
        <v>65</v>
      </c>
    </row>
    <row r="260" spans="1:13" x14ac:dyDescent="0.35">
      <c r="A260" s="11" t="s">
        <v>232</v>
      </c>
      <c r="B260" s="11" t="s">
        <v>367</v>
      </c>
      <c r="C260" s="11">
        <v>5</v>
      </c>
      <c r="D260" s="12">
        <v>45018.143750000003</v>
      </c>
      <c r="E260" s="12">
        <v>45018.261111111111</v>
      </c>
      <c r="F260" s="11" t="s">
        <v>223</v>
      </c>
      <c r="G260" s="11" t="s">
        <v>86</v>
      </c>
      <c r="H260" s="11" t="s">
        <v>74</v>
      </c>
      <c r="I260" s="11">
        <v>4672</v>
      </c>
      <c r="J260" s="11" t="s">
        <v>88</v>
      </c>
      <c r="K260" s="11">
        <v>259</v>
      </c>
      <c r="L260" s="11" t="s">
        <v>275</v>
      </c>
      <c r="M260" s="11" t="s">
        <v>17</v>
      </c>
    </row>
    <row r="261" spans="1:13" x14ac:dyDescent="0.35">
      <c r="A261" s="13" t="s">
        <v>92</v>
      </c>
      <c r="B261" s="13" t="s">
        <v>368</v>
      </c>
      <c r="C261" s="13">
        <v>6</v>
      </c>
      <c r="D261" s="14">
        <v>45018.057638888888</v>
      </c>
      <c r="E261" s="14">
        <v>45018.193055555559</v>
      </c>
      <c r="F261" s="13" t="s">
        <v>85</v>
      </c>
      <c r="G261" s="13" t="s">
        <v>86</v>
      </c>
      <c r="H261" s="13" t="s">
        <v>87</v>
      </c>
      <c r="I261" s="13">
        <v>4755</v>
      </c>
      <c r="J261" s="13" t="s">
        <v>88</v>
      </c>
      <c r="K261" s="13">
        <v>260</v>
      </c>
      <c r="L261" s="13" t="s">
        <v>174</v>
      </c>
      <c r="M261" s="13" t="s">
        <v>41</v>
      </c>
    </row>
    <row r="262" spans="1:13" x14ac:dyDescent="0.35">
      <c r="A262" s="11" t="s">
        <v>369</v>
      </c>
      <c r="B262" s="11" t="s">
        <v>65</v>
      </c>
      <c r="C262" s="11"/>
      <c r="D262" s="12"/>
      <c r="E262" s="12"/>
      <c r="F262" s="11" t="s">
        <v>65</v>
      </c>
      <c r="G262" s="11" t="s">
        <v>65</v>
      </c>
      <c r="H262" s="11" t="s">
        <v>65</v>
      </c>
      <c r="I262" s="11"/>
      <c r="J262" s="11" t="s">
        <v>65</v>
      </c>
      <c r="K262" s="11"/>
      <c r="L262" s="11" t="s">
        <v>65</v>
      </c>
      <c r="M262" s="11" t="s">
        <v>65</v>
      </c>
    </row>
    <row r="263" spans="1:13" x14ac:dyDescent="0.35">
      <c r="A263" s="13" t="s">
        <v>370</v>
      </c>
      <c r="B263" s="13" t="s">
        <v>65</v>
      </c>
      <c r="C263" s="13"/>
      <c r="D263" s="14"/>
      <c r="E263" s="14"/>
      <c r="F263" s="13" t="s">
        <v>65</v>
      </c>
      <c r="G263" s="13" t="s">
        <v>65</v>
      </c>
      <c r="H263" s="13" t="s">
        <v>65</v>
      </c>
      <c r="I263" s="13"/>
      <c r="J263" s="13" t="s">
        <v>65</v>
      </c>
      <c r="K263" s="13"/>
      <c r="L263" s="13" t="s">
        <v>65</v>
      </c>
      <c r="M263" s="13" t="s">
        <v>65</v>
      </c>
    </row>
    <row r="264" spans="1:13" x14ac:dyDescent="0.35">
      <c r="A264" s="11" t="s">
        <v>371</v>
      </c>
      <c r="B264" s="11" t="s">
        <v>65</v>
      </c>
      <c r="C264" s="11"/>
      <c r="D264" s="12"/>
      <c r="E264" s="12"/>
      <c r="F264" s="11" t="s">
        <v>65</v>
      </c>
      <c r="G264" s="11" t="s">
        <v>65</v>
      </c>
      <c r="H264" s="11" t="s">
        <v>65</v>
      </c>
      <c r="I264" s="11"/>
      <c r="J264" s="11" t="s">
        <v>65</v>
      </c>
      <c r="K264" s="11"/>
      <c r="L264" s="11" t="s">
        <v>65</v>
      </c>
      <c r="M264" s="11" t="s">
        <v>65</v>
      </c>
    </row>
    <row r="265" spans="1:13" x14ac:dyDescent="0.35">
      <c r="A265" s="13" t="s">
        <v>372</v>
      </c>
      <c r="B265" s="13" t="s">
        <v>65</v>
      </c>
      <c r="C265" s="13"/>
      <c r="D265" s="14"/>
      <c r="E265" s="14"/>
      <c r="F265" s="13" t="s">
        <v>65</v>
      </c>
      <c r="G265" s="13" t="s">
        <v>65</v>
      </c>
      <c r="H265" s="13" t="s">
        <v>65</v>
      </c>
      <c r="I265" s="13"/>
      <c r="J265" s="13" t="s">
        <v>65</v>
      </c>
      <c r="K265" s="13"/>
      <c r="L265" s="13" t="s">
        <v>65</v>
      </c>
      <c r="M265" s="13" t="s">
        <v>65</v>
      </c>
    </row>
    <row r="266" spans="1:13" x14ac:dyDescent="0.35">
      <c r="A266" s="11" t="s">
        <v>373</v>
      </c>
      <c r="B266" s="11" t="s">
        <v>65</v>
      </c>
      <c r="C266" s="11"/>
      <c r="D266" s="12"/>
      <c r="E266" s="12"/>
      <c r="F266" s="11" t="s">
        <v>65</v>
      </c>
      <c r="G266" s="11" t="s">
        <v>65</v>
      </c>
      <c r="H266" s="11" t="s">
        <v>65</v>
      </c>
      <c r="I266" s="11"/>
      <c r="J266" s="11" t="s">
        <v>65</v>
      </c>
      <c r="K266" s="11"/>
      <c r="L266" s="11" t="s">
        <v>65</v>
      </c>
      <c r="M266" s="11" t="s">
        <v>65</v>
      </c>
    </row>
    <row r="267" spans="1:13" x14ac:dyDescent="0.35">
      <c r="A267" s="13" t="s">
        <v>374</v>
      </c>
      <c r="B267" s="13" t="s">
        <v>65</v>
      </c>
      <c r="C267" s="13"/>
      <c r="D267" s="14"/>
      <c r="E267" s="14"/>
      <c r="F267" s="13" t="s">
        <v>65</v>
      </c>
      <c r="G267" s="13" t="s">
        <v>65</v>
      </c>
      <c r="H267" s="13" t="s">
        <v>65</v>
      </c>
      <c r="I267" s="13"/>
      <c r="J267" s="13" t="s">
        <v>65</v>
      </c>
      <c r="K267" s="13"/>
      <c r="L267" s="13" t="s">
        <v>65</v>
      </c>
      <c r="M267" s="13" t="s">
        <v>65</v>
      </c>
    </row>
    <row r="268" spans="1:13" x14ac:dyDescent="0.35">
      <c r="A268" s="11" t="s">
        <v>375</v>
      </c>
      <c r="B268" s="11" t="s">
        <v>65</v>
      </c>
      <c r="C268" s="11"/>
      <c r="D268" s="12"/>
      <c r="E268" s="12"/>
      <c r="F268" s="11" t="s">
        <v>65</v>
      </c>
      <c r="G268" s="11" t="s">
        <v>65</v>
      </c>
      <c r="H268" s="11" t="s">
        <v>65</v>
      </c>
      <c r="I268" s="11"/>
      <c r="J268" s="11" t="s">
        <v>65</v>
      </c>
      <c r="K268" s="11"/>
      <c r="L268" s="11" t="s">
        <v>65</v>
      </c>
      <c r="M268" s="11" t="s">
        <v>65</v>
      </c>
    </row>
    <row r="269" spans="1:13" x14ac:dyDescent="0.35">
      <c r="A269" s="13" t="s">
        <v>376</v>
      </c>
      <c r="B269" s="13" t="s">
        <v>65</v>
      </c>
      <c r="C269" s="13"/>
      <c r="D269" s="14"/>
      <c r="E269" s="14"/>
      <c r="F269" s="13" t="s">
        <v>65</v>
      </c>
      <c r="G269" s="13" t="s">
        <v>65</v>
      </c>
      <c r="H269" s="13" t="s">
        <v>65</v>
      </c>
      <c r="I269" s="13"/>
      <c r="J269" s="13" t="s">
        <v>65</v>
      </c>
      <c r="K269" s="13"/>
      <c r="L269" s="13" t="s">
        <v>65</v>
      </c>
      <c r="M269" s="13" t="s">
        <v>65</v>
      </c>
    </row>
    <row r="270" spans="1:13" x14ac:dyDescent="0.35">
      <c r="A270" s="11" t="s">
        <v>377</v>
      </c>
      <c r="B270" s="11" t="s">
        <v>65</v>
      </c>
      <c r="C270" s="11"/>
      <c r="D270" s="12"/>
      <c r="E270" s="12"/>
      <c r="F270" s="11" t="s">
        <v>65</v>
      </c>
      <c r="G270" s="11" t="s">
        <v>65</v>
      </c>
      <c r="H270" s="11" t="s">
        <v>65</v>
      </c>
      <c r="I270" s="11"/>
      <c r="J270" s="11" t="s">
        <v>65</v>
      </c>
      <c r="K270" s="11"/>
      <c r="L270" s="11" t="s">
        <v>65</v>
      </c>
      <c r="M270" s="11" t="s">
        <v>65</v>
      </c>
    </row>
    <row r="271" spans="1:13" x14ac:dyDescent="0.35">
      <c r="A271" s="13" t="s">
        <v>232</v>
      </c>
      <c r="B271" s="13" t="s">
        <v>378</v>
      </c>
      <c r="C271" s="13">
        <v>1</v>
      </c>
      <c r="D271" s="14">
        <v>45019.049305555556</v>
      </c>
      <c r="E271" s="14">
        <v>45019.207638888889</v>
      </c>
      <c r="F271" s="13" t="s">
        <v>72</v>
      </c>
      <c r="G271" s="13" t="s">
        <v>86</v>
      </c>
      <c r="H271" s="13" t="s">
        <v>74</v>
      </c>
      <c r="I271" s="13">
        <v>1013</v>
      </c>
      <c r="J271" s="13" t="s">
        <v>75</v>
      </c>
      <c r="K271" s="13">
        <v>270</v>
      </c>
      <c r="L271" s="13" t="s">
        <v>187</v>
      </c>
      <c r="M271" s="13" t="s">
        <v>37</v>
      </c>
    </row>
    <row r="272" spans="1:13" x14ac:dyDescent="0.35">
      <c r="A272" s="11" t="s">
        <v>308</v>
      </c>
      <c r="B272" s="11" t="s">
        <v>379</v>
      </c>
      <c r="C272" s="11">
        <v>3</v>
      </c>
      <c r="D272" s="12">
        <v>45019.069444444445</v>
      </c>
      <c r="E272" s="12">
        <v>45019.215277777781</v>
      </c>
      <c r="F272" s="11" t="s">
        <v>170</v>
      </c>
      <c r="G272" s="11" t="s">
        <v>86</v>
      </c>
      <c r="H272" s="11" t="s">
        <v>74</v>
      </c>
      <c r="I272" s="11">
        <v>1611</v>
      </c>
      <c r="J272" s="11" t="s">
        <v>88</v>
      </c>
      <c r="K272" s="11">
        <v>271</v>
      </c>
      <c r="L272" s="11" t="s">
        <v>95</v>
      </c>
      <c r="M272" s="11" t="s">
        <v>35</v>
      </c>
    </row>
    <row r="273" spans="1:13" x14ac:dyDescent="0.35">
      <c r="A273" s="13" t="s">
        <v>380</v>
      </c>
      <c r="B273" s="13" t="s">
        <v>65</v>
      </c>
      <c r="C273" s="13"/>
      <c r="D273" s="14"/>
      <c r="E273" s="14"/>
      <c r="F273" s="13" t="s">
        <v>65</v>
      </c>
      <c r="G273" s="13" t="s">
        <v>65</v>
      </c>
      <c r="H273" s="13" t="s">
        <v>65</v>
      </c>
      <c r="I273" s="13"/>
      <c r="J273" s="13" t="s">
        <v>65</v>
      </c>
      <c r="K273" s="13"/>
      <c r="L273" s="13" t="s">
        <v>65</v>
      </c>
      <c r="M273" s="13" t="s">
        <v>65</v>
      </c>
    </row>
    <row r="274" spans="1:13" x14ac:dyDescent="0.35">
      <c r="A274" s="11" t="s">
        <v>381</v>
      </c>
      <c r="B274" s="11" t="s">
        <v>65</v>
      </c>
      <c r="C274" s="11"/>
      <c r="D274" s="12"/>
      <c r="E274" s="12"/>
      <c r="F274" s="11" t="s">
        <v>65</v>
      </c>
      <c r="G274" s="11" t="s">
        <v>65</v>
      </c>
      <c r="H274" s="11" t="s">
        <v>65</v>
      </c>
      <c r="I274" s="11"/>
      <c r="J274" s="11" t="s">
        <v>65</v>
      </c>
      <c r="K274" s="11"/>
      <c r="L274" s="11" t="s">
        <v>65</v>
      </c>
      <c r="M274" s="11" t="s">
        <v>65</v>
      </c>
    </row>
    <row r="275" spans="1:13" x14ac:dyDescent="0.35">
      <c r="A275" s="13" t="s">
        <v>382</v>
      </c>
      <c r="B275" s="13" t="s">
        <v>65</v>
      </c>
      <c r="C275" s="13"/>
      <c r="D275" s="14"/>
      <c r="E275" s="14"/>
      <c r="F275" s="13" t="s">
        <v>65</v>
      </c>
      <c r="G275" s="13" t="s">
        <v>65</v>
      </c>
      <c r="H275" s="13" t="s">
        <v>65</v>
      </c>
      <c r="I275" s="13"/>
      <c r="J275" s="13" t="s">
        <v>65</v>
      </c>
      <c r="K275" s="13"/>
      <c r="L275" s="13" t="s">
        <v>65</v>
      </c>
      <c r="M275" s="13" t="s">
        <v>65</v>
      </c>
    </row>
    <row r="276" spans="1:13" x14ac:dyDescent="0.35">
      <c r="A276" s="11" t="s">
        <v>383</v>
      </c>
      <c r="B276" s="11" t="s">
        <v>65</v>
      </c>
      <c r="C276" s="11"/>
      <c r="D276" s="12"/>
      <c r="E276" s="12"/>
      <c r="F276" s="11" t="s">
        <v>65</v>
      </c>
      <c r="G276" s="11" t="s">
        <v>65</v>
      </c>
      <c r="H276" s="11" t="s">
        <v>65</v>
      </c>
      <c r="I276" s="11"/>
      <c r="J276" s="11" t="s">
        <v>65</v>
      </c>
      <c r="K276" s="11"/>
      <c r="L276" s="11" t="s">
        <v>65</v>
      </c>
      <c r="M276" s="11" t="s">
        <v>65</v>
      </c>
    </row>
    <row r="277" spans="1:13" x14ac:dyDescent="0.35">
      <c r="A277" s="13" t="s">
        <v>384</v>
      </c>
      <c r="B277" s="13" t="s">
        <v>65</v>
      </c>
      <c r="C277" s="13"/>
      <c r="D277" s="14"/>
      <c r="E277" s="14"/>
      <c r="F277" s="13" t="s">
        <v>65</v>
      </c>
      <c r="G277" s="13" t="s">
        <v>65</v>
      </c>
      <c r="H277" s="13" t="s">
        <v>65</v>
      </c>
      <c r="I277" s="13"/>
      <c r="J277" s="13" t="s">
        <v>65</v>
      </c>
      <c r="K277" s="13"/>
      <c r="L277" s="13" t="s">
        <v>65</v>
      </c>
      <c r="M277" s="13" t="s">
        <v>65</v>
      </c>
    </row>
    <row r="278" spans="1:13" x14ac:dyDescent="0.35">
      <c r="A278" s="11" t="s">
        <v>210</v>
      </c>
      <c r="B278" s="11" t="s">
        <v>385</v>
      </c>
      <c r="C278" s="11">
        <v>2</v>
      </c>
      <c r="D278" s="12">
        <v>45019.061111111114</v>
      </c>
      <c r="E278" s="12">
        <v>45019.163888888892</v>
      </c>
      <c r="F278" s="11" t="s">
        <v>85</v>
      </c>
      <c r="G278" s="11" t="s">
        <v>86</v>
      </c>
      <c r="H278" s="11" t="s">
        <v>74</v>
      </c>
      <c r="I278" s="11">
        <v>1029</v>
      </c>
      <c r="J278" s="11" t="s">
        <v>75</v>
      </c>
      <c r="K278" s="11">
        <v>277</v>
      </c>
      <c r="L278" s="11" t="s">
        <v>181</v>
      </c>
      <c r="M278" s="11" t="s">
        <v>15</v>
      </c>
    </row>
    <row r="279" spans="1:13" x14ac:dyDescent="0.35">
      <c r="A279" s="13" t="s">
        <v>386</v>
      </c>
      <c r="B279" s="13" t="s">
        <v>65</v>
      </c>
      <c r="C279" s="13"/>
      <c r="D279" s="14"/>
      <c r="E279" s="14"/>
      <c r="F279" s="13" t="s">
        <v>65</v>
      </c>
      <c r="G279" s="13" t="s">
        <v>65</v>
      </c>
      <c r="H279" s="13" t="s">
        <v>65</v>
      </c>
      <c r="I279" s="13"/>
      <c r="J279" s="13" t="s">
        <v>65</v>
      </c>
      <c r="K279" s="13"/>
      <c r="L279" s="13" t="s">
        <v>65</v>
      </c>
      <c r="M279" s="13" t="s">
        <v>65</v>
      </c>
    </row>
    <row r="280" spans="1:13" x14ac:dyDescent="0.35">
      <c r="A280" s="11" t="s">
        <v>387</v>
      </c>
      <c r="B280" s="11" t="s">
        <v>65</v>
      </c>
      <c r="C280" s="11"/>
      <c r="D280" s="12"/>
      <c r="E280" s="12"/>
      <c r="F280" s="11" t="s">
        <v>65</v>
      </c>
      <c r="G280" s="11" t="s">
        <v>65</v>
      </c>
      <c r="H280" s="11" t="s">
        <v>65</v>
      </c>
      <c r="I280" s="11"/>
      <c r="J280" s="11" t="s">
        <v>65</v>
      </c>
      <c r="K280" s="11"/>
      <c r="L280" s="11" t="s">
        <v>65</v>
      </c>
      <c r="M280" s="11" t="s">
        <v>65</v>
      </c>
    </row>
    <row r="281" spans="1:13" x14ac:dyDescent="0.35">
      <c r="A281" s="13" t="s">
        <v>388</v>
      </c>
      <c r="B281" s="13" t="s">
        <v>65</v>
      </c>
      <c r="C281" s="13"/>
      <c r="D281" s="14"/>
      <c r="E281" s="14"/>
      <c r="F281" s="13" t="s">
        <v>65</v>
      </c>
      <c r="G281" s="13" t="s">
        <v>65</v>
      </c>
      <c r="H281" s="13" t="s">
        <v>65</v>
      </c>
      <c r="I281" s="13"/>
      <c r="J281" s="13" t="s">
        <v>65</v>
      </c>
      <c r="K281" s="13"/>
      <c r="L281" s="13" t="s">
        <v>65</v>
      </c>
      <c r="M281" s="13" t="s">
        <v>65</v>
      </c>
    </row>
    <row r="282" spans="1:13" x14ac:dyDescent="0.35">
      <c r="A282" s="11" t="s">
        <v>98</v>
      </c>
      <c r="B282" s="11" t="s">
        <v>389</v>
      </c>
      <c r="C282" s="11">
        <v>2</v>
      </c>
      <c r="D282" s="12">
        <v>45019.161111111112</v>
      </c>
      <c r="E282" s="12">
        <v>45019.326388888891</v>
      </c>
      <c r="F282" s="11" t="s">
        <v>72</v>
      </c>
      <c r="G282" s="11" t="s">
        <v>163</v>
      </c>
      <c r="H282" s="11" t="s">
        <v>87</v>
      </c>
      <c r="I282" s="11">
        <v>443</v>
      </c>
      <c r="J282" s="11" t="s">
        <v>88</v>
      </c>
      <c r="K282" s="11">
        <v>281</v>
      </c>
      <c r="L282" s="11" t="s">
        <v>76</v>
      </c>
      <c r="M282" s="11" t="s">
        <v>25</v>
      </c>
    </row>
    <row r="283" spans="1:13" x14ac:dyDescent="0.35">
      <c r="A283" s="13" t="s">
        <v>390</v>
      </c>
      <c r="B283" s="13" t="s">
        <v>65</v>
      </c>
      <c r="C283" s="13"/>
      <c r="D283" s="14"/>
      <c r="E283" s="14"/>
      <c r="F283" s="13" t="s">
        <v>65</v>
      </c>
      <c r="G283" s="13" t="s">
        <v>65</v>
      </c>
      <c r="H283" s="13" t="s">
        <v>65</v>
      </c>
      <c r="I283" s="13"/>
      <c r="J283" s="13" t="s">
        <v>65</v>
      </c>
      <c r="K283" s="13"/>
      <c r="L283" s="13" t="s">
        <v>65</v>
      </c>
      <c r="M283" s="13" t="s">
        <v>65</v>
      </c>
    </row>
    <row r="284" spans="1:13" x14ac:dyDescent="0.35">
      <c r="A284" s="11" t="s">
        <v>177</v>
      </c>
      <c r="B284" s="11" t="s">
        <v>391</v>
      </c>
      <c r="C284" s="11">
        <v>5</v>
      </c>
      <c r="D284" s="12">
        <v>45019.044444444444</v>
      </c>
      <c r="E284" s="12">
        <v>45019.199999999997</v>
      </c>
      <c r="F284" s="11" t="s">
        <v>85</v>
      </c>
      <c r="G284" s="11" t="s">
        <v>73</v>
      </c>
      <c r="H284" s="11" t="s">
        <v>74</v>
      </c>
      <c r="I284" s="11">
        <v>4307</v>
      </c>
      <c r="J284" s="11" t="s">
        <v>75</v>
      </c>
      <c r="K284" s="11">
        <v>283</v>
      </c>
      <c r="L284" s="11" t="s">
        <v>89</v>
      </c>
      <c r="M284" s="11" t="s">
        <v>47</v>
      </c>
    </row>
    <row r="285" spans="1:13" x14ac:dyDescent="0.35">
      <c r="A285" s="13" t="s">
        <v>392</v>
      </c>
      <c r="B285" s="13" t="s">
        <v>65</v>
      </c>
      <c r="C285" s="13"/>
      <c r="D285" s="14"/>
      <c r="E285" s="14"/>
      <c r="F285" s="13" t="s">
        <v>65</v>
      </c>
      <c r="G285" s="13" t="s">
        <v>65</v>
      </c>
      <c r="H285" s="13" t="s">
        <v>65</v>
      </c>
      <c r="I285" s="13"/>
      <c r="J285" s="13" t="s">
        <v>65</v>
      </c>
      <c r="K285" s="13"/>
      <c r="L285" s="13" t="s">
        <v>65</v>
      </c>
      <c r="M285" s="13" t="s">
        <v>65</v>
      </c>
    </row>
    <row r="286" spans="1:13" x14ac:dyDescent="0.35">
      <c r="A286" s="11" t="s">
        <v>98</v>
      </c>
      <c r="B286" s="11" t="s">
        <v>393</v>
      </c>
      <c r="C286" s="11">
        <v>6</v>
      </c>
      <c r="D286" s="12">
        <v>45019.127083333333</v>
      </c>
      <c r="E286" s="12">
        <v>45019.253472222219</v>
      </c>
      <c r="F286" s="11" t="s">
        <v>72</v>
      </c>
      <c r="G286" s="11" t="s">
        <v>86</v>
      </c>
      <c r="H286" s="11" t="s">
        <v>109</v>
      </c>
      <c r="I286" s="11">
        <v>1094</v>
      </c>
      <c r="J286" s="11" t="s">
        <v>94</v>
      </c>
      <c r="K286" s="11">
        <v>285</v>
      </c>
      <c r="L286" s="11" t="s">
        <v>181</v>
      </c>
      <c r="M286" s="11" t="s">
        <v>43</v>
      </c>
    </row>
    <row r="287" spans="1:13" x14ac:dyDescent="0.35">
      <c r="A287" s="13" t="s">
        <v>125</v>
      </c>
      <c r="B287" s="13" t="s">
        <v>394</v>
      </c>
      <c r="C287" s="13">
        <v>6</v>
      </c>
      <c r="D287" s="14">
        <v>45019.015277777777</v>
      </c>
      <c r="E287" s="14">
        <v>45019.102777777778</v>
      </c>
      <c r="F287" s="13" t="s">
        <v>170</v>
      </c>
      <c r="G287" s="13" t="s">
        <v>86</v>
      </c>
      <c r="H287" s="13" t="s">
        <v>74</v>
      </c>
      <c r="I287" s="13">
        <v>4196</v>
      </c>
      <c r="J287" s="13" t="s">
        <v>88</v>
      </c>
      <c r="K287" s="13">
        <v>286</v>
      </c>
      <c r="L287" s="13" t="s">
        <v>164</v>
      </c>
      <c r="M287" s="13" t="s">
        <v>37</v>
      </c>
    </row>
    <row r="288" spans="1:13" x14ac:dyDescent="0.35">
      <c r="A288" s="11" t="s">
        <v>395</v>
      </c>
      <c r="B288" s="11" t="s">
        <v>65</v>
      </c>
      <c r="C288" s="11"/>
      <c r="D288" s="12"/>
      <c r="E288" s="12"/>
      <c r="F288" s="11" t="s">
        <v>65</v>
      </c>
      <c r="G288" s="11" t="s">
        <v>65</v>
      </c>
      <c r="H288" s="11" t="s">
        <v>65</v>
      </c>
      <c r="I288" s="11"/>
      <c r="J288" s="11" t="s">
        <v>65</v>
      </c>
      <c r="K288" s="11"/>
      <c r="L288" s="11" t="s">
        <v>65</v>
      </c>
      <c r="M288" s="11" t="s">
        <v>65</v>
      </c>
    </row>
    <row r="289" spans="1:13" x14ac:dyDescent="0.35">
      <c r="A289" s="13" t="s">
        <v>396</v>
      </c>
      <c r="B289" s="13" t="s">
        <v>65</v>
      </c>
      <c r="C289" s="13"/>
      <c r="D289" s="14"/>
      <c r="E289" s="14"/>
      <c r="F289" s="13" t="s">
        <v>65</v>
      </c>
      <c r="G289" s="13" t="s">
        <v>65</v>
      </c>
      <c r="H289" s="13" t="s">
        <v>65</v>
      </c>
      <c r="I289" s="13"/>
      <c r="J289" s="13" t="s">
        <v>65</v>
      </c>
      <c r="K289" s="13"/>
      <c r="L289" s="13" t="s">
        <v>65</v>
      </c>
      <c r="M289" s="13" t="s">
        <v>65</v>
      </c>
    </row>
    <row r="290" spans="1:13" x14ac:dyDescent="0.35">
      <c r="A290" s="11" t="s">
        <v>397</v>
      </c>
      <c r="B290" s="11" t="s">
        <v>65</v>
      </c>
      <c r="C290" s="11"/>
      <c r="D290" s="12"/>
      <c r="E290" s="12"/>
      <c r="F290" s="11" t="s">
        <v>65</v>
      </c>
      <c r="G290" s="11" t="s">
        <v>65</v>
      </c>
      <c r="H290" s="11" t="s">
        <v>65</v>
      </c>
      <c r="I290" s="11"/>
      <c r="J290" s="11" t="s">
        <v>65</v>
      </c>
      <c r="K290" s="11"/>
      <c r="L290" s="11" t="s">
        <v>65</v>
      </c>
      <c r="M290" s="11" t="s">
        <v>65</v>
      </c>
    </row>
    <row r="291" spans="1:13" x14ac:dyDescent="0.35">
      <c r="A291" s="13" t="s">
        <v>177</v>
      </c>
      <c r="B291" s="13" t="s">
        <v>398</v>
      </c>
      <c r="C291" s="13">
        <v>3</v>
      </c>
      <c r="D291" s="14">
        <v>45019.087500000001</v>
      </c>
      <c r="E291" s="14">
        <v>45019.189583333333</v>
      </c>
      <c r="F291" s="13" t="s">
        <v>170</v>
      </c>
      <c r="G291" s="13" t="s">
        <v>86</v>
      </c>
      <c r="H291" s="13" t="s">
        <v>74</v>
      </c>
      <c r="I291" s="13">
        <v>1459</v>
      </c>
      <c r="J291" s="13" t="s">
        <v>88</v>
      </c>
      <c r="K291" s="13">
        <v>290</v>
      </c>
      <c r="L291" s="13" t="s">
        <v>181</v>
      </c>
      <c r="M291" s="13" t="s">
        <v>19</v>
      </c>
    </row>
    <row r="292" spans="1:13" x14ac:dyDescent="0.35">
      <c r="A292" s="11" t="s">
        <v>399</v>
      </c>
      <c r="B292" s="11" t="s">
        <v>65</v>
      </c>
      <c r="C292" s="11"/>
      <c r="D292" s="12"/>
      <c r="E292" s="12"/>
      <c r="F292" s="11" t="s">
        <v>65</v>
      </c>
      <c r="G292" s="11" t="s">
        <v>65</v>
      </c>
      <c r="H292" s="11" t="s">
        <v>65</v>
      </c>
      <c r="I292" s="11"/>
      <c r="J292" s="11" t="s">
        <v>65</v>
      </c>
      <c r="K292" s="11"/>
      <c r="L292" s="11" t="s">
        <v>65</v>
      </c>
      <c r="M292" s="11" t="s">
        <v>65</v>
      </c>
    </row>
    <row r="293" spans="1:13" x14ac:dyDescent="0.35">
      <c r="A293" s="13" t="s">
        <v>232</v>
      </c>
      <c r="B293" s="13" t="s">
        <v>400</v>
      </c>
      <c r="C293" s="13">
        <v>3</v>
      </c>
      <c r="D293" s="14">
        <v>45019.006249999999</v>
      </c>
      <c r="E293" s="14">
        <v>45019.07708333333</v>
      </c>
      <c r="F293" s="13" t="s">
        <v>170</v>
      </c>
      <c r="G293" s="13" t="s">
        <v>73</v>
      </c>
      <c r="H293" s="13" t="s">
        <v>109</v>
      </c>
      <c r="I293" s="13">
        <v>2972</v>
      </c>
      <c r="J293" s="13" t="s">
        <v>94</v>
      </c>
      <c r="K293" s="13">
        <v>292</v>
      </c>
      <c r="L293" s="13" t="s">
        <v>164</v>
      </c>
      <c r="M293" s="13" t="s">
        <v>27</v>
      </c>
    </row>
    <row r="294" spans="1:13" x14ac:dyDescent="0.35">
      <c r="A294" s="11" t="s">
        <v>401</v>
      </c>
      <c r="B294" s="11" t="s">
        <v>65</v>
      </c>
      <c r="C294" s="11"/>
      <c r="D294" s="12"/>
      <c r="E294" s="12"/>
      <c r="F294" s="11" t="s">
        <v>65</v>
      </c>
      <c r="G294" s="11" t="s">
        <v>65</v>
      </c>
      <c r="H294" s="11" t="s">
        <v>65</v>
      </c>
      <c r="I294" s="11"/>
      <c r="J294" s="11" t="s">
        <v>65</v>
      </c>
      <c r="K294" s="11"/>
      <c r="L294" s="11" t="s">
        <v>65</v>
      </c>
      <c r="M294" s="11" t="s">
        <v>65</v>
      </c>
    </row>
    <row r="295" spans="1:13" x14ac:dyDescent="0.35">
      <c r="A295" s="13" t="s">
        <v>402</v>
      </c>
      <c r="B295" s="13" t="s">
        <v>65</v>
      </c>
      <c r="C295" s="13"/>
      <c r="D295" s="14"/>
      <c r="E295" s="14"/>
      <c r="F295" s="13" t="s">
        <v>65</v>
      </c>
      <c r="G295" s="13" t="s">
        <v>65</v>
      </c>
      <c r="H295" s="13" t="s">
        <v>65</v>
      </c>
      <c r="I295" s="13"/>
      <c r="J295" s="13" t="s">
        <v>65</v>
      </c>
      <c r="K295" s="13"/>
      <c r="L295" s="13" t="s">
        <v>65</v>
      </c>
      <c r="M295" s="13" t="s">
        <v>65</v>
      </c>
    </row>
    <row r="296" spans="1:13" x14ac:dyDescent="0.35">
      <c r="A296" s="11" t="s">
        <v>403</v>
      </c>
      <c r="B296" s="11" t="s">
        <v>65</v>
      </c>
      <c r="C296" s="11"/>
      <c r="D296" s="12"/>
      <c r="E296" s="12"/>
      <c r="F296" s="11" t="s">
        <v>65</v>
      </c>
      <c r="G296" s="11" t="s">
        <v>65</v>
      </c>
      <c r="H296" s="11" t="s">
        <v>65</v>
      </c>
      <c r="I296" s="11"/>
      <c r="J296" s="11" t="s">
        <v>65</v>
      </c>
      <c r="K296" s="11"/>
      <c r="L296" s="11" t="s">
        <v>65</v>
      </c>
      <c r="M296" s="11" t="s">
        <v>65</v>
      </c>
    </row>
    <row r="297" spans="1:13" x14ac:dyDescent="0.35">
      <c r="A297" s="13" t="s">
        <v>404</v>
      </c>
      <c r="B297" s="13" t="s">
        <v>65</v>
      </c>
      <c r="C297" s="13"/>
      <c r="D297" s="14"/>
      <c r="E297" s="14"/>
      <c r="F297" s="13" t="s">
        <v>65</v>
      </c>
      <c r="G297" s="13" t="s">
        <v>65</v>
      </c>
      <c r="H297" s="13" t="s">
        <v>65</v>
      </c>
      <c r="I297" s="13"/>
      <c r="J297" s="13" t="s">
        <v>65</v>
      </c>
      <c r="K297" s="13"/>
      <c r="L297" s="13" t="s">
        <v>65</v>
      </c>
      <c r="M297" s="13" t="s">
        <v>65</v>
      </c>
    </row>
    <row r="298" spans="1:13" x14ac:dyDescent="0.35">
      <c r="A298" s="11" t="s">
        <v>405</v>
      </c>
      <c r="B298" s="11" t="s">
        <v>65</v>
      </c>
      <c r="C298" s="11"/>
      <c r="D298" s="12"/>
      <c r="E298" s="12"/>
      <c r="F298" s="11" t="s">
        <v>65</v>
      </c>
      <c r="G298" s="11" t="s">
        <v>65</v>
      </c>
      <c r="H298" s="11" t="s">
        <v>65</v>
      </c>
      <c r="I298" s="11"/>
      <c r="J298" s="11" t="s">
        <v>65</v>
      </c>
      <c r="K298" s="11"/>
      <c r="L298" s="11" t="s">
        <v>65</v>
      </c>
      <c r="M298" s="11" t="s">
        <v>65</v>
      </c>
    </row>
    <row r="299" spans="1:13" x14ac:dyDescent="0.35">
      <c r="A299" s="13" t="s">
        <v>406</v>
      </c>
      <c r="B299" s="13" t="s">
        <v>65</v>
      </c>
      <c r="C299" s="13"/>
      <c r="D299" s="14"/>
      <c r="E299" s="14"/>
      <c r="F299" s="13" t="s">
        <v>65</v>
      </c>
      <c r="G299" s="13" t="s">
        <v>65</v>
      </c>
      <c r="H299" s="13" t="s">
        <v>65</v>
      </c>
      <c r="I299" s="13"/>
      <c r="J299" s="13" t="s">
        <v>65</v>
      </c>
      <c r="K299" s="13"/>
      <c r="L299" s="13" t="s">
        <v>65</v>
      </c>
      <c r="M299" s="13" t="s">
        <v>65</v>
      </c>
    </row>
    <row r="300" spans="1:13" x14ac:dyDescent="0.35">
      <c r="A300" s="11" t="s">
        <v>407</v>
      </c>
      <c r="B300" s="11" t="s">
        <v>65</v>
      </c>
      <c r="C300" s="11"/>
      <c r="D300" s="12"/>
      <c r="E300" s="12"/>
      <c r="F300" s="11" t="s">
        <v>65</v>
      </c>
      <c r="G300" s="11" t="s">
        <v>65</v>
      </c>
      <c r="H300" s="11" t="s">
        <v>65</v>
      </c>
      <c r="I300" s="11"/>
      <c r="J300" s="11" t="s">
        <v>65</v>
      </c>
      <c r="K300" s="11"/>
      <c r="L300" s="11" t="s">
        <v>65</v>
      </c>
      <c r="M300" s="11" t="s">
        <v>65</v>
      </c>
    </row>
    <row r="301" spans="1:13" x14ac:dyDescent="0.35">
      <c r="A301" s="13" t="s">
        <v>408</v>
      </c>
      <c r="B301" s="13" t="s">
        <v>65</v>
      </c>
      <c r="C301" s="13"/>
      <c r="D301" s="14"/>
      <c r="E301" s="14"/>
      <c r="F301" s="13" t="s">
        <v>65</v>
      </c>
      <c r="G301" s="13" t="s">
        <v>65</v>
      </c>
      <c r="H301" s="13" t="s">
        <v>65</v>
      </c>
      <c r="I301" s="13"/>
      <c r="J301" s="13" t="s">
        <v>65</v>
      </c>
      <c r="K301" s="13"/>
      <c r="L301" s="13" t="s">
        <v>65</v>
      </c>
      <c r="M301" s="13" t="s">
        <v>65</v>
      </c>
    </row>
    <row r="302" spans="1:13" x14ac:dyDescent="0.35">
      <c r="A302" s="11" t="s">
        <v>409</v>
      </c>
      <c r="B302" s="11" t="s">
        <v>65</v>
      </c>
      <c r="C302" s="11"/>
      <c r="D302" s="12"/>
      <c r="E302" s="12"/>
      <c r="F302" s="11" t="s">
        <v>65</v>
      </c>
      <c r="G302" s="11" t="s">
        <v>65</v>
      </c>
      <c r="H302" s="11" t="s">
        <v>65</v>
      </c>
      <c r="I302" s="11"/>
      <c r="J302" s="11" t="s">
        <v>65</v>
      </c>
      <c r="K302" s="11"/>
      <c r="L302" s="11" t="s">
        <v>65</v>
      </c>
      <c r="M302" s="11" t="s">
        <v>65</v>
      </c>
    </row>
    <row r="303" spans="1:13" x14ac:dyDescent="0.35">
      <c r="A303" s="13" t="s">
        <v>121</v>
      </c>
      <c r="B303" s="13" t="s">
        <v>410</v>
      </c>
      <c r="C303" s="13">
        <v>2</v>
      </c>
      <c r="D303" s="14">
        <v>45019.055555555555</v>
      </c>
      <c r="E303" s="14">
        <v>45019.205555555556</v>
      </c>
      <c r="F303" s="13" t="s">
        <v>223</v>
      </c>
      <c r="G303" s="13" t="s">
        <v>163</v>
      </c>
      <c r="H303" s="13" t="s">
        <v>74</v>
      </c>
      <c r="I303" s="13">
        <v>3989</v>
      </c>
      <c r="J303" s="13" t="s">
        <v>94</v>
      </c>
      <c r="K303" s="13">
        <v>302</v>
      </c>
      <c r="L303" s="13" t="s">
        <v>110</v>
      </c>
      <c r="M303" s="13" t="s">
        <v>33</v>
      </c>
    </row>
    <row r="304" spans="1:13" x14ac:dyDescent="0.35">
      <c r="A304" s="11" t="s">
        <v>411</v>
      </c>
      <c r="B304" s="11" t="s">
        <v>65</v>
      </c>
      <c r="C304" s="11"/>
      <c r="D304" s="12"/>
      <c r="E304" s="12"/>
      <c r="F304" s="11" t="s">
        <v>65</v>
      </c>
      <c r="G304" s="11" t="s">
        <v>65</v>
      </c>
      <c r="H304" s="11" t="s">
        <v>65</v>
      </c>
      <c r="I304" s="11"/>
      <c r="J304" s="11" t="s">
        <v>65</v>
      </c>
      <c r="K304" s="11"/>
      <c r="L304" s="11" t="s">
        <v>65</v>
      </c>
      <c r="M304" s="11" t="s">
        <v>65</v>
      </c>
    </row>
    <row r="305" spans="1:13" x14ac:dyDescent="0.35">
      <c r="A305" s="13" t="s">
        <v>412</v>
      </c>
      <c r="B305" s="13" t="s">
        <v>65</v>
      </c>
      <c r="C305" s="13"/>
      <c r="D305" s="14"/>
      <c r="E305" s="14"/>
      <c r="F305" s="13" t="s">
        <v>65</v>
      </c>
      <c r="G305" s="13" t="s">
        <v>65</v>
      </c>
      <c r="H305" s="13" t="s">
        <v>65</v>
      </c>
      <c r="I305" s="13"/>
      <c r="J305" s="13" t="s">
        <v>65</v>
      </c>
      <c r="K305" s="13"/>
      <c r="L305" s="13" t="s">
        <v>65</v>
      </c>
      <c r="M305" s="13" t="s">
        <v>65</v>
      </c>
    </row>
    <row r="306" spans="1:13" x14ac:dyDescent="0.35">
      <c r="A306" s="11" t="s">
        <v>413</v>
      </c>
      <c r="B306" s="11" t="s">
        <v>65</v>
      </c>
      <c r="C306" s="11"/>
      <c r="D306" s="12"/>
      <c r="E306" s="12"/>
      <c r="F306" s="11" t="s">
        <v>65</v>
      </c>
      <c r="G306" s="11" t="s">
        <v>65</v>
      </c>
      <c r="H306" s="11" t="s">
        <v>65</v>
      </c>
      <c r="I306" s="11"/>
      <c r="J306" s="11" t="s">
        <v>65</v>
      </c>
      <c r="K306" s="11"/>
      <c r="L306" s="11" t="s">
        <v>65</v>
      </c>
      <c r="M306" s="11" t="s">
        <v>65</v>
      </c>
    </row>
    <row r="307" spans="1:13" x14ac:dyDescent="0.35">
      <c r="A307" s="13" t="s">
        <v>70</v>
      </c>
      <c r="B307" s="13" t="s">
        <v>414</v>
      </c>
      <c r="C307" s="13">
        <v>4</v>
      </c>
      <c r="D307" s="14">
        <v>45019.002083333333</v>
      </c>
      <c r="E307" s="14">
        <v>45019.105555555558</v>
      </c>
      <c r="F307" s="13" t="s">
        <v>85</v>
      </c>
      <c r="G307" s="13" t="s">
        <v>86</v>
      </c>
      <c r="H307" s="13" t="s">
        <v>74</v>
      </c>
      <c r="I307" s="13">
        <v>1696</v>
      </c>
      <c r="J307" s="13" t="s">
        <v>88</v>
      </c>
      <c r="K307" s="13">
        <v>306</v>
      </c>
      <c r="L307" s="13" t="s">
        <v>101</v>
      </c>
      <c r="M307" s="13" t="s">
        <v>33</v>
      </c>
    </row>
    <row r="308" spans="1:13" x14ac:dyDescent="0.35">
      <c r="A308" s="11" t="s">
        <v>92</v>
      </c>
      <c r="B308" s="11" t="s">
        <v>93</v>
      </c>
      <c r="C308" s="11">
        <v>5</v>
      </c>
      <c r="D308" s="12">
        <v>45019.131249999999</v>
      </c>
      <c r="E308" s="12">
        <v>45019.23541666667</v>
      </c>
      <c r="F308" s="11" t="s">
        <v>223</v>
      </c>
      <c r="G308" s="11" t="s">
        <v>86</v>
      </c>
      <c r="H308" s="11" t="s">
        <v>87</v>
      </c>
      <c r="I308" s="11">
        <v>3166</v>
      </c>
      <c r="J308" s="11" t="s">
        <v>75</v>
      </c>
      <c r="K308" s="11">
        <v>307</v>
      </c>
      <c r="L308" s="11" t="s">
        <v>76</v>
      </c>
      <c r="M308" s="11" t="s">
        <v>43</v>
      </c>
    </row>
    <row r="309" spans="1:13" x14ac:dyDescent="0.35">
      <c r="A309" s="13" t="s">
        <v>415</v>
      </c>
      <c r="B309" s="13" t="s">
        <v>65</v>
      </c>
      <c r="C309" s="13"/>
      <c r="D309" s="14"/>
      <c r="E309" s="14"/>
      <c r="F309" s="13" t="s">
        <v>65</v>
      </c>
      <c r="G309" s="13" t="s">
        <v>65</v>
      </c>
      <c r="H309" s="13" t="s">
        <v>65</v>
      </c>
      <c r="I309" s="13"/>
      <c r="J309" s="13" t="s">
        <v>65</v>
      </c>
      <c r="K309" s="13"/>
      <c r="L309" s="13" t="s">
        <v>65</v>
      </c>
      <c r="M309" s="13" t="s">
        <v>65</v>
      </c>
    </row>
    <row r="310" spans="1:13" x14ac:dyDescent="0.35">
      <c r="A310" s="11" t="s">
        <v>416</v>
      </c>
      <c r="B310" s="11" t="s">
        <v>65</v>
      </c>
      <c r="C310" s="11"/>
      <c r="D310" s="12"/>
      <c r="E310" s="12"/>
      <c r="F310" s="11" t="s">
        <v>65</v>
      </c>
      <c r="G310" s="11" t="s">
        <v>65</v>
      </c>
      <c r="H310" s="11" t="s">
        <v>65</v>
      </c>
      <c r="I310" s="11"/>
      <c r="J310" s="11" t="s">
        <v>65</v>
      </c>
      <c r="K310" s="11"/>
      <c r="L310" s="11" t="s">
        <v>65</v>
      </c>
      <c r="M310" s="11" t="s">
        <v>65</v>
      </c>
    </row>
    <row r="311" spans="1:13" x14ac:dyDescent="0.35">
      <c r="A311" s="13" t="s">
        <v>417</v>
      </c>
      <c r="B311" s="13" t="s">
        <v>65</v>
      </c>
      <c r="C311" s="13"/>
      <c r="D311" s="14"/>
      <c r="E311" s="14"/>
      <c r="F311" s="13" t="s">
        <v>65</v>
      </c>
      <c r="G311" s="13" t="s">
        <v>65</v>
      </c>
      <c r="H311" s="13" t="s">
        <v>65</v>
      </c>
      <c r="I311" s="13"/>
      <c r="J311" s="13" t="s">
        <v>65</v>
      </c>
      <c r="K311" s="13"/>
      <c r="L311" s="13" t="s">
        <v>65</v>
      </c>
      <c r="M311" s="13" t="s">
        <v>65</v>
      </c>
    </row>
    <row r="312" spans="1:13" x14ac:dyDescent="0.35">
      <c r="A312" s="11" t="s">
        <v>418</v>
      </c>
      <c r="B312" s="11" t="s">
        <v>65</v>
      </c>
      <c r="C312" s="11"/>
      <c r="D312" s="12"/>
      <c r="E312" s="12"/>
      <c r="F312" s="11" t="s">
        <v>65</v>
      </c>
      <c r="G312" s="11" t="s">
        <v>65</v>
      </c>
      <c r="H312" s="11" t="s">
        <v>65</v>
      </c>
      <c r="I312" s="11"/>
      <c r="J312" s="11" t="s">
        <v>65</v>
      </c>
      <c r="K312" s="11"/>
      <c r="L312" s="11" t="s">
        <v>65</v>
      </c>
      <c r="M312" s="11" t="s">
        <v>65</v>
      </c>
    </row>
    <row r="313" spans="1:13" x14ac:dyDescent="0.35">
      <c r="A313" s="13" t="s">
        <v>419</v>
      </c>
      <c r="B313" s="13" t="s">
        <v>65</v>
      </c>
      <c r="C313" s="13"/>
      <c r="D313" s="14"/>
      <c r="E313" s="14"/>
      <c r="F313" s="13" t="s">
        <v>65</v>
      </c>
      <c r="G313" s="13" t="s">
        <v>65</v>
      </c>
      <c r="H313" s="13" t="s">
        <v>65</v>
      </c>
      <c r="I313" s="13"/>
      <c r="J313" s="13" t="s">
        <v>65</v>
      </c>
      <c r="K313" s="13"/>
      <c r="L313" s="13" t="s">
        <v>65</v>
      </c>
      <c r="M313" s="13" t="s">
        <v>65</v>
      </c>
    </row>
    <row r="314" spans="1:13" x14ac:dyDescent="0.35">
      <c r="A314" s="11" t="s">
        <v>420</v>
      </c>
      <c r="B314" s="11" t="s">
        <v>65</v>
      </c>
      <c r="C314" s="11"/>
      <c r="D314" s="12"/>
      <c r="E314" s="12"/>
      <c r="F314" s="11" t="s">
        <v>65</v>
      </c>
      <c r="G314" s="11" t="s">
        <v>65</v>
      </c>
      <c r="H314" s="11" t="s">
        <v>65</v>
      </c>
      <c r="I314" s="11"/>
      <c r="J314" s="11" t="s">
        <v>65</v>
      </c>
      <c r="K314" s="11"/>
      <c r="L314" s="11" t="s">
        <v>65</v>
      </c>
      <c r="M314" s="11" t="s">
        <v>65</v>
      </c>
    </row>
    <row r="315" spans="1:13" x14ac:dyDescent="0.35">
      <c r="A315" s="13" t="s">
        <v>92</v>
      </c>
      <c r="B315" s="13" t="s">
        <v>421</v>
      </c>
      <c r="C315" s="13">
        <v>5</v>
      </c>
      <c r="D315" s="14">
        <v>45019.031944444447</v>
      </c>
      <c r="E315" s="14">
        <v>45019.161805555559</v>
      </c>
      <c r="F315" s="13" t="s">
        <v>72</v>
      </c>
      <c r="G315" s="13" t="s">
        <v>86</v>
      </c>
      <c r="H315" s="13" t="s">
        <v>109</v>
      </c>
      <c r="I315" s="13">
        <v>3218</v>
      </c>
      <c r="J315" s="13" t="s">
        <v>88</v>
      </c>
      <c r="K315" s="13">
        <v>314</v>
      </c>
      <c r="L315" s="13" t="s">
        <v>101</v>
      </c>
      <c r="M315" s="13" t="s">
        <v>17</v>
      </c>
    </row>
    <row r="316" spans="1:13" x14ac:dyDescent="0.35">
      <c r="A316" s="11" t="s">
        <v>422</v>
      </c>
      <c r="B316" s="11" t="s">
        <v>65</v>
      </c>
      <c r="C316" s="11"/>
      <c r="D316" s="12"/>
      <c r="E316" s="12"/>
      <c r="F316" s="11" t="s">
        <v>65</v>
      </c>
      <c r="G316" s="11" t="s">
        <v>65</v>
      </c>
      <c r="H316" s="11" t="s">
        <v>65</v>
      </c>
      <c r="I316" s="11"/>
      <c r="J316" s="11" t="s">
        <v>65</v>
      </c>
      <c r="K316" s="11"/>
      <c r="L316" s="11" t="s">
        <v>65</v>
      </c>
      <c r="M316" s="11" t="s">
        <v>65</v>
      </c>
    </row>
    <row r="317" spans="1:13" x14ac:dyDescent="0.35">
      <c r="A317" s="13" t="s">
        <v>423</v>
      </c>
      <c r="B317" s="13" t="s">
        <v>65</v>
      </c>
      <c r="C317" s="13"/>
      <c r="D317" s="14"/>
      <c r="E317" s="14"/>
      <c r="F317" s="13" t="s">
        <v>65</v>
      </c>
      <c r="G317" s="13" t="s">
        <v>65</v>
      </c>
      <c r="H317" s="13" t="s">
        <v>65</v>
      </c>
      <c r="I317" s="13"/>
      <c r="J317" s="13" t="s">
        <v>65</v>
      </c>
      <c r="K317" s="13"/>
      <c r="L317" s="13" t="s">
        <v>65</v>
      </c>
      <c r="M317" s="13" t="s">
        <v>65</v>
      </c>
    </row>
    <row r="318" spans="1:13" x14ac:dyDescent="0.35">
      <c r="A318" s="11" t="s">
        <v>424</v>
      </c>
      <c r="B318" s="11" t="s">
        <v>65</v>
      </c>
      <c r="C318" s="11"/>
      <c r="D318" s="12"/>
      <c r="E318" s="12"/>
      <c r="F318" s="11" t="s">
        <v>65</v>
      </c>
      <c r="G318" s="11" t="s">
        <v>65</v>
      </c>
      <c r="H318" s="11" t="s">
        <v>65</v>
      </c>
      <c r="I318" s="11"/>
      <c r="J318" s="11" t="s">
        <v>65</v>
      </c>
      <c r="K318" s="11"/>
      <c r="L318" s="11" t="s">
        <v>65</v>
      </c>
      <c r="M318" s="11" t="s">
        <v>65</v>
      </c>
    </row>
    <row r="319" spans="1:13" x14ac:dyDescent="0.35">
      <c r="A319" s="13" t="s">
        <v>240</v>
      </c>
      <c r="B319" s="13" t="s">
        <v>425</v>
      </c>
      <c r="C319" s="13">
        <v>3</v>
      </c>
      <c r="D319" s="14">
        <v>45019.147916666669</v>
      </c>
      <c r="E319" s="14">
        <v>45019.214583333334</v>
      </c>
      <c r="F319" s="13" t="s">
        <v>170</v>
      </c>
      <c r="G319" s="13" t="s">
        <v>73</v>
      </c>
      <c r="H319" s="13" t="s">
        <v>74</v>
      </c>
      <c r="I319" s="13">
        <v>1008</v>
      </c>
      <c r="J319" s="13" t="s">
        <v>94</v>
      </c>
      <c r="K319" s="13">
        <v>318</v>
      </c>
      <c r="L319" s="13" t="s">
        <v>275</v>
      </c>
      <c r="M319" s="13" t="s">
        <v>23</v>
      </c>
    </row>
    <row r="320" spans="1:13" x14ac:dyDescent="0.35">
      <c r="A320" s="11" t="s">
        <v>426</v>
      </c>
      <c r="B320" s="11" t="s">
        <v>65</v>
      </c>
      <c r="C320" s="11"/>
      <c r="D320" s="12"/>
      <c r="E320" s="12"/>
      <c r="F320" s="11" t="s">
        <v>65</v>
      </c>
      <c r="G320" s="11" t="s">
        <v>65</v>
      </c>
      <c r="H320" s="11" t="s">
        <v>65</v>
      </c>
      <c r="I320" s="11"/>
      <c r="J320" s="11" t="s">
        <v>65</v>
      </c>
      <c r="K320" s="11"/>
      <c r="L320" s="11" t="s">
        <v>65</v>
      </c>
      <c r="M320" s="11" t="s">
        <v>65</v>
      </c>
    </row>
    <row r="321" spans="1:13" x14ac:dyDescent="0.35">
      <c r="A321" s="13" t="s">
        <v>427</v>
      </c>
      <c r="B321" s="13" t="s">
        <v>65</v>
      </c>
      <c r="C321" s="13"/>
      <c r="D321" s="14"/>
      <c r="E321" s="14"/>
      <c r="F321" s="13" t="s">
        <v>65</v>
      </c>
      <c r="G321" s="13" t="s">
        <v>65</v>
      </c>
      <c r="H321" s="13" t="s">
        <v>65</v>
      </c>
      <c r="I321" s="13"/>
      <c r="J321" s="13" t="s">
        <v>65</v>
      </c>
      <c r="K321" s="13"/>
      <c r="L321" s="13" t="s">
        <v>65</v>
      </c>
      <c r="M321" s="13" t="s">
        <v>65</v>
      </c>
    </row>
    <row r="322" spans="1:13" x14ac:dyDescent="0.35">
      <c r="A322" s="11" t="s">
        <v>428</v>
      </c>
      <c r="B322" s="11" t="s">
        <v>65</v>
      </c>
      <c r="C322" s="11"/>
      <c r="D322" s="12"/>
      <c r="E322" s="12"/>
      <c r="F322" s="11" t="s">
        <v>65</v>
      </c>
      <c r="G322" s="11" t="s">
        <v>65</v>
      </c>
      <c r="H322" s="11" t="s">
        <v>65</v>
      </c>
      <c r="I322" s="11"/>
      <c r="J322" s="11" t="s">
        <v>65</v>
      </c>
      <c r="K322" s="11"/>
      <c r="L322" s="11" t="s">
        <v>65</v>
      </c>
      <c r="M322" s="11" t="s">
        <v>65</v>
      </c>
    </row>
    <row r="323" spans="1:13" x14ac:dyDescent="0.35">
      <c r="A323" s="13" t="s">
        <v>429</v>
      </c>
      <c r="B323" s="13" t="s">
        <v>65</v>
      </c>
      <c r="C323" s="13"/>
      <c r="D323" s="14"/>
      <c r="E323" s="14"/>
      <c r="F323" s="13" t="s">
        <v>65</v>
      </c>
      <c r="G323" s="13" t="s">
        <v>65</v>
      </c>
      <c r="H323" s="13" t="s">
        <v>65</v>
      </c>
      <c r="I323" s="13"/>
      <c r="J323" s="13" t="s">
        <v>65</v>
      </c>
      <c r="K323" s="13"/>
      <c r="L323" s="13" t="s">
        <v>65</v>
      </c>
      <c r="M323" s="13" t="s">
        <v>65</v>
      </c>
    </row>
    <row r="324" spans="1:13" x14ac:dyDescent="0.35">
      <c r="A324" s="11" t="s">
        <v>430</v>
      </c>
      <c r="B324" s="11" t="s">
        <v>65</v>
      </c>
      <c r="C324" s="11"/>
      <c r="D324" s="12"/>
      <c r="E324" s="12"/>
      <c r="F324" s="11" t="s">
        <v>65</v>
      </c>
      <c r="G324" s="11" t="s">
        <v>65</v>
      </c>
      <c r="H324" s="11" t="s">
        <v>65</v>
      </c>
      <c r="I324" s="11"/>
      <c r="J324" s="11" t="s">
        <v>65</v>
      </c>
      <c r="K324" s="11"/>
      <c r="L324" s="11" t="s">
        <v>65</v>
      </c>
      <c r="M324" s="11" t="s">
        <v>65</v>
      </c>
    </row>
    <row r="325" spans="1:13" x14ac:dyDescent="0.35">
      <c r="A325" s="13" t="s">
        <v>431</v>
      </c>
      <c r="B325" s="13" t="s">
        <v>65</v>
      </c>
      <c r="C325" s="13"/>
      <c r="D325" s="14"/>
      <c r="E325" s="14"/>
      <c r="F325" s="13" t="s">
        <v>65</v>
      </c>
      <c r="G325" s="13" t="s">
        <v>65</v>
      </c>
      <c r="H325" s="13" t="s">
        <v>65</v>
      </c>
      <c r="I325" s="13"/>
      <c r="J325" s="13" t="s">
        <v>65</v>
      </c>
      <c r="K325" s="13"/>
      <c r="L325" s="13" t="s">
        <v>65</v>
      </c>
      <c r="M325" s="13" t="s">
        <v>65</v>
      </c>
    </row>
    <row r="326" spans="1:13" x14ac:dyDescent="0.35">
      <c r="A326" s="11" t="s">
        <v>432</v>
      </c>
      <c r="B326" s="11" t="s">
        <v>65</v>
      </c>
      <c r="C326" s="11"/>
      <c r="D326" s="12"/>
      <c r="E326" s="12"/>
      <c r="F326" s="11" t="s">
        <v>65</v>
      </c>
      <c r="G326" s="11" t="s">
        <v>65</v>
      </c>
      <c r="H326" s="11" t="s">
        <v>65</v>
      </c>
      <c r="I326" s="11"/>
      <c r="J326" s="11" t="s">
        <v>65</v>
      </c>
      <c r="K326" s="11"/>
      <c r="L326" s="11" t="s">
        <v>65</v>
      </c>
      <c r="M326" s="11" t="s">
        <v>65</v>
      </c>
    </row>
    <row r="327" spans="1:13" x14ac:dyDescent="0.35">
      <c r="A327" s="13" t="s">
        <v>433</v>
      </c>
      <c r="B327" s="13" t="s">
        <v>65</v>
      </c>
      <c r="C327" s="13"/>
      <c r="D327" s="14"/>
      <c r="E327" s="14"/>
      <c r="F327" s="13" t="s">
        <v>65</v>
      </c>
      <c r="G327" s="13" t="s">
        <v>65</v>
      </c>
      <c r="H327" s="13" t="s">
        <v>65</v>
      </c>
      <c r="I327" s="13"/>
      <c r="J327" s="13" t="s">
        <v>65</v>
      </c>
      <c r="K327" s="13"/>
      <c r="L327" s="13" t="s">
        <v>65</v>
      </c>
      <c r="M327" s="13" t="s">
        <v>65</v>
      </c>
    </row>
    <row r="328" spans="1:13" x14ac:dyDescent="0.35">
      <c r="A328" s="11" t="s">
        <v>434</v>
      </c>
      <c r="B328" s="11" t="s">
        <v>65</v>
      </c>
      <c r="C328" s="11"/>
      <c r="D328" s="12"/>
      <c r="E328" s="12"/>
      <c r="F328" s="11" t="s">
        <v>65</v>
      </c>
      <c r="G328" s="11" t="s">
        <v>65</v>
      </c>
      <c r="H328" s="11" t="s">
        <v>65</v>
      </c>
      <c r="I328" s="11"/>
      <c r="J328" s="11" t="s">
        <v>65</v>
      </c>
      <c r="K328" s="11"/>
      <c r="L328" s="11" t="s">
        <v>65</v>
      </c>
      <c r="M328" s="11" t="s">
        <v>65</v>
      </c>
    </row>
    <row r="329" spans="1:13" x14ac:dyDescent="0.35">
      <c r="A329" s="13" t="s">
        <v>210</v>
      </c>
      <c r="B329" s="13" t="s">
        <v>435</v>
      </c>
      <c r="C329" s="13">
        <v>3</v>
      </c>
      <c r="D329" s="14">
        <v>45020.072222222225</v>
      </c>
      <c r="E329" s="14">
        <v>45020.171527777777</v>
      </c>
      <c r="F329" s="13" t="s">
        <v>100</v>
      </c>
      <c r="G329" s="13" t="s">
        <v>73</v>
      </c>
      <c r="H329" s="13" t="s">
        <v>74</v>
      </c>
      <c r="I329" s="13">
        <v>1385</v>
      </c>
      <c r="J329" s="13" t="s">
        <v>94</v>
      </c>
      <c r="K329" s="13">
        <v>328</v>
      </c>
      <c r="L329" s="13" t="s">
        <v>101</v>
      </c>
      <c r="M329" s="13" t="s">
        <v>31</v>
      </c>
    </row>
    <row r="330" spans="1:13" x14ac:dyDescent="0.35">
      <c r="A330" s="11" t="s">
        <v>436</v>
      </c>
      <c r="B330" s="11" t="s">
        <v>65</v>
      </c>
      <c r="C330" s="11"/>
      <c r="D330" s="12"/>
      <c r="E330" s="12"/>
      <c r="F330" s="11" t="s">
        <v>65</v>
      </c>
      <c r="G330" s="11" t="s">
        <v>65</v>
      </c>
      <c r="H330" s="11" t="s">
        <v>65</v>
      </c>
      <c r="I330" s="11"/>
      <c r="J330" s="11" t="s">
        <v>65</v>
      </c>
      <c r="K330" s="11"/>
      <c r="L330" s="11" t="s">
        <v>65</v>
      </c>
      <c r="M330" s="11" t="s">
        <v>65</v>
      </c>
    </row>
    <row r="331" spans="1:13" x14ac:dyDescent="0.35">
      <c r="A331" s="13" t="s">
        <v>437</v>
      </c>
      <c r="B331" s="13" t="s">
        <v>65</v>
      </c>
      <c r="C331" s="13"/>
      <c r="D331" s="14"/>
      <c r="E331" s="14"/>
      <c r="F331" s="13" t="s">
        <v>65</v>
      </c>
      <c r="G331" s="13" t="s">
        <v>65</v>
      </c>
      <c r="H331" s="13" t="s">
        <v>65</v>
      </c>
      <c r="I331" s="13"/>
      <c r="J331" s="13" t="s">
        <v>65</v>
      </c>
      <c r="K331" s="13"/>
      <c r="L331" s="13" t="s">
        <v>65</v>
      </c>
      <c r="M331" s="13" t="s">
        <v>65</v>
      </c>
    </row>
    <row r="332" spans="1:13" x14ac:dyDescent="0.35">
      <c r="A332" s="11" t="s">
        <v>438</v>
      </c>
      <c r="B332" s="11" t="s">
        <v>65</v>
      </c>
      <c r="C332" s="11"/>
      <c r="D332" s="12"/>
      <c r="E332" s="12"/>
      <c r="F332" s="11" t="s">
        <v>65</v>
      </c>
      <c r="G332" s="11" t="s">
        <v>65</v>
      </c>
      <c r="H332" s="11" t="s">
        <v>65</v>
      </c>
      <c r="I332" s="11"/>
      <c r="J332" s="11" t="s">
        <v>65</v>
      </c>
      <c r="K332" s="11"/>
      <c r="L332" s="11" t="s">
        <v>65</v>
      </c>
      <c r="M332" s="11" t="s">
        <v>65</v>
      </c>
    </row>
    <row r="333" spans="1:13" x14ac:dyDescent="0.35">
      <c r="A333" s="13" t="s">
        <v>185</v>
      </c>
      <c r="B333" s="13" t="s">
        <v>439</v>
      </c>
      <c r="C333" s="13">
        <v>1</v>
      </c>
      <c r="D333" s="14">
        <v>45020.009722222225</v>
      </c>
      <c r="E333" s="14">
        <v>45020.061805555553</v>
      </c>
      <c r="F333" s="13" t="s">
        <v>100</v>
      </c>
      <c r="G333" s="13" t="s">
        <v>86</v>
      </c>
      <c r="H333" s="13" t="s">
        <v>109</v>
      </c>
      <c r="I333" s="13">
        <v>2521</v>
      </c>
      <c r="J333" s="13" t="s">
        <v>94</v>
      </c>
      <c r="K333" s="13">
        <v>332</v>
      </c>
      <c r="L333" s="13" t="s">
        <v>164</v>
      </c>
      <c r="M333" s="13" t="s">
        <v>19</v>
      </c>
    </row>
    <row r="334" spans="1:13" x14ac:dyDescent="0.35">
      <c r="A334" s="11" t="s">
        <v>440</v>
      </c>
      <c r="B334" s="11" t="s">
        <v>65</v>
      </c>
      <c r="C334" s="11"/>
      <c r="D334" s="12"/>
      <c r="E334" s="12"/>
      <c r="F334" s="11" t="s">
        <v>65</v>
      </c>
      <c r="G334" s="11" t="s">
        <v>65</v>
      </c>
      <c r="H334" s="11" t="s">
        <v>65</v>
      </c>
      <c r="I334" s="11"/>
      <c r="J334" s="11" t="s">
        <v>65</v>
      </c>
      <c r="K334" s="11"/>
      <c r="L334" s="11" t="s">
        <v>65</v>
      </c>
      <c r="M334" s="11" t="s">
        <v>65</v>
      </c>
    </row>
    <row r="335" spans="1:13" x14ac:dyDescent="0.35">
      <c r="A335" s="13" t="s">
        <v>441</v>
      </c>
      <c r="B335" s="13" t="s">
        <v>65</v>
      </c>
      <c r="C335" s="13"/>
      <c r="D335" s="14"/>
      <c r="E335" s="14"/>
      <c r="F335" s="13" t="s">
        <v>65</v>
      </c>
      <c r="G335" s="13" t="s">
        <v>65</v>
      </c>
      <c r="H335" s="13" t="s">
        <v>65</v>
      </c>
      <c r="I335" s="13"/>
      <c r="J335" s="13" t="s">
        <v>65</v>
      </c>
      <c r="K335" s="13"/>
      <c r="L335" s="13" t="s">
        <v>65</v>
      </c>
      <c r="M335" s="13" t="s">
        <v>65</v>
      </c>
    </row>
    <row r="336" spans="1:13" x14ac:dyDescent="0.35">
      <c r="A336" s="11" t="s">
        <v>442</v>
      </c>
      <c r="B336" s="11" t="s">
        <v>65</v>
      </c>
      <c r="C336" s="11"/>
      <c r="D336" s="12"/>
      <c r="E336" s="12"/>
      <c r="F336" s="11" t="s">
        <v>65</v>
      </c>
      <c r="G336" s="11" t="s">
        <v>65</v>
      </c>
      <c r="H336" s="11" t="s">
        <v>65</v>
      </c>
      <c r="I336" s="11"/>
      <c r="J336" s="11" t="s">
        <v>65</v>
      </c>
      <c r="K336" s="11"/>
      <c r="L336" s="11" t="s">
        <v>65</v>
      </c>
      <c r="M336" s="11" t="s">
        <v>65</v>
      </c>
    </row>
    <row r="337" spans="1:13" x14ac:dyDescent="0.35">
      <c r="A337" s="13" t="s">
        <v>443</v>
      </c>
      <c r="B337" s="13" t="s">
        <v>65</v>
      </c>
      <c r="C337" s="13"/>
      <c r="D337" s="14"/>
      <c r="E337" s="14"/>
      <c r="F337" s="13" t="s">
        <v>65</v>
      </c>
      <c r="G337" s="13" t="s">
        <v>65</v>
      </c>
      <c r="H337" s="13" t="s">
        <v>65</v>
      </c>
      <c r="I337" s="13"/>
      <c r="J337" s="13" t="s">
        <v>65</v>
      </c>
      <c r="K337" s="13"/>
      <c r="L337" s="13" t="s">
        <v>65</v>
      </c>
      <c r="M337" s="13" t="s">
        <v>65</v>
      </c>
    </row>
    <row r="338" spans="1:13" x14ac:dyDescent="0.35">
      <c r="A338" s="11" t="s">
        <v>444</v>
      </c>
      <c r="B338" s="11" t="s">
        <v>65</v>
      </c>
      <c r="C338" s="11"/>
      <c r="D338" s="12"/>
      <c r="E338" s="12"/>
      <c r="F338" s="11" t="s">
        <v>65</v>
      </c>
      <c r="G338" s="11" t="s">
        <v>65</v>
      </c>
      <c r="H338" s="11" t="s">
        <v>65</v>
      </c>
      <c r="I338" s="11"/>
      <c r="J338" s="11" t="s">
        <v>65</v>
      </c>
      <c r="K338" s="11"/>
      <c r="L338" s="11" t="s">
        <v>65</v>
      </c>
      <c r="M338" s="11" t="s">
        <v>65</v>
      </c>
    </row>
    <row r="339" spans="1:13" x14ac:dyDescent="0.35">
      <c r="A339" s="13" t="s">
        <v>445</v>
      </c>
      <c r="B339" s="13" t="s">
        <v>65</v>
      </c>
      <c r="C339" s="13"/>
      <c r="D339" s="14"/>
      <c r="E339" s="14"/>
      <c r="F339" s="13" t="s">
        <v>65</v>
      </c>
      <c r="G339" s="13" t="s">
        <v>65</v>
      </c>
      <c r="H339" s="13" t="s">
        <v>65</v>
      </c>
      <c r="I339" s="13"/>
      <c r="J339" s="13" t="s">
        <v>65</v>
      </c>
      <c r="K339" s="13"/>
      <c r="L339" s="13" t="s">
        <v>65</v>
      </c>
      <c r="M339" s="13" t="s">
        <v>65</v>
      </c>
    </row>
    <row r="340" spans="1:13" x14ac:dyDescent="0.35">
      <c r="A340" s="11" t="s">
        <v>446</v>
      </c>
      <c r="B340" s="11" t="s">
        <v>65</v>
      </c>
      <c r="C340" s="11"/>
      <c r="D340" s="12"/>
      <c r="E340" s="12"/>
      <c r="F340" s="11" t="s">
        <v>65</v>
      </c>
      <c r="G340" s="11" t="s">
        <v>65</v>
      </c>
      <c r="H340" s="11" t="s">
        <v>65</v>
      </c>
      <c r="I340" s="11"/>
      <c r="J340" s="11" t="s">
        <v>65</v>
      </c>
      <c r="K340" s="11"/>
      <c r="L340" s="11" t="s">
        <v>65</v>
      </c>
      <c r="M340" s="11" t="s">
        <v>65</v>
      </c>
    </row>
    <row r="341" spans="1:13" x14ac:dyDescent="0.35">
      <c r="A341" s="13" t="s">
        <v>447</v>
      </c>
      <c r="B341" s="13" t="s">
        <v>65</v>
      </c>
      <c r="C341" s="13"/>
      <c r="D341" s="14"/>
      <c r="E341" s="14"/>
      <c r="F341" s="13" t="s">
        <v>65</v>
      </c>
      <c r="G341" s="13" t="s">
        <v>65</v>
      </c>
      <c r="H341" s="13" t="s">
        <v>65</v>
      </c>
      <c r="I341" s="13"/>
      <c r="J341" s="13" t="s">
        <v>65</v>
      </c>
      <c r="K341" s="13"/>
      <c r="L341" s="13" t="s">
        <v>65</v>
      </c>
      <c r="M341" s="13" t="s">
        <v>65</v>
      </c>
    </row>
    <row r="342" spans="1:13" x14ac:dyDescent="0.35">
      <c r="A342" s="11" t="s">
        <v>448</v>
      </c>
      <c r="B342" s="11" t="s">
        <v>65</v>
      </c>
      <c r="C342" s="11"/>
      <c r="D342" s="12"/>
      <c r="E342" s="12"/>
      <c r="F342" s="11" t="s">
        <v>65</v>
      </c>
      <c r="G342" s="11" t="s">
        <v>65</v>
      </c>
      <c r="H342" s="11" t="s">
        <v>65</v>
      </c>
      <c r="I342" s="11"/>
      <c r="J342" s="11" t="s">
        <v>65</v>
      </c>
      <c r="K342" s="11"/>
      <c r="L342" s="11" t="s">
        <v>65</v>
      </c>
      <c r="M342" s="11" t="s">
        <v>65</v>
      </c>
    </row>
    <row r="343" spans="1:13" x14ac:dyDescent="0.35">
      <c r="A343" s="13" t="s">
        <v>449</v>
      </c>
      <c r="B343" s="13" t="s">
        <v>65</v>
      </c>
      <c r="C343" s="13"/>
      <c r="D343" s="14"/>
      <c r="E343" s="14"/>
      <c r="F343" s="13" t="s">
        <v>65</v>
      </c>
      <c r="G343" s="13" t="s">
        <v>65</v>
      </c>
      <c r="H343" s="13" t="s">
        <v>65</v>
      </c>
      <c r="I343" s="13"/>
      <c r="J343" s="13" t="s">
        <v>65</v>
      </c>
      <c r="K343" s="13"/>
      <c r="L343" s="13" t="s">
        <v>65</v>
      </c>
      <c r="M343" s="13" t="s">
        <v>65</v>
      </c>
    </row>
    <row r="344" spans="1:13" x14ac:dyDescent="0.35">
      <c r="A344" s="11" t="s">
        <v>450</v>
      </c>
      <c r="B344" s="11" t="s">
        <v>65</v>
      </c>
      <c r="C344" s="11"/>
      <c r="D344" s="12"/>
      <c r="E344" s="12"/>
      <c r="F344" s="11" t="s">
        <v>65</v>
      </c>
      <c r="G344" s="11" t="s">
        <v>65</v>
      </c>
      <c r="H344" s="11" t="s">
        <v>65</v>
      </c>
      <c r="I344" s="11"/>
      <c r="J344" s="11" t="s">
        <v>65</v>
      </c>
      <c r="K344" s="11"/>
      <c r="L344" s="11" t="s">
        <v>65</v>
      </c>
      <c r="M344" s="11" t="s">
        <v>65</v>
      </c>
    </row>
    <row r="345" spans="1:13" x14ac:dyDescent="0.35">
      <c r="A345" s="13" t="s">
        <v>451</v>
      </c>
      <c r="B345" s="13" t="s">
        <v>65</v>
      </c>
      <c r="C345" s="13"/>
      <c r="D345" s="14"/>
      <c r="E345" s="14"/>
      <c r="F345" s="13" t="s">
        <v>65</v>
      </c>
      <c r="G345" s="13" t="s">
        <v>65</v>
      </c>
      <c r="H345" s="13" t="s">
        <v>65</v>
      </c>
      <c r="I345" s="13"/>
      <c r="J345" s="13" t="s">
        <v>65</v>
      </c>
      <c r="K345" s="13"/>
      <c r="L345" s="13" t="s">
        <v>65</v>
      </c>
      <c r="M345" s="13" t="s">
        <v>65</v>
      </c>
    </row>
    <row r="346" spans="1:13" x14ac:dyDescent="0.35">
      <c r="A346" s="11" t="s">
        <v>224</v>
      </c>
      <c r="B346" s="11" t="s">
        <v>452</v>
      </c>
      <c r="C346" s="11">
        <v>3</v>
      </c>
      <c r="D346" s="12">
        <v>45020.054166666669</v>
      </c>
      <c r="E346" s="12">
        <v>45020.179861111108</v>
      </c>
      <c r="F346" s="11" t="s">
        <v>72</v>
      </c>
      <c r="G346" s="11" t="s">
        <v>86</v>
      </c>
      <c r="H346" s="11" t="s">
        <v>74</v>
      </c>
      <c r="I346" s="11">
        <v>1398</v>
      </c>
      <c r="J346" s="11" t="s">
        <v>88</v>
      </c>
      <c r="K346" s="11">
        <v>345</v>
      </c>
      <c r="L346" s="11" t="s">
        <v>101</v>
      </c>
      <c r="M346" s="11" t="s">
        <v>29</v>
      </c>
    </row>
    <row r="347" spans="1:13" x14ac:dyDescent="0.35">
      <c r="A347" s="13" t="s">
        <v>161</v>
      </c>
      <c r="B347" s="13" t="s">
        <v>453</v>
      </c>
      <c r="C347" s="13">
        <v>5</v>
      </c>
      <c r="D347" s="14">
        <v>45020.027777777781</v>
      </c>
      <c r="E347" s="14">
        <v>45020.163888888892</v>
      </c>
      <c r="F347" s="13" t="s">
        <v>85</v>
      </c>
      <c r="G347" s="13" t="s">
        <v>86</v>
      </c>
      <c r="H347" s="13" t="s">
        <v>109</v>
      </c>
      <c r="I347" s="13">
        <v>3593</v>
      </c>
      <c r="J347" s="13" t="s">
        <v>94</v>
      </c>
      <c r="K347" s="13">
        <v>346</v>
      </c>
      <c r="L347" s="13" t="s">
        <v>164</v>
      </c>
      <c r="M347" s="13" t="s">
        <v>21</v>
      </c>
    </row>
    <row r="348" spans="1:13" x14ac:dyDescent="0.35">
      <c r="A348" s="11" t="s">
        <v>70</v>
      </c>
      <c r="B348" s="11" t="s">
        <v>454</v>
      </c>
      <c r="C348" s="11">
        <v>4</v>
      </c>
      <c r="D348" s="12">
        <v>45020.075694444444</v>
      </c>
      <c r="E348" s="12">
        <v>45020.19027777778</v>
      </c>
      <c r="F348" s="11" t="s">
        <v>72</v>
      </c>
      <c r="G348" s="11" t="s">
        <v>86</v>
      </c>
      <c r="H348" s="11" t="s">
        <v>74</v>
      </c>
      <c r="I348" s="11">
        <v>4852</v>
      </c>
      <c r="J348" s="11" t="s">
        <v>94</v>
      </c>
      <c r="K348" s="11">
        <v>347</v>
      </c>
      <c r="L348" s="11" t="s">
        <v>101</v>
      </c>
      <c r="M348" s="11" t="s">
        <v>31</v>
      </c>
    </row>
    <row r="349" spans="1:13" x14ac:dyDescent="0.35">
      <c r="A349" s="13" t="s">
        <v>455</v>
      </c>
      <c r="B349" s="13" t="s">
        <v>65</v>
      </c>
      <c r="C349" s="13"/>
      <c r="D349" s="14"/>
      <c r="E349" s="14"/>
      <c r="F349" s="13" t="s">
        <v>65</v>
      </c>
      <c r="G349" s="13" t="s">
        <v>65</v>
      </c>
      <c r="H349" s="13" t="s">
        <v>65</v>
      </c>
      <c r="I349" s="13"/>
      <c r="J349" s="13" t="s">
        <v>65</v>
      </c>
      <c r="K349" s="13"/>
      <c r="L349" s="13" t="s">
        <v>65</v>
      </c>
      <c r="M349" s="13" t="s">
        <v>65</v>
      </c>
    </row>
    <row r="350" spans="1:13" x14ac:dyDescent="0.35">
      <c r="A350" s="11" t="s">
        <v>456</v>
      </c>
      <c r="B350" s="11" t="s">
        <v>65</v>
      </c>
      <c r="C350" s="11"/>
      <c r="D350" s="12"/>
      <c r="E350" s="12"/>
      <c r="F350" s="11" t="s">
        <v>65</v>
      </c>
      <c r="G350" s="11" t="s">
        <v>65</v>
      </c>
      <c r="H350" s="11" t="s">
        <v>65</v>
      </c>
      <c r="I350" s="11"/>
      <c r="J350" s="11" t="s">
        <v>65</v>
      </c>
      <c r="K350" s="11"/>
      <c r="L350" s="11" t="s">
        <v>65</v>
      </c>
      <c r="M350" s="11" t="s">
        <v>65</v>
      </c>
    </row>
    <row r="351" spans="1:13" x14ac:dyDescent="0.35">
      <c r="A351" s="13" t="s">
        <v>457</v>
      </c>
      <c r="B351" s="13" t="s">
        <v>65</v>
      </c>
      <c r="C351" s="13"/>
      <c r="D351" s="14"/>
      <c r="E351" s="14"/>
      <c r="F351" s="13" t="s">
        <v>65</v>
      </c>
      <c r="G351" s="13" t="s">
        <v>65</v>
      </c>
      <c r="H351" s="13" t="s">
        <v>65</v>
      </c>
      <c r="I351" s="13"/>
      <c r="J351" s="13" t="s">
        <v>65</v>
      </c>
      <c r="K351" s="13"/>
      <c r="L351" s="13" t="s">
        <v>65</v>
      </c>
      <c r="M351" s="13" t="s">
        <v>65</v>
      </c>
    </row>
    <row r="352" spans="1:13" x14ac:dyDescent="0.35">
      <c r="A352" s="11" t="s">
        <v>458</v>
      </c>
      <c r="B352" s="11" t="s">
        <v>65</v>
      </c>
      <c r="C352" s="11"/>
      <c r="D352" s="12"/>
      <c r="E352" s="12"/>
      <c r="F352" s="11" t="s">
        <v>65</v>
      </c>
      <c r="G352" s="11" t="s">
        <v>65</v>
      </c>
      <c r="H352" s="11" t="s">
        <v>65</v>
      </c>
      <c r="I352" s="11"/>
      <c r="J352" s="11" t="s">
        <v>65</v>
      </c>
      <c r="K352" s="11"/>
      <c r="L352" s="11" t="s">
        <v>65</v>
      </c>
      <c r="M352" s="11" t="s">
        <v>65</v>
      </c>
    </row>
    <row r="353" spans="1:13" x14ac:dyDescent="0.35">
      <c r="A353" s="13" t="s">
        <v>161</v>
      </c>
      <c r="B353" s="13" t="s">
        <v>459</v>
      </c>
      <c r="C353" s="13">
        <v>3</v>
      </c>
      <c r="D353" s="14">
        <v>45020.011805555558</v>
      </c>
      <c r="E353" s="14">
        <v>45020.120138888888</v>
      </c>
      <c r="F353" s="13" t="s">
        <v>170</v>
      </c>
      <c r="G353" s="13" t="s">
        <v>163</v>
      </c>
      <c r="H353" s="13" t="s">
        <v>87</v>
      </c>
      <c r="I353" s="13">
        <v>1755</v>
      </c>
      <c r="J353" s="13" t="s">
        <v>94</v>
      </c>
      <c r="K353" s="13">
        <v>352</v>
      </c>
      <c r="L353" s="13" t="s">
        <v>221</v>
      </c>
      <c r="M353" s="13" t="s">
        <v>25</v>
      </c>
    </row>
    <row r="354" spans="1:13" x14ac:dyDescent="0.35">
      <c r="A354" s="11" t="s">
        <v>460</v>
      </c>
      <c r="B354" s="11" t="s">
        <v>65</v>
      </c>
      <c r="C354" s="11"/>
      <c r="D354" s="12"/>
      <c r="E354" s="12"/>
      <c r="F354" s="11" t="s">
        <v>65</v>
      </c>
      <c r="G354" s="11" t="s">
        <v>65</v>
      </c>
      <c r="H354" s="11" t="s">
        <v>65</v>
      </c>
      <c r="I354" s="11"/>
      <c r="J354" s="11" t="s">
        <v>65</v>
      </c>
      <c r="K354" s="11"/>
      <c r="L354" s="11" t="s">
        <v>65</v>
      </c>
      <c r="M354" s="11" t="s">
        <v>65</v>
      </c>
    </row>
    <row r="355" spans="1:13" x14ac:dyDescent="0.35">
      <c r="A355" s="13" t="s">
        <v>461</v>
      </c>
      <c r="B355" s="13" t="s">
        <v>65</v>
      </c>
      <c r="C355" s="13"/>
      <c r="D355" s="14"/>
      <c r="E355" s="14"/>
      <c r="F355" s="13" t="s">
        <v>65</v>
      </c>
      <c r="G355" s="13" t="s">
        <v>65</v>
      </c>
      <c r="H355" s="13" t="s">
        <v>65</v>
      </c>
      <c r="I355" s="13"/>
      <c r="J355" s="13" t="s">
        <v>65</v>
      </c>
      <c r="K355" s="13"/>
      <c r="L355" s="13" t="s">
        <v>65</v>
      </c>
      <c r="M355" s="13" t="s">
        <v>65</v>
      </c>
    </row>
    <row r="356" spans="1:13" x14ac:dyDescent="0.35">
      <c r="A356" s="11" t="s">
        <v>210</v>
      </c>
      <c r="B356" s="11" t="s">
        <v>462</v>
      </c>
      <c r="C356" s="11">
        <v>4</v>
      </c>
      <c r="D356" s="12">
        <v>45020.070138888892</v>
      </c>
      <c r="E356" s="12">
        <v>45020.213194444441</v>
      </c>
      <c r="F356" s="11" t="s">
        <v>85</v>
      </c>
      <c r="G356" s="11" t="s">
        <v>163</v>
      </c>
      <c r="H356" s="11" t="s">
        <v>74</v>
      </c>
      <c r="I356" s="11">
        <v>3053</v>
      </c>
      <c r="J356" s="11" t="s">
        <v>94</v>
      </c>
      <c r="K356" s="11">
        <v>355</v>
      </c>
      <c r="L356" s="11" t="s">
        <v>181</v>
      </c>
      <c r="M356" s="11" t="s">
        <v>47</v>
      </c>
    </row>
    <row r="357" spans="1:13" x14ac:dyDescent="0.35">
      <c r="A357" s="13" t="s">
        <v>161</v>
      </c>
      <c r="B357" s="13" t="s">
        <v>463</v>
      </c>
      <c r="C357" s="13">
        <v>1</v>
      </c>
      <c r="D357" s="14">
        <v>45020.008333333331</v>
      </c>
      <c r="E357" s="14">
        <v>45020.095833333333</v>
      </c>
      <c r="F357" s="13" t="s">
        <v>170</v>
      </c>
      <c r="G357" s="13" t="s">
        <v>163</v>
      </c>
      <c r="H357" s="13" t="s">
        <v>74</v>
      </c>
      <c r="I357" s="13">
        <v>2892</v>
      </c>
      <c r="J357" s="13" t="s">
        <v>88</v>
      </c>
      <c r="K357" s="13">
        <v>356</v>
      </c>
      <c r="L357" s="13" t="s">
        <v>89</v>
      </c>
      <c r="M357" s="13" t="s">
        <v>45</v>
      </c>
    </row>
    <row r="358" spans="1:13" x14ac:dyDescent="0.35">
      <c r="A358" s="11" t="s">
        <v>464</v>
      </c>
      <c r="B358" s="11" t="s">
        <v>65</v>
      </c>
      <c r="C358" s="11"/>
      <c r="D358" s="12"/>
      <c r="E358" s="12"/>
      <c r="F358" s="11" t="s">
        <v>65</v>
      </c>
      <c r="G358" s="11" t="s">
        <v>65</v>
      </c>
      <c r="H358" s="11" t="s">
        <v>65</v>
      </c>
      <c r="I358" s="11"/>
      <c r="J358" s="11" t="s">
        <v>65</v>
      </c>
      <c r="K358" s="11"/>
      <c r="L358" s="11" t="s">
        <v>65</v>
      </c>
      <c r="M358" s="11" t="s">
        <v>65</v>
      </c>
    </row>
    <row r="359" spans="1:13" x14ac:dyDescent="0.35">
      <c r="A359" s="13" t="s">
        <v>465</v>
      </c>
      <c r="B359" s="13" t="s">
        <v>65</v>
      </c>
      <c r="C359" s="13"/>
      <c r="D359" s="14"/>
      <c r="E359" s="14"/>
      <c r="F359" s="13" t="s">
        <v>65</v>
      </c>
      <c r="G359" s="13" t="s">
        <v>65</v>
      </c>
      <c r="H359" s="13" t="s">
        <v>65</v>
      </c>
      <c r="I359" s="13"/>
      <c r="J359" s="13" t="s">
        <v>65</v>
      </c>
      <c r="K359" s="13"/>
      <c r="L359" s="13" t="s">
        <v>65</v>
      </c>
      <c r="M359" s="13" t="s">
        <v>65</v>
      </c>
    </row>
    <row r="360" spans="1:13" x14ac:dyDescent="0.35">
      <c r="A360" s="11" t="s">
        <v>466</v>
      </c>
      <c r="B360" s="11" t="s">
        <v>65</v>
      </c>
      <c r="C360" s="11"/>
      <c r="D360" s="12"/>
      <c r="E360" s="12"/>
      <c r="F360" s="11" t="s">
        <v>65</v>
      </c>
      <c r="G360" s="11" t="s">
        <v>65</v>
      </c>
      <c r="H360" s="11" t="s">
        <v>65</v>
      </c>
      <c r="I360" s="11"/>
      <c r="J360" s="11" t="s">
        <v>65</v>
      </c>
      <c r="K360" s="11"/>
      <c r="L360" s="11" t="s">
        <v>65</v>
      </c>
      <c r="M360" s="11" t="s">
        <v>65</v>
      </c>
    </row>
    <row r="361" spans="1:13" x14ac:dyDescent="0.35">
      <c r="A361" s="13" t="s">
        <v>467</v>
      </c>
      <c r="B361" s="13" t="s">
        <v>65</v>
      </c>
      <c r="C361" s="13"/>
      <c r="D361" s="14"/>
      <c r="E361" s="14"/>
      <c r="F361" s="13" t="s">
        <v>65</v>
      </c>
      <c r="G361" s="13" t="s">
        <v>65</v>
      </c>
      <c r="H361" s="13" t="s">
        <v>65</v>
      </c>
      <c r="I361" s="13"/>
      <c r="J361" s="13" t="s">
        <v>65</v>
      </c>
      <c r="K361" s="13"/>
      <c r="L361" s="13" t="s">
        <v>65</v>
      </c>
      <c r="M361" s="13" t="s">
        <v>65</v>
      </c>
    </row>
    <row r="362" spans="1:13" x14ac:dyDescent="0.35">
      <c r="A362" s="11" t="s">
        <v>468</v>
      </c>
      <c r="B362" s="11" t="s">
        <v>65</v>
      </c>
      <c r="C362" s="11"/>
      <c r="D362" s="12"/>
      <c r="E362" s="12"/>
      <c r="F362" s="11" t="s">
        <v>65</v>
      </c>
      <c r="G362" s="11" t="s">
        <v>65</v>
      </c>
      <c r="H362" s="11" t="s">
        <v>65</v>
      </c>
      <c r="I362" s="11"/>
      <c r="J362" s="11" t="s">
        <v>65</v>
      </c>
      <c r="K362" s="11"/>
      <c r="L362" s="11" t="s">
        <v>65</v>
      </c>
      <c r="M362" s="11" t="s">
        <v>65</v>
      </c>
    </row>
    <row r="363" spans="1:13" x14ac:dyDescent="0.35">
      <c r="A363" s="13" t="s">
        <v>469</v>
      </c>
      <c r="B363" s="13" t="s">
        <v>65</v>
      </c>
      <c r="C363" s="13"/>
      <c r="D363" s="14"/>
      <c r="E363" s="14"/>
      <c r="F363" s="13" t="s">
        <v>65</v>
      </c>
      <c r="G363" s="13" t="s">
        <v>65</v>
      </c>
      <c r="H363" s="13" t="s">
        <v>65</v>
      </c>
      <c r="I363" s="13"/>
      <c r="J363" s="13" t="s">
        <v>65</v>
      </c>
      <c r="K363" s="13"/>
      <c r="L363" s="13" t="s">
        <v>65</v>
      </c>
      <c r="M363" s="13" t="s">
        <v>65</v>
      </c>
    </row>
    <row r="364" spans="1:13" x14ac:dyDescent="0.35">
      <c r="A364" s="11" t="s">
        <v>470</v>
      </c>
      <c r="B364" s="11" t="s">
        <v>65</v>
      </c>
      <c r="C364" s="11"/>
      <c r="D364" s="12"/>
      <c r="E364" s="12"/>
      <c r="F364" s="11" t="s">
        <v>65</v>
      </c>
      <c r="G364" s="11" t="s">
        <v>65</v>
      </c>
      <c r="H364" s="11" t="s">
        <v>65</v>
      </c>
      <c r="I364" s="11"/>
      <c r="J364" s="11" t="s">
        <v>65</v>
      </c>
      <c r="K364" s="11"/>
      <c r="L364" s="11" t="s">
        <v>65</v>
      </c>
      <c r="M364" s="11" t="s">
        <v>65</v>
      </c>
    </row>
    <row r="365" spans="1:13" x14ac:dyDescent="0.35">
      <c r="A365" s="13" t="s">
        <v>471</v>
      </c>
      <c r="B365" s="13" t="s">
        <v>65</v>
      </c>
      <c r="C365" s="13"/>
      <c r="D365" s="14"/>
      <c r="E365" s="14"/>
      <c r="F365" s="13" t="s">
        <v>65</v>
      </c>
      <c r="G365" s="13" t="s">
        <v>65</v>
      </c>
      <c r="H365" s="13" t="s">
        <v>65</v>
      </c>
      <c r="I365" s="13"/>
      <c r="J365" s="13" t="s">
        <v>65</v>
      </c>
      <c r="K365" s="13"/>
      <c r="L365" s="13" t="s">
        <v>65</v>
      </c>
      <c r="M365" s="13" t="s">
        <v>65</v>
      </c>
    </row>
    <row r="366" spans="1:13" x14ac:dyDescent="0.35">
      <c r="A366" s="11" t="s">
        <v>210</v>
      </c>
      <c r="B366" s="11" t="s">
        <v>472</v>
      </c>
      <c r="C366" s="11">
        <v>1</v>
      </c>
      <c r="D366" s="12">
        <v>45020.043749999997</v>
      </c>
      <c r="E366" s="12">
        <v>45020.189583333333</v>
      </c>
      <c r="F366" s="11" t="s">
        <v>170</v>
      </c>
      <c r="G366" s="11" t="s">
        <v>86</v>
      </c>
      <c r="H366" s="11" t="s">
        <v>87</v>
      </c>
      <c r="I366" s="11">
        <v>3497</v>
      </c>
      <c r="J366" s="11" t="s">
        <v>88</v>
      </c>
      <c r="K366" s="11">
        <v>365</v>
      </c>
      <c r="L366" s="11" t="s">
        <v>101</v>
      </c>
      <c r="M366" s="11" t="s">
        <v>21</v>
      </c>
    </row>
    <row r="367" spans="1:13" x14ac:dyDescent="0.35">
      <c r="A367" s="13" t="s">
        <v>473</v>
      </c>
      <c r="B367" s="13" t="s">
        <v>65</v>
      </c>
      <c r="C367" s="13"/>
      <c r="D367" s="14"/>
      <c r="E367" s="14"/>
      <c r="F367" s="13" t="s">
        <v>65</v>
      </c>
      <c r="G367" s="13" t="s">
        <v>65</v>
      </c>
      <c r="H367" s="13" t="s">
        <v>65</v>
      </c>
      <c r="I367" s="13"/>
      <c r="J367" s="13" t="s">
        <v>65</v>
      </c>
      <c r="K367" s="13"/>
      <c r="L367" s="13" t="s">
        <v>65</v>
      </c>
      <c r="M367" s="13" t="s">
        <v>65</v>
      </c>
    </row>
    <row r="368" spans="1:13" x14ac:dyDescent="0.35">
      <c r="A368" s="11" t="s">
        <v>474</v>
      </c>
      <c r="B368" s="11" t="s">
        <v>65</v>
      </c>
      <c r="C368" s="11"/>
      <c r="D368" s="12"/>
      <c r="E368" s="12"/>
      <c r="F368" s="11" t="s">
        <v>65</v>
      </c>
      <c r="G368" s="11" t="s">
        <v>65</v>
      </c>
      <c r="H368" s="11" t="s">
        <v>65</v>
      </c>
      <c r="I368" s="11"/>
      <c r="J368" s="11" t="s">
        <v>65</v>
      </c>
      <c r="K368" s="11"/>
      <c r="L368" s="11" t="s">
        <v>65</v>
      </c>
      <c r="M368" s="11" t="s">
        <v>65</v>
      </c>
    </row>
    <row r="369" spans="1:13" x14ac:dyDescent="0.35">
      <c r="A369" s="13" t="s">
        <v>475</v>
      </c>
      <c r="B369" s="13" t="s">
        <v>65</v>
      </c>
      <c r="C369" s="13"/>
      <c r="D369" s="14"/>
      <c r="E369" s="14"/>
      <c r="F369" s="13" t="s">
        <v>65</v>
      </c>
      <c r="G369" s="13" t="s">
        <v>65</v>
      </c>
      <c r="H369" s="13" t="s">
        <v>65</v>
      </c>
      <c r="I369" s="13"/>
      <c r="J369" s="13" t="s">
        <v>65</v>
      </c>
      <c r="K369" s="13"/>
      <c r="L369" s="13" t="s">
        <v>65</v>
      </c>
      <c r="M369" s="13" t="s">
        <v>65</v>
      </c>
    </row>
    <row r="370" spans="1:13" x14ac:dyDescent="0.35">
      <c r="A370" s="11" t="s">
        <v>476</v>
      </c>
      <c r="B370" s="11" t="s">
        <v>65</v>
      </c>
      <c r="C370" s="11"/>
      <c r="D370" s="12"/>
      <c r="E370" s="12"/>
      <c r="F370" s="11" t="s">
        <v>65</v>
      </c>
      <c r="G370" s="11" t="s">
        <v>65</v>
      </c>
      <c r="H370" s="11" t="s">
        <v>65</v>
      </c>
      <c r="I370" s="11"/>
      <c r="J370" s="11" t="s">
        <v>65</v>
      </c>
      <c r="K370" s="11"/>
      <c r="L370" s="11" t="s">
        <v>65</v>
      </c>
      <c r="M370" s="11" t="s">
        <v>65</v>
      </c>
    </row>
    <row r="371" spans="1:13" x14ac:dyDescent="0.35">
      <c r="A371" s="13" t="s">
        <v>240</v>
      </c>
      <c r="B371" s="13" t="s">
        <v>477</v>
      </c>
      <c r="C371" s="13">
        <v>6</v>
      </c>
      <c r="D371" s="14">
        <v>45020.097222222219</v>
      </c>
      <c r="E371" s="14">
        <v>45020.140972222223</v>
      </c>
      <c r="F371" s="13" t="s">
        <v>170</v>
      </c>
      <c r="G371" s="13" t="s">
        <v>86</v>
      </c>
      <c r="H371" s="13" t="s">
        <v>74</v>
      </c>
      <c r="I371" s="13">
        <v>4779</v>
      </c>
      <c r="J371" s="13" t="s">
        <v>75</v>
      </c>
      <c r="K371" s="13">
        <v>370</v>
      </c>
      <c r="L371" s="13" t="s">
        <v>174</v>
      </c>
      <c r="M371" s="13" t="s">
        <v>21</v>
      </c>
    </row>
    <row r="372" spans="1:13" x14ac:dyDescent="0.35">
      <c r="A372" s="11" t="s">
        <v>478</v>
      </c>
      <c r="B372" s="11" t="s">
        <v>65</v>
      </c>
      <c r="C372" s="11"/>
      <c r="D372" s="12"/>
      <c r="E372" s="12"/>
      <c r="F372" s="11" t="s">
        <v>65</v>
      </c>
      <c r="G372" s="11" t="s">
        <v>65</v>
      </c>
      <c r="H372" s="11" t="s">
        <v>65</v>
      </c>
      <c r="I372" s="11"/>
      <c r="J372" s="11" t="s">
        <v>65</v>
      </c>
      <c r="K372" s="11"/>
      <c r="L372" s="11" t="s">
        <v>65</v>
      </c>
      <c r="M372" s="11" t="s">
        <v>65</v>
      </c>
    </row>
    <row r="373" spans="1:13" x14ac:dyDescent="0.35">
      <c r="A373" s="13" t="s">
        <v>267</v>
      </c>
      <c r="B373" s="13" t="s">
        <v>479</v>
      </c>
      <c r="C373" s="13">
        <v>5</v>
      </c>
      <c r="D373" s="14">
        <v>45020.115277777775</v>
      </c>
      <c r="E373" s="14">
        <v>45020.259722222225</v>
      </c>
      <c r="F373" s="13" t="s">
        <v>100</v>
      </c>
      <c r="G373" s="13" t="s">
        <v>86</v>
      </c>
      <c r="H373" s="13" t="s">
        <v>74</v>
      </c>
      <c r="I373" s="13">
        <v>1717</v>
      </c>
      <c r="J373" s="13" t="s">
        <v>94</v>
      </c>
      <c r="K373" s="13">
        <v>372</v>
      </c>
      <c r="L373" s="13" t="s">
        <v>89</v>
      </c>
      <c r="M373" s="13" t="s">
        <v>45</v>
      </c>
    </row>
    <row r="374" spans="1:13" x14ac:dyDescent="0.35">
      <c r="A374" s="11" t="s">
        <v>480</v>
      </c>
      <c r="B374" s="11" t="s">
        <v>65</v>
      </c>
      <c r="C374" s="11"/>
      <c r="D374" s="12"/>
      <c r="E374" s="12"/>
      <c r="F374" s="11" t="s">
        <v>65</v>
      </c>
      <c r="G374" s="11" t="s">
        <v>65</v>
      </c>
      <c r="H374" s="11" t="s">
        <v>65</v>
      </c>
      <c r="I374" s="11"/>
      <c r="J374" s="11" t="s">
        <v>65</v>
      </c>
      <c r="K374" s="11"/>
      <c r="L374" s="11" t="s">
        <v>65</v>
      </c>
      <c r="M374" s="11" t="s">
        <v>65</v>
      </c>
    </row>
    <row r="375" spans="1:13" x14ac:dyDescent="0.35">
      <c r="A375" s="13" t="s">
        <v>98</v>
      </c>
      <c r="B375" s="13" t="s">
        <v>481</v>
      </c>
      <c r="C375" s="13">
        <v>3</v>
      </c>
      <c r="D375" s="14">
        <v>45020.138194444444</v>
      </c>
      <c r="E375" s="14">
        <v>45020.183333333334</v>
      </c>
      <c r="F375" s="13" t="s">
        <v>100</v>
      </c>
      <c r="G375" s="13" t="s">
        <v>86</v>
      </c>
      <c r="H375" s="13" t="s">
        <v>74</v>
      </c>
      <c r="I375" s="13">
        <v>3335</v>
      </c>
      <c r="J375" s="13" t="s">
        <v>75</v>
      </c>
      <c r="K375" s="13">
        <v>374</v>
      </c>
      <c r="L375" s="13" t="s">
        <v>221</v>
      </c>
      <c r="M375" s="13" t="s">
        <v>31</v>
      </c>
    </row>
    <row r="376" spans="1:13" x14ac:dyDescent="0.35">
      <c r="A376" s="11" t="s">
        <v>98</v>
      </c>
      <c r="B376" s="11" t="s">
        <v>482</v>
      </c>
      <c r="C376" s="11">
        <v>1</v>
      </c>
      <c r="D376" s="12">
        <v>45020.011805555558</v>
      </c>
      <c r="E376" s="12">
        <v>45020.131249999999</v>
      </c>
      <c r="F376" s="11" t="s">
        <v>170</v>
      </c>
      <c r="G376" s="11" t="s">
        <v>86</v>
      </c>
      <c r="H376" s="11" t="s">
        <v>74</v>
      </c>
      <c r="I376" s="11">
        <v>223</v>
      </c>
      <c r="J376" s="11" t="s">
        <v>94</v>
      </c>
      <c r="K376" s="11">
        <v>375</v>
      </c>
      <c r="L376" s="11" t="s">
        <v>181</v>
      </c>
      <c r="M376" s="11" t="s">
        <v>15</v>
      </c>
    </row>
    <row r="377" spans="1:13" x14ac:dyDescent="0.35">
      <c r="A377" s="13" t="s">
        <v>224</v>
      </c>
      <c r="B377" s="13" t="s">
        <v>483</v>
      </c>
      <c r="C377" s="13">
        <v>4</v>
      </c>
      <c r="D377" s="14">
        <v>45020.120138888888</v>
      </c>
      <c r="E377" s="14">
        <v>45020.216666666667</v>
      </c>
      <c r="F377" s="13" t="s">
        <v>223</v>
      </c>
      <c r="G377" s="13" t="s">
        <v>86</v>
      </c>
      <c r="H377" s="13" t="s">
        <v>87</v>
      </c>
      <c r="I377" s="13">
        <v>2751</v>
      </c>
      <c r="J377" s="13" t="s">
        <v>88</v>
      </c>
      <c r="K377" s="13">
        <v>376</v>
      </c>
      <c r="L377" s="13" t="s">
        <v>187</v>
      </c>
      <c r="M377" s="13" t="s">
        <v>41</v>
      </c>
    </row>
    <row r="378" spans="1:13" x14ac:dyDescent="0.35">
      <c r="A378" s="11" t="s">
        <v>484</v>
      </c>
      <c r="B378" s="11" t="s">
        <v>65</v>
      </c>
      <c r="C378" s="11"/>
      <c r="D378" s="12"/>
      <c r="E378" s="12"/>
      <c r="F378" s="11" t="s">
        <v>65</v>
      </c>
      <c r="G378" s="11" t="s">
        <v>65</v>
      </c>
      <c r="H378" s="11" t="s">
        <v>65</v>
      </c>
      <c r="I378" s="11"/>
      <c r="J378" s="11" t="s">
        <v>65</v>
      </c>
      <c r="K378" s="11"/>
      <c r="L378" s="11" t="s">
        <v>65</v>
      </c>
      <c r="M378" s="11" t="s">
        <v>65</v>
      </c>
    </row>
    <row r="379" spans="1:13" x14ac:dyDescent="0.35">
      <c r="A379" s="13" t="s">
        <v>485</v>
      </c>
      <c r="B379" s="13" t="s">
        <v>65</v>
      </c>
      <c r="C379" s="13"/>
      <c r="D379" s="14"/>
      <c r="E379" s="14"/>
      <c r="F379" s="13" t="s">
        <v>65</v>
      </c>
      <c r="G379" s="13" t="s">
        <v>65</v>
      </c>
      <c r="H379" s="13" t="s">
        <v>65</v>
      </c>
      <c r="I379" s="13"/>
      <c r="J379" s="13" t="s">
        <v>65</v>
      </c>
      <c r="K379" s="13"/>
      <c r="L379" s="13" t="s">
        <v>65</v>
      </c>
      <c r="M379" s="13" t="s">
        <v>65</v>
      </c>
    </row>
    <row r="380" spans="1:13" x14ac:dyDescent="0.35">
      <c r="A380" s="11" t="s">
        <v>210</v>
      </c>
      <c r="B380" s="11" t="s">
        <v>486</v>
      </c>
      <c r="C380" s="11">
        <v>2</v>
      </c>
      <c r="D380" s="12">
        <v>45020.063194444447</v>
      </c>
      <c r="E380" s="12">
        <v>45020.164583333331</v>
      </c>
      <c r="F380" s="11" t="s">
        <v>170</v>
      </c>
      <c r="G380" s="11" t="s">
        <v>163</v>
      </c>
      <c r="H380" s="11" t="s">
        <v>74</v>
      </c>
      <c r="I380" s="11">
        <v>1061</v>
      </c>
      <c r="J380" s="11" t="s">
        <v>88</v>
      </c>
      <c r="K380" s="11">
        <v>379</v>
      </c>
      <c r="L380" s="11" t="s">
        <v>101</v>
      </c>
      <c r="M380" s="11" t="s">
        <v>31</v>
      </c>
    </row>
    <row r="381" spans="1:13" x14ac:dyDescent="0.35">
      <c r="A381" s="13" t="s">
        <v>487</v>
      </c>
      <c r="B381" s="13" t="s">
        <v>65</v>
      </c>
      <c r="C381" s="13"/>
      <c r="D381" s="14"/>
      <c r="E381" s="14"/>
      <c r="F381" s="13" t="s">
        <v>65</v>
      </c>
      <c r="G381" s="13" t="s">
        <v>65</v>
      </c>
      <c r="H381" s="13" t="s">
        <v>65</v>
      </c>
      <c r="I381" s="13"/>
      <c r="J381" s="13" t="s">
        <v>65</v>
      </c>
      <c r="K381" s="13"/>
      <c r="L381" s="13" t="s">
        <v>65</v>
      </c>
      <c r="M381" s="13" t="s">
        <v>65</v>
      </c>
    </row>
    <row r="382" spans="1:13" x14ac:dyDescent="0.35">
      <c r="A382" s="11" t="s">
        <v>488</v>
      </c>
      <c r="B382" s="11" t="s">
        <v>65</v>
      </c>
      <c r="C382" s="11"/>
      <c r="D382" s="12"/>
      <c r="E382" s="12"/>
      <c r="F382" s="11" t="s">
        <v>65</v>
      </c>
      <c r="G382" s="11" t="s">
        <v>65</v>
      </c>
      <c r="H382" s="11" t="s">
        <v>65</v>
      </c>
      <c r="I382" s="11"/>
      <c r="J382" s="11" t="s">
        <v>65</v>
      </c>
      <c r="K382" s="11"/>
      <c r="L382" s="11" t="s">
        <v>65</v>
      </c>
      <c r="M382" s="11" t="s">
        <v>65</v>
      </c>
    </row>
    <row r="383" spans="1:13" x14ac:dyDescent="0.35">
      <c r="A383" s="13" t="s">
        <v>92</v>
      </c>
      <c r="B383" s="13" t="s">
        <v>162</v>
      </c>
      <c r="C383" s="13">
        <v>6</v>
      </c>
      <c r="D383" s="14">
        <v>45020.131249999999</v>
      </c>
      <c r="E383" s="14">
        <v>45020.268750000003</v>
      </c>
      <c r="F383" s="13" t="s">
        <v>100</v>
      </c>
      <c r="G383" s="13" t="s">
        <v>73</v>
      </c>
      <c r="H383" s="13" t="s">
        <v>109</v>
      </c>
      <c r="I383" s="13">
        <v>198</v>
      </c>
      <c r="J383" s="13" t="s">
        <v>94</v>
      </c>
      <c r="K383" s="13">
        <v>382</v>
      </c>
      <c r="L383" s="13" t="s">
        <v>187</v>
      </c>
      <c r="M383" s="13" t="s">
        <v>23</v>
      </c>
    </row>
    <row r="384" spans="1:13" x14ac:dyDescent="0.35">
      <c r="A384" s="11" t="s">
        <v>185</v>
      </c>
      <c r="B384" s="11" t="s">
        <v>489</v>
      </c>
      <c r="C384" s="11">
        <v>6</v>
      </c>
      <c r="D384" s="12">
        <v>45020.145138888889</v>
      </c>
      <c r="E384" s="12">
        <v>45020.272916666669</v>
      </c>
      <c r="F384" s="11" t="s">
        <v>72</v>
      </c>
      <c r="G384" s="11" t="s">
        <v>86</v>
      </c>
      <c r="H384" s="11" t="s">
        <v>74</v>
      </c>
      <c r="I384" s="11">
        <v>3133</v>
      </c>
      <c r="J384" s="11" t="s">
        <v>75</v>
      </c>
      <c r="K384" s="11">
        <v>383</v>
      </c>
      <c r="L384" s="11" t="s">
        <v>101</v>
      </c>
      <c r="M384" s="11" t="s">
        <v>21</v>
      </c>
    </row>
    <row r="385" spans="1:13" x14ac:dyDescent="0.35">
      <c r="A385" s="13" t="s">
        <v>490</v>
      </c>
      <c r="B385" s="13" t="s">
        <v>65</v>
      </c>
      <c r="C385" s="13"/>
      <c r="D385" s="14"/>
      <c r="E385" s="14"/>
      <c r="F385" s="13" t="s">
        <v>65</v>
      </c>
      <c r="G385" s="13" t="s">
        <v>65</v>
      </c>
      <c r="H385" s="13" t="s">
        <v>65</v>
      </c>
      <c r="I385" s="13"/>
      <c r="J385" s="13" t="s">
        <v>65</v>
      </c>
      <c r="K385" s="13"/>
      <c r="L385" s="13" t="s">
        <v>65</v>
      </c>
      <c r="M385" s="13" t="s">
        <v>65</v>
      </c>
    </row>
    <row r="386" spans="1:13" x14ac:dyDescent="0.35">
      <c r="A386" s="11" t="s">
        <v>185</v>
      </c>
      <c r="B386" s="11" t="s">
        <v>491</v>
      </c>
      <c r="C386" s="11">
        <v>6</v>
      </c>
      <c r="D386" s="12">
        <v>45021.150694444441</v>
      </c>
      <c r="E386" s="12">
        <v>45021.279861111114</v>
      </c>
      <c r="F386" s="11" t="s">
        <v>170</v>
      </c>
      <c r="G386" s="11" t="s">
        <v>163</v>
      </c>
      <c r="H386" s="11" t="s">
        <v>74</v>
      </c>
      <c r="I386" s="11">
        <v>1114</v>
      </c>
      <c r="J386" s="11" t="s">
        <v>88</v>
      </c>
      <c r="K386" s="11">
        <v>385</v>
      </c>
      <c r="L386" s="11" t="s">
        <v>181</v>
      </c>
      <c r="M386" s="11" t="s">
        <v>12</v>
      </c>
    </row>
    <row r="387" spans="1:13" x14ac:dyDescent="0.35">
      <c r="A387" s="13" t="s">
        <v>121</v>
      </c>
      <c r="B387" s="13" t="s">
        <v>492</v>
      </c>
      <c r="C387" s="13">
        <v>2</v>
      </c>
      <c r="D387" s="14">
        <v>45021.022916666669</v>
      </c>
      <c r="E387" s="14">
        <v>45021.123611111114</v>
      </c>
      <c r="F387" s="13" t="s">
        <v>72</v>
      </c>
      <c r="G387" s="13" t="s">
        <v>86</v>
      </c>
      <c r="H387" s="13" t="s">
        <v>109</v>
      </c>
      <c r="I387" s="13">
        <v>2896</v>
      </c>
      <c r="J387" s="13" t="s">
        <v>88</v>
      </c>
      <c r="K387" s="13">
        <v>386</v>
      </c>
      <c r="L387" s="13" t="s">
        <v>275</v>
      </c>
      <c r="M387" s="13" t="s">
        <v>25</v>
      </c>
    </row>
    <row r="388" spans="1:13" x14ac:dyDescent="0.35">
      <c r="A388" s="11" t="s">
        <v>185</v>
      </c>
      <c r="B388" s="11" t="s">
        <v>493</v>
      </c>
      <c r="C388" s="11">
        <v>5</v>
      </c>
      <c r="D388" s="12">
        <v>45021.131249999999</v>
      </c>
      <c r="E388" s="12">
        <v>45021.256944444445</v>
      </c>
      <c r="F388" s="11" t="s">
        <v>85</v>
      </c>
      <c r="G388" s="11" t="s">
        <v>86</v>
      </c>
      <c r="H388" s="11" t="s">
        <v>87</v>
      </c>
      <c r="I388" s="11">
        <v>2084</v>
      </c>
      <c r="J388" s="11" t="s">
        <v>88</v>
      </c>
      <c r="K388" s="11">
        <v>387</v>
      </c>
      <c r="L388" s="11" t="s">
        <v>275</v>
      </c>
      <c r="M388" s="11" t="s">
        <v>15</v>
      </c>
    </row>
    <row r="389" spans="1:13" x14ac:dyDescent="0.35">
      <c r="A389" s="13" t="s">
        <v>494</v>
      </c>
      <c r="B389" s="13" t="s">
        <v>65</v>
      </c>
      <c r="C389" s="13"/>
      <c r="D389" s="14"/>
      <c r="E389" s="14"/>
      <c r="F389" s="13" t="s">
        <v>65</v>
      </c>
      <c r="G389" s="13" t="s">
        <v>65</v>
      </c>
      <c r="H389" s="13" t="s">
        <v>65</v>
      </c>
      <c r="I389" s="13"/>
      <c r="J389" s="13" t="s">
        <v>65</v>
      </c>
      <c r="K389" s="13"/>
      <c r="L389" s="13" t="s">
        <v>65</v>
      </c>
      <c r="M389" s="13" t="s">
        <v>65</v>
      </c>
    </row>
    <row r="390" spans="1:13" x14ac:dyDescent="0.35">
      <c r="A390" s="11" t="s">
        <v>177</v>
      </c>
      <c r="B390" s="11" t="s">
        <v>495</v>
      </c>
      <c r="C390" s="11">
        <v>5</v>
      </c>
      <c r="D390" s="12">
        <v>45021.001388888886</v>
      </c>
      <c r="E390" s="12">
        <v>45021.09375</v>
      </c>
      <c r="F390" s="11" t="s">
        <v>170</v>
      </c>
      <c r="G390" s="11" t="s">
        <v>86</v>
      </c>
      <c r="H390" s="11" t="s">
        <v>74</v>
      </c>
      <c r="I390" s="11">
        <v>3914</v>
      </c>
      <c r="J390" s="11" t="s">
        <v>94</v>
      </c>
      <c r="K390" s="11">
        <v>389</v>
      </c>
      <c r="L390" s="11" t="s">
        <v>275</v>
      </c>
      <c r="M390" s="11" t="s">
        <v>25</v>
      </c>
    </row>
    <row r="391" spans="1:13" x14ac:dyDescent="0.35">
      <c r="A391" s="13" t="s">
        <v>496</v>
      </c>
      <c r="B391" s="13" t="s">
        <v>65</v>
      </c>
      <c r="C391" s="13"/>
      <c r="D391" s="14"/>
      <c r="E391" s="14"/>
      <c r="F391" s="13" t="s">
        <v>65</v>
      </c>
      <c r="G391" s="13" t="s">
        <v>65</v>
      </c>
      <c r="H391" s="13" t="s">
        <v>65</v>
      </c>
      <c r="I391" s="13"/>
      <c r="J391" s="13" t="s">
        <v>65</v>
      </c>
      <c r="K391" s="13"/>
      <c r="L391" s="13" t="s">
        <v>65</v>
      </c>
      <c r="M391" s="13" t="s">
        <v>65</v>
      </c>
    </row>
    <row r="392" spans="1:13" x14ac:dyDescent="0.35">
      <c r="A392" s="11" t="s">
        <v>125</v>
      </c>
      <c r="B392" s="11" t="s">
        <v>497</v>
      </c>
      <c r="C392" s="11">
        <v>1</v>
      </c>
      <c r="D392" s="12">
        <v>45021.086805555555</v>
      </c>
      <c r="E392" s="12">
        <v>45021.17291666667</v>
      </c>
      <c r="F392" s="11" t="s">
        <v>170</v>
      </c>
      <c r="G392" s="11" t="s">
        <v>86</v>
      </c>
      <c r="H392" s="11" t="s">
        <v>74</v>
      </c>
      <c r="I392" s="11">
        <v>486</v>
      </c>
      <c r="J392" s="11" t="s">
        <v>94</v>
      </c>
      <c r="K392" s="11">
        <v>391</v>
      </c>
      <c r="L392" s="11" t="s">
        <v>187</v>
      </c>
      <c r="M392" s="11" t="s">
        <v>35</v>
      </c>
    </row>
    <row r="393" spans="1:13" x14ac:dyDescent="0.35">
      <c r="A393" s="13" t="s">
        <v>498</v>
      </c>
      <c r="B393" s="13" t="s">
        <v>65</v>
      </c>
      <c r="C393" s="13"/>
      <c r="D393" s="14"/>
      <c r="E393" s="14"/>
      <c r="F393" s="13" t="s">
        <v>65</v>
      </c>
      <c r="G393" s="13" t="s">
        <v>65</v>
      </c>
      <c r="H393" s="13" t="s">
        <v>65</v>
      </c>
      <c r="I393" s="13"/>
      <c r="J393" s="13" t="s">
        <v>65</v>
      </c>
      <c r="K393" s="13"/>
      <c r="L393" s="13" t="s">
        <v>65</v>
      </c>
      <c r="M393" s="13" t="s">
        <v>65</v>
      </c>
    </row>
    <row r="394" spans="1:13" x14ac:dyDescent="0.35">
      <c r="A394" s="11" t="s">
        <v>499</v>
      </c>
      <c r="B394" s="11" t="s">
        <v>65</v>
      </c>
      <c r="C394" s="11"/>
      <c r="D394" s="12"/>
      <c r="E394" s="12"/>
      <c r="F394" s="11" t="s">
        <v>65</v>
      </c>
      <c r="G394" s="11" t="s">
        <v>65</v>
      </c>
      <c r="H394" s="11" t="s">
        <v>65</v>
      </c>
      <c r="I394" s="11"/>
      <c r="J394" s="11" t="s">
        <v>65</v>
      </c>
      <c r="K394" s="11"/>
      <c r="L394" s="11" t="s">
        <v>65</v>
      </c>
      <c r="M394" s="11" t="s">
        <v>65</v>
      </c>
    </row>
    <row r="395" spans="1:13" x14ac:dyDescent="0.35">
      <c r="A395" s="13" t="s">
        <v>500</v>
      </c>
      <c r="B395" s="13" t="s">
        <v>65</v>
      </c>
      <c r="C395" s="13"/>
      <c r="D395" s="14"/>
      <c r="E395" s="14"/>
      <c r="F395" s="13" t="s">
        <v>65</v>
      </c>
      <c r="G395" s="13" t="s">
        <v>65</v>
      </c>
      <c r="H395" s="13" t="s">
        <v>65</v>
      </c>
      <c r="I395" s="13"/>
      <c r="J395" s="13" t="s">
        <v>65</v>
      </c>
      <c r="K395" s="13"/>
      <c r="L395" s="13" t="s">
        <v>65</v>
      </c>
      <c r="M395" s="13" t="s">
        <v>65</v>
      </c>
    </row>
    <row r="396" spans="1:13" x14ac:dyDescent="0.35">
      <c r="A396" s="11" t="s">
        <v>83</v>
      </c>
      <c r="B396" s="11" t="s">
        <v>501</v>
      </c>
      <c r="C396" s="11">
        <v>1</v>
      </c>
      <c r="D396" s="12">
        <v>45021.067361111112</v>
      </c>
      <c r="E396" s="12">
        <v>45021.231944444444</v>
      </c>
      <c r="F396" s="11" t="s">
        <v>100</v>
      </c>
      <c r="G396" s="11" t="s">
        <v>86</v>
      </c>
      <c r="H396" s="11" t="s">
        <v>109</v>
      </c>
      <c r="I396" s="11">
        <v>409</v>
      </c>
      <c r="J396" s="11" t="s">
        <v>75</v>
      </c>
      <c r="K396" s="11">
        <v>395</v>
      </c>
      <c r="L396" s="11" t="s">
        <v>187</v>
      </c>
      <c r="M396" s="11" t="s">
        <v>29</v>
      </c>
    </row>
    <row r="397" spans="1:13" x14ac:dyDescent="0.35">
      <c r="A397" s="13" t="s">
        <v>502</v>
      </c>
      <c r="B397" s="13" t="s">
        <v>65</v>
      </c>
      <c r="C397" s="13"/>
      <c r="D397" s="14"/>
      <c r="E397" s="14"/>
      <c r="F397" s="13" t="s">
        <v>65</v>
      </c>
      <c r="G397" s="13" t="s">
        <v>65</v>
      </c>
      <c r="H397" s="13" t="s">
        <v>65</v>
      </c>
      <c r="I397" s="13"/>
      <c r="J397" s="13" t="s">
        <v>65</v>
      </c>
      <c r="K397" s="13"/>
      <c r="L397" s="13" t="s">
        <v>65</v>
      </c>
      <c r="M397" s="13" t="s">
        <v>65</v>
      </c>
    </row>
    <row r="398" spans="1:13" x14ac:dyDescent="0.35">
      <c r="A398" s="11" t="s">
        <v>503</v>
      </c>
      <c r="B398" s="11" t="s">
        <v>65</v>
      </c>
      <c r="C398" s="11"/>
      <c r="D398" s="12"/>
      <c r="E398" s="12"/>
      <c r="F398" s="11" t="s">
        <v>65</v>
      </c>
      <c r="G398" s="11" t="s">
        <v>65</v>
      </c>
      <c r="H398" s="11" t="s">
        <v>65</v>
      </c>
      <c r="I398" s="11"/>
      <c r="J398" s="11" t="s">
        <v>65</v>
      </c>
      <c r="K398" s="11"/>
      <c r="L398" s="11" t="s">
        <v>65</v>
      </c>
      <c r="M398" s="11" t="s">
        <v>65</v>
      </c>
    </row>
    <row r="399" spans="1:13" x14ac:dyDescent="0.35">
      <c r="A399" s="13" t="s">
        <v>504</v>
      </c>
      <c r="B399" s="13" t="s">
        <v>65</v>
      </c>
      <c r="C399" s="13"/>
      <c r="D399" s="14"/>
      <c r="E399" s="14"/>
      <c r="F399" s="13" t="s">
        <v>65</v>
      </c>
      <c r="G399" s="13" t="s">
        <v>65</v>
      </c>
      <c r="H399" s="13" t="s">
        <v>65</v>
      </c>
      <c r="I399" s="13"/>
      <c r="J399" s="13" t="s">
        <v>65</v>
      </c>
      <c r="K399" s="13"/>
      <c r="L399" s="13" t="s">
        <v>65</v>
      </c>
      <c r="M399" s="13" t="s">
        <v>65</v>
      </c>
    </row>
    <row r="400" spans="1:13" x14ac:dyDescent="0.35">
      <c r="A400" s="11" t="s">
        <v>505</v>
      </c>
      <c r="B400" s="11" t="s">
        <v>65</v>
      </c>
      <c r="C400" s="11"/>
      <c r="D400" s="12"/>
      <c r="E400" s="12"/>
      <c r="F400" s="11" t="s">
        <v>65</v>
      </c>
      <c r="G400" s="11" t="s">
        <v>65</v>
      </c>
      <c r="H400" s="11" t="s">
        <v>65</v>
      </c>
      <c r="I400" s="11"/>
      <c r="J400" s="11" t="s">
        <v>65</v>
      </c>
      <c r="K400" s="11"/>
      <c r="L400" s="11" t="s">
        <v>65</v>
      </c>
      <c r="M400" s="11" t="s">
        <v>65</v>
      </c>
    </row>
    <row r="401" spans="1:13" x14ac:dyDescent="0.35">
      <c r="A401" s="13" t="s">
        <v>506</v>
      </c>
      <c r="B401" s="13" t="s">
        <v>65</v>
      </c>
      <c r="C401" s="13"/>
      <c r="D401" s="14"/>
      <c r="E401" s="14"/>
      <c r="F401" s="13" t="s">
        <v>65</v>
      </c>
      <c r="G401" s="13" t="s">
        <v>65</v>
      </c>
      <c r="H401" s="13" t="s">
        <v>65</v>
      </c>
      <c r="I401" s="13"/>
      <c r="J401" s="13" t="s">
        <v>65</v>
      </c>
      <c r="K401" s="13"/>
      <c r="L401" s="13" t="s">
        <v>65</v>
      </c>
      <c r="M401" s="13" t="s">
        <v>65</v>
      </c>
    </row>
    <row r="402" spans="1:13" x14ac:dyDescent="0.35">
      <c r="A402" s="11" t="s">
        <v>224</v>
      </c>
      <c r="B402" s="11" t="s">
        <v>507</v>
      </c>
      <c r="C402" s="11">
        <v>2</v>
      </c>
      <c r="D402" s="12">
        <v>45021.160416666666</v>
      </c>
      <c r="E402" s="12">
        <v>45021.289583333331</v>
      </c>
      <c r="F402" s="11" t="s">
        <v>100</v>
      </c>
      <c r="G402" s="11" t="s">
        <v>86</v>
      </c>
      <c r="H402" s="11" t="s">
        <v>74</v>
      </c>
      <c r="I402" s="11">
        <v>1587</v>
      </c>
      <c r="J402" s="11" t="s">
        <v>88</v>
      </c>
      <c r="K402" s="11">
        <v>401</v>
      </c>
      <c r="L402" s="11" t="s">
        <v>221</v>
      </c>
      <c r="M402" s="11" t="s">
        <v>43</v>
      </c>
    </row>
    <row r="403" spans="1:13" x14ac:dyDescent="0.35">
      <c r="A403" s="13" t="s">
        <v>508</v>
      </c>
      <c r="B403" s="13" t="s">
        <v>65</v>
      </c>
      <c r="C403" s="13"/>
      <c r="D403" s="14"/>
      <c r="E403" s="14"/>
      <c r="F403" s="13" t="s">
        <v>65</v>
      </c>
      <c r="G403" s="13" t="s">
        <v>65</v>
      </c>
      <c r="H403" s="13" t="s">
        <v>65</v>
      </c>
      <c r="I403" s="13"/>
      <c r="J403" s="13" t="s">
        <v>65</v>
      </c>
      <c r="K403" s="13"/>
      <c r="L403" s="13" t="s">
        <v>65</v>
      </c>
      <c r="M403" s="13" t="s">
        <v>65</v>
      </c>
    </row>
    <row r="404" spans="1:13" x14ac:dyDescent="0.35">
      <c r="A404" s="11" t="s">
        <v>509</v>
      </c>
      <c r="B404" s="11" t="s">
        <v>65</v>
      </c>
      <c r="C404" s="11"/>
      <c r="D404" s="12"/>
      <c r="E404" s="12"/>
      <c r="F404" s="11" t="s">
        <v>65</v>
      </c>
      <c r="G404" s="11" t="s">
        <v>65</v>
      </c>
      <c r="H404" s="11" t="s">
        <v>65</v>
      </c>
      <c r="I404" s="11"/>
      <c r="J404" s="11" t="s">
        <v>65</v>
      </c>
      <c r="K404" s="11"/>
      <c r="L404" s="11" t="s">
        <v>65</v>
      </c>
      <c r="M404" s="11" t="s">
        <v>65</v>
      </c>
    </row>
    <row r="405" spans="1:13" x14ac:dyDescent="0.35">
      <c r="A405" s="13" t="s">
        <v>510</v>
      </c>
      <c r="B405" s="13" t="s">
        <v>65</v>
      </c>
      <c r="C405" s="13"/>
      <c r="D405" s="14"/>
      <c r="E405" s="14"/>
      <c r="F405" s="13" t="s">
        <v>65</v>
      </c>
      <c r="G405" s="13" t="s">
        <v>65</v>
      </c>
      <c r="H405" s="13" t="s">
        <v>65</v>
      </c>
      <c r="I405" s="13"/>
      <c r="J405" s="13" t="s">
        <v>65</v>
      </c>
      <c r="K405" s="13"/>
      <c r="L405" s="13" t="s">
        <v>65</v>
      </c>
      <c r="M405" s="13" t="s">
        <v>65</v>
      </c>
    </row>
    <row r="406" spans="1:13" x14ac:dyDescent="0.35">
      <c r="A406" s="11" t="s">
        <v>511</v>
      </c>
      <c r="B406" s="11" t="s">
        <v>65</v>
      </c>
      <c r="C406" s="11"/>
      <c r="D406" s="12"/>
      <c r="E406" s="12"/>
      <c r="F406" s="11" t="s">
        <v>65</v>
      </c>
      <c r="G406" s="11" t="s">
        <v>65</v>
      </c>
      <c r="H406" s="11" t="s">
        <v>65</v>
      </c>
      <c r="I406" s="11"/>
      <c r="J406" s="11" t="s">
        <v>65</v>
      </c>
      <c r="K406" s="11"/>
      <c r="L406" s="11" t="s">
        <v>65</v>
      </c>
      <c r="M406" s="11" t="s">
        <v>65</v>
      </c>
    </row>
    <row r="407" spans="1:13" x14ac:dyDescent="0.35">
      <c r="A407" s="13" t="s">
        <v>512</v>
      </c>
      <c r="B407" s="13" t="s">
        <v>65</v>
      </c>
      <c r="C407" s="13"/>
      <c r="D407" s="14"/>
      <c r="E407" s="14"/>
      <c r="F407" s="13" t="s">
        <v>65</v>
      </c>
      <c r="G407" s="13" t="s">
        <v>65</v>
      </c>
      <c r="H407" s="13" t="s">
        <v>65</v>
      </c>
      <c r="I407" s="13"/>
      <c r="J407" s="13" t="s">
        <v>65</v>
      </c>
      <c r="K407" s="13"/>
      <c r="L407" s="13" t="s">
        <v>65</v>
      </c>
      <c r="M407" s="13" t="s">
        <v>65</v>
      </c>
    </row>
    <row r="408" spans="1:13" x14ac:dyDescent="0.35">
      <c r="A408" s="11" t="s">
        <v>513</v>
      </c>
      <c r="B408" s="11" t="s">
        <v>65</v>
      </c>
      <c r="C408" s="11"/>
      <c r="D408" s="12"/>
      <c r="E408" s="12"/>
      <c r="F408" s="11" t="s">
        <v>65</v>
      </c>
      <c r="G408" s="11" t="s">
        <v>65</v>
      </c>
      <c r="H408" s="11" t="s">
        <v>65</v>
      </c>
      <c r="I408" s="11"/>
      <c r="J408" s="11" t="s">
        <v>65</v>
      </c>
      <c r="K408" s="11"/>
      <c r="L408" s="11" t="s">
        <v>65</v>
      </c>
      <c r="M408" s="11" t="s">
        <v>65</v>
      </c>
    </row>
    <row r="409" spans="1:13" x14ac:dyDescent="0.35">
      <c r="A409" s="13" t="s">
        <v>514</v>
      </c>
      <c r="B409" s="13" t="s">
        <v>65</v>
      </c>
      <c r="C409" s="13"/>
      <c r="D409" s="14"/>
      <c r="E409" s="14"/>
      <c r="F409" s="13" t="s">
        <v>65</v>
      </c>
      <c r="G409" s="13" t="s">
        <v>65</v>
      </c>
      <c r="H409" s="13" t="s">
        <v>65</v>
      </c>
      <c r="I409" s="13"/>
      <c r="J409" s="13" t="s">
        <v>65</v>
      </c>
      <c r="K409" s="13"/>
      <c r="L409" s="13" t="s">
        <v>65</v>
      </c>
      <c r="M409" s="13" t="s">
        <v>65</v>
      </c>
    </row>
    <row r="410" spans="1:13" x14ac:dyDescent="0.35">
      <c r="A410" s="11" t="s">
        <v>515</v>
      </c>
      <c r="B410" s="11" t="s">
        <v>65</v>
      </c>
      <c r="C410" s="11"/>
      <c r="D410" s="12"/>
      <c r="E410" s="12"/>
      <c r="F410" s="11" t="s">
        <v>65</v>
      </c>
      <c r="G410" s="11" t="s">
        <v>65</v>
      </c>
      <c r="H410" s="11" t="s">
        <v>65</v>
      </c>
      <c r="I410" s="11"/>
      <c r="J410" s="11" t="s">
        <v>65</v>
      </c>
      <c r="K410" s="11"/>
      <c r="L410" s="11" t="s">
        <v>65</v>
      </c>
      <c r="M410" s="11" t="s">
        <v>65</v>
      </c>
    </row>
    <row r="411" spans="1:13" x14ac:dyDescent="0.35">
      <c r="A411" s="13" t="s">
        <v>516</v>
      </c>
      <c r="B411" s="13" t="s">
        <v>65</v>
      </c>
      <c r="C411" s="13"/>
      <c r="D411" s="14"/>
      <c r="E411" s="14"/>
      <c r="F411" s="13" t="s">
        <v>65</v>
      </c>
      <c r="G411" s="13" t="s">
        <v>65</v>
      </c>
      <c r="H411" s="13" t="s">
        <v>65</v>
      </c>
      <c r="I411" s="13"/>
      <c r="J411" s="13" t="s">
        <v>65</v>
      </c>
      <c r="K411" s="13"/>
      <c r="L411" s="13" t="s">
        <v>65</v>
      </c>
      <c r="M411" s="13" t="s">
        <v>65</v>
      </c>
    </row>
    <row r="412" spans="1:13" x14ac:dyDescent="0.35">
      <c r="A412" s="11" t="s">
        <v>517</v>
      </c>
      <c r="B412" s="11" t="s">
        <v>65</v>
      </c>
      <c r="C412" s="11"/>
      <c r="D412" s="12"/>
      <c r="E412" s="12"/>
      <c r="F412" s="11" t="s">
        <v>65</v>
      </c>
      <c r="G412" s="11" t="s">
        <v>65</v>
      </c>
      <c r="H412" s="11" t="s">
        <v>65</v>
      </c>
      <c r="I412" s="11"/>
      <c r="J412" s="11" t="s">
        <v>65</v>
      </c>
      <c r="K412" s="11"/>
      <c r="L412" s="11" t="s">
        <v>65</v>
      </c>
      <c r="M412" s="11" t="s">
        <v>65</v>
      </c>
    </row>
    <row r="413" spans="1:13" x14ac:dyDescent="0.35">
      <c r="A413" s="13" t="s">
        <v>354</v>
      </c>
      <c r="B413" s="13" t="s">
        <v>518</v>
      </c>
      <c r="C413" s="13">
        <v>4</v>
      </c>
      <c r="D413" s="14">
        <v>45021.015277777777</v>
      </c>
      <c r="E413" s="14">
        <v>45021.085416666669</v>
      </c>
      <c r="F413" s="13" t="s">
        <v>85</v>
      </c>
      <c r="G413" s="13" t="s">
        <v>73</v>
      </c>
      <c r="H413" s="13" t="s">
        <v>74</v>
      </c>
      <c r="I413" s="13">
        <v>1294</v>
      </c>
      <c r="J413" s="13" t="s">
        <v>88</v>
      </c>
      <c r="K413" s="13">
        <v>412</v>
      </c>
      <c r="L413" s="13" t="s">
        <v>76</v>
      </c>
      <c r="M413" s="13" t="s">
        <v>15</v>
      </c>
    </row>
    <row r="414" spans="1:13" x14ac:dyDescent="0.35">
      <c r="A414" s="11" t="s">
        <v>240</v>
      </c>
      <c r="B414" s="11" t="s">
        <v>519</v>
      </c>
      <c r="C414" s="11">
        <v>3</v>
      </c>
      <c r="D414" s="12">
        <v>45021.10833333333</v>
      </c>
      <c r="E414" s="12">
        <v>45021.206944444442</v>
      </c>
      <c r="F414" s="11" t="s">
        <v>72</v>
      </c>
      <c r="G414" s="11" t="s">
        <v>73</v>
      </c>
      <c r="H414" s="11" t="s">
        <v>74</v>
      </c>
      <c r="I414" s="11">
        <v>2301</v>
      </c>
      <c r="J414" s="11" t="s">
        <v>88</v>
      </c>
      <c r="K414" s="11">
        <v>413</v>
      </c>
      <c r="L414" s="11" t="s">
        <v>164</v>
      </c>
      <c r="M414" s="11" t="s">
        <v>31</v>
      </c>
    </row>
    <row r="415" spans="1:13" x14ac:dyDescent="0.35">
      <c r="A415" s="13" t="s">
        <v>267</v>
      </c>
      <c r="B415" s="13" t="s">
        <v>520</v>
      </c>
      <c r="C415" s="13">
        <v>6</v>
      </c>
      <c r="D415" s="14">
        <v>45021.154861111114</v>
      </c>
      <c r="E415" s="14">
        <v>45021.3</v>
      </c>
      <c r="F415" s="13" t="s">
        <v>85</v>
      </c>
      <c r="G415" s="13" t="s">
        <v>163</v>
      </c>
      <c r="H415" s="13" t="s">
        <v>74</v>
      </c>
      <c r="I415" s="13">
        <v>1317</v>
      </c>
      <c r="J415" s="13" t="s">
        <v>94</v>
      </c>
      <c r="K415" s="13">
        <v>414</v>
      </c>
      <c r="L415" s="13" t="s">
        <v>181</v>
      </c>
      <c r="M415" s="13" t="s">
        <v>25</v>
      </c>
    </row>
    <row r="416" spans="1:13" x14ac:dyDescent="0.35">
      <c r="A416" s="11" t="s">
        <v>521</v>
      </c>
      <c r="B416" s="11" t="s">
        <v>65</v>
      </c>
      <c r="C416" s="11"/>
      <c r="D416" s="12"/>
      <c r="E416" s="12"/>
      <c r="F416" s="11" t="s">
        <v>65</v>
      </c>
      <c r="G416" s="11" t="s">
        <v>65</v>
      </c>
      <c r="H416" s="11" t="s">
        <v>65</v>
      </c>
      <c r="I416" s="11"/>
      <c r="J416" s="11" t="s">
        <v>65</v>
      </c>
      <c r="K416" s="11"/>
      <c r="L416" s="11" t="s">
        <v>65</v>
      </c>
      <c r="M416" s="11" t="s">
        <v>65</v>
      </c>
    </row>
    <row r="417" spans="1:13" x14ac:dyDescent="0.35">
      <c r="A417" s="13" t="s">
        <v>92</v>
      </c>
      <c r="B417" s="13" t="s">
        <v>522</v>
      </c>
      <c r="C417" s="13">
        <v>2</v>
      </c>
      <c r="D417" s="14">
        <v>45021.127083333333</v>
      </c>
      <c r="E417" s="14">
        <v>45021.275694444441</v>
      </c>
      <c r="F417" s="13" t="s">
        <v>223</v>
      </c>
      <c r="G417" s="13" t="s">
        <v>73</v>
      </c>
      <c r="H417" s="13" t="s">
        <v>74</v>
      </c>
      <c r="I417" s="13">
        <v>129</v>
      </c>
      <c r="J417" s="13" t="s">
        <v>94</v>
      </c>
      <c r="K417" s="13">
        <v>416</v>
      </c>
      <c r="L417" s="13" t="s">
        <v>174</v>
      </c>
      <c r="M417" s="13" t="s">
        <v>49</v>
      </c>
    </row>
    <row r="418" spans="1:13" x14ac:dyDescent="0.35">
      <c r="A418" s="11" t="s">
        <v>523</v>
      </c>
      <c r="B418" s="11" t="s">
        <v>65</v>
      </c>
      <c r="C418" s="11"/>
      <c r="D418" s="12"/>
      <c r="E418" s="12"/>
      <c r="F418" s="11" t="s">
        <v>65</v>
      </c>
      <c r="G418" s="11" t="s">
        <v>65</v>
      </c>
      <c r="H418" s="11" t="s">
        <v>65</v>
      </c>
      <c r="I418" s="11"/>
      <c r="J418" s="11" t="s">
        <v>65</v>
      </c>
      <c r="K418" s="11"/>
      <c r="L418" s="11" t="s">
        <v>65</v>
      </c>
      <c r="M418" s="11" t="s">
        <v>65</v>
      </c>
    </row>
    <row r="419" spans="1:13" x14ac:dyDescent="0.35">
      <c r="A419" s="13" t="s">
        <v>524</v>
      </c>
      <c r="B419" s="13" t="s">
        <v>65</v>
      </c>
      <c r="C419" s="13"/>
      <c r="D419" s="14"/>
      <c r="E419" s="14"/>
      <c r="F419" s="13" t="s">
        <v>65</v>
      </c>
      <c r="G419" s="13" t="s">
        <v>65</v>
      </c>
      <c r="H419" s="13" t="s">
        <v>65</v>
      </c>
      <c r="I419" s="13"/>
      <c r="J419" s="13" t="s">
        <v>65</v>
      </c>
      <c r="K419" s="13"/>
      <c r="L419" s="13" t="s">
        <v>65</v>
      </c>
      <c r="M419" s="13" t="s">
        <v>65</v>
      </c>
    </row>
    <row r="420" spans="1:13" x14ac:dyDescent="0.35">
      <c r="A420" s="11" t="s">
        <v>525</v>
      </c>
      <c r="B420" s="11" t="s">
        <v>65</v>
      </c>
      <c r="C420" s="11"/>
      <c r="D420" s="12"/>
      <c r="E420" s="12"/>
      <c r="F420" s="11" t="s">
        <v>65</v>
      </c>
      <c r="G420" s="11" t="s">
        <v>65</v>
      </c>
      <c r="H420" s="11" t="s">
        <v>65</v>
      </c>
      <c r="I420" s="11"/>
      <c r="J420" s="11" t="s">
        <v>65</v>
      </c>
      <c r="K420" s="11"/>
      <c r="L420" s="11" t="s">
        <v>65</v>
      </c>
      <c r="M420" s="11" t="s">
        <v>65</v>
      </c>
    </row>
    <row r="421" spans="1:13" x14ac:dyDescent="0.35">
      <c r="A421" s="13" t="s">
        <v>526</v>
      </c>
      <c r="B421" s="13" t="s">
        <v>65</v>
      </c>
      <c r="C421" s="13"/>
      <c r="D421" s="14"/>
      <c r="E421" s="14"/>
      <c r="F421" s="13" t="s">
        <v>65</v>
      </c>
      <c r="G421" s="13" t="s">
        <v>65</v>
      </c>
      <c r="H421" s="13" t="s">
        <v>65</v>
      </c>
      <c r="I421" s="13"/>
      <c r="J421" s="13" t="s">
        <v>65</v>
      </c>
      <c r="K421" s="13"/>
      <c r="L421" s="13" t="s">
        <v>65</v>
      </c>
      <c r="M421" s="13" t="s">
        <v>65</v>
      </c>
    </row>
    <row r="422" spans="1:13" x14ac:dyDescent="0.35">
      <c r="A422" s="11" t="s">
        <v>527</v>
      </c>
      <c r="B422" s="11" t="s">
        <v>65</v>
      </c>
      <c r="C422" s="11"/>
      <c r="D422" s="12"/>
      <c r="E422" s="12"/>
      <c r="F422" s="11" t="s">
        <v>65</v>
      </c>
      <c r="G422" s="11" t="s">
        <v>65</v>
      </c>
      <c r="H422" s="11" t="s">
        <v>65</v>
      </c>
      <c r="I422" s="11"/>
      <c r="J422" s="11" t="s">
        <v>65</v>
      </c>
      <c r="K422" s="11"/>
      <c r="L422" s="11" t="s">
        <v>65</v>
      </c>
      <c r="M422" s="11" t="s">
        <v>65</v>
      </c>
    </row>
    <row r="423" spans="1:13" x14ac:dyDescent="0.35">
      <c r="A423" s="13" t="s">
        <v>528</v>
      </c>
      <c r="B423" s="13" t="s">
        <v>65</v>
      </c>
      <c r="C423" s="13"/>
      <c r="D423" s="14"/>
      <c r="E423" s="14"/>
      <c r="F423" s="13" t="s">
        <v>65</v>
      </c>
      <c r="G423" s="13" t="s">
        <v>65</v>
      </c>
      <c r="H423" s="13" t="s">
        <v>65</v>
      </c>
      <c r="I423" s="13"/>
      <c r="J423" s="13" t="s">
        <v>65</v>
      </c>
      <c r="K423" s="13"/>
      <c r="L423" s="13" t="s">
        <v>65</v>
      </c>
      <c r="M423" s="13" t="s">
        <v>65</v>
      </c>
    </row>
    <row r="424" spans="1:13" x14ac:dyDescent="0.35">
      <c r="A424" s="11" t="s">
        <v>529</v>
      </c>
      <c r="B424" s="11" t="s">
        <v>65</v>
      </c>
      <c r="C424" s="11"/>
      <c r="D424" s="12"/>
      <c r="E424" s="12"/>
      <c r="F424" s="11" t="s">
        <v>65</v>
      </c>
      <c r="G424" s="11" t="s">
        <v>65</v>
      </c>
      <c r="H424" s="11" t="s">
        <v>65</v>
      </c>
      <c r="I424" s="11"/>
      <c r="J424" s="11" t="s">
        <v>65</v>
      </c>
      <c r="K424" s="11"/>
      <c r="L424" s="11" t="s">
        <v>65</v>
      </c>
      <c r="M424" s="11" t="s">
        <v>65</v>
      </c>
    </row>
    <row r="425" spans="1:13" x14ac:dyDescent="0.35">
      <c r="A425" s="13" t="s">
        <v>530</v>
      </c>
      <c r="B425" s="13" t="s">
        <v>65</v>
      </c>
      <c r="C425" s="13"/>
      <c r="D425" s="14"/>
      <c r="E425" s="14"/>
      <c r="F425" s="13" t="s">
        <v>65</v>
      </c>
      <c r="G425" s="13" t="s">
        <v>65</v>
      </c>
      <c r="H425" s="13" t="s">
        <v>65</v>
      </c>
      <c r="I425" s="13"/>
      <c r="J425" s="13" t="s">
        <v>65</v>
      </c>
      <c r="K425" s="13"/>
      <c r="L425" s="13" t="s">
        <v>65</v>
      </c>
      <c r="M425" s="13" t="s">
        <v>65</v>
      </c>
    </row>
    <row r="426" spans="1:13" x14ac:dyDescent="0.35">
      <c r="A426" s="11" t="s">
        <v>98</v>
      </c>
      <c r="B426" s="11" t="s">
        <v>531</v>
      </c>
      <c r="C426" s="11">
        <v>3</v>
      </c>
      <c r="D426" s="12">
        <v>45021.058333333334</v>
      </c>
      <c r="E426" s="12">
        <v>45021.15625</v>
      </c>
      <c r="F426" s="11" t="s">
        <v>100</v>
      </c>
      <c r="G426" s="11" t="s">
        <v>86</v>
      </c>
      <c r="H426" s="11" t="s">
        <v>74</v>
      </c>
      <c r="I426" s="11">
        <v>4943</v>
      </c>
      <c r="J426" s="11" t="s">
        <v>94</v>
      </c>
      <c r="K426" s="11">
        <v>425</v>
      </c>
      <c r="L426" s="11" t="s">
        <v>76</v>
      </c>
      <c r="M426" s="11" t="s">
        <v>29</v>
      </c>
    </row>
    <row r="427" spans="1:13" x14ac:dyDescent="0.35">
      <c r="A427" s="13" t="s">
        <v>532</v>
      </c>
      <c r="B427" s="13" t="s">
        <v>65</v>
      </c>
      <c r="C427" s="13"/>
      <c r="D427" s="14"/>
      <c r="E427" s="14"/>
      <c r="F427" s="13" t="s">
        <v>65</v>
      </c>
      <c r="G427" s="13" t="s">
        <v>65</v>
      </c>
      <c r="H427" s="13" t="s">
        <v>65</v>
      </c>
      <c r="I427" s="13"/>
      <c r="J427" s="13" t="s">
        <v>65</v>
      </c>
      <c r="K427" s="13"/>
      <c r="L427" s="13" t="s">
        <v>65</v>
      </c>
      <c r="M427" s="13" t="s">
        <v>65</v>
      </c>
    </row>
    <row r="428" spans="1:13" x14ac:dyDescent="0.35">
      <c r="A428" s="11" t="s">
        <v>533</v>
      </c>
      <c r="B428" s="11" t="s">
        <v>65</v>
      </c>
      <c r="C428" s="11"/>
      <c r="D428" s="12"/>
      <c r="E428" s="12"/>
      <c r="F428" s="11" t="s">
        <v>65</v>
      </c>
      <c r="G428" s="11" t="s">
        <v>65</v>
      </c>
      <c r="H428" s="11" t="s">
        <v>65</v>
      </c>
      <c r="I428" s="11"/>
      <c r="J428" s="11" t="s">
        <v>65</v>
      </c>
      <c r="K428" s="11"/>
      <c r="L428" s="11" t="s">
        <v>65</v>
      </c>
      <c r="M428" s="11" t="s">
        <v>65</v>
      </c>
    </row>
    <row r="429" spans="1:13" x14ac:dyDescent="0.35">
      <c r="A429" s="13" t="s">
        <v>534</v>
      </c>
      <c r="B429" s="13" t="s">
        <v>65</v>
      </c>
      <c r="C429" s="13"/>
      <c r="D429" s="14"/>
      <c r="E429" s="14"/>
      <c r="F429" s="13" t="s">
        <v>65</v>
      </c>
      <c r="G429" s="13" t="s">
        <v>65</v>
      </c>
      <c r="H429" s="13" t="s">
        <v>65</v>
      </c>
      <c r="I429" s="13"/>
      <c r="J429" s="13" t="s">
        <v>65</v>
      </c>
      <c r="K429" s="13"/>
      <c r="L429" s="13" t="s">
        <v>65</v>
      </c>
      <c r="M429" s="13" t="s">
        <v>65</v>
      </c>
    </row>
    <row r="430" spans="1:13" x14ac:dyDescent="0.35">
      <c r="A430" s="11" t="s">
        <v>215</v>
      </c>
      <c r="B430" s="11" t="s">
        <v>535</v>
      </c>
      <c r="C430" s="11">
        <v>1</v>
      </c>
      <c r="D430" s="12">
        <v>45021.006944444445</v>
      </c>
      <c r="E430" s="12">
        <v>45021.156944444447</v>
      </c>
      <c r="F430" s="11" t="s">
        <v>72</v>
      </c>
      <c r="G430" s="11" t="s">
        <v>86</v>
      </c>
      <c r="H430" s="11" t="s">
        <v>74</v>
      </c>
      <c r="I430" s="11">
        <v>1095</v>
      </c>
      <c r="J430" s="11" t="s">
        <v>94</v>
      </c>
      <c r="K430" s="11">
        <v>429</v>
      </c>
      <c r="L430" s="11" t="s">
        <v>89</v>
      </c>
      <c r="M430" s="11" t="s">
        <v>47</v>
      </c>
    </row>
    <row r="431" spans="1:13" x14ac:dyDescent="0.35">
      <c r="A431" s="13" t="s">
        <v>70</v>
      </c>
      <c r="B431" s="13" t="s">
        <v>536</v>
      </c>
      <c r="C431" s="13">
        <v>3</v>
      </c>
      <c r="D431" s="14">
        <v>45021.097916666666</v>
      </c>
      <c r="E431" s="14">
        <v>45021.165972222225</v>
      </c>
      <c r="F431" s="13" t="s">
        <v>72</v>
      </c>
      <c r="G431" s="13" t="s">
        <v>86</v>
      </c>
      <c r="H431" s="13" t="s">
        <v>109</v>
      </c>
      <c r="I431" s="13">
        <v>4209</v>
      </c>
      <c r="J431" s="13" t="s">
        <v>94</v>
      </c>
      <c r="K431" s="13">
        <v>430</v>
      </c>
      <c r="L431" s="13" t="s">
        <v>275</v>
      </c>
      <c r="M431" s="13" t="s">
        <v>49</v>
      </c>
    </row>
    <row r="432" spans="1:13" x14ac:dyDescent="0.35">
      <c r="A432" s="11" t="s">
        <v>125</v>
      </c>
      <c r="B432" s="11" t="s">
        <v>385</v>
      </c>
      <c r="C432" s="11">
        <v>5</v>
      </c>
      <c r="D432" s="12">
        <v>45021.147916666669</v>
      </c>
      <c r="E432" s="12">
        <v>45021.309027777781</v>
      </c>
      <c r="F432" s="11" t="s">
        <v>85</v>
      </c>
      <c r="G432" s="11" t="s">
        <v>86</v>
      </c>
      <c r="H432" s="11" t="s">
        <v>74</v>
      </c>
      <c r="I432" s="11">
        <v>3982</v>
      </c>
      <c r="J432" s="11" t="s">
        <v>75</v>
      </c>
      <c r="K432" s="11">
        <v>431</v>
      </c>
      <c r="L432" s="11" t="s">
        <v>164</v>
      </c>
      <c r="M432" s="11" t="s">
        <v>12</v>
      </c>
    </row>
    <row r="433" spans="1:13" x14ac:dyDescent="0.35">
      <c r="A433" s="13" t="s">
        <v>537</v>
      </c>
      <c r="B433" s="13" t="s">
        <v>65</v>
      </c>
      <c r="C433" s="13"/>
      <c r="D433" s="14"/>
      <c r="E433" s="14"/>
      <c r="F433" s="13" t="s">
        <v>65</v>
      </c>
      <c r="G433" s="13" t="s">
        <v>65</v>
      </c>
      <c r="H433" s="13" t="s">
        <v>65</v>
      </c>
      <c r="I433" s="13"/>
      <c r="J433" s="13" t="s">
        <v>65</v>
      </c>
      <c r="K433" s="13"/>
      <c r="L433" s="13" t="s">
        <v>65</v>
      </c>
      <c r="M433" s="13" t="s">
        <v>65</v>
      </c>
    </row>
    <row r="434" spans="1:13" x14ac:dyDescent="0.35">
      <c r="A434" s="11" t="s">
        <v>538</v>
      </c>
      <c r="B434" s="11" t="s">
        <v>65</v>
      </c>
      <c r="C434" s="11"/>
      <c r="D434" s="12"/>
      <c r="E434" s="12"/>
      <c r="F434" s="11" t="s">
        <v>65</v>
      </c>
      <c r="G434" s="11" t="s">
        <v>65</v>
      </c>
      <c r="H434" s="11" t="s">
        <v>65</v>
      </c>
      <c r="I434" s="11"/>
      <c r="J434" s="11" t="s">
        <v>65</v>
      </c>
      <c r="K434" s="11"/>
      <c r="L434" s="11" t="s">
        <v>65</v>
      </c>
      <c r="M434" s="11" t="s">
        <v>65</v>
      </c>
    </row>
    <row r="435" spans="1:13" x14ac:dyDescent="0.35">
      <c r="A435" s="13" t="s">
        <v>539</v>
      </c>
      <c r="B435" s="13" t="s">
        <v>65</v>
      </c>
      <c r="C435" s="13"/>
      <c r="D435" s="14"/>
      <c r="E435" s="14"/>
      <c r="F435" s="13" t="s">
        <v>65</v>
      </c>
      <c r="G435" s="13" t="s">
        <v>65</v>
      </c>
      <c r="H435" s="13" t="s">
        <v>65</v>
      </c>
      <c r="I435" s="13"/>
      <c r="J435" s="13" t="s">
        <v>65</v>
      </c>
      <c r="K435" s="13"/>
      <c r="L435" s="13" t="s">
        <v>65</v>
      </c>
      <c r="M435" s="13" t="s">
        <v>65</v>
      </c>
    </row>
    <row r="436" spans="1:13" x14ac:dyDescent="0.35">
      <c r="A436" s="11" t="s">
        <v>540</v>
      </c>
      <c r="B436" s="11" t="s">
        <v>65</v>
      </c>
      <c r="C436" s="11"/>
      <c r="D436" s="12"/>
      <c r="E436" s="12"/>
      <c r="F436" s="11" t="s">
        <v>65</v>
      </c>
      <c r="G436" s="11" t="s">
        <v>65</v>
      </c>
      <c r="H436" s="11" t="s">
        <v>65</v>
      </c>
      <c r="I436" s="11"/>
      <c r="J436" s="11" t="s">
        <v>65</v>
      </c>
      <c r="K436" s="11"/>
      <c r="L436" s="11" t="s">
        <v>65</v>
      </c>
      <c r="M436" s="11" t="s">
        <v>65</v>
      </c>
    </row>
    <row r="437" spans="1:13" x14ac:dyDescent="0.35">
      <c r="A437" s="13" t="s">
        <v>232</v>
      </c>
      <c r="B437" s="13" t="s">
        <v>541</v>
      </c>
      <c r="C437" s="13">
        <v>3</v>
      </c>
      <c r="D437" s="14">
        <v>45021.008333333331</v>
      </c>
      <c r="E437" s="14">
        <v>45021.169444444444</v>
      </c>
      <c r="F437" s="13" t="s">
        <v>85</v>
      </c>
      <c r="G437" s="13" t="s">
        <v>86</v>
      </c>
      <c r="H437" s="13" t="s">
        <v>74</v>
      </c>
      <c r="I437" s="13">
        <v>1014</v>
      </c>
      <c r="J437" s="13" t="s">
        <v>88</v>
      </c>
      <c r="K437" s="13">
        <v>436</v>
      </c>
      <c r="L437" s="13" t="s">
        <v>89</v>
      </c>
      <c r="M437" s="13" t="s">
        <v>27</v>
      </c>
    </row>
    <row r="438" spans="1:13" x14ac:dyDescent="0.35">
      <c r="A438" s="11" t="s">
        <v>224</v>
      </c>
      <c r="B438" s="11" t="s">
        <v>542</v>
      </c>
      <c r="C438" s="11">
        <v>6</v>
      </c>
      <c r="D438" s="12">
        <v>45021.126388888886</v>
      </c>
      <c r="E438" s="12">
        <v>45021.225694444445</v>
      </c>
      <c r="F438" s="11" t="s">
        <v>170</v>
      </c>
      <c r="G438" s="11" t="s">
        <v>86</v>
      </c>
      <c r="H438" s="11" t="s">
        <v>74</v>
      </c>
      <c r="I438" s="11">
        <v>1256</v>
      </c>
      <c r="J438" s="11" t="s">
        <v>94</v>
      </c>
      <c r="K438" s="11">
        <v>437</v>
      </c>
      <c r="L438" s="11" t="s">
        <v>221</v>
      </c>
      <c r="M438" s="11" t="s">
        <v>31</v>
      </c>
    </row>
    <row r="439" spans="1:13" x14ac:dyDescent="0.35">
      <c r="A439" s="13" t="s">
        <v>83</v>
      </c>
      <c r="B439" s="13" t="s">
        <v>543</v>
      </c>
      <c r="C439" s="13">
        <v>1</v>
      </c>
      <c r="D439" s="14">
        <v>45021.165277777778</v>
      </c>
      <c r="E439" s="14">
        <v>45021.314583333333</v>
      </c>
      <c r="F439" s="13" t="s">
        <v>223</v>
      </c>
      <c r="G439" s="13" t="s">
        <v>86</v>
      </c>
      <c r="H439" s="13" t="s">
        <v>74</v>
      </c>
      <c r="I439" s="13">
        <v>193</v>
      </c>
      <c r="J439" s="13" t="s">
        <v>75</v>
      </c>
      <c r="K439" s="13">
        <v>438</v>
      </c>
      <c r="L439" s="13" t="s">
        <v>164</v>
      </c>
      <c r="M439" s="13" t="s">
        <v>25</v>
      </c>
    </row>
    <row r="440" spans="1:13" x14ac:dyDescent="0.35">
      <c r="A440" s="11" t="s">
        <v>544</v>
      </c>
      <c r="B440" s="11" t="s">
        <v>65</v>
      </c>
      <c r="C440" s="11"/>
      <c r="D440" s="12"/>
      <c r="E440" s="12"/>
      <c r="F440" s="11" t="s">
        <v>65</v>
      </c>
      <c r="G440" s="11" t="s">
        <v>65</v>
      </c>
      <c r="H440" s="11" t="s">
        <v>65</v>
      </c>
      <c r="I440" s="11"/>
      <c r="J440" s="11" t="s">
        <v>65</v>
      </c>
      <c r="K440" s="11"/>
      <c r="L440" s="11" t="s">
        <v>65</v>
      </c>
      <c r="M440" s="11" t="s">
        <v>65</v>
      </c>
    </row>
    <row r="441" spans="1:13" x14ac:dyDescent="0.35">
      <c r="A441" s="13" t="s">
        <v>545</v>
      </c>
      <c r="B441" s="13" t="s">
        <v>65</v>
      </c>
      <c r="C441" s="13"/>
      <c r="D441" s="14"/>
      <c r="E441" s="14"/>
      <c r="F441" s="13" t="s">
        <v>65</v>
      </c>
      <c r="G441" s="13" t="s">
        <v>65</v>
      </c>
      <c r="H441" s="13" t="s">
        <v>65</v>
      </c>
      <c r="I441" s="13"/>
      <c r="J441" s="13" t="s">
        <v>65</v>
      </c>
      <c r="K441" s="13"/>
      <c r="L441" s="13" t="s">
        <v>65</v>
      </c>
      <c r="M441" s="13" t="s">
        <v>65</v>
      </c>
    </row>
    <row r="442" spans="1:13" x14ac:dyDescent="0.35">
      <c r="A442" s="11" t="s">
        <v>546</v>
      </c>
      <c r="B442" s="11" t="s">
        <v>65</v>
      </c>
      <c r="C442" s="11"/>
      <c r="D442" s="12"/>
      <c r="E442" s="12"/>
      <c r="F442" s="11" t="s">
        <v>65</v>
      </c>
      <c r="G442" s="11" t="s">
        <v>65</v>
      </c>
      <c r="H442" s="11" t="s">
        <v>65</v>
      </c>
      <c r="I442" s="11"/>
      <c r="J442" s="11" t="s">
        <v>65</v>
      </c>
      <c r="K442" s="11"/>
      <c r="L442" s="11" t="s">
        <v>65</v>
      </c>
      <c r="M442" s="11" t="s">
        <v>65</v>
      </c>
    </row>
    <row r="443" spans="1:13" x14ac:dyDescent="0.35">
      <c r="A443" s="13" t="s">
        <v>547</v>
      </c>
      <c r="B443" s="13" t="s">
        <v>65</v>
      </c>
      <c r="C443" s="13"/>
      <c r="D443" s="14"/>
      <c r="E443" s="14"/>
      <c r="F443" s="13" t="s">
        <v>65</v>
      </c>
      <c r="G443" s="13" t="s">
        <v>65</v>
      </c>
      <c r="H443" s="13" t="s">
        <v>65</v>
      </c>
      <c r="I443" s="13"/>
      <c r="J443" s="13" t="s">
        <v>65</v>
      </c>
      <c r="K443" s="13"/>
      <c r="L443" s="13" t="s">
        <v>65</v>
      </c>
      <c r="M443" s="13" t="s">
        <v>65</v>
      </c>
    </row>
    <row r="444" spans="1:13" x14ac:dyDescent="0.35">
      <c r="A444" s="11" t="s">
        <v>548</v>
      </c>
      <c r="B444" s="11" t="s">
        <v>65</v>
      </c>
      <c r="C444" s="11"/>
      <c r="D444" s="12"/>
      <c r="E444" s="12"/>
      <c r="F444" s="11" t="s">
        <v>65</v>
      </c>
      <c r="G444" s="11" t="s">
        <v>65</v>
      </c>
      <c r="H444" s="11" t="s">
        <v>65</v>
      </c>
      <c r="I444" s="11"/>
      <c r="J444" s="11" t="s">
        <v>65</v>
      </c>
      <c r="K444" s="11"/>
      <c r="L444" s="11" t="s">
        <v>65</v>
      </c>
      <c r="M444" s="11" t="s">
        <v>65</v>
      </c>
    </row>
    <row r="445" spans="1:13" x14ac:dyDescent="0.35">
      <c r="A445" s="13" t="s">
        <v>549</v>
      </c>
      <c r="B445" s="13" t="s">
        <v>65</v>
      </c>
      <c r="C445" s="13"/>
      <c r="D445" s="14"/>
      <c r="E445" s="14"/>
      <c r="F445" s="13" t="s">
        <v>65</v>
      </c>
      <c r="G445" s="13" t="s">
        <v>65</v>
      </c>
      <c r="H445" s="13" t="s">
        <v>65</v>
      </c>
      <c r="I445" s="13"/>
      <c r="J445" s="13" t="s">
        <v>65</v>
      </c>
      <c r="K445" s="13"/>
      <c r="L445" s="13" t="s">
        <v>65</v>
      </c>
      <c r="M445" s="13" t="s">
        <v>65</v>
      </c>
    </row>
    <row r="446" spans="1:13" x14ac:dyDescent="0.35">
      <c r="A446" s="11" t="s">
        <v>185</v>
      </c>
      <c r="B446" s="11" t="s">
        <v>550</v>
      </c>
      <c r="C446" s="11">
        <v>5</v>
      </c>
      <c r="D446" s="12">
        <v>45021.042361111111</v>
      </c>
      <c r="E446" s="12">
        <v>45021.131249999999</v>
      </c>
      <c r="F446" s="11" t="s">
        <v>223</v>
      </c>
      <c r="G446" s="11" t="s">
        <v>163</v>
      </c>
      <c r="H446" s="11" t="s">
        <v>74</v>
      </c>
      <c r="I446" s="11">
        <v>1428</v>
      </c>
      <c r="J446" s="11" t="s">
        <v>75</v>
      </c>
      <c r="K446" s="11">
        <v>445</v>
      </c>
      <c r="L446" s="11" t="s">
        <v>221</v>
      </c>
      <c r="M446" s="11" t="s">
        <v>17</v>
      </c>
    </row>
    <row r="447" spans="1:13" x14ac:dyDescent="0.35">
      <c r="A447" s="13" t="s">
        <v>107</v>
      </c>
      <c r="B447" s="13" t="s">
        <v>126</v>
      </c>
      <c r="C447" s="13">
        <v>2</v>
      </c>
      <c r="D447" s="14">
        <v>45021.116666666669</v>
      </c>
      <c r="E447" s="14">
        <v>45021.259027777778</v>
      </c>
      <c r="F447" s="13" t="s">
        <v>223</v>
      </c>
      <c r="G447" s="13" t="s">
        <v>86</v>
      </c>
      <c r="H447" s="13" t="s">
        <v>74</v>
      </c>
      <c r="I447" s="13">
        <v>3524</v>
      </c>
      <c r="J447" s="13" t="s">
        <v>75</v>
      </c>
      <c r="K447" s="13">
        <v>446</v>
      </c>
      <c r="L447" s="13" t="s">
        <v>187</v>
      </c>
      <c r="M447" s="13" t="s">
        <v>43</v>
      </c>
    </row>
    <row r="448" spans="1:13" x14ac:dyDescent="0.35">
      <c r="A448" s="11" t="s">
        <v>551</v>
      </c>
      <c r="B448" s="11" t="s">
        <v>65</v>
      </c>
      <c r="C448" s="11"/>
      <c r="D448" s="12"/>
      <c r="E448" s="12"/>
      <c r="F448" s="11" t="s">
        <v>65</v>
      </c>
      <c r="G448" s="11" t="s">
        <v>65</v>
      </c>
      <c r="H448" s="11" t="s">
        <v>65</v>
      </c>
      <c r="I448" s="11"/>
      <c r="J448" s="11" t="s">
        <v>65</v>
      </c>
      <c r="K448" s="11"/>
      <c r="L448" s="11" t="s">
        <v>65</v>
      </c>
      <c r="M448" s="11" t="s">
        <v>65</v>
      </c>
    </row>
    <row r="449" spans="1:13" x14ac:dyDescent="0.35">
      <c r="A449" s="13" t="s">
        <v>552</v>
      </c>
      <c r="B449" s="13" t="s">
        <v>65</v>
      </c>
      <c r="C449" s="13"/>
      <c r="D449" s="14"/>
      <c r="E449" s="14"/>
      <c r="F449" s="13" t="s">
        <v>65</v>
      </c>
      <c r="G449" s="13" t="s">
        <v>65</v>
      </c>
      <c r="H449" s="13" t="s">
        <v>65</v>
      </c>
      <c r="I449" s="13"/>
      <c r="J449" s="13" t="s">
        <v>65</v>
      </c>
      <c r="K449" s="13"/>
      <c r="L449" s="13" t="s">
        <v>65</v>
      </c>
      <c r="M449" s="13" t="s">
        <v>65</v>
      </c>
    </row>
    <row r="450" spans="1:13" x14ac:dyDescent="0.35">
      <c r="A450" s="11" t="s">
        <v>308</v>
      </c>
      <c r="B450" s="11" t="s">
        <v>553</v>
      </c>
      <c r="C450" s="11">
        <v>3</v>
      </c>
      <c r="D450" s="12">
        <v>45021.142361111109</v>
      </c>
      <c r="E450" s="12">
        <v>45021.209722222222</v>
      </c>
      <c r="F450" s="11" t="s">
        <v>170</v>
      </c>
      <c r="G450" s="11" t="s">
        <v>86</v>
      </c>
      <c r="H450" s="11" t="s">
        <v>87</v>
      </c>
      <c r="I450" s="11">
        <v>4225</v>
      </c>
      <c r="J450" s="11" t="s">
        <v>88</v>
      </c>
      <c r="K450" s="11">
        <v>449</v>
      </c>
      <c r="L450" s="11" t="s">
        <v>89</v>
      </c>
      <c r="M450" s="11" t="s">
        <v>33</v>
      </c>
    </row>
    <row r="451" spans="1:13" x14ac:dyDescent="0.35">
      <c r="A451" s="13" t="s">
        <v>554</v>
      </c>
      <c r="B451" s="13" t="s">
        <v>65</v>
      </c>
      <c r="C451" s="13"/>
      <c r="D451" s="14"/>
      <c r="E451" s="14"/>
      <c r="F451" s="13" t="s">
        <v>65</v>
      </c>
      <c r="G451" s="13" t="s">
        <v>65</v>
      </c>
      <c r="H451" s="13" t="s">
        <v>65</v>
      </c>
      <c r="I451" s="13"/>
      <c r="J451" s="13" t="s">
        <v>65</v>
      </c>
      <c r="K451" s="13"/>
      <c r="L451" s="13" t="s">
        <v>65</v>
      </c>
      <c r="M451" s="13" t="s">
        <v>65</v>
      </c>
    </row>
    <row r="452" spans="1:13" x14ac:dyDescent="0.35">
      <c r="A452" s="11" t="s">
        <v>555</v>
      </c>
      <c r="B452" s="11" t="s">
        <v>65</v>
      </c>
      <c r="C452" s="11"/>
      <c r="D452" s="12"/>
      <c r="E452" s="12"/>
      <c r="F452" s="11" t="s">
        <v>65</v>
      </c>
      <c r="G452" s="11" t="s">
        <v>65</v>
      </c>
      <c r="H452" s="11" t="s">
        <v>65</v>
      </c>
      <c r="I452" s="11"/>
      <c r="J452" s="11" t="s">
        <v>65</v>
      </c>
      <c r="K452" s="11"/>
      <c r="L452" s="11" t="s">
        <v>65</v>
      </c>
      <c r="M452" s="11" t="s">
        <v>65</v>
      </c>
    </row>
    <row r="453" spans="1:13" x14ac:dyDescent="0.35">
      <c r="A453" s="13" t="s">
        <v>556</v>
      </c>
      <c r="B453" s="13" t="s">
        <v>65</v>
      </c>
      <c r="C453" s="13"/>
      <c r="D453" s="14"/>
      <c r="E453" s="14"/>
      <c r="F453" s="13" t="s">
        <v>65</v>
      </c>
      <c r="G453" s="13" t="s">
        <v>65</v>
      </c>
      <c r="H453" s="13" t="s">
        <v>65</v>
      </c>
      <c r="I453" s="13"/>
      <c r="J453" s="13" t="s">
        <v>65</v>
      </c>
      <c r="K453" s="13"/>
      <c r="L453" s="13" t="s">
        <v>65</v>
      </c>
      <c r="M453" s="13" t="s">
        <v>65</v>
      </c>
    </row>
    <row r="454" spans="1:13" x14ac:dyDescent="0.35">
      <c r="A454" s="11" t="s">
        <v>557</v>
      </c>
      <c r="B454" s="11" t="s">
        <v>65</v>
      </c>
      <c r="C454" s="11"/>
      <c r="D454" s="12"/>
      <c r="E454" s="12"/>
      <c r="F454" s="11" t="s">
        <v>65</v>
      </c>
      <c r="G454" s="11" t="s">
        <v>65</v>
      </c>
      <c r="H454" s="11" t="s">
        <v>65</v>
      </c>
      <c r="I454" s="11"/>
      <c r="J454" s="11" t="s">
        <v>65</v>
      </c>
      <c r="K454" s="11"/>
      <c r="L454" s="11" t="s">
        <v>65</v>
      </c>
      <c r="M454" s="11" t="s">
        <v>65</v>
      </c>
    </row>
    <row r="455" spans="1:13" x14ac:dyDescent="0.35">
      <c r="A455" s="13" t="s">
        <v>558</v>
      </c>
      <c r="B455" s="13" t="s">
        <v>65</v>
      </c>
      <c r="C455" s="13"/>
      <c r="D455" s="14"/>
      <c r="E455" s="14"/>
      <c r="F455" s="13" t="s">
        <v>65</v>
      </c>
      <c r="G455" s="13" t="s">
        <v>65</v>
      </c>
      <c r="H455" s="13" t="s">
        <v>65</v>
      </c>
      <c r="I455" s="13"/>
      <c r="J455" s="13" t="s">
        <v>65</v>
      </c>
      <c r="K455" s="13"/>
      <c r="L455" s="13" t="s">
        <v>65</v>
      </c>
      <c r="M455" s="13" t="s">
        <v>65</v>
      </c>
    </row>
    <row r="456" spans="1:13" x14ac:dyDescent="0.35">
      <c r="A456" s="11" t="s">
        <v>107</v>
      </c>
      <c r="B456" s="11" t="s">
        <v>559</v>
      </c>
      <c r="C456" s="11">
        <v>6</v>
      </c>
      <c r="D456" s="12">
        <v>45021.165277777778</v>
      </c>
      <c r="E456" s="12">
        <v>45021.245833333334</v>
      </c>
      <c r="F456" s="11" t="s">
        <v>85</v>
      </c>
      <c r="G456" s="11" t="s">
        <v>163</v>
      </c>
      <c r="H456" s="11" t="s">
        <v>109</v>
      </c>
      <c r="I456" s="11">
        <v>197</v>
      </c>
      <c r="J456" s="11" t="s">
        <v>94</v>
      </c>
      <c r="K456" s="11">
        <v>455</v>
      </c>
      <c r="L456" s="11" t="s">
        <v>110</v>
      </c>
      <c r="M456" s="11" t="s">
        <v>9</v>
      </c>
    </row>
    <row r="457" spans="1:13" x14ac:dyDescent="0.35">
      <c r="A457" s="13" t="s">
        <v>560</v>
      </c>
      <c r="B457" s="13" t="s">
        <v>65</v>
      </c>
      <c r="C457" s="13"/>
      <c r="D457" s="14"/>
      <c r="E457" s="14"/>
      <c r="F457" s="13" t="s">
        <v>65</v>
      </c>
      <c r="G457" s="13" t="s">
        <v>65</v>
      </c>
      <c r="H457" s="13" t="s">
        <v>65</v>
      </c>
      <c r="I457" s="13"/>
      <c r="J457" s="13" t="s">
        <v>65</v>
      </c>
      <c r="K457" s="13"/>
      <c r="L457" s="13" t="s">
        <v>65</v>
      </c>
      <c r="M457" s="13" t="s">
        <v>65</v>
      </c>
    </row>
    <row r="458" spans="1:13" x14ac:dyDescent="0.35">
      <c r="A458" s="11" t="s">
        <v>561</v>
      </c>
      <c r="B458" s="11" t="s">
        <v>65</v>
      </c>
      <c r="C458" s="11"/>
      <c r="D458" s="12"/>
      <c r="E458" s="12"/>
      <c r="F458" s="11" t="s">
        <v>65</v>
      </c>
      <c r="G458" s="11" t="s">
        <v>65</v>
      </c>
      <c r="H458" s="11" t="s">
        <v>65</v>
      </c>
      <c r="I458" s="11"/>
      <c r="J458" s="11" t="s">
        <v>65</v>
      </c>
      <c r="K458" s="11"/>
      <c r="L458" s="11" t="s">
        <v>65</v>
      </c>
      <c r="M458" s="11" t="s">
        <v>65</v>
      </c>
    </row>
    <row r="459" spans="1:13" x14ac:dyDescent="0.35">
      <c r="A459" s="13" t="s">
        <v>562</v>
      </c>
      <c r="B459" s="13" t="s">
        <v>65</v>
      </c>
      <c r="C459" s="13"/>
      <c r="D459" s="14"/>
      <c r="E459" s="14"/>
      <c r="F459" s="13" t="s">
        <v>65</v>
      </c>
      <c r="G459" s="13" t="s">
        <v>65</v>
      </c>
      <c r="H459" s="13" t="s">
        <v>65</v>
      </c>
      <c r="I459" s="13"/>
      <c r="J459" s="13" t="s">
        <v>65</v>
      </c>
      <c r="K459" s="13"/>
      <c r="L459" s="13" t="s">
        <v>65</v>
      </c>
      <c r="M459" s="13" t="s">
        <v>65</v>
      </c>
    </row>
    <row r="460" spans="1:13" x14ac:dyDescent="0.35">
      <c r="A460" s="11" t="s">
        <v>92</v>
      </c>
      <c r="B460" s="11" t="s">
        <v>563</v>
      </c>
      <c r="C460" s="11">
        <v>1</v>
      </c>
      <c r="D460" s="12">
        <v>45021.01666666667</v>
      </c>
      <c r="E460" s="12">
        <v>45021.091666666667</v>
      </c>
      <c r="F460" s="11" t="s">
        <v>223</v>
      </c>
      <c r="G460" s="11" t="s">
        <v>86</v>
      </c>
      <c r="H460" s="11" t="s">
        <v>74</v>
      </c>
      <c r="I460" s="11">
        <v>3277</v>
      </c>
      <c r="J460" s="11" t="s">
        <v>88</v>
      </c>
      <c r="K460" s="11">
        <v>459</v>
      </c>
      <c r="L460" s="11" t="s">
        <v>164</v>
      </c>
      <c r="M460" s="11" t="s">
        <v>27</v>
      </c>
    </row>
    <row r="461" spans="1:13" x14ac:dyDescent="0.35">
      <c r="A461" s="13" t="s">
        <v>564</v>
      </c>
      <c r="B461" s="13" t="s">
        <v>65</v>
      </c>
      <c r="C461" s="13"/>
      <c r="D461" s="14"/>
      <c r="E461" s="14"/>
      <c r="F461" s="13" t="s">
        <v>65</v>
      </c>
      <c r="G461" s="13" t="s">
        <v>65</v>
      </c>
      <c r="H461" s="13" t="s">
        <v>65</v>
      </c>
      <c r="I461" s="13"/>
      <c r="J461" s="13" t="s">
        <v>65</v>
      </c>
      <c r="K461" s="13"/>
      <c r="L461" s="13" t="s">
        <v>65</v>
      </c>
      <c r="M461" s="13" t="s">
        <v>65</v>
      </c>
    </row>
    <row r="462" spans="1:13" x14ac:dyDescent="0.35">
      <c r="A462" s="11" t="s">
        <v>565</v>
      </c>
      <c r="B462" s="11" t="s">
        <v>65</v>
      </c>
      <c r="C462" s="11"/>
      <c r="D462" s="12"/>
      <c r="E462" s="12"/>
      <c r="F462" s="11" t="s">
        <v>65</v>
      </c>
      <c r="G462" s="11" t="s">
        <v>65</v>
      </c>
      <c r="H462" s="11" t="s">
        <v>65</v>
      </c>
      <c r="I462" s="11"/>
      <c r="J462" s="11" t="s">
        <v>65</v>
      </c>
      <c r="K462" s="11"/>
      <c r="L462" s="11" t="s">
        <v>65</v>
      </c>
      <c r="M462" s="11" t="s">
        <v>65</v>
      </c>
    </row>
    <row r="463" spans="1:13" x14ac:dyDescent="0.35">
      <c r="A463" s="13" t="s">
        <v>247</v>
      </c>
      <c r="B463" s="13" t="s">
        <v>566</v>
      </c>
      <c r="C463" s="13">
        <v>2</v>
      </c>
      <c r="D463" s="14">
        <v>45021.091666666667</v>
      </c>
      <c r="E463" s="14">
        <v>45021.185416666667</v>
      </c>
      <c r="F463" s="13" t="s">
        <v>100</v>
      </c>
      <c r="G463" s="13" t="s">
        <v>86</v>
      </c>
      <c r="H463" s="13" t="s">
        <v>74</v>
      </c>
      <c r="I463" s="13">
        <v>2117</v>
      </c>
      <c r="J463" s="13" t="s">
        <v>94</v>
      </c>
      <c r="K463" s="13">
        <v>462</v>
      </c>
      <c r="L463" s="13" t="s">
        <v>181</v>
      </c>
      <c r="M463" s="13" t="s">
        <v>25</v>
      </c>
    </row>
    <row r="464" spans="1:13" x14ac:dyDescent="0.35">
      <c r="A464" s="11" t="s">
        <v>70</v>
      </c>
      <c r="B464" s="11" t="s">
        <v>567</v>
      </c>
      <c r="C464" s="11">
        <v>2</v>
      </c>
      <c r="D464" s="12">
        <v>45021.036805555559</v>
      </c>
      <c r="E464" s="12">
        <v>45021.134027777778</v>
      </c>
      <c r="F464" s="11" t="s">
        <v>100</v>
      </c>
      <c r="G464" s="11" t="s">
        <v>86</v>
      </c>
      <c r="H464" s="11" t="s">
        <v>109</v>
      </c>
      <c r="I464" s="11">
        <v>1707</v>
      </c>
      <c r="J464" s="11" t="s">
        <v>88</v>
      </c>
      <c r="K464" s="11">
        <v>463</v>
      </c>
      <c r="L464" s="11" t="s">
        <v>221</v>
      </c>
      <c r="M464" s="11" t="s">
        <v>15</v>
      </c>
    </row>
    <row r="465" spans="1:13" x14ac:dyDescent="0.35">
      <c r="A465" s="13" t="s">
        <v>568</v>
      </c>
      <c r="B465" s="13" t="s">
        <v>65</v>
      </c>
      <c r="C465" s="13"/>
      <c r="D465" s="14"/>
      <c r="E465" s="14"/>
      <c r="F465" s="13" t="s">
        <v>65</v>
      </c>
      <c r="G465" s="13" t="s">
        <v>65</v>
      </c>
      <c r="H465" s="13" t="s">
        <v>65</v>
      </c>
      <c r="I465" s="13"/>
      <c r="J465" s="13" t="s">
        <v>65</v>
      </c>
      <c r="K465" s="13"/>
      <c r="L465" s="13" t="s">
        <v>65</v>
      </c>
      <c r="M465" s="13" t="s">
        <v>65</v>
      </c>
    </row>
    <row r="466" spans="1:13" x14ac:dyDescent="0.35">
      <c r="A466" s="11" t="s">
        <v>569</v>
      </c>
      <c r="B466" s="11" t="s">
        <v>65</v>
      </c>
      <c r="C466" s="11"/>
      <c r="D466" s="12"/>
      <c r="E466" s="12"/>
      <c r="F466" s="11" t="s">
        <v>65</v>
      </c>
      <c r="G466" s="11" t="s">
        <v>65</v>
      </c>
      <c r="H466" s="11" t="s">
        <v>65</v>
      </c>
      <c r="I466" s="11"/>
      <c r="J466" s="11" t="s">
        <v>65</v>
      </c>
      <c r="K466" s="11"/>
      <c r="L466" s="11" t="s">
        <v>65</v>
      </c>
      <c r="M466" s="11" t="s">
        <v>65</v>
      </c>
    </row>
    <row r="467" spans="1:13" x14ac:dyDescent="0.35">
      <c r="A467" s="13" t="s">
        <v>570</v>
      </c>
      <c r="B467" s="13" t="s">
        <v>65</v>
      </c>
      <c r="C467" s="13"/>
      <c r="D467" s="14"/>
      <c r="E467" s="14"/>
      <c r="F467" s="13" t="s">
        <v>65</v>
      </c>
      <c r="G467" s="13" t="s">
        <v>65</v>
      </c>
      <c r="H467" s="13" t="s">
        <v>65</v>
      </c>
      <c r="I467" s="13"/>
      <c r="J467" s="13" t="s">
        <v>65</v>
      </c>
      <c r="K467" s="13"/>
      <c r="L467" s="13" t="s">
        <v>65</v>
      </c>
      <c r="M467" s="13" t="s">
        <v>65</v>
      </c>
    </row>
    <row r="468" spans="1:13" x14ac:dyDescent="0.35">
      <c r="A468" s="11" t="s">
        <v>571</v>
      </c>
      <c r="B468" s="11" t="s">
        <v>65</v>
      </c>
      <c r="C468" s="11"/>
      <c r="D468" s="12"/>
      <c r="E468" s="12"/>
      <c r="F468" s="11" t="s">
        <v>65</v>
      </c>
      <c r="G468" s="11" t="s">
        <v>65</v>
      </c>
      <c r="H468" s="11" t="s">
        <v>65</v>
      </c>
      <c r="I468" s="11"/>
      <c r="J468" s="11" t="s">
        <v>65</v>
      </c>
      <c r="K468" s="11"/>
      <c r="L468" s="11" t="s">
        <v>65</v>
      </c>
      <c r="M468" s="11" t="s">
        <v>65</v>
      </c>
    </row>
    <row r="469" spans="1:13" x14ac:dyDescent="0.35">
      <c r="A469" s="13" t="s">
        <v>572</v>
      </c>
      <c r="B469" s="13" t="s">
        <v>65</v>
      </c>
      <c r="C469" s="13"/>
      <c r="D469" s="14"/>
      <c r="E469" s="14"/>
      <c r="F469" s="13" t="s">
        <v>65</v>
      </c>
      <c r="G469" s="13" t="s">
        <v>65</v>
      </c>
      <c r="H469" s="13" t="s">
        <v>65</v>
      </c>
      <c r="I469" s="13"/>
      <c r="J469" s="13" t="s">
        <v>65</v>
      </c>
      <c r="K469" s="13"/>
      <c r="L469" s="13" t="s">
        <v>65</v>
      </c>
      <c r="M469" s="13" t="s">
        <v>65</v>
      </c>
    </row>
    <row r="470" spans="1:13" x14ac:dyDescent="0.35">
      <c r="A470" s="11" t="s">
        <v>573</v>
      </c>
      <c r="B470" s="11" t="s">
        <v>65</v>
      </c>
      <c r="C470" s="11"/>
      <c r="D470" s="12"/>
      <c r="E470" s="12"/>
      <c r="F470" s="11" t="s">
        <v>65</v>
      </c>
      <c r="G470" s="11" t="s">
        <v>65</v>
      </c>
      <c r="H470" s="11" t="s">
        <v>65</v>
      </c>
      <c r="I470" s="11"/>
      <c r="J470" s="11" t="s">
        <v>65</v>
      </c>
      <c r="K470" s="11"/>
      <c r="L470" s="11" t="s">
        <v>65</v>
      </c>
      <c r="M470" s="11" t="s">
        <v>65</v>
      </c>
    </row>
    <row r="471" spans="1:13" x14ac:dyDescent="0.35">
      <c r="A471" s="13" t="s">
        <v>574</v>
      </c>
      <c r="B471" s="13" t="s">
        <v>65</v>
      </c>
      <c r="C471" s="13"/>
      <c r="D471" s="14"/>
      <c r="E471" s="14"/>
      <c r="F471" s="13" t="s">
        <v>65</v>
      </c>
      <c r="G471" s="13" t="s">
        <v>65</v>
      </c>
      <c r="H471" s="13" t="s">
        <v>65</v>
      </c>
      <c r="I471" s="13"/>
      <c r="J471" s="13" t="s">
        <v>65</v>
      </c>
      <c r="K471" s="13"/>
      <c r="L471" s="13" t="s">
        <v>65</v>
      </c>
      <c r="M471" s="13" t="s">
        <v>65</v>
      </c>
    </row>
    <row r="472" spans="1:13" x14ac:dyDescent="0.35">
      <c r="A472" s="11" t="s">
        <v>70</v>
      </c>
      <c r="B472" s="11" t="s">
        <v>575</v>
      </c>
      <c r="C472" s="11">
        <v>6</v>
      </c>
      <c r="D472" s="12">
        <v>45021.15</v>
      </c>
      <c r="E472" s="12">
        <v>45021.234722222223</v>
      </c>
      <c r="F472" s="11" t="s">
        <v>72</v>
      </c>
      <c r="G472" s="11" t="s">
        <v>163</v>
      </c>
      <c r="H472" s="11" t="s">
        <v>109</v>
      </c>
      <c r="I472" s="11">
        <v>2849</v>
      </c>
      <c r="J472" s="11" t="s">
        <v>94</v>
      </c>
      <c r="K472" s="11">
        <v>471</v>
      </c>
      <c r="L472" s="11" t="s">
        <v>76</v>
      </c>
      <c r="M472" s="11" t="s">
        <v>31</v>
      </c>
    </row>
    <row r="473" spans="1:13" x14ac:dyDescent="0.35">
      <c r="A473" s="13" t="s">
        <v>576</v>
      </c>
      <c r="B473" s="13" t="s">
        <v>65</v>
      </c>
      <c r="C473" s="13"/>
      <c r="D473" s="14"/>
      <c r="E473" s="14"/>
      <c r="F473" s="13" t="s">
        <v>65</v>
      </c>
      <c r="G473" s="13" t="s">
        <v>65</v>
      </c>
      <c r="H473" s="13" t="s">
        <v>65</v>
      </c>
      <c r="I473" s="13"/>
      <c r="J473" s="13" t="s">
        <v>65</v>
      </c>
      <c r="K473" s="13"/>
      <c r="L473" s="13" t="s">
        <v>65</v>
      </c>
      <c r="M473" s="13" t="s">
        <v>65</v>
      </c>
    </row>
    <row r="474" spans="1:13" x14ac:dyDescent="0.35">
      <c r="A474" s="11" t="s">
        <v>577</v>
      </c>
      <c r="B474" s="11" t="s">
        <v>65</v>
      </c>
      <c r="C474" s="11"/>
      <c r="D474" s="12"/>
      <c r="E474" s="12"/>
      <c r="F474" s="11" t="s">
        <v>65</v>
      </c>
      <c r="G474" s="11" t="s">
        <v>65</v>
      </c>
      <c r="H474" s="11" t="s">
        <v>65</v>
      </c>
      <c r="I474" s="11"/>
      <c r="J474" s="11" t="s">
        <v>65</v>
      </c>
      <c r="K474" s="11"/>
      <c r="L474" s="11" t="s">
        <v>65</v>
      </c>
      <c r="M474" s="11" t="s">
        <v>65</v>
      </c>
    </row>
    <row r="475" spans="1:13" x14ac:dyDescent="0.35">
      <c r="A475" s="13" t="s">
        <v>578</v>
      </c>
      <c r="B475" s="13" t="s">
        <v>65</v>
      </c>
      <c r="C475" s="13"/>
      <c r="D475" s="14"/>
      <c r="E475" s="14"/>
      <c r="F475" s="13" t="s">
        <v>65</v>
      </c>
      <c r="G475" s="13" t="s">
        <v>65</v>
      </c>
      <c r="H475" s="13" t="s">
        <v>65</v>
      </c>
      <c r="I475" s="13"/>
      <c r="J475" s="13" t="s">
        <v>65</v>
      </c>
      <c r="K475" s="13"/>
      <c r="L475" s="13" t="s">
        <v>65</v>
      </c>
      <c r="M475" s="13" t="s">
        <v>65</v>
      </c>
    </row>
    <row r="476" spans="1:13" x14ac:dyDescent="0.35">
      <c r="A476" s="11" t="s">
        <v>579</v>
      </c>
      <c r="B476" s="11" t="s">
        <v>65</v>
      </c>
      <c r="C476" s="11"/>
      <c r="D476" s="12"/>
      <c r="E476" s="12"/>
      <c r="F476" s="11" t="s">
        <v>65</v>
      </c>
      <c r="G476" s="11" t="s">
        <v>65</v>
      </c>
      <c r="H476" s="11" t="s">
        <v>65</v>
      </c>
      <c r="I476" s="11"/>
      <c r="J476" s="11" t="s">
        <v>65</v>
      </c>
      <c r="K476" s="11"/>
      <c r="L476" s="11" t="s">
        <v>65</v>
      </c>
      <c r="M476" s="11" t="s">
        <v>65</v>
      </c>
    </row>
    <row r="477" spans="1:13" x14ac:dyDescent="0.35">
      <c r="A477" s="13" t="s">
        <v>580</v>
      </c>
      <c r="B477" s="13" t="s">
        <v>65</v>
      </c>
      <c r="C477" s="13"/>
      <c r="D477" s="14"/>
      <c r="E477" s="14"/>
      <c r="F477" s="13" t="s">
        <v>65</v>
      </c>
      <c r="G477" s="13" t="s">
        <v>65</v>
      </c>
      <c r="H477" s="13" t="s">
        <v>65</v>
      </c>
      <c r="I477" s="13"/>
      <c r="J477" s="13" t="s">
        <v>65</v>
      </c>
      <c r="K477" s="13"/>
      <c r="L477" s="13" t="s">
        <v>65</v>
      </c>
      <c r="M477" s="13" t="s">
        <v>65</v>
      </c>
    </row>
    <row r="478" spans="1:13" x14ac:dyDescent="0.35">
      <c r="A478" s="11" t="s">
        <v>581</v>
      </c>
      <c r="B478" s="11" t="s">
        <v>65</v>
      </c>
      <c r="C478" s="11"/>
      <c r="D478" s="12"/>
      <c r="E478" s="12"/>
      <c r="F478" s="11" t="s">
        <v>65</v>
      </c>
      <c r="G478" s="11" t="s">
        <v>65</v>
      </c>
      <c r="H478" s="11" t="s">
        <v>65</v>
      </c>
      <c r="I478" s="11"/>
      <c r="J478" s="11" t="s">
        <v>65</v>
      </c>
      <c r="K478" s="11"/>
      <c r="L478" s="11" t="s">
        <v>65</v>
      </c>
      <c r="M478" s="11" t="s">
        <v>65</v>
      </c>
    </row>
    <row r="479" spans="1:13" x14ac:dyDescent="0.35">
      <c r="A479" s="13" t="s">
        <v>582</v>
      </c>
      <c r="B479" s="13" t="s">
        <v>65</v>
      </c>
      <c r="C479" s="13"/>
      <c r="D479" s="14"/>
      <c r="E479" s="14"/>
      <c r="F479" s="13" t="s">
        <v>65</v>
      </c>
      <c r="G479" s="13" t="s">
        <v>65</v>
      </c>
      <c r="H479" s="13" t="s">
        <v>65</v>
      </c>
      <c r="I479" s="13"/>
      <c r="J479" s="13" t="s">
        <v>65</v>
      </c>
      <c r="K479" s="13"/>
      <c r="L479" s="13" t="s">
        <v>65</v>
      </c>
      <c r="M479" s="13" t="s">
        <v>65</v>
      </c>
    </row>
    <row r="480" spans="1:13" x14ac:dyDescent="0.35">
      <c r="A480" s="11" t="s">
        <v>583</v>
      </c>
      <c r="B480" s="11" t="s">
        <v>65</v>
      </c>
      <c r="C480" s="11"/>
      <c r="D480" s="12"/>
      <c r="E480" s="12"/>
      <c r="F480" s="11" t="s">
        <v>65</v>
      </c>
      <c r="G480" s="11" t="s">
        <v>65</v>
      </c>
      <c r="H480" s="11" t="s">
        <v>65</v>
      </c>
      <c r="I480" s="11"/>
      <c r="J480" s="11" t="s">
        <v>65</v>
      </c>
      <c r="K480" s="11"/>
      <c r="L480" s="11" t="s">
        <v>65</v>
      </c>
      <c r="M480" s="11" t="s">
        <v>65</v>
      </c>
    </row>
    <row r="481" spans="1:13" x14ac:dyDescent="0.35">
      <c r="A481" s="13" t="s">
        <v>584</v>
      </c>
      <c r="B481" s="13" t="s">
        <v>65</v>
      </c>
      <c r="C481" s="13"/>
      <c r="D481" s="14"/>
      <c r="E481" s="14"/>
      <c r="F481" s="13" t="s">
        <v>65</v>
      </c>
      <c r="G481" s="13" t="s">
        <v>65</v>
      </c>
      <c r="H481" s="13" t="s">
        <v>65</v>
      </c>
      <c r="I481" s="13"/>
      <c r="J481" s="13" t="s">
        <v>65</v>
      </c>
      <c r="K481" s="13"/>
      <c r="L481" s="13" t="s">
        <v>65</v>
      </c>
      <c r="M481" s="13" t="s">
        <v>65</v>
      </c>
    </row>
    <row r="482" spans="1:13" x14ac:dyDescent="0.35">
      <c r="A482" s="11" t="s">
        <v>247</v>
      </c>
      <c r="B482" s="11" t="s">
        <v>585</v>
      </c>
      <c r="C482" s="11">
        <v>4</v>
      </c>
      <c r="D482" s="12">
        <v>45022.081250000003</v>
      </c>
      <c r="E482" s="12">
        <v>45022.196527777778</v>
      </c>
      <c r="F482" s="11" t="s">
        <v>223</v>
      </c>
      <c r="G482" s="11" t="s">
        <v>86</v>
      </c>
      <c r="H482" s="11" t="s">
        <v>74</v>
      </c>
      <c r="I482" s="11">
        <v>4202</v>
      </c>
      <c r="J482" s="11" t="s">
        <v>94</v>
      </c>
      <c r="K482" s="11">
        <v>481</v>
      </c>
      <c r="L482" s="11" t="s">
        <v>76</v>
      </c>
      <c r="M482" s="11" t="s">
        <v>47</v>
      </c>
    </row>
    <row r="483" spans="1:13" x14ac:dyDescent="0.35">
      <c r="A483" s="13" t="s">
        <v>247</v>
      </c>
      <c r="B483" s="13" t="s">
        <v>586</v>
      </c>
      <c r="C483" s="13">
        <v>4</v>
      </c>
      <c r="D483" s="14">
        <v>45022.02847222222</v>
      </c>
      <c r="E483" s="14">
        <v>45022.124305555553</v>
      </c>
      <c r="F483" s="13" t="s">
        <v>170</v>
      </c>
      <c r="G483" s="13" t="s">
        <v>163</v>
      </c>
      <c r="H483" s="13" t="s">
        <v>74</v>
      </c>
      <c r="I483" s="13">
        <v>1884</v>
      </c>
      <c r="J483" s="13" t="s">
        <v>75</v>
      </c>
      <c r="K483" s="13">
        <v>482</v>
      </c>
      <c r="L483" s="13" t="s">
        <v>110</v>
      </c>
      <c r="M483" s="13" t="s">
        <v>43</v>
      </c>
    </row>
    <row r="484" spans="1:13" x14ac:dyDescent="0.35">
      <c r="A484" s="11" t="s">
        <v>83</v>
      </c>
      <c r="B484" s="11" t="s">
        <v>587</v>
      </c>
      <c r="C484" s="11">
        <v>4</v>
      </c>
      <c r="D484" s="12">
        <v>45022.159722222219</v>
      </c>
      <c r="E484" s="12">
        <v>45022.292361111111</v>
      </c>
      <c r="F484" s="11" t="s">
        <v>223</v>
      </c>
      <c r="G484" s="11" t="s">
        <v>86</v>
      </c>
      <c r="H484" s="11" t="s">
        <v>74</v>
      </c>
      <c r="I484" s="11">
        <v>1274</v>
      </c>
      <c r="J484" s="11" t="s">
        <v>94</v>
      </c>
      <c r="K484" s="11">
        <v>483</v>
      </c>
      <c r="L484" s="11" t="s">
        <v>187</v>
      </c>
      <c r="M484" s="11" t="s">
        <v>17</v>
      </c>
    </row>
    <row r="485" spans="1:13" x14ac:dyDescent="0.35">
      <c r="A485" s="13" t="s">
        <v>98</v>
      </c>
      <c r="B485" s="13" t="s">
        <v>588</v>
      </c>
      <c r="C485" s="13">
        <v>2</v>
      </c>
      <c r="D485" s="14">
        <v>45022.064583333333</v>
      </c>
      <c r="E485" s="14">
        <v>45022.188194444447</v>
      </c>
      <c r="F485" s="13" t="s">
        <v>72</v>
      </c>
      <c r="G485" s="13" t="s">
        <v>86</v>
      </c>
      <c r="H485" s="13" t="s">
        <v>74</v>
      </c>
      <c r="I485" s="13">
        <v>2276</v>
      </c>
      <c r="J485" s="13" t="s">
        <v>75</v>
      </c>
      <c r="K485" s="13">
        <v>484</v>
      </c>
      <c r="L485" s="13" t="s">
        <v>101</v>
      </c>
      <c r="M485" s="13" t="s">
        <v>49</v>
      </c>
    </row>
    <row r="486" spans="1:13" x14ac:dyDescent="0.35">
      <c r="A486" s="11" t="s">
        <v>589</v>
      </c>
      <c r="B486" s="11" t="s">
        <v>65</v>
      </c>
      <c r="C486" s="11"/>
      <c r="D486" s="12"/>
      <c r="E486" s="12"/>
      <c r="F486" s="11" t="s">
        <v>65</v>
      </c>
      <c r="G486" s="11" t="s">
        <v>65</v>
      </c>
      <c r="H486" s="11" t="s">
        <v>65</v>
      </c>
      <c r="I486" s="11"/>
      <c r="J486" s="11" t="s">
        <v>65</v>
      </c>
      <c r="K486" s="11"/>
      <c r="L486" s="11" t="s">
        <v>65</v>
      </c>
      <c r="M486" s="11" t="s">
        <v>65</v>
      </c>
    </row>
    <row r="487" spans="1:13" x14ac:dyDescent="0.35">
      <c r="A487" s="13" t="s">
        <v>590</v>
      </c>
      <c r="B487" s="13" t="s">
        <v>65</v>
      </c>
      <c r="C487" s="13"/>
      <c r="D487" s="14"/>
      <c r="E487" s="14"/>
      <c r="F487" s="13" t="s">
        <v>65</v>
      </c>
      <c r="G487" s="13" t="s">
        <v>65</v>
      </c>
      <c r="H487" s="13" t="s">
        <v>65</v>
      </c>
      <c r="I487" s="13"/>
      <c r="J487" s="13" t="s">
        <v>65</v>
      </c>
      <c r="K487" s="13"/>
      <c r="L487" s="13" t="s">
        <v>65</v>
      </c>
      <c r="M487" s="13" t="s">
        <v>65</v>
      </c>
    </row>
    <row r="488" spans="1:13" x14ac:dyDescent="0.35">
      <c r="A488" s="11" t="s">
        <v>591</v>
      </c>
      <c r="B488" s="11" t="s">
        <v>65</v>
      </c>
      <c r="C488" s="11"/>
      <c r="D488" s="12"/>
      <c r="E488" s="12"/>
      <c r="F488" s="11" t="s">
        <v>65</v>
      </c>
      <c r="G488" s="11" t="s">
        <v>65</v>
      </c>
      <c r="H488" s="11" t="s">
        <v>65</v>
      </c>
      <c r="I488" s="11"/>
      <c r="J488" s="11" t="s">
        <v>65</v>
      </c>
      <c r="K488" s="11"/>
      <c r="L488" s="11" t="s">
        <v>65</v>
      </c>
      <c r="M488" s="11" t="s">
        <v>65</v>
      </c>
    </row>
    <row r="489" spans="1:13" x14ac:dyDescent="0.35">
      <c r="A489" s="13" t="s">
        <v>592</v>
      </c>
      <c r="B489" s="13" t="s">
        <v>65</v>
      </c>
      <c r="C489" s="13"/>
      <c r="D489" s="14"/>
      <c r="E489" s="14"/>
      <c r="F489" s="13" t="s">
        <v>65</v>
      </c>
      <c r="G489" s="13" t="s">
        <v>65</v>
      </c>
      <c r="H489" s="13" t="s">
        <v>65</v>
      </c>
      <c r="I489" s="13"/>
      <c r="J489" s="13" t="s">
        <v>65</v>
      </c>
      <c r="K489" s="13"/>
      <c r="L489" s="13" t="s">
        <v>65</v>
      </c>
      <c r="M489" s="13" t="s">
        <v>65</v>
      </c>
    </row>
    <row r="490" spans="1:13" x14ac:dyDescent="0.35">
      <c r="A490" s="11" t="s">
        <v>593</v>
      </c>
      <c r="B490" s="11" t="s">
        <v>65</v>
      </c>
      <c r="C490" s="11"/>
      <c r="D490" s="12"/>
      <c r="E490" s="12"/>
      <c r="F490" s="11" t="s">
        <v>65</v>
      </c>
      <c r="G490" s="11" t="s">
        <v>65</v>
      </c>
      <c r="H490" s="11" t="s">
        <v>65</v>
      </c>
      <c r="I490" s="11"/>
      <c r="J490" s="11" t="s">
        <v>65</v>
      </c>
      <c r="K490" s="11"/>
      <c r="L490" s="11" t="s">
        <v>65</v>
      </c>
      <c r="M490" s="11" t="s">
        <v>65</v>
      </c>
    </row>
    <row r="491" spans="1:13" x14ac:dyDescent="0.35">
      <c r="A491" s="13" t="s">
        <v>594</v>
      </c>
      <c r="B491" s="13" t="s">
        <v>65</v>
      </c>
      <c r="C491" s="13"/>
      <c r="D491" s="14"/>
      <c r="E491" s="14"/>
      <c r="F491" s="13" t="s">
        <v>65</v>
      </c>
      <c r="G491" s="13" t="s">
        <v>65</v>
      </c>
      <c r="H491" s="13" t="s">
        <v>65</v>
      </c>
      <c r="I491" s="13"/>
      <c r="J491" s="13" t="s">
        <v>65</v>
      </c>
      <c r="K491" s="13"/>
      <c r="L491" s="13" t="s">
        <v>65</v>
      </c>
      <c r="M491" s="13" t="s">
        <v>65</v>
      </c>
    </row>
    <row r="492" spans="1:13" x14ac:dyDescent="0.35">
      <c r="A492" s="11" t="s">
        <v>595</v>
      </c>
      <c r="B492" s="11" t="s">
        <v>65</v>
      </c>
      <c r="C492" s="11"/>
      <c r="D492" s="12"/>
      <c r="E492" s="12"/>
      <c r="F492" s="11" t="s">
        <v>65</v>
      </c>
      <c r="G492" s="11" t="s">
        <v>65</v>
      </c>
      <c r="H492" s="11" t="s">
        <v>65</v>
      </c>
      <c r="I492" s="11"/>
      <c r="J492" s="11" t="s">
        <v>65</v>
      </c>
      <c r="K492" s="11"/>
      <c r="L492" s="11" t="s">
        <v>65</v>
      </c>
      <c r="M492" s="11" t="s">
        <v>65</v>
      </c>
    </row>
    <row r="493" spans="1:13" x14ac:dyDescent="0.35">
      <c r="A493" s="13" t="s">
        <v>596</v>
      </c>
      <c r="B493" s="13" t="s">
        <v>65</v>
      </c>
      <c r="C493" s="13"/>
      <c r="D493" s="14"/>
      <c r="E493" s="14"/>
      <c r="F493" s="13" t="s">
        <v>65</v>
      </c>
      <c r="G493" s="13" t="s">
        <v>65</v>
      </c>
      <c r="H493" s="13" t="s">
        <v>65</v>
      </c>
      <c r="I493" s="13"/>
      <c r="J493" s="13" t="s">
        <v>65</v>
      </c>
      <c r="K493" s="13"/>
      <c r="L493" s="13" t="s">
        <v>65</v>
      </c>
      <c r="M493" s="13" t="s">
        <v>65</v>
      </c>
    </row>
    <row r="494" spans="1:13" x14ac:dyDescent="0.35">
      <c r="A494" s="11" t="s">
        <v>83</v>
      </c>
      <c r="B494" s="11" t="s">
        <v>597</v>
      </c>
      <c r="C494" s="11">
        <v>2</v>
      </c>
      <c r="D494" s="12">
        <v>45022.021527777775</v>
      </c>
      <c r="E494" s="12">
        <v>45022.073611111111</v>
      </c>
      <c r="F494" s="11" t="s">
        <v>85</v>
      </c>
      <c r="G494" s="11" t="s">
        <v>86</v>
      </c>
      <c r="H494" s="11" t="s">
        <v>74</v>
      </c>
      <c r="I494" s="11">
        <v>3267</v>
      </c>
      <c r="J494" s="11" t="s">
        <v>88</v>
      </c>
      <c r="K494" s="11">
        <v>493</v>
      </c>
      <c r="L494" s="11" t="s">
        <v>76</v>
      </c>
      <c r="M494" s="11" t="s">
        <v>45</v>
      </c>
    </row>
    <row r="495" spans="1:13" x14ac:dyDescent="0.35">
      <c r="A495" s="13" t="s">
        <v>598</v>
      </c>
      <c r="B495" s="13" t="s">
        <v>65</v>
      </c>
      <c r="C495" s="13"/>
      <c r="D495" s="14"/>
      <c r="E495" s="14"/>
      <c r="F495" s="13" t="s">
        <v>65</v>
      </c>
      <c r="G495" s="13" t="s">
        <v>65</v>
      </c>
      <c r="H495" s="13" t="s">
        <v>65</v>
      </c>
      <c r="I495" s="13"/>
      <c r="J495" s="13" t="s">
        <v>65</v>
      </c>
      <c r="K495" s="13"/>
      <c r="L495" s="13" t="s">
        <v>65</v>
      </c>
      <c r="M495" s="13" t="s">
        <v>65</v>
      </c>
    </row>
    <row r="496" spans="1:13" x14ac:dyDescent="0.35">
      <c r="A496" s="11" t="s">
        <v>599</v>
      </c>
      <c r="B496" s="11" t="s">
        <v>65</v>
      </c>
      <c r="C496" s="11"/>
      <c r="D496" s="12"/>
      <c r="E496" s="12"/>
      <c r="F496" s="11" t="s">
        <v>65</v>
      </c>
      <c r="G496" s="11" t="s">
        <v>65</v>
      </c>
      <c r="H496" s="11" t="s">
        <v>65</v>
      </c>
      <c r="I496" s="11"/>
      <c r="J496" s="11" t="s">
        <v>65</v>
      </c>
      <c r="K496" s="11"/>
      <c r="L496" s="11" t="s">
        <v>65</v>
      </c>
      <c r="M496" s="11" t="s">
        <v>65</v>
      </c>
    </row>
    <row r="497" spans="1:13" x14ac:dyDescent="0.35">
      <c r="A497" s="13" t="s">
        <v>600</v>
      </c>
      <c r="B497" s="13" t="s">
        <v>65</v>
      </c>
      <c r="C497" s="13"/>
      <c r="D497" s="14"/>
      <c r="E497" s="14"/>
      <c r="F497" s="13" t="s">
        <v>65</v>
      </c>
      <c r="G497" s="13" t="s">
        <v>65</v>
      </c>
      <c r="H497" s="13" t="s">
        <v>65</v>
      </c>
      <c r="I497" s="13"/>
      <c r="J497" s="13" t="s">
        <v>65</v>
      </c>
      <c r="K497" s="13"/>
      <c r="L497" s="13" t="s">
        <v>65</v>
      </c>
      <c r="M497" s="13" t="s">
        <v>65</v>
      </c>
    </row>
    <row r="498" spans="1:13" x14ac:dyDescent="0.35">
      <c r="A498" s="11" t="s">
        <v>601</v>
      </c>
      <c r="B498" s="11" t="s">
        <v>65</v>
      </c>
      <c r="C498" s="11"/>
      <c r="D498" s="12"/>
      <c r="E498" s="12"/>
      <c r="F498" s="11" t="s">
        <v>65</v>
      </c>
      <c r="G498" s="11" t="s">
        <v>65</v>
      </c>
      <c r="H498" s="11" t="s">
        <v>65</v>
      </c>
      <c r="I498" s="11"/>
      <c r="J498" s="11" t="s">
        <v>65</v>
      </c>
      <c r="K498" s="11"/>
      <c r="L498" s="11" t="s">
        <v>65</v>
      </c>
      <c r="M498" s="11" t="s">
        <v>65</v>
      </c>
    </row>
    <row r="499" spans="1:13" x14ac:dyDescent="0.35">
      <c r="A499" s="13" t="s">
        <v>92</v>
      </c>
      <c r="B499" s="13" t="s">
        <v>536</v>
      </c>
      <c r="C499" s="13">
        <v>3</v>
      </c>
      <c r="D499" s="14">
        <v>45022.011805555558</v>
      </c>
      <c r="E499" s="14">
        <v>45022.156944444447</v>
      </c>
      <c r="F499" s="13" t="s">
        <v>170</v>
      </c>
      <c r="G499" s="13" t="s">
        <v>86</v>
      </c>
      <c r="H499" s="13" t="s">
        <v>74</v>
      </c>
      <c r="I499" s="13">
        <v>2199</v>
      </c>
      <c r="J499" s="13" t="s">
        <v>75</v>
      </c>
      <c r="K499" s="13">
        <v>498</v>
      </c>
      <c r="L499" s="13" t="s">
        <v>181</v>
      </c>
      <c r="M499" s="13" t="s">
        <v>29</v>
      </c>
    </row>
    <row r="500" spans="1:13" x14ac:dyDescent="0.35">
      <c r="A500" s="11" t="s">
        <v>602</v>
      </c>
      <c r="B500" s="11" t="s">
        <v>65</v>
      </c>
      <c r="C500" s="11"/>
      <c r="D500" s="12"/>
      <c r="E500" s="12"/>
      <c r="F500" s="11" t="s">
        <v>65</v>
      </c>
      <c r="G500" s="11" t="s">
        <v>65</v>
      </c>
      <c r="H500" s="11" t="s">
        <v>65</v>
      </c>
      <c r="I500" s="11"/>
      <c r="J500" s="11" t="s">
        <v>65</v>
      </c>
      <c r="K500" s="11"/>
      <c r="L500" s="11" t="s">
        <v>65</v>
      </c>
      <c r="M500" s="11" t="s">
        <v>65</v>
      </c>
    </row>
    <row r="501" spans="1:13" x14ac:dyDescent="0.35">
      <c r="A501" s="13" t="s">
        <v>603</v>
      </c>
      <c r="B501" s="13" t="s">
        <v>65</v>
      </c>
      <c r="C501" s="13"/>
      <c r="D501" s="14"/>
      <c r="E501" s="14"/>
      <c r="F501" s="13" t="s">
        <v>65</v>
      </c>
      <c r="G501" s="13" t="s">
        <v>65</v>
      </c>
      <c r="H501" s="13" t="s">
        <v>65</v>
      </c>
      <c r="I501" s="13"/>
      <c r="J501" s="13" t="s">
        <v>65</v>
      </c>
      <c r="K501" s="13"/>
      <c r="L501" s="13" t="s">
        <v>65</v>
      </c>
      <c r="M501" s="13" t="s">
        <v>65</v>
      </c>
    </row>
    <row r="502" spans="1:13" x14ac:dyDescent="0.35">
      <c r="A502" s="11" t="s">
        <v>604</v>
      </c>
      <c r="B502" s="11" t="s">
        <v>65</v>
      </c>
      <c r="C502" s="11"/>
      <c r="D502" s="12"/>
      <c r="E502" s="12"/>
      <c r="F502" s="11" t="s">
        <v>65</v>
      </c>
      <c r="G502" s="11" t="s">
        <v>65</v>
      </c>
      <c r="H502" s="11" t="s">
        <v>65</v>
      </c>
      <c r="I502" s="11"/>
      <c r="J502" s="11" t="s">
        <v>65</v>
      </c>
      <c r="K502" s="11"/>
      <c r="L502" s="11" t="s">
        <v>65</v>
      </c>
      <c r="M502" s="11" t="s">
        <v>65</v>
      </c>
    </row>
    <row r="503" spans="1:13" x14ac:dyDescent="0.35">
      <c r="A503" s="13" t="s">
        <v>605</v>
      </c>
      <c r="B503" s="13" t="s">
        <v>65</v>
      </c>
      <c r="C503" s="13"/>
      <c r="D503" s="14"/>
      <c r="E503" s="14"/>
      <c r="F503" s="13" t="s">
        <v>65</v>
      </c>
      <c r="G503" s="13" t="s">
        <v>65</v>
      </c>
      <c r="H503" s="13" t="s">
        <v>65</v>
      </c>
      <c r="I503" s="13"/>
      <c r="J503" s="13" t="s">
        <v>65</v>
      </c>
      <c r="K503" s="13"/>
      <c r="L503" s="13" t="s">
        <v>65</v>
      </c>
      <c r="M503" s="13" t="s">
        <v>65</v>
      </c>
    </row>
    <row r="504" spans="1:13" x14ac:dyDescent="0.35">
      <c r="A504" s="11" t="s">
        <v>606</v>
      </c>
      <c r="B504" s="11" t="s">
        <v>65</v>
      </c>
      <c r="C504" s="11"/>
      <c r="D504" s="12"/>
      <c r="E504" s="12"/>
      <c r="F504" s="11" t="s">
        <v>65</v>
      </c>
      <c r="G504" s="11" t="s">
        <v>65</v>
      </c>
      <c r="H504" s="11" t="s">
        <v>65</v>
      </c>
      <c r="I504" s="11"/>
      <c r="J504" s="11" t="s">
        <v>65</v>
      </c>
      <c r="K504" s="11"/>
      <c r="L504" s="11" t="s">
        <v>65</v>
      </c>
      <c r="M504" s="11" t="s">
        <v>65</v>
      </c>
    </row>
    <row r="505" spans="1:13" x14ac:dyDescent="0.35">
      <c r="A505" s="13" t="s">
        <v>83</v>
      </c>
      <c r="B505" s="13" t="s">
        <v>607</v>
      </c>
      <c r="C505" s="13">
        <v>5</v>
      </c>
      <c r="D505" s="14">
        <v>45022.090277777781</v>
      </c>
      <c r="E505" s="14">
        <v>45022.2</v>
      </c>
      <c r="F505" s="13" t="s">
        <v>85</v>
      </c>
      <c r="G505" s="13" t="s">
        <v>73</v>
      </c>
      <c r="H505" s="13" t="s">
        <v>87</v>
      </c>
      <c r="I505" s="13">
        <v>3131</v>
      </c>
      <c r="J505" s="13" t="s">
        <v>94</v>
      </c>
      <c r="K505" s="13">
        <v>504</v>
      </c>
      <c r="L505" s="13" t="s">
        <v>89</v>
      </c>
      <c r="M505" s="13" t="s">
        <v>17</v>
      </c>
    </row>
    <row r="506" spans="1:13" x14ac:dyDescent="0.35">
      <c r="A506" s="11" t="s">
        <v>608</v>
      </c>
      <c r="B506" s="11" t="s">
        <v>65</v>
      </c>
      <c r="C506" s="11"/>
      <c r="D506" s="12"/>
      <c r="E506" s="12"/>
      <c r="F506" s="11" t="s">
        <v>65</v>
      </c>
      <c r="G506" s="11" t="s">
        <v>65</v>
      </c>
      <c r="H506" s="11" t="s">
        <v>65</v>
      </c>
      <c r="I506" s="11"/>
      <c r="J506" s="11" t="s">
        <v>65</v>
      </c>
      <c r="K506" s="11"/>
      <c r="L506" s="11" t="s">
        <v>65</v>
      </c>
      <c r="M506" s="11" t="s">
        <v>65</v>
      </c>
    </row>
    <row r="507" spans="1:13" x14ac:dyDescent="0.35">
      <c r="A507" s="13" t="s">
        <v>98</v>
      </c>
      <c r="B507" s="13" t="s">
        <v>609</v>
      </c>
      <c r="C507" s="13">
        <v>2</v>
      </c>
      <c r="D507" s="14">
        <v>45022.084027777775</v>
      </c>
      <c r="E507" s="14">
        <v>45022.168055555558</v>
      </c>
      <c r="F507" s="13" t="s">
        <v>170</v>
      </c>
      <c r="G507" s="13" t="s">
        <v>73</v>
      </c>
      <c r="H507" s="13" t="s">
        <v>74</v>
      </c>
      <c r="I507" s="13">
        <v>1165</v>
      </c>
      <c r="J507" s="13" t="s">
        <v>88</v>
      </c>
      <c r="K507" s="13">
        <v>506</v>
      </c>
      <c r="L507" s="13" t="s">
        <v>221</v>
      </c>
      <c r="M507" s="13" t="s">
        <v>31</v>
      </c>
    </row>
    <row r="508" spans="1:13" x14ac:dyDescent="0.35">
      <c r="A508" s="11" t="s">
        <v>610</v>
      </c>
      <c r="B508" s="11" t="s">
        <v>65</v>
      </c>
      <c r="C508" s="11"/>
      <c r="D508" s="12"/>
      <c r="E508" s="12"/>
      <c r="F508" s="11" t="s">
        <v>65</v>
      </c>
      <c r="G508" s="11" t="s">
        <v>65</v>
      </c>
      <c r="H508" s="11" t="s">
        <v>65</v>
      </c>
      <c r="I508" s="11"/>
      <c r="J508" s="11" t="s">
        <v>65</v>
      </c>
      <c r="K508" s="11"/>
      <c r="L508" s="11" t="s">
        <v>65</v>
      </c>
      <c r="M508" s="11" t="s">
        <v>65</v>
      </c>
    </row>
    <row r="509" spans="1:13" x14ac:dyDescent="0.35">
      <c r="A509" s="13" t="s">
        <v>185</v>
      </c>
      <c r="B509" s="13" t="s">
        <v>611</v>
      </c>
      <c r="C509" s="13">
        <v>1</v>
      </c>
      <c r="D509" s="14">
        <v>45022.118055555555</v>
      </c>
      <c r="E509" s="14">
        <v>45022.274305555555</v>
      </c>
      <c r="F509" s="13" t="s">
        <v>85</v>
      </c>
      <c r="G509" s="13" t="s">
        <v>86</v>
      </c>
      <c r="H509" s="13" t="s">
        <v>74</v>
      </c>
      <c r="I509" s="13">
        <v>428</v>
      </c>
      <c r="J509" s="13" t="s">
        <v>94</v>
      </c>
      <c r="K509" s="13">
        <v>508</v>
      </c>
      <c r="L509" s="13" t="s">
        <v>89</v>
      </c>
      <c r="M509" s="13" t="s">
        <v>33</v>
      </c>
    </row>
    <row r="510" spans="1:13" x14ac:dyDescent="0.35">
      <c r="A510" s="11" t="s">
        <v>121</v>
      </c>
      <c r="B510" s="11" t="s">
        <v>612</v>
      </c>
      <c r="C510" s="11">
        <v>3</v>
      </c>
      <c r="D510" s="12">
        <v>45022.133333333331</v>
      </c>
      <c r="E510" s="12">
        <v>45022.251388888886</v>
      </c>
      <c r="F510" s="11" t="s">
        <v>223</v>
      </c>
      <c r="G510" s="11" t="s">
        <v>163</v>
      </c>
      <c r="H510" s="11" t="s">
        <v>74</v>
      </c>
      <c r="I510" s="11">
        <v>1626</v>
      </c>
      <c r="J510" s="11" t="s">
        <v>88</v>
      </c>
      <c r="K510" s="11">
        <v>509</v>
      </c>
      <c r="L510" s="11" t="s">
        <v>89</v>
      </c>
      <c r="M510" s="11" t="s">
        <v>19</v>
      </c>
    </row>
    <row r="511" spans="1:13" x14ac:dyDescent="0.35">
      <c r="A511" s="13" t="s">
        <v>185</v>
      </c>
      <c r="B511" s="13" t="s">
        <v>613</v>
      </c>
      <c r="C511" s="13">
        <v>4</v>
      </c>
      <c r="D511" s="14">
        <v>45022.147222222222</v>
      </c>
      <c r="E511" s="14">
        <v>45022.189583333333</v>
      </c>
      <c r="F511" s="13" t="s">
        <v>72</v>
      </c>
      <c r="G511" s="13" t="s">
        <v>86</v>
      </c>
      <c r="H511" s="13" t="s">
        <v>74</v>
      </c>
      <c r="I511" s="13">
        <v>1497</v>
      </c>
      <c r="J511" s="13" t="s">
        <v>75</v>
      </c>
      <c r="K511" s="13">
        <v>510</v>
      </c>
      <c r="L511" s="13" t="s">
        <v>221</v>
      </c>
      <c r="M511" s="13" t="s">
        <v>21</v>
      </c>
    </row>
    <row r="512" spans="1:13" x14ac:dyDescent="0.35">
      <c r="A512" s="11" t="s">
        <v>614</v>
      </c>
      <c r="B512" s="11" t="s">
        <v>65</v>
      </c>
      <c r="C512" s="11"/>
      <c r="D512" s="12"/>
      <c r="E512" s="12"/>
      <c r="F512" s="11" t="s">
        <v>65</v>
      </c>
      <c r="G512" s="11" t="s">
        <v>65</v>
      </c>
      <c r="H512" s="11" t="s">
        <v>65</v>
      </c>
      <c r="I512" s="11"/>
      <c r="J512" s="11" t="s">
        <v>65</v>
      </c>
      <c r="K512" s="11"/>
      <c r="L512" s="11" t="s">
        <v>65</v>
      </c>
      <c r="M512" s="11" t="s">
        <v>65</v>
      </c>
    </row>
    <row r="513" spans="1:13" x14ac:dyDescent="0.35">
      <c r="A513" s="13" t="s">
        <v>615</v>
      </c>
      <c r="B513" s="13" t="s">
        <v>65</v>
      </c>
      <c r="C513" s="13"/>
      <c r="D513" s="14"/>
      <c r="E513" s="14"/>
      <c r="F513" s="13" t="s">
        <v>65</v>
      </c>
      <c r="G513" s="13" t="s">
        <v>65</v>
      </c>
      <c r="H513" s="13" t="s">
        <v>65</v>
      </c>
      <c r="I513" s="13"/>
      <c r="J513" s="13" t="s">
        <v>65</v>
      </c>
      <c r="K513" s="13"/>
      <c r="L513" s="13" t="s">
        <v>65</v>
      </c>
      <c r="M513" s="13" t="s">
        <v>65</v>
      </c>
    </row>
    <row r="514" spans="1:13" x14ac:dyDescent="0.35">
      <c r="A514" s="11" t="s">
        <v>215</v>
      </c>
      <c r="B514" s="11" t="s">
        <v>84</v>
      </c>
      <c r="C514" s="11">
        <v>6</v>
      </c>
      <c r="D514" s="12">
        <v>45022.061111111114</v>
      </c>
      <c r="E514" s="12">
        <v>45022.20208333333</v>
      </c>
      <c r="F514" s="11" t="s">
        <v>170</v>
      </c>
      <c r="G514" s="11" t="s">
        <v>163</v>
      </c>
      <c r="H514" s="11" t="s">
        <v>74</v>
      </c>
      <c r="I514" s="11">
        <v>2274</v>
      </c>
      <c r="J514" s="11" t="s">
        <v>88</v>
      </c>
      <c r="K514" s="11">
        <v>513</v>
      </c>
      <c r="L514" s="11" t="s">
        <v>95</v>
      </c>
      <c r="M514" s="11" t="s">
        <v>45</v>
      </c>
    </row>
    <row r="515" spans="1:13" x14ac:dyDescent="0.35">
      <c r="A515" s="13" t="s">
        <v>616</v>
      </c>
      <c r="B515" s="13" t="s">
        <v>65</v>
      </c>
      <c r="C515" s="13"/>
      <c r="D515" s="14"/>
      <c r="E515" s="14"/>
      <c r="F515" s="13" t="s">
        <v>65</v>
      </c>
      <c r="G515" s="13" t="s">
        <v>65</v>
      </c>
      <c r="H515" s="13" t="s">
        <v>65</v>
      </c>
      <c r="I515" s="13"/>
      <c r="J515" s="13" t="s">
        <v>65</v>
      </c>
      <c r="K515" s="13"/>
      <c r="L515" s="13" t="s">
        <v>65</v>
      </c>
      <c r="M515" s="13" t="s">
        <v>65</v>
      </c>
    </row>
    <row r="516" spans="1:13" x14ac:dyDescent="0.35">
      <c r="A516" s="11" t="s">
        <v>177</v>
      </c>
      <c r="B516" s="11" t="s">
        <v>617</v>
      </c>
      <c r="C516" s="11">
        <v>2</v>
      </c>
      <c r="D516" s="12">
        <v>45022.040277777778</v>
      </c>
      <c r="E516" s="12">
        <v>45022.085416666669</v>
      </c>
      <c r="F516" s="11" t="s">
        <v>100</v>
      </c>
      <c r="G516" s="11" t="s">
        <v>86</v>
      </c>
      <c r="H516" s="11" t="s">
        <v>74</v>
      </c>
      <c r="I516" s="11">
        <v>4379</v>
      </c>
      <c r="J516" s="11" t="s">
        <v>88</v>
      </c>
      <c r="K516" s="11">
        <v>515</v>
      </c>
      <c r="L516" s="11" t="s">
        <v>101</v>
      </c>
      <c r="M516" s="11" t="s">
        <v>45</v>
      </c>
    </row>
    <row r="517" spans="1:13" x14ac:dyDescent="0.35">
      <c r="A517" s="13" t="s">
        <v>618</v>
      </c>
      <c r="B517" s="13" t="s">
        <v>65</v>
      </c>
      <c r="C517" s="13"/>
      <c r="D517" s="14"/>
      <c r="E517" s="14"/>
      <c r="F517" s="13" t="s">
        <v>65</v>
      </c>
      <c r="G517" s="13" t="s">
        <v>65</v>
      </c>
      <c r="H517" s="13" t="s">
        <v>65</v>
      </c>
      <c r="I517" s="13"/>
      <c r="J517" s="13" t="s">
        <v>65</v>
      </c>
      <c r="K517" s="13"/>
      <c r="L517" s="13" t="s">
        <v>65</v>
      </c>
      <c r="M517" s="13" t="s">
        <v>65</v>
      </c>
    </row>
    <row r="518" spans="1:13" x14ac:dyDescent="0.35">
      <c r="A518" s="11" t="s">
        <v>619</v>
      </c>
      <c r="B518" s="11" t="s">
        <v>65</v>
      </c>
      <c r="C518" s="11"/>
      <c r="D518" s="12"/>
      <c r="E518" s="12"/>
      <c r="F518" s="11" t="s">
        <v>65</v>
      </c>
      <c r="G518" s="11" t="s">
        <v>65</v>
      </c>
      <c r="H518" s="11" t="s">
        <v>65</v>
      </c>
      <c r="I518" s="11"/>
      <c r="J518" s="11" t="s">
        <v>65</v>
      </c>
      <c r="K518" s="11"/>
      <c r="L518" s="11" t="s">
        <v>65</v>
      </c>
      <c r="M518" s="11" t="s">
        <v>65</v>
      </c>
    </row>
    <row r="519" spans="1:13" x14ac:dyDescent="0.35">
      <c r="A519" s="13" t="s">
        <v>620</v>
      </c>
      <c r="B519" s="13" t="s">
        <v>65</v>
      </c>
      <c r="C519" s="13"/>
      <c r="D519" s="14"/>
      <c r="E519" s="14"/>
      <c r="F519" s="13" t="s">
        <v>65</v>
      </c>
      <c r="G519" s="13" t="s">
        <v>65</v>
      </c>
      <c r="H519" s="13" t="s">
        <v>65</v>
      </c>
      <c r="I519" s="13"/>
      <c r="J519" s="13" t="s">
        <v>65</v>
      </c>
      <c r="K519" s="13"/>
      <c r="L519" s="13" t="s">
        <v>65</v>
      </c>
      <c r="M519" s="13" t="s">
        <v>65</v>
      </c>
    </row>
    <row r="520" spans="1:13" x14ac:dyDescent="0.35">
      <c r="A520" s="11" t="s">
        <v>621</v>
      </c>
      <c r="B520" s="11" t="s">
        <v>65</v>
      </c>
      <c r="C520" s="11"/>
      <c r="D520" s="12"/>
      <c r="E520" s="12"/>
      <c r="F520" s="11" t="s">
        <v>65</v>
      </c>
      <c r="G520" s="11" t="s">
        <v>65</v>
      </c>
      <c r="H520" s="11" t="s">
        <v>65</v>
      </c>
      <c r="I520" s="11"/>
      <c r="J520" s="11" t="s">
        <v>65</v>
      </c>
      <c r="K520" s="11"/>
      <c r="L520" s="11" t="s">
        <v>65</v>
      </c>
      <c r="M520" s="11" t="s">
        <v>65</v>
      </c>
    </row>
    <row r="521" spans="1:13" x14ac:dyDescent="0.35">
      <c r="A521" s="13" t="s">
        <v>622</v>
      </c>
      <c r="B521" s="13" t="s">
        <v>65</v>
      </c>
      <c r="C521" s="13"/>
      <c r="D521" s="14"/>
      <c r="E521" s="14"/>
      <c r="F521" s="13" t="s">
        <v>65</v>
      </c>
      <c r="G521" s="13" t="s">
        <v>65</v>
      </c>
      <c r="H521" s="13" t="s">
        <v>65</v>
      </c>
      <c r="I521" s="13"/>
      <c r="J521" s="13" t="s">
        <v>65</v>
      </c>
      <c r="K521" s="13"/>
      <c r="L521" s="13" t="s">
        <v>65</v>
      </c>
      <c r="M521" s="13" t="s">
        <v>65</v>
      </c>
    </row>
    <row r="522" spans="1:13" x14ac:dyDescent="0.35">
      <c r="A522" s="11" t="s">
        <v>623</v>
      </c>
      <c r="B522" s="11" t="s">
        <v>65</v>
      </c>
      <c r="C522" s="11"/>
      <c r="D522" s="12"/>
      <c r="E522" s="12"/>
      <c r="F522" s="11" t="s">
        <v>65</v>
      </c>
      <c r="G522" s="11" t="s">
        <v>65</v>
      </c>
      <c r="H522" s="11" t="s">
        <v>65</v>
      </c>
      <c r="I522" s="11"/>
      <c r="J522" s="11" t="s">
        <v>65</v>
      </c>
      <c r="K522" s="11"/>
      <c r="L522" s="11" t="s">
        <v>65</v>
      </c>
      <c r="M522" s="11" t="s">
        <v>65</v>
      </c>
    </row>
    <row r="523" spans="1:13" x14ac:dyDescent="0.35">
      <c r="A523" s="13" t="s">
        <v>83</v>
      </c>
      <c r="B523" s="13" t="s">
        <v>624</v>
      </c>
      <c r="C523" s="13">
        <v>5</v>
      </c>
      <c r="D523" s="14">
        <v>45022.068055555559</v>
      </c>
      <c r="E523" s="14">
        <v>45022.18472222222</v>
      </c>
      <c r="F523" s="13" t="s">
        <v>72</v>
      </c>
      <c r="G523" s="13" t="s">
        <v>86</v>
      </c>
      <c r="H523" s="13" t="s">
        <v>87</v>
      </c>
      <c r="I523" s="13">
        <v>3535</v>
      </c>
      <c r="J523" s="13" t="s">
        <v>75</v>
      </c>
      <c r="K523" s="13">
        <v>522</v>
      </c>
      <c r="L523" s="13" t="s">
        <v>174</v>
      </c>
      <c r="M523" s="13" t="s">
        <v>27</v>
      </c>
    </row>
    <row r="524" spans="1:13" x14ac:dyDescent="0.35">
      <c r="A524" s="11" t="s">
        <v>210</v>
      </c>
      <c r="B524" s="11" t="s">
        <v>625</v>
      </c>
      <c r="C524" s="11">
        <v>3</v>
      </c>
      <c r="D524" s="12">
        <v>45022.068749999999</v>
      </c>
      <c r="E524" s="12">
        <v>45022.195833333331</v>
      </c>
      <c r="F524" s="11" t="s">
        <v>85</v>
      </c>
      <c r="G524" s="11" t="s">
        <v>86</v>
      </c>
      <c r="H524" s="11" t="s">
        <v>74</v>
      </c>
      <c r="I524" s="11">
        <v>4541</v>
      </c>
      <c r="J524" s="11" t="s">
        <v>88</v>
      </c>
      <c r="K524" s="11">
        <v>523</v>
      </c>
      <c r="L524" s="11" t="s">
        <v>164</v>
      </c>
      <c r="M524" s="11" t="s">
        <v>17</v>
      </c>
    </row>
    <row r="525" spans="1:13" x14ac:dyDescent="0.35">
      <c r="A525" s="13" t="s">
        <v>626</v>
      </c>
      <c r="B525" s="13" t="s">
        <v>65</v>
      </c>
      <c r="C525" s="13"/>
      <c r="D525" s="14"/>
      <c r="E525" s="14"/>
      <c r="F525" s="13" t="s">
        <v>65</v>
      </c>
      <c r="G525" s="13" t="s">
        <v>65</v>
      </c>
      <c r="H525" s="13" t="s">
        <v>65</v>
      </c>
      <c r="I525" s="13"/>
      <c r="J525" s="13" t="s">
        <v>65</v>
      </c>
      <c r="K525" s="13"/>
      <c r="L525" s="13" t="s">
        <v>65</v>
      </c>
      <c r="M525" s="13" t="s">
        <v>65</v>
      </c>
    </row>
    <row r="526" spans="1:13" x14ac:dyDescent="0.35">
      <c r="A526" s="11" t="s">
        <v>627</v>
      </c>
      <c r="B526" s="11" t="s">
        <v>65</v>
      </c>
      <c r="C526" s="11"/>
      <c r="D526" s="12"/>
      <c r="E526" s="12"/>
      <c r="F526" s="11" t="s">
        <v>65</v>
      </c>
      <c r="G526" s="11" t="s">
        <v>65</v>
      </c>
      <c r="H526" s="11" t="s">
        <v>65</v>
      </c>
      <c r="I526" s="11"/>
      <c r="J526" s="11" t="s">
        <v>65</v>
      </c>
      <c r="K526" s="11"/>
      <c r="L526" s="11" t="s">
        <v>65</v>
      </c>
      <c r="M526" s="11" t="s">
        <v>65</v>
      </c>
    </row>
    <row r="527" spans="1:13" x14ac:dyDescent="0.35">
      <c r="A527" s="13" t="s">
        <v>210</v>
      </c>
      <c r="B527" s="13" t="s">
        <v>628</v>
      </c>
      <c r="C527" s="13">
        <v>6</v>
      </c>
      <c r="D527" s="14">
        <v>45022.155555555553</v>
      </c>
      <c r="E527" s="14">
        <v>45022.236805555556</v>
      </c>
      <c r="F527" s="13" t="s">
        <v>72</v>
      </c>
      <c r="G527" s="13" t="s">
        <v>73</v>
      </c>
      <c r="H527" s="13" t="s">
        <v>109</v>
      </c>
      <c r="I527" s="13">
        <v>4302</v>
      </c>
      <c r="J527" s="13" t="s">
        <v>75</v>
      </c>
      <c r="K527" s="13">
        <v>526</v>
      </c>
      <c r="L527" s="13" t="s">
        <v>95</v>
      </c>
      <c r="M527" s="13" t="s">
        <v>25</v>
      </c>
    </row>
    <row r="528" spans="1:13" x14ac:dyDescent="0.35">
      <c r="A528" s="11" t="s">
        <v>177</v>
      </c>
      <c r="B528" s="11" t="s">
        <v>629</v>
      </c>
      <c r="C528" s="11">
        <v>4</v>
      </c>
      <c r="D528" s="12">
        <v>45022.15347222222</v>
      </c>
      <c r="E528" s="12">
        <v>45022.246527777781</v>
      </c>
      <c r="F528" s="11" t="s">
        <v>223</v>
      </c>
      <c r="G528" s="11" t="s">
        <v>163</v>
      </c>
      <c r="H528" s="11" t="s">
        <v>87</v>
      </c>
      <c r="I528" s="11">
        <v>2295</v>
      </c>
      <c r="J528" s="11" t="s">
        <v>88</v>
      </c>
      <c r="K528" s="11">
        <v>527</v>
      </c>
      <c r="L528" s="11" t="s">
        <v>181</v>
      </c>
      <c r="M528" s="11" t="s">
        <v>17</v>
      </c>
    </row>
    <row r="529" spans="1:13" x14ac:dyDescent="0.35">
      <c r="A529" s="13" t="s">
        <v>630</v>
      </c>
      <c r="B529" s="13" t="s">
        <v>65</v>
      </c>
      <c r="C529" s="13"/>
      <c r="D529" s="14"/>
      <c r="E529" s="14"/>
      <c r="F529" s="13" t="s">
        <v>65</v>
      </c>
      <c r="G529" s="13" t="s">
        <v>65</v>
      </c>
      <c r="H529" s="13" t="s">
        <v>65</v>
      </c>
      <c r="I529" s="13"/>
      <c r="J529" s="13" t="s">
        <v>65</v>
      </c>
      <c r="K529" s="13"/>
      <c r="L529" s="13" t="s">
        <v>65</v>
      </c>
      <c r="M529" s="13" t="s">
        <v>65</v>
      </c>
    </row>
    <row r="530" spans="1:13" x14ac:dyDescent="0.35">
      <c r="A530" s="11" t="s">
        <v>631</v>
      </c>
      <c r="B530" s="11" t="s">
        <v>65</v>
      </c>
      <c r="C530" s="11"/>
      <c r="D530" s="12"/>
      <c r="E530" s="12"/>
      <c r="F530" s="11" t="s">
        <v>65</v>
      </c>
      <c r="G530" s="11" t="s">
        <v>65</v>
      </c>
      <c r="H530" s="11" t="s">
        <v>65</v>
      </c>
      <c r="I530" s="11"/>
      <c r="J530" s="11" t="s">
        <v>65</v>
      </c>
      <c r="K530" s="11"/>
      <c r="L530" s="11" t="s">
        <v>65</v>
      </c>
      <c r="M530" s="11" t="s">
        <v>65</v>
      </c>
    </row>
    <row r="531" spans="1:13" x14ac:dyDescent="0.35">
      <c r="A531" s="13" t="s">
        <v>632</v>
      </c>
      <c r="B531" s="13" t="s">
        <v>65</v>
      </c>
      <c r="C531" s="13"/>
      <c r="D531" s="14"/>
      <c r="E531" s="14"/>
      <c r="F531" s="13" t="s">
        <v>65</v>
      </c>
      <c r="G531" s="13" t="s">
        <v>65</v>
      </c>
      <c r="H531" s="13" t="s">
        <v>65</v>
      </c>
      <c r="I531" s="13"/>
      <c r="J531" s="13" t="s">
        <v>65</v>
      </c>
      <c r="K531" s="13"/>
      <c r="L531" s="13" t="s">
        <v>65</v>
      </c>
      <c r="M531" s="13" t="s">
        <v>65</v>
      </c>
    </row>
    <row r="532" spans="1:13" x14ac:dyDescent="0.35">
      <c r="A532" s="11" t="s">
        <v>633</v>
      </c>
      <c r="B532" s="11" t="s">
        <v>65</v>
      </c>
      <c r="C532" s="11"/>
      <c r="D532" s="12"/>
      <c r="E532" s="12"/>
      <c r="F532" s="11" t="s">
        <v>65</v>
      </c>
      <c r="G532" s="11" t="s">
        <v>65</v>
      </c>
      <c r="H532" s="11" t="s">
        <v>65</v>
      </c>
      <c r="I532" s="11"/>
      <c r="J532" s="11" t="s">
        <v>65</v>
      </c>
      <c r="K532" s="11"/>
      <c r="L532" s="11" t="s">
        <v>65</v>
      </c>
      <c r="M532" s="11" t="s">
        <v>65</v>
      </c>
    </row>
    <row r="533" spans="1:13" x14ac:dyDescent="0.35">
      <c r="A533" s="13" t="s">
        <v>634</v>
      </c>
      <c r="B533" s="13" t="s">
        <v>65</v>
      </c>
      <c r="C533" s="13"/>
      <c r="D533" s="14"/>
      <c r="E533" s="14"/>
      <c r="F533" s="13" t="s">
        <v>65</v>
      </c>
      <c r="G533" s="13" t="s">
        <v>65</v>
      </c>
      <c r="H533" s="13" t="s">
        <v>65</v>
      </c>
      <c r="I533" s="13"/>
      <c r="J533" s="13" t="s">
        <v>65</v>
      </c>
      <c r="K533" s="13"/>
      <c r="L533" s="13" t="s">
        <v>65</v>
      </c>
      <c r="M533" s="13" t="s">
        <v>65</v>
      </c>
    </row>
    <row r="534" spans="1:13" x14ac:dyDescent="0.35">
      <c r="A534" s="11" t="s">
        <v>635</v>
      </c>
      <c r="B534" s="11" t="s">
        <v>65</v>
      </c>
      <c r="C534" s="11"/>
      <c r="D534" s="12"/>
      <c r="E534" s="12"/>
      <c r="F534" s="11" t="s">
        <v>65</v>
      </c>
      <c r="G534" s="11" t="s">
        <v>65</v>
      </c>
      <c r="H534" s="11" t="s">
        <v>65</v>
      </c>
      <c r="I534" s="11"/>
      <c r="J534" s="11" t="s">
        <v>65</v>
      </c>
      <c r="K534" s="11"/>
      <c r="L534" s="11" t="s">
        <v>65</v>
      </c>
      <c r="M534" s="11" t="s">
        <v>65</v>
      </c>
    </row>
    <row r="535" spans="1:13" x14ac:dyDescent="0.35">
      <c r="A535" s="13" t="s">
        <v>636</v>
      </c>
      <c r="B535" s="13" t="s">
        <v>65</v>
      </c>
      <c r="C535" s="13"/>
      <c r="D535" s="14"/>
      <c r="E535" s="14"/>
      <c r="F535" s="13" t="s">
        <v>65</v>
      </c>
      <c r="G535" s="13" t="s">
        <v>65</v>
      </c>
      <c r="H535" s="13" t="s">
        <v>65</v>
      </c>
      <c r="I535" s="13"/>
      <c r="J535" s="13" t="s">
        <v>65</v>
      </c>
      <c r="K535" s="13"/>
      <c r="L535" s="13" t="s">
        <v>65</v>
      </c>
      <c r="M535" s="13" t="s">
        <v>65</v>
      </c>
    </row>
    <row r="536" spans="1:13" x14ac:dyDescent="0.35">
      <c r="A536" s="11" t="s">
        <v>637</v>
      </c>
      <c r="B536" s="11" t="s">
        <v>65</v>
      </c>
      <c r="C536" s="11"/>
      <c r="D536" s="12"/>
      <c r="E536" s="12"/>
      <c r="F536" s="11" t="s">
        <v>65</v>
      </c>
      <c r="G536" s="11" t="s">
        <v>65</v>
      </c>
      <c r="H536" s="11" t="s">
        <v>65</v>
      </c>
      <c r="I536" s="11"/>
      <c r="J536" s="11" t="s">
        <v>65</v>
      </c>
      <c r="K536" s="11"/>
      <c r="L536" s="11" t="s">
        <v>65</v>
      </c>
      <c r="M536" s="11" t="s">
        <v>65</v>
      </c>
    </row>
    <row r="537" spans="1:13" x14ac:dyDescent="0.35">
      <c r="A537" s="13" t="s">
        <v>638</v>
      </c>
      <c r="B537" s="13" t="s">
        <v>65</v>
      </c>
      <c r="C537" s="13"/>
      <c r="D537" s="14"/>
      <c r="E537" s="14"/>
      <c r="F537" s="13" t="s">
        <v>65</v>
      </c>
      <c r="G537" s="13" t="s">
        <v>65</v>
      </c>
      <c r="H537" s="13" t="s">
        <v>65</v>
      </c>
      <c r="I537" s="13"/>
      <c r="J537" s="13" t="s">
        <v>65</v>
      </c>
      <c r="K537" s="13"/>
      <c r="L537" s="13" t="s">
        <v>65</v>
      </c>
      <c r="M537" s="13" t="s">
        <v>65</v>
      </c>
    </row>
    <row r="538" spans="1:13" x14ac:dyDescent="0.35">
      <c r="A538" s="11" t="s">
        <v>98</v>
      </c>
      <c r="B538" s="11" t="s">
        <v>233</v>
      </c>
      <c r="C538" s="11">
        <v>6</v>
      </c>
      <c r="D538" s="12">
        <v>45022.01666666667</v>
      </c>
      <c r="E538" s="12">
        <v>45022.089583333334</v>
      </c>
      <c r="F538" s="11" t="s">
        <v>170</v>
      </c>
      <c r="G538" s="11" t="s">
        <v>163</v>
      </c>
      <c r="H538" s="11" t="s">
        <v>109</v>
      </c>
      <c r="I538" s="11">
        <v>2868</v>
      </c>
      <c r="J538" s="11" t="s">
        <v>88</v>
      </c>
      <c r="K538" s="11">
        <v>537</v>
      </c>
      <c r="L538" s="11" t="s">
        <v>76</v>
      </c>
      <c r="M538" s="11" t="s">
        <v>43</v>
      </c>
    </row>
    <row r="539" spans="1:13" x14ac:dyDescent="0.35">
      <c r="A539" s="13" t="s">
        <v>639</v>
      </c>
      <c r="B539" s="13" t="s">
        <v>65</v>
      </c>
      <c r="C539" s="13"/>
      <c r="D539" s="14"/>
      <c r="E539" s="14"/>
      <c r="F539" s="13" t="s">
        <v>65</v>
      </c>
      <c r="G539" s="13" t="s">
        <v>65</v>
      </c>
      <c r="H539" s="13" t="s">
        <v>65</v>
      </c>
      <c r="I539" s="13"/>
      <c r="J539" s="13" t="s">
        <v>65</v>
      </c>
      <c r="K539" s="13"/>
      <c r="L539" s="13" t="s">
        <v>65</v>
      </c>
      <c r="M539" s="13" t="s">
        <v>65</v>
      </c>
    </row>
    <row r="540" spans="1:13" x14ac:dyDescent="0.35">
      <c r="A540" s="11" t="s">
        <v>640</v>
      </c>
      <c r="B540" s="11" t="s">
        <v>65</v>
      </c>
      <c r="C540" s="11"/>
      <c r="D540" s="12"/>
      <c r="E540" s="12"/>
      <c r="F540" s="11" t="s">
        <v>65</v>
      </c>
      <c r="G540" s="11" t="s">
        <v>65</v>
      </c>
      <c r="H540" s="11" t="s">
        <v>65</v>
      </c>
      <c r="I540" s="11"/>
      <c r="J540" s="11" t="s">
        <v>65</v>
      </c>
      <c r="K540" s="11"/>
      <c r="L540" s="11" t="s">
        <v>65</v>
      </c>
      <c r="M540" s="11" t="s">
        <v>65</v>
      </c>
    </row>
    <row r="541" spans="1:13" x14ac:dyDescent="0.35">
      <c r="A541" s="13" t="s">
        <v>641</v>
      </c>
      <c r="B541" s="13" t="s">
        <v>65</v>
      </c>
      <c r="C541" s="13"/>
      <c r="D541" s="14"/>
      <c r="E541" s="14"/>
      <c r="F541" s="13" t="s">
        <v>65</v>
      </c>
      <c r="G541" s="13" t="s">
        <v>65</v>
      </c>
      <c r="H541" s="13" t="s">
        <v>65</v>
      </c>
      <c r="I541" s="13"/>
      <c r="J541" s="13" t="s">
        <v>65</v>
      </c>
      <c r="K541" s="13"/>
      <c r="L541" s="13" t="s">
        <v>65</v>
      </c>
      <c r="M541" s="13" t="s">
        <v>65</v>
      </c>
    </row>
    <row r="542" spans="1:13" x14ac:dyDescent="0.35">
      <c r="A542" s="11" t="s">
        <v>642</v>
      </c>
      <c r="B542" s="11" t="s">
        <v>65</v>
      </c>
      <c r="C542" s="11"/>
      <c r="D542" s="12"/>
      <c r="E542" s="12"/>
      <c r="F542" s="11" t="s">
        <v>65</v>
      </c>
      <c r="G542" s="11" t="s">
        <v>65</v>
      </c>
      <c r="H542" s="11" t="s">
        <v>65</v>
      </c>
      <c r="I542" s="11"/>
      <c r="J542" s="11" t="s">
        <v>65</v>
      </c>
      <c r="K542" s="11"/>
      <c r="L542" s="11" t="s">
        <v>65</v>
      </c>
      <c r="M542" s="11" t="s">
        <v>65</v>
      </c>
    </row>
    <row r="543" spans="1:13" x14ac:dyDescent="0.35">
      <c r="A543" s="13" t="s">
        <v>643</v>
      </c>
      <c r="B543" s="13" t="s">
        <v>65</v>
      </c>
      <c r="C543" s="13"/>
      <c r="D543" s="14"/>
      <c r="E543" s="14"/>
      <c r="F543" s="13" t="s">
        <v>65</v>
      </c>
      <c r="G543" s="13" t="s">
        <v>65</v>
      </c>
      <c r="H543" s="13" t="s">
        <v>65</v>
      </c>
      <c r="I543" s="13"/>
      <c r="J543" s="13" t="s">
        <v>65</v>
      </c>
      <c r="K543" s="13"/>
      <c r="L543" s="13" t="s">
        <v>65</v>
      </c>
      <c r="M543" s="13" t="s">
        <v>65</v>
      </c>
    </row>
    <row r="544" spans="1:13" x14ac:dyDescent="0.35">
      <c r="A544" s="11" t="s">
        <v>644</v>
      </c>
      <c r="B544" s="11" t="s">
        <v>65</v>
      </c>
      <c r="C544" s="11"/>
      <c r="D544" s="12"/>
      <c r="E544" s="12"/>
      <c r="F544" s="11" t="s">
        <v>65</v>
      </c>
      <c r="G544" s="11" t="s">
        <v>65</v>
      </c>
      <c r="H544" s="11" t="s">
        <v>65</v>
      </c>
      <c r="I544" s="11"/>
      <c r="J544" s="11" t="s">
        <v>65</v>
      </c>
      <c r="K544" s="11"/>
      <c r="L544" s="11" t="s">
        <v>65</v>
      </c>
      <c r="M544" s="11" t="s">
        <v>65</v>
      </c>
    </row>
    <row r="545" spans="1:13" x14ac:dyDescent="0.35">
      <c r="A545" s="13" t="s">
        <v>70</v>
      </c>
      <c r="B545" s="13" t="s">
        <v>645</v>
      </c>
      <c r="C545" s="13">
        <v>4</v>
      </c>
      <c r="D545" s="14">
        <v>45022.136805555558</v>
      </c>
      <c r="E545" s="14">
        <v>45022.197916666664</v>
      </c>
      <c r="F545" s="13" t="s">
        <v>85</v>
      </c>
      <c r="G545" s="13" t="s">
        <v>86</v>
      </c>
      <c r="H545" s="13" t="s">
        <v>74</v>
      </c>
      <c r="I545" s="13">
        <v>4491</v>
      </c>
      <c r="J545" s="13" t="s">
        <v>88</v>
      </c>
      <c r="K545" s="13">
        <v>544</v>
      </c>
      <c r="L545" s="13" t="s">
        <v>187</v>
      </c>
      <c r="M545" s="13" t="s">
        <v>31</v>
      </c>
    </row>
    <row r="546" spans="1:13" x14ac:dyDescent="0.35">
      <c r="A546" s="11" t="s">
        <v>646</v>
      </c>
      <c r="B546" s="11" t="s">
        <v>65</v>
      </c>
      <c r="C546" s="11"/>
      <c r="D546" s="12"/>
      <c r="E546" s="12"/>
      <c r="F546" s="11" t="s">
        <v>65</v>
      </c>
      <c r="G546" s="11" t="s">
        <v>65</v>
      </c>
      <c r="H546" s="11" t="s">
        <v>65</v>
      </c>
      <c r="I546" s="11"/>
      <c r="J546" s="11" t="s">
        <v>65</v>
      </c>
      <c r="K546" s="11"/>
      <c r="L546" s="11" t="s">
        <v>65</v>
      </c>
      <c r="M546" s="11" t="s">
        <v>65</v>
      </c>
    </row>
    <row r="547" spans="1:13" x14ac:dyDescent="0.35">
      <c r="A547" s="13" t="s">
        <v>647</v>
      </c>
      <c r="B547" s="13" t="s">
        <v>65</v>
      </c>
      <c r="C547" s="13"/>
      <c r="D547" s="14"/>
      <c r="E547" s="14"/>
      <c r="F547" s="13" t="s">
        <v>65</v>
      </c>
      <c r="G547" s="13" t="s">
        <v>65</v>
      </c>
      <c r="H547" s="13" t="s">
        <v>65</v>
      </c>
      <c r="I547" s="13"/>
      <c r="J547" s="13" t="s">
        <v>65</v>
      </c>
      <c r="K547" s="13"/>
      <c r="L547" s="13" t="s">
        <v>65</v>
      </c>
      <c r="M547" s="13" t="s">
        <v>65</v>
      </c>
    </row>
    <row r="548" spans="1:13" x14ac:dyDescent="0.35">
      <c r="A548" s="11" t="s">
        <v>648</v>
      </c>
      <c r="B548" s="11" t="s">
        <v>65</v>
      </c>
      <c r="C548" s="11"/>
      <c r="D548" s="12"/>
      <c r="E548" s="12"/>
      <c r="F548" s="11" t="s">
        <v>65</v>
      </c>
      <c r="G548" s="11" t="s">
        <v>65</v>
      </c>
      <c r="H548" s="11" t="s">
        <v>65</v>
      </c>
      <c r="I548" s="11"/>
      <c r="J548" s="11" t="s">
        <v>65</v>
      </c>
      <c r="K548" s="11"/>
      <c r="L548" s="11" t="s">
        <v>65</v>
      </c>
      <c r="M548" s="11" t="s">
        <v>65</v>
      </c>
    </row>
    <row r="549" spans="1:13" x14ac:dyDescent="0.35">
      <c r="A549" s="13" t="s">
        <v>649</v>
      </c>
      <c r="B549" s="13" t="s">
        <v>65</v>
      </c>
      <c r="C549" s="13"/>
      <c r="D549" s="14"/>
      <c r="E549" s="14"/>
      <c r="F549" s="13" t="s">
        <v>65</v>
      </c>
      <c r="G549" s="13" t="s">
        <v>65</v>
      </c>
      <c r="H549" s="13" t="s">
        <v>65</v>
      </c>
      <c r="I549" s="13"/>
      <c r="J549" s="13" t="s">
        <v>65</v>
      </c>
      <c r="K549" s="13"/>
      <c r="L549" s="13" t="s">
        <v>65</v>
      </c>
      <c r="M549" s="13" t="s">
        <v>65</v>
      </c>
    </row>
    <row r="550" spans="1:13" x14ac:dyDescent="0.35">
      <c r="A550" s="11" t="s">
        <v>650</v>
      </c>
      <c r="B550" s="11" t="s">
        <v>65</v>
      </c>
      <c r="C550" s="11"/>
      <c r="D550" s="12"/>
      <c r="E550" s="12"/>
      <c r="F550" s="11" t="s">
        <v>65</v>
      </c>
      <c r="G550" s="11" t="s">
        <v>65</v>
      </c>
      <c r="H550" s="11" t="s">
        <v>65</v>
      </c>
      <c r="I550" s="11"/>
      <c r="J550" s="11" t="s">
        <v>65</v>
      </c>
      <c r="K550" s="11"/>
      <c r="L550" s="11" t="s">
        <v>65</v>
      </c>
      <c r="M550" s="11" t="s">
        <v>65</v>
      </c>
    </row>
    <row r="551" spans="1:13" x14ac:dyDescent="0.35">
      <c r="A551" s="13" t="s">
        <v>651</v>
      </c>
      <c r="B551" s="13" t="s">
        <v>65</v>
      </c>
      <c r="C551" s="13"/>
      <c r="D551" s="14"/>
      <c r="E551" s="14"/>
      <c r="F551" s="13" t="s">
        <v>65</v>
      </c>
      <c r="G551" s="13" t="s">
        <v>65</v>
      </c>
      <c r="H551" s="13" t="s">
        <v>65</v>
      </c>
      <c r="I551" s="13"/>
      <c r="J551" s="13" t="s">
        <v>65</v>
      </c>
      <c r="K551" s="13"/>
      <c r="L551" s="13" t="s">
        <v>65</v>
      </c>
      <c r="M551" s="13" t="s">
        <v>65</v>
      </c>
    </row>
    <row r="552" spans="1:13" x14ac:dyDescent="0.35">
      <c r="A552" s="11" t="s">
        <v>652</v>
      </c>
      <c r="B552" s="11" t="s">
        <v>65</v>
      </c>
      <c r="C552" s="11"/>
      <c r="D552" s="12"/>
      <c r="E552" s="12"/>
      <c r="F552" s="11" t="s">
        <v>65</v>
      </c>
      <c r="G552" s="11" t="s">
        <v>65</v>
      </c>
      <c r="H552" s="11" t="s">
        <v>65</v>
      </c>
      <c r="I552" s="11"/>
      <c r="J552" s="11" t="s">
        <v>65</v>
      </c>
      <c r="K552" s="11"/>
      <c r="L552" s="11" t="s">
        <v>65</v>
      </c>
      <c r="M552" s="11" t="s">
        <v>65</v>
      </c>
    </row>
    <row r="553" spans="1:13" x14ac:dyDescent="0.35">
      <c r="A553" s="13" t="s">
        <v>653</v>
      </c>
      <c r="B553" s="13" t="s">
        <v>65</v>
      </c>
      <c r="C553" s="13"/>
      <c r="D553" s="14"/>
      <c r="E553" s="14"/>
      <c r="F553" s="13" t="s">
        <v>65</v>
      </c>
      <c r="G553" s="13" t="s">
        <v>65</v>
      </c>
      <c r="H553" s="13" t="s">
        <v>65</v>
      </c>
      <c r="I553" s="13"/>
      <c r="J553" s="13" t="s">
        <v>65</v>
      </c>
      <c r="K553" s="13"/>
      <c r="L553" s="13" t="s">
        <v>65</v>
      </c>
      <c r="M553" s="13" t="s">
        <v>65</v>
      </c>
    </row>
    <row r="554" spans="1:13" x14ac:dyDescent="0.35">
      <c r="A554" s="11" t="s">
        <v>654</v>
      </c>
      <c r="B554" s="11" t="s">
        <v>65</v>
      </c>
      <c r="C554" s="11"/>
      <c r="D554" s="12"/>
      <c r="E554" s="12"/>
      <c r="F554" s="11" t="s">
        <v>65</v>
      </c>
      <c r="G554" s="11" t="s">
        <v>65</v>
      </c>
      <c r="H554" s="11" t="s">
        <v>65</v>
      </c>
      <c r="I554" s="11"/>
      <c r="J554" s="11" t="s">
        <v>65</v>
      </c>
      <c r="K554" s="11"/>
      <c r="L554" s="11" t="s">
        <v>65</v>
      </c>
      <c r="M554" s="11" t="s">
        <v>65</v>
      </c>
    </row>
    <row r="555" spans="1:13" x14ac:dyDescent="0.35">
      <c r="A555" s="13" t="s">
        <v>655</v>
      </c>
      <c r="B555" s="13" t="s">
        <v>65</v>
      </c>
      <c r="C555" s="13"/>
      <c r="D555" s="14"/>
      <c r="E555" s="14"/>
      <c r="F555" s="13" t="s">
        <v>65</v>
      </c>
      <c r="G555" s="13" t="s">
        <v>65</v>
      </c>
      <c r="H555" s="13" t="s">
        <v>65</v>
      </c>
      <c r="I555" s="13"/>
      <c r="J555" s="13" t="s">
        <v>65</v>
      </c>
      <c r="K555" s="13"/>
      <c r="L555" s="13" t="s">
        <v>65</v>
      </c>
      <c r="M555" s="13" t="s">
        <v>65</v>
      </c>
    </row>
    <row r="556" spans="1:13" x14ac:dyDescent="0.35">
      <c r="A556" s="11" t="s">
        <v>92</v>
      </c>
      <c r="B556" s="11" t="s">
        <v>656</v>
      </c>
      <c r="C556" s="11">
        <v>1</v>
      </c>
      <c r="D556" s="12">
        <v>45022.082638888889</v>
      </c>
      <c r="E556" s="12">
        <v>45022.209722222222</v>
      </c>
      <c r="F556" s="11" t="s">
        <v>100</v>
      </c>
      <c r="G556" s="11" t="s">
        <v>163</v>
      </c>
      <c r="H556" s="11" t="s">
        <v>87</v>
      </c>
      <c r="I556" s="11">
        <v>4108</v>
      </c>
      <c r="J556" s="11" t="s">
        <v>75</v>
      </c>
      <c r="K556" s="11">
        <v>555</v>
      </c>
      <c r="L556" s="11" t="s">
        <v>89</v>
      </c>
      <c r="M556" s="11" t="s">
        <v>12</v>
      </c>
    </row>
    <row r="557" spans="1:13" x14ac:dyDescent="0.35">
      <c r="A557" s="13" t="s">
        <v>657</v>
      </c>
      <c r="B557" s="13" t="s">
        <v>65</v>
      </c>
      <c r="C557" s="13"/>
      <c r="D557" s="14"/>
      <c r="E557" s="14"/>
      <c r="F557" s="13" t="s">
        <v>65</v>
      </c>
      <c r="G557" s="13" t="s">
        <v>65</v>
      </c>
      <c r="H557" s="13" t="s">
        <v>65</v>
      </c>
      <c r="I557" s="13"/>
      <c r="J557" s="13" t="s">
        <v>65</v>
      </c>
      <c r="K557" s="13"/>
      <c r="L557" s="13" t="s">
        <v>65</v>
      </c>
      <c r="M557" s="13" t="s">
        <v>65</v>
      </c>
    </row>
    <row r="558" spans="1:13" x14ac:dyDescent="0.35">
      <c r="A558" s="11" t="s">
        <v>658</v>
      </c>
      <c r="B558" s="11" t="s">
        <v>65</v>
      </c>
      <c r="C558" s="11"/>
      <c r="D558" s="12"/>
      <c r="E558" s="12"/>
      <c r="F558" s="11" t="s">
        <v>65</v>
      </c>
      <c r="G558" s="11" t="s">
        <v>65</v>
      </c>
      <c r="H558" s="11" t="s">
        <v>65</v>
      </c>
      <c r="I558" s="11"/>
      <c r="J558" s="11" t="s">
        <v>65</v>
      </c>
      <c r="K558" s="11"/>
      <c r="L558" s="11" t="s">
        <v>65</v>
      </c>
      <c r="M558" s="11" t="s">
        <v>65</v>
      </c>
    </row>
    <row r="559" spans="1:13" x14ac:dyDescent="0.35">
      <c r="A559" s="13" t="s">
        <v>659</v>
      </c>
      <c r="B559" s="13" t="s">
        <v>65</v>
      </c>
      <c r="C559" s="13"/>
      <c r="D559" s="14"/>
      <c r="E559" s="14"/>
      <c r="F559" s="13" t="s">
        <v>65</v>
      </c>
      <c r="G559" s="13" t="s">
        <v>65</v>
      </c>
      <c r="H559" s="13" t="s">
        <v>65</v>
      </c>
      <c r="I559" s="13"/>
      <c r="J559" s="13" t="s">
        <v>65</v>
      </c>
      <c r="K559" s="13"/>
      <c r="L559" s="13" t="s">
        <v>65</v>
      </c>
      <c r="M559" s="13" t="s">
        <v>65</v>
      </c>
    </row>
    <row r="560" spans="1:13" x14ac:dyDescent="0.35">
      <c r="A560" s="11" t="s">
        <v>354</v>
      </c>
      <c r="B560" s="11" t="s">
        <v>660</v>
      </c>
      <c r="C560" s="11">
        <v>1</v>
      </c>
      <c r="D560" s="12">
        <v>45022.009722222225</v>
      </c>
      <c r="E560" s="12">
        <v>45022.165972222225</v>
      </c>
      <c r="F560" s="11" t="s">
        <v>100</v>
      </c>
      <c r="G560" s="11" t="s">
        <v>86</v>
      </c>
      <c r="H560" s="11" t="s">
        <v>74</v>
      </c>
      <c r="I560" s="11">
        <v>2436</v>
      </c>
      <c r="J560" s="11" t="s">
        <v>94</v>
      </c>
      <c r="K560" s="11">
        <v>559</v>
      </c>
      <c r="L560" s="11" t="s">
        <v>174</v>
      </c>
      <c r="M560" s="11" t="s">
        <v>25</v>
      </c>
    </row>
    <row r="561" spans="1:13" x14ac:dyDescent="0.35">
      <c r="A561" s="13" t="s">
        <v>661</v>
      </c>
      <c r="B561" s="13" t="s">
        <v>65</v>
      </c>
      <c r="C561" s="13"/>
      <c r="D561" s="14"/>
      <c r="E561" s="14"/>
      <c r="F561" s="13" t="s">
        <v>65</v>
      </c>
      <c r="G561" s="13" t="s">
        <v>65</v>
      </c>
      <c r="H561" s="13" t="s">
        <v>65</v>
      </c>
      <c r="I561" s="13"/>
      <c r="J561" s="13" t="s">
        <v>65</v>
      </c>
      <c r="K561" s="13"/>
      <c r="L561" s="13" t="s">
        <v>65</v>
      </c>
      <c r="M561" s="13" t="s">
        <v>65</v>
      </c>
    </row>
    <row r="562" spans="1:13" x14ac:dyDescent="0.35">
      <c r="A562" s="11" t="s">
        <v>662</v>
      </c>
      <c r="B562" s="11" t="s">
        <v>65</v>
      </c>
      <c r="C562" s="11"/>
      <c r="D562" s="12"/>
      <c r="E562" s="12"/>
      <c r="F562" s="11" t="s">
        <v>65</v>
      </c>
      <c r="G562" s="11" t="s">
        <v>65</v>
      </c>
      <c r="H562" s="11" t="s">
        <v>65</v>
      </c>
      <c r="I562" s="11"/>
      <c r="J562" s="11" t="s">
        <v>65</v>
      </c>
      <c r="K562" s="11"/>
      <c r="L562" s="11" t="s">
        <v>65</v>
      </c>
      <c r="M562" s="11" t="s">
        <v>65</v>
      </c>
    </row>
    <row r="563" spans="1:13" x14ac:dyDescent="0.35">
      <c r="A563" s="13" t="s">
        <v>663</v>
      </c>
      <c r="B563" s="13" t="s">
        <v>65</v>
      </c>
      <c r="C563" s="13"/>
      <c r="D563" s="14"/>
      <c r="E563" s="14"/>
      <c r="F563" s="13" t="s">
        <v>65</v>
      </c>
      <c r="G563" s="13" t="s">
        <v>65</v>
      </c>
      <c r="H563" s="13" t="s">
        <v>65</v>
      </c>
      <c r="I563" s="13"/>
      <c r="J563" s="13" t="s">
        <v>65</v>
      </c>
      <c r="K563" s="13"/>
      <c r="L563" s="13" t="s">
        <v>65</v>
      </c>
      <c r="M563" s="13" t="s">
        <v>65</v>
      </c>
    </row>
    <row r="564" spans="1:13" x14ac:dyDescent="0.35">
      <c r="A564" s="11" t="s">
        <v>107</v>
      </c>
      <c r="B564" s="11" t="s">
        <v>664</v>
      </c>
      <c r="C564" s="11">
        <v>3</v>
      </c>
      <c r="D564" s="12">
        <v>45022.12777777778</v>
      </c>
      <c r="E564" s="12">
        <v>45022.196527777778</v>
      </c>
      <c r="F564" s="11" t="s">
        <v>85</v>
      </c>
      <c r="G564" s="11" t="s">
        <v>163</v>
      </c>
      <c r="H564" s="11" t="s">
        <v>87</v>
      </c>
      <c r="I564" s="11">
        <v>2007</v>
      </c>
      <c r="J564" s="11" t="s">
        <v>88</v>
      </c>
      <c r="K564" s="11">
        <v>563</v>
      </c>
      <c r="L564" s="11" t="s">
        <v>164</v>
      </c>
      <c r="M564" s="11" t="s">
        <v>17</v>
      </c>
    </row>
    <row r="565" spans="1:13" x14ac:dyDescent="0.35">
      <c r="A565" s="13" t="s">
        <v>665</v>
      </c>
      <c r="B565" s="13" t="s">
        <v>65</v>
      </c>
      <c r="C565" s="13"/>
      <c r="D565" s="14"/>
      <c r="E565" s="14"/>
      <c r="F565" s="13" t="s">
        <v>65</v>
      </c>
      <c r="G565" s="13" t="s">
        <v>65</v>
      </c>
      <c r="H565" s="13" t="s">
        <v>65</v>
      </c>
      <c r="I565" s="13"/>
      <c r="J565" s="13" t="s">
        <v>65</v>
      </c>
      <c r="K565" s="13"/>
      <c r="L565" s="13" t="s">
        <v>65</v>
      </c>
      <c r="M565" s="13" t="s">
        <v>65</v>
      </c>
    </row>
    <row r="566" spans="1:13" x14ac:dyDescent="0.35">
      <c r="A566" s="11" t="s">
        <v>666</v>
      </c>
      <c r="B566" s="11" t="s">
        <v>65</v>
      </c>
      <c r="C566" s="11"/>
      <c r="D566" s="12"/>
      <c r="E566" s="12"/>
      <c r="F566" s="11" t="s">
        <v>65</v>
      </c>
      <c r="G566" s="11" t="s">
        <v>65</v>
      </c>
      <c r="H566" s="11" t="s">
        <v>65</v>
      </c>
      <c r="I566" s="11"/>
      <c r="J566" s="11" t="s">
        <v>65</v>
      </c>
      <c r="K566" s="11"/>
      <c r="L566" s="11" t="s">
        <v>65</v>
      </c>
      <c r="M566" s="11" t="s">
        <v>65</v>
      </c>
    </row>
    <row r="567" spans="1:13" x14ac:dyDescent="0.35">
      <c r="A567" s="13" t="s">
        <v>210</v>
      </c>
      <c r="B567" s="13" t="s">
        <v>667</v>
      </c>
      <c r="C567" s="13">
        <v>3</v>
      </c>
      <c r="D567" s="14">
        <v>45022.072916666664</v>
      </c>
      <c r="E567" s="14">
        <v>45022.206250000003</v>
      </c>
      <c r="F567" s="13" t="s">
        <v>170</v>
      </c>
      <c r="G567" s="13" t="s">
        <v>86</v>
      </c>
      <c r="H567" s="13" t="s">
        <v>74</v>
      </c>
      <c r="I567" s="13">
        <v>4262</v>
      </c>
      <c r="J567" s="13" t="s">
        <v>75</v>
      </c>
      <c r="K567" s="13">
        <v>566</v>
      </c>
      <c r="L567" s="13" t="s">
        <v>174</v>
      </c>
      <c r="M567" s="13" t="s">
        <v>47</v>
      </c>
    </row>
    <row r="568" spans="1:13" x14ac:dyDescent="0.35">
      <c r="A568" s="11" t="s">
        <v>668</v>
      </c>
      <c r="B568" s="11" t="s">
        <v>65</v>
      </c>
      <c r="C568" s="11"/>
      <c r="D568" s="12"/>
      <c r="E568" s="12"/>
      <c r="F568" s="11" t="s">
        <v>65</v>
      </c>
      <c r="G568" s="11" t="s">
        <v>65</v>
      </c>
      <c r="H568" s="11" t="s">
        <v>65</v>
      </c>
      <c r="I568" s="11"/>
      <c r="J568" s="11" t="s">
        <v>65</v>
      </c>
      <c r="K568" s="11"/>
      <c r="L568" s="11" t="s">
        <v>65</v>
      </c>
      <c r="M568" s="11" t="s">
        <v>65</v>
      </c>
    </row>
    <row r="569" spans="1:13" x14ac:dyDescent="0.35">
      <c r="A569" s="13" t="s">
        <v>669</v>
      </c>
      <c r="B569" s="13" t="s">
        <v>65</v>
      </c>
      <c r="C569" s="13"/>
      <c r="D569" s="14"/>
      <c r="E569" s="14"/>
      <c r="F569" s="13" t="s">
        <v>65</v>
      </c>
      <c r="G569" s="13" t="s">
        <v>65</v>
      </c>
      <c r="H569" s="13" t="s">
        <v>65</v>
      </c>
      <c r="I569" s="13"/>
      <c r="J569" s="13" t="s">
        <v>65</v>
      </c>
      <c r="K569" s="13"/>
      <c r="L569" s="13" t="s">
        <v>65</v>
      </c>
      <c r="M569" s="13" t="s">
        <v>65</v>
      </c>
    </row>
    <row r="570" spans="1:13" x14ac:dyDescent="0.35">
      <c r="A570" s="11" t="s">
        <v>670</v>
      </c>
      <c r="B570" s="11" t="s">
        <v>65</v>
      </c>
      <c r="C570" s="11"/>
      <c r="D570" s="12"/>
      <c r="E570" s="12"/>
      <c r="F570" s="11" t="s">
        <v>65</v>
      </c>
      <c r="G570" s="11" t="s">
        <v>65</v>
      </c>
      <c r="H570" s="11" t="s">
        <v>65</v>
      </c>
      <c r="I570" s="11"/>
      <c r="J570" s="11" t="s">
        <v>65</v>
      </c>
      <c r="K570" s="11"/>
      <c r="L570" s="11" t="s">
        <v>65</v>
      </c>
      <c r="M570" s="11" t="s">
        <v>65</v>
      </c>
    </row>
    <row r="571" spans="1:13" x14ac:dyDescent="0.35">
      <c r="A571" s="13" t="s">
        <v>671</v>
      </c>
      <c r="B571" s="13" t="s">
        <v>65</v>
      </c>
      <c r="C571" s="13"/>
      <c r="D571" s="14"/>
      <c r="E571" s="14"/>
      <c r="F571" s="13" t="s">
        <v>65</v>
      </c>
      <c r="G571" s="13" t="s">
        <v>65</v>
      </c>
      <c r="H571" s="13" t="s">
        <v>65</v>
      </c>
      <c r="I571" s="13"/>
      <c r="J571" s="13" t="s">
        <v>65</v>
      </c>
      <c r="K571" s="13"/>
      <c r="L571" s="13" t="s">
        <v>65</v>
      </c>
      <c r="M571" s="13" t="s">
        <v>65</v>
      </c>
    </row>
    <row r="572" spans="1:13" x14ac:dyDescent="0.35">
      <c r="A572" s="11" t="s">
        <v>125</v>
      </c>
      <c r="B572" s="11" t="s">
        <v>672</v>
      </c>
      <c r="C572" s="11">
        <v>2</v>
      </c>
      <c r="D572" s="12">
        <v>45022.056250000001</v>
      </c>
      <c r="E572" s="12">
        <v>45022.120833333334</v>
      </c>
      <c r="F572" s="11" t="s">
        <v>85</v>
      </c>
      <c r="G572" s="11" t="s">
        <v>86</v>
      </c>
      <c r="H572" s="11" t="s">
        <v>74</v>
      </c>
      <c r="I572" s="11">
        <v>4954</v>
      </c>
      <c r="J572" s="11" t="s">
        <v>75</v>
      </c>
      <c r="K572" s="11">
        <v>571</v>
      </c>
      <c r="L572" s="11" t="s">
        <v>76</v>
      </c>
      <c r="M572" s="11" t="s">
        <v>17</v>
      </c>
    </row>
    <row r="573" spans="1:13" x14ac:dyDescent="0.35">
      <c r="A573" s="13" t="s">
        <v>673</v>
      </c>
      <c r="B573" s="13" t="s">
        <v>65</v>
      </c>
      <c r="C573" s="13"/>
      <c r="D573" s="14"/>
      <c r="E573" s="14"/>
      <c r="F573" s="13" t="s">
        <v>65</v>
      </c>
      <c r="G573" s="13" t="s">
        <v>65</v>
      </c>
      <c r="H573" s="13" t="s">
        <v>65</v>
      </c>
      <c r="I573" s="13"/>
      <c r="J573" s="13" t="s">
        <v>65</v>
      </c>
      <c r="K573" s="13"/>
      <c r="L573" s="13" t="s">
        <v>65</v>
      </c>
      <c r="M573" s="13" t="s">
        <v>65</v>
      </c>
    </row>
    <row r="574" spans="1:13" x14ac:dyDescent="0.35">
      <c r="A574" s="11" t="s">
        <v>674</v>
      </c>
      <c r="B574" s="11" t="s">
        <v>65</v>
      </c>
      <c r="C574" s="11"/>
      <c r="D574" s="12"/>
      <c r="E574" s="12"/>
      <c r="F574" s="11" t="s">
        <v>65</v>
      </c>
      <c r="G574" s="11" t="s">
        <v>65</v>
      </c>
      <c r="H574" s="11" t="s">
        <v>65</v>
      </c>
      <c r="I574" s="11"/>
      <c r="J574" s="11" t="s">
        <v>65</v>
      </c>
      <c r="K574" s="11"/>
      <c r="L574" s="11" t="s">
        <v>65</v>
      </c>
      <c r="M574" s="11" t="s">
        <v>65</v>
      </c>
    </row>
    <row r="575" spans="1:13" x14ac:dyDescent="0.35">
      <c r="A575" s="13" t="s">
        <v>675</v>
      </c>
      <c r="B575" s="13" t="s">
        <v>65</v>
      </c>
      <c r="C575" s="13"/>
      <c r="D575" s="14"/>
      <c r="E575" s="14"/>
      <c r="F575" s="13" t="s">
        <v>65</v>
      </c>
      <c r="G575" s="13" t="s">
        <v>65</v>
      </c>
      <c r="H575" s="13" t="s">
        <v>65</v>
      </c>
      <c r="I575" s="13"/>
      <c r="J575" s="13" t="s">
        <v>65</v>
      </c>
      <c r="K575" s="13"/>
      <c r="L575" s="13" t="s">
        <v>65</v>
      </c>
      <c r="M575" s="13" t="s">
        <v>65</v>
      </c>
    </row>
    <row r="576" spans="1:13" x14ac:dyDescent="0.35">
      <c r="A576" s="11" t="s">
        <v>125</v>
      </c>
      <c r="B576" s="11" t="s">
        <v>676</v>
      </c>
      <c r="C576" s="11">
        <v>4</v>
      </c>
      <c r="D576" s="12">
        <v>45022.066666666666</v>
      </c>
      <c r="E576" s="12">
        <v>45022.197222222225</v>
      </c>
      <c r="F576" s="11" t="s">
        <v>72</v>
      </c>
      <c r="G576" s="11" t="s">
        <v>86</v>
      </c>
      <c r="H576" s="11" t="s">
        <v>74</v>
      </c>
      <c r="I576" s="11">
        <v>3352</v>
      </c>
      <c r="J576" s="11" t="s">
        <v>75</v>
      </c>
      <c r="K576" s="11">
        <v>575</v>
      </c>
      <c r="L576" s="11" t="s">
        <v>221</v>
      </c>
      <c r="M576" s="11" t="s">
        <v>45</v>
      </c>
    </row>
    <row r="577" spans="1:13" x14ac:dyDescent="0.35">
      <c r="A577" s="13" t="s">
        <v>677</v>
      </c>
      <c r="B577" s="13" t="s">
        <v>65</v>
      </c>
      <c r="C577" s="13"/>
      <c r="D577" s="14"/>
      <c r="E577" s="14"/>
      <c r="F577" s="13" t="s">
        <v>65</v>
      </c>
      <c r="G577" s="13" t="s">
        <v>65</v>
      </c>
      <c r="H577" s="13" t="s">
        <v>65</v>
      </c>
      <c r="I577" s="13"/>
      <c r="J577" s="13" t="s">
        <v>65</v>
      </c>
      <c r="K577" s="13"/>
      <c r="L577" s="13" t="s">
        <v>65</v>
      </c>
      <c r="M577" s="13" t="s">
        <v>65</v>
      </c>
    </row>
    <row r="578" spans="1:13" x14ac:dyDescent="0.35">
      <c r="A578" s="11" t="s">
        <v>678</v>
      </c>
      <c r="B578" s="11" t="s">
        <v>65</v>
      </c>
      <c r="C578" s="11"/>
      <c r="D578" s="12"/>
      <c r="E578" s="12"/>
      <c r="F578" s="11" t="s">
        <v>65</v>
      </c>
      <c r="G578" s="11" t="s">
        <v>65</v>
      </c>
      <c r="H578" s="11" t="s">
        <v>65</v>
      </c>
      <c r="I578" s="11"/>
      <c r="J578" s="11" t="s">
        <v>65</v>
      </c>
      <c r="K578" s="11"/>
      <c r="L578" s="11" t="s">
        <v>65</v>
      </c>
      <c r="M578" s="11" t="s">
        <v>65</v>
      </c>
    </row>
    <row r="579" spans="1:13" x14ac:dyDescent="0.35">
      <c r="A579" s="13" t="s">
        <v>354</v>
      </c>
      <c r="B579" s="13" t="s">
        <v>679</v>
      </c>
      <c r="C579" s="13">
        <v>6</v>
      </c>
      <c r="D579" s="14">
        <v>45022.09097222222</v>
      </c>
      <c r="E579" s="14">
        <v>45022.183333333334</v>
      </c>
      <c r="F579" s="13" t="s">
        <v>170</v>
      </c>
      <c r="G579" s="13" t="s">
        <v>86</v>
      </c>
      <c r="H579" s="13" t="s">
        <v>74</v>
      </c>
      <c r="I579" s="13">
        <v>328</v>
      </c>
      <c r="J579" s="13" t="s">
        <v>88</v>
      </c>
      <c r="K579" s="13">
        <v>578</v>
      </c>
      <c r="L579" s="13" t="s">
        <v>181</v>
      </c>
      <c r="M579" s="13" t="s">
        <v>12</v>
      </c>
    </row>
    <row r="580" spans="1:13" x14ac:dyDescent="0.35">
      <c r="A580" s="11" t="s">
        <v>247</v>
      </c>
      <c r="B580" s="11" t="s">
        <v>680</v>
      </c>
      <c r="C580" s="11">
        <v>2</v>
      </c>
      <c r="D580" s="12">
        <v>45022.006944444445</v>
      </c>
      <c r="E580" s="12">
        <v>45022.095138888886</v>
      </c>
      <c r="F580" s="11" t="s">
        <v>170</v>
      </c>
      <c r="G580" s="11" t="s">
        <v>86</v>
      </c>
      <c r="H580" s="11" t="s">
        <v>74</v>
      </c>
      <c r="I580" s="11">
        <v>3596</v>
      </c>
      <c r="J580" s="11" t="s">
        <v>75</v>
      </c>
      <c r="K580" s="11">
        <v>579</v>
      </c>
      <c r="L580" s="11" t="s">
        <v>221</v>
      </c>
      <c r="M580" s="11" t="s">
        <v>49</v>
      </c>
    </row>
    <row r="581" spans="1:13" x14ac:dyDescent="0.35">
      <c r="A581" s="13" t="s">
        <v>232</v>
      </c>
      <c r="B581" s="13" t="s">
        <v>126</v>
      </c>
      <c r="C581" s="13">
        <v>5</v>
      </c>
      <c r="D581" s="14">
        <v>45022.004166666666</v>
      </c>
      <c r="E581" s="14">
        <v>45022.054166666669</v>
      </c>
      <c r="F581" s="13" t="s">
        <v>72</v>
      </c>
      <c r="G581" s="13" t="s">
        <v>86</v>
      </c>
      <c r="H581" s="13" t="s">
        <v>109</v>
      </c>
      <c r="I581" s="13">
        <v>4454</v>
      </c>
      <c r="J581" s="13" t="s">
        <v>75</v>
      </c>
      <c r="K581" s="13">
        <v>580</v>
      </c>
      <c r="L581" s="13" t="s">
        <v>174</v>
      </c>
      <c r="M581" s="13" t="s">
        <v>25</v>
      </c>
    </row>
    <row r="582" spans="1:13" x14ac:dyDescent="0.35">
      <c r="A582" s="11" t="s">
        <v>681</v>
      </c>
      <c r="B582" s="11" t="s">
        <v>65</v>
      </c>
      <c r="C582" s="11"/>
      <c r="D582" s="12"/>
      <c r="E582" s="12"/>
      <c r="F582" s="11" t="s">
        <v>65</v>
      </c>
      <c r="G582" s="11" t="s">
        <v>65</v>
      </c>
      <c r="H582" s="11" t="s">
        <v>65</v>
      </c>
      <c r="I582" s="11"/>
      <c r="J582" s="11" t="s">
        <v>65</v>
      </c>
      <c r="K582" s="11"/>
      <c r="L582" s="11" t="s">
        <v>65</v>
      </c>
      <c r="M582" s="11" t="s">
        <v>65</v>
      </c>
    </row>
    <row r="583" spans="1:13" x14ac:dyDescent="0.35">
      <c r="A583" s="13" t="s">
        <v>308</v>
      </c>
      <c r="B583" s="13" t="s">
        <v>682</v>
      </c>
      <c r="C583" s="13">
        <v>1</v>
      </c>
      <c r="D583" s="14">
        <v>45022.158333333333</v>
      </c>
      <c r="E583" s="14">
        <v>45022.214583333334</v>
      </c>
      <c r="F583" s="13" t="s">
        <v>100</v>
      </c>
      <c r="G583" s="13" t="s">
        <v>86</v>
      </c>
      <c r="H583" s="13" t="s">
        <v>74</v>
      </c>
      <c r="I583" s="13">
        <v>2023</v>
      </c>
      <c r="J583" s="13" t="s">
        <v>94</v>
      </c>
      <c r="K583" s="13">
        <v>582</v>
      </c>
      <c r="L583" s="13" t="s">
        <v>174</v>
      </c>
      <c r="M583" s="13" t="s">
        <v>17</v>
      </c>
    </row>
    <row r="584" spans="1:13" x14ac:dyDescent="0.35">
      <c r="A584" s="11" t="s">
        <v>683</v>
      </c>
      <c r="B584" s="11" t="s">
        <v>65</v>
      </c>
      <c r="C584" s="11"/>
      <c r="D584" s="12"/>
      <c r="E584" s="12"/>
      <c r="F584" s="11" t="s">
        <v>65</v>
      </c>
      <c r="G584" s="11" t="s">
        <v>65</v>
      </c>
      <c r="H584" s="11" t="s">
        <v>65</v>
      </c>
      <c r="I584" s="11"/>
      <c r="J584" s="11" t="s">
        <v>65</v>
      </c>
      <c r="K584" s="11"/>
      <c r="L584" s="11" t="s">
        <v>65</v>
      </c>
      <c r="M584" s="11" t="s">
        <v>65</v>
      </c>
    </row>
    <row r="585" spans="1:13" x14ac:dyDescent="0.35">
      <c r="A585" s="13" t="s">
        <v>684</v>
      </c>
      <c r="B585" s="13" t="s">
        <v>65</v>
      </c>
      <c r="C585" s="13"/>
      <c r="D585" s="14"/>
      <c r="E585" s="14"/>
      <c r="F585" s="13" t="s">
        <v>65</v>
      </c>
      <c r="G585" s="13" t="s">
        <v>65</v>
      </c>
      <c r="H585" s="13" t="s">
        <v>65</v>
      </c>
      <c r="I585" s="13"/>
      <c r="J585" s="13" t="s">
        <v>65</v>
      </c>
      <c r="K585" s="13"/>
      <c r="L585" s="13" t="s">
        <v>65</v>
      </c>
      <c r="M585" s="13" t="s">
        <v>65</v>
      </c>
    </row>
    <row r="586" spans="1:13" x14ac:dyDescent="0.35">
      <c r="A586" s="11" t="s">
        <v>685</v>
      </c>
      <c r="B586" s="11" t="s">
        <v>65</v>
      </c>
      <c r="C586" s="11"/>
      <c r="D586" s="12"/>
      <c r="E586" s="12"/>
      <c r="F586" s="11" t="s">
        <v>65</v>
      </c>
      <c r="G586" s="11" t="s">
        <v>65</v>
      </c>
      <c r="H586" s="11" t="s">
        <v>65</v>
      </c>
      <c r="I586" s="11"/>
      <c r="J586" s="11" t="s">
        <v>65</v>
      </c>
      <c r="K586" s="11"/>
      <c r="L586" s="11" t="s">
        <v>65</v>
      </c>
      <c r="M586" s="11" t="s">
        <v>65</v>
      </c>
    </row>
    <row r="587" spans="1:13" x14ac:dyDescent="0.35">
      <c r="A587" s="13" t="s">
        <v>686</v>
      </c>
      <c r="B587" s="13" t="s">
        <v>65</v>
      </c>
      <c r="C587" s="13"/>
      <c r="D587" s="14"/>
      <c r="E587" s="14"/>
      <c r="F587" s="13" t="s">
        <v>65</v>
      </c>
      <c r="G587" s="13" t="s">
        <v>65</v>
      </c>
      <c r="H587" s="13" t="s">
        <v>65</v>
      </c>
      <c r="I587" s="13"/>
      <c r="J587" s="13" t="s">
        <v>65</v>
      </c>
      <c r="K587" s="13"/>
      <c r="L587" s="13" t="s">
        <v>65</v>
      </c>
      <c r="M587" s="13" t="s">
        <v>65</v>
      </c>
    </row>
    <row r="588" spans="1:13" x14ac:dyDescent="0.35">
      <c r="A588" s="11" t="s">
        <v>70</v>
      </c>
      <c r="B588" s="11" t="s">
        <v>687</v>
      </c>
      <c r="C588" s="11">
        <v>4</v>
      </c>
      <c r="D588" s="12">
        <v>45022.151388888888</v>
      </c>
      <c r="E588" s="12">
        <v>45022.195833333331</v>
      </c>
      <c r="F588" s="11" t="s">
        <v>170</v>
      </c>
      <c r="G588" s="11" t="s">
        <v>163</v>
      </c>
      <c r="H588" s="11" t="s">
        <v>74</v>
      </c>
      <c r="I588" s="11">
        <v>3503</v>
      </c>
      <c r="J588" s="11" t="s">
        <v>88</v>
      </c>
      <c r="K588" s="11">
        <v>587</v>
      </c>
      <c r="L588" s="11" t="s">
        <v>174</v>
      </c>
      <c r="M588" s="11" t="s">
        <v>9</v>
      </c>
    </row>
    <row r="589" spans="1:13" x14ac:dyDescent="0.35">
      <c r="A589" s="13" t="s">
        <v>688</v>
      </c>
      <c r="B589" s="13" t="s">
        <v>65</v>
      </c>
      <c r="C589" s="13"/>
      <c r="D589" s="14"/>
      <c r="E589" s="14"/>
      <c r="F589" s="13" t="s">
        <v>65</v>
      </c>
      <c r="G589" s="13" t="s">
        <v>65</v>
      </c>
      <c r="H589" s="13" t="s">
        <v>65</v>
      </c>
      <c r="I589" s="13"/>
      <c r="J589" s="13" t="s">
        <v>65</v>
      </c>
      <c r="K589" s="13"/>
      <c r="L589" s="13" t="s">
        <v>65</v>
      </c>
      <c r="M589" s="13" t="s">
        <v>65</v>
      </c>
    </row>
    <row r="590" spans="1:13" x14ac:dyDescent="0.35">
      <c r="A590" s="11" t="s">
        <v>689</v>
      </c>
      <c r="B590" s="11" t="s">
        <v>65</v>
      </c>
      <c r="C590" s="11"/>
      <c r="D590" s="12"/>
      <c r="E590" s="12"/>
      <c r="F590" s="11" t="s">
        <v>65</v>
      </c>
      <c r="G590" s="11" t="s">
        <v>65</v>
      </c>
      <c r="H590" s="11" t="s">
        <v>65</v>
      </c>
      <c r="I590" s="11"/>
      <c r="J590" s="11" t="s">
        <v>65</v>
      </c>
      <c r="K590" s="11"/>
      <c r="L590" s="11" t="s">
        <v>65</v>
      </c>
      <c r="M590" s="11" t="s">
        <v>65</v>
      </c>
    </row>
    <row r="591" spans="1:13" x14ac:dyDescent="0.35">
      <c r="A591" s="13" t="s">
        <v>690</v>
      </c>
      <c r="B591" s="13" t="s">
        <v>65</v>
      </c>
      <c r="C591" s="13"/>
      <c r="D591" s="14"/>
      <c r="E591" s="14"/>
      <c r="F591" s="13" t="s">
        <v>65</v>
      </c>
      <c r="G591" s="13" t="s">
        <v>65</v>
      </c>
      <c r="H591" s="13" t="s">
        <v>65</v>
      </c>
      <c r="I591" s="13"/>
      <c r="J591" s="13" t="s">
        <v>65</v>
      </c>
      <c r="K591" s="13"/>
      <c r="L591" s="13" t="s">
        <v>65</v>
      </c>
      <c r="M591" s="13" t="s">
        <v>65</v>
      </c>
    </row>
    <row r="592" spans="1:13" x14ac:dyDescent="0.35">
      <c r="A592" s="11" t="s">
        <v>354</v>
      </c>
      <c r="B592" s="11" t="s">
        <v>691</v>
      </c>
      <c r="C592" s="11">
        <v>6</v>
      </c>
      <c r="D592" s="12">
        <v>45022.155555555553</v>
      </c>
      <c r="E592" s="12">
        <v>45022.263194444444</v>
      </c>
      <c r="F592" s="11" t="s">
        <v>170</v>
      </c>
      <c r="G592" s="11" t="s">
        <v>163</v>
      </c>
      <c r="H592" s="11" t="s">
        <v>74</v>
      </c>
      <c r="I592" s="11">
        <v>4433</v>
      </c>
      <c r="J592" s="11" t="s">
        <v>75</v>
      </c>
      <c r="K592" s="11">
        <v>591</v>
      </c>
      <c r="L592" s="11" t="s">
        <v>95</v>
      </c>
      <c r="M592" s="11" t="s">
        <v>19</v>
      </c>
    </row>
    <row r="593" spans="1:13" x14ac:dyDescent="0.35">
      <c r="A593" s="13" t="s">
        <v>692</v>
      </c>
      <c r="B593" s="13" t="s">
        <v>65</v>
      </c>
      <c r="C593" s="13"/>
      <c r="D593" s="14"/>
      <c r="E593" s="14"/>
      <c r="F593" s="13" t="s">
        <v>65</v>
      </c>
      <c r="G593" s="13" t="s">
        <v>65</v>
      </c>
      <c r="H593" s="13" t="s">
        <v>65</v>
      </c>
      <c r="I593" s="13"/>
      <c r="J593" s="13" t="s">
        <v>65</v>
      </c>
      <c r="K593" s="13"/>
      <c r="L593" s="13" t="s">
        <v>65</v>
      </c>
      <c r="M593" s="13" t="s">
        <v>65</v>
      </c>
    </row>
    <row r="594" spans="1:13" x14ac:dyDescent="0.35">
      <c r="A594" s="11" t="s">
        <v>693</v>
      </c>
      <c r="B594" s="11" t="s">
        <v>65</v>
      </c>
      <c r="C594" s="11"/>
      <c r="D594" s="12"/>
      <c r="E594" s="12"/>
      <c r="F594" s="11" t="s">
        <v>65</v>
      </c>
      <c r="G594" s="11" t="s">
        <v>65</v>
      </c>
      <c r="H594" s="11" t="s">
        <v>65</v>
      </c>
      <c r="I594" s="11"/>
      <c r="J594" s="11" t="s">
        <v>65</v>
      </c>
      <c r="K594" s="11"/>
      <c r="L594" s="11" t="s">
        <v>65</v>
      </c>
      <c r="M594" s="11" t="s">
        <v>65</v>
      </c>
    </row>
    <row r="595" spans="1:13" x14ac:dyDescent="0.35">
      <c r="A595" s="13" t="s">
        <v>694</v>
      </c>
      <c r="B595" s="13" t="s">
        <v>65</v>
      </c>
      <c r="C595" s="13"/>
      <c r="D595" s="14"/>
      <c r="E595" s="14"/>
      <c r="F595" s="13" t="s">
        <v>65</v>
      </c>
      <c r="G595" s="13" t="s">
        <v>65</v>
      </c>
      <c r="H595" s="13" t="s">
        <v>65</v>
      </c>
      <c r="I595" s="13"/>
      <c r="J595" s="13" t="s">
        <v>65</v>
      </c>
      <c r="K595" s="13"/>
      <c r="L595" s="13" t="s">
        <v>65</v>
      </c>
      <c r="M595" s="13" t="s">
        <v>65</v>
      </c>
    </row>
    <row r="596" spans="1:13" x14ac:dyDescent="0.35">
      <c r="A596" s="11" t="s">
        <v>695</v>
      </c>
      <c r="B596" s="11" t="s">
        <v>65</v>
      </c>
      <c r="C596" s="11"/>
      <c r="D596" s="12"/>
      <c r="E596" s="12"/>
      <c r="F596" s="11" t="s">
        <v>65</v>
      </c>
      <c r="G596" s="11" t="s">
        <v>65</v>
      </c>
      <c r="H596" s="11" t="s">
        <v>65</v>
      </c>
      <c r="I596" s="11"/>
      <c r="J596" s="11" t="s">
        <v>65</v>
      </c>
      <c r="K596" s="11"/>
      <c r="L596" s="11" t="s">
        <v>65</v>
      </c>
      <c r="M596" s="11" t="s">
        <v>65</v>
      </c>
    </row>
    <row r="597" spans="1:13" x14ac:dyDescent="0.35">
      <c r="A597" s="13" t="s">
        <v>696</v>
      </c>
      <c r="B597" s="13" t="s">
        <v>65</v>
      </c>
      <c r="C597" s="13"/>
      <c r="D597" s="14"/>
      <c r="E597" s="14"/>
      <c r="F597" s="13" t="s">
        <v>65</v>
      </c>
      <c r="G597" s="13" t="s">
        <v>65</v>
      </c>
      <c r="H597" s="13" t="s">
        <v>65</v>
      </c>
      <c r="I597" s="13"/>
      <c r="J597" s="13" t="s">
        <v>65</v>
      </c>
      <c r="K597" s="13"/>
      <c r="L597" s="13" t="s">
        <v>65</v>
      </c>
      <c r="M597" s="13" t="s">
        <v>65</v>
      </c>
    </row>
    <row r="598" spans="1:13" x14ac:dyDescent="0.35">
      <c r="A598" s="11" t="s">
        <v>697</v>
      </c>
      <c r="B598" s="11" t="s">
        <v>65</v>
      </c>
      <c r="C598" s="11"/>
      <c r="D598" s="12"/>
      <c r="E598" s="12"/>
      <c r="F598" s="11" t="s">
        <v>65</v>
      </c>
      <c r="G598" s="11" t="s">
        <v>65</v>
      </c>
      <c r="H598" s="11" t="s">
        <v>65</v>
      </c>
      <c r="I598" s="11"/>
      <c r="J598" s="11" t="s">
        <v>65</v>
      </c>
      <c r="K598" s="11"/>
      <c r="L598" s="11" t="s">
        <v>65</v>
      </c>
      <c r="M598" s="11" t="s">
        <v>65</v>
      </c>
    </row>
    <row r="599" spans="1:13" x14ac:dyDescent="0.35">
      <c r="A599" s="13" t="s">
        <v>698</v>
      </c>
      <c r="B599" s="13" t="s">
        <v>65</v>
      </c>
      <c r="C599" s="13"/>
      <c r="D599" s="14"/>
      <c r="E599" s="14"/>
      <c r="F599" s="13" t="s">
        <v>65</v>
      </c>
      <c r="G599" s="13" t="s">
        <v>65</v>
      </c>
      <c r="H599" s="13" t="s">
        <v>65</v>
      </c>
      <c r="I599" s="13"/>
      <c r="J599" s="13" t="s">
        <v>65</v>
      </c>
      <c r="K599" s="13"/>
      <c r="L599" s="13" t="s">
        <v>65</v>
      </c>
      <c r="M599" s="13" t="s">
        <v>65</v>
      </c>
    </row>
    <row r="600" spans="1:13" x14ac:dyDescent="0.35">
      <c r="A600" s="11" t="s">
        <v>699</v>
      </c>
      <c r="B600" s="11" t="s">
        <v>65</v>
      </c>
      <c r="C600" s="11"/>
      <c r="D600" s="12"/>
      <c r="E600" s="12"/>
      <c r="F600" s="11" t="s">
        <v>65</v>
      </c>
      <c r="G600" s="11" t="s">
        <v>65</v>
      </c>
      <c r="H600" s="11" t="s">
        <v>65</v>
      </c>
      <c r="I600" s="11"/>
      <c r="J600" s="11" t="s">
        <v>65</v>
      </c>
      <c r="K600" s="11"/>
      <c r="L600" s="11" t="s">
        <v>65</v>
      </c>
      <c r="M600" s="11" t="s">
        <v>65</v>
      </c>
    </row>
    <row r="601" spans="1:13" x14ac:dyDescent="0.35">
      <c r="A601" s="13" t="s">
        <v>700</v>
      </c>
      <c r="B601" s="13" t="s">
        <v>65</v>
      </c>
      <c r="C601" s="13"/>
      <c r="D601" s="14"/>
      <c r="E601" s="14"/>
      <c r="F601" s="13" t="s">
        <v>65</v>
      </c>
      <c r="G601" s="13" t="s">
        <v>65</v>
      </c>
      <c r="H601" s="13" t="s">
        <v>65</v>
      </c>
      <c r="I601" s="13"/>
      <c r="J601" s="13" t="s">
        <v>65</v>
      </c>
      <c r="K601" s="13"/>
      <c r="L601" s="13" t="s">
        <v>65</v>
      </c>
      <c r="M601" s="13" t="s">
        <v>65</v>
      </c>
    </row>
    <row r="602" spans="1:13" x14ac:dyDescent="0.35">
      <c r="A602" s="11" t="s">
        <v>701</v>
      </c>
      <c r="B602" s="11" t="s">
        <v>65</v>
      </c>
      <c r="C602" s="11"/>
      <c r="D602" s="12"/>
      <c r="E602" s="12"/>
      <c r="F602" s="11" t="s">
        <v>65</v>
      </c>
      <c r="G602" s="11" t="s">
        <v>65</v>
      </c>
      <c r="H602" s="11" t="s">
        <v>65</v>
      </c>
      <c r="I602" s="11"/>
      <c r="J602" s="11" t="s">
        <v>65</v>
      </c>
      <c r="K602" s="11"/>
      <c r="L602" s="11" t="s">
        <v>65</v>
      </c>
      <c r="M602" s="11" t="s">
        <v>65</v>
      </c>
    </row>
    <row r="603" spans="1:13" x14ac:dyDescent="0.35">
      <c r="A603" s="13" t="s">
        <v>702</v>
      </c>
      <c r="B603" s="13" t="s">
        <v>65</v>
      </c>
      <c r="C603" s="13"/>
      <c r="D603" s="14"/>
      <c r="E603" s="14"/>
      <c r="F603" s="13" t="s">
        <v>65</v>
      </c>
      <c r="G603" s="13" t="s">
        <v>65</v>
      </c>
      <c r="H603" s="13" t="s">
        <v>65</v>
      </c>
      <c r="I603" s="13"/>
      <c r="J603" s="13" t="s">
        <v>65</v>
      </c>
      <c r="K603" s="13"/>
      <c r="L603" s="13" t="s">
        <v>65</v>
      </c>
      <c r="M603" s="13" t="s">
        <v>65</v>
      </c>
    </row>
    <row r="604" spans="1:13" x14ac:dyDescent="0.35">
      <c r="A604" s="11" t="s">
        <v>177</v>
      </c>
      <c r="B604" s="11" t="s">
        <v>703</v>
      </c>
      <c r="C604" s="11">
        <v>6</v>
      </c>
      <c r="D604" s="12">
        <v>45022.035416666666</v>
      </c>
      <c r="E604" s="12">
        <v>45022.181250000001</v>
      </c>
      <c r="F604" s="11" t="s">
        <v>223</v>
      </c>
      <c r="G604" s="11" t="s">
        <v>86</v>
      </c>
      <c r="H604" s="11" t="s">
        <v>74</v>
      </c>
      <c r="I604" s="11">
        <v>242</v>
      </c>
      <c r="J604" s="11" t="s">
        <v>75</v>
      </c>
      <c r="K604" s="11">
        <v>603</v>
      </c>
      <c r="L604" s="11" t="s">
        <v>174</v>
      </c>
      <c r="M604" s="11" t="s">
        <v>15</v>
      </c>
    </row>
    <row r="605" spans="1:13" x14ac:dyDescent="0.35">
      <c r="A605" s="13" t="s">
        <v>267</v>
      </c>
      <c r="B605" s="13" t="s">
        <v>704</v>
      </c>
      <c r="C605" s="13">
        <v>5</v>
      </c>
      <c r="D605" s="14">
        <v>45022.054166666669</v>
      </c>
      <c r="E605" s="14">
        <v>45022.219444444447</v>
      </c>
      <c r="F605" s="13" t="s">
        <v>100</v>
      </c>
      <c r="G605" s="13" t="s">
        <v>86</v>
      </c>
      <c r="H605" s="13" t="s">
        <v>74</v>
      </c>
      <c r="I605" s="13">
        <v>426</v>
      </c>
      <c r="J605" s="13" t="s">
        <v>88</v>
      </c>
      <c r="K605" s="13">
        <v>604</v>
      </c>
      <c r="L605" s="13" t="s">
        <v>187</v>
      </c>
      <c r="M605" s="13" t="s">
        <v>31</v>
      </c>
    </row>
    <row r="606" spans="1:13" x14ac:dyDescent="0.35">
      <c r="A606" s="11" t="s">
        <v>705</v>
      </c>
      <c r="B606" s="11" t="s">
        <v>65</v>
      </c>
      <c r="C606" s="11"/>
      <c r="D606" s="12"/>
      <c r="E606" s="12"/>
      <c r="F606" s="11" t="s">
        <v>65</v>
      </c>
      <c r="G606" s="11" t="s">
        <v>65</v>
      </c>
      <c r="H606" s="11" t="s">
        <v>65</v>
      </c>
      <c r="I606" s="11"/>
      <c r="J606" s="11" t="s">
        <v>65</v>
      </c>
      <c r="K606" s="11"/>
      <c r="L606" s="11" t="s">
        <v>65</v>
      </c>
      <c r="M606" s="11" t="s">
        <v>65</v>
      </c>
    </row>
    <row r="607" spans="1:13" x14ac:dyDescent="0.35">
      <c r="A607" s="13" t="s">
        <v>706</v>
      </c>
      <c r="B607" s="13" t="s">
        <v>65</v>
      </c>
      <c r="C607" s="13"/>
      <c r="D607" s="14"/>
      <c r="E607" s="14"/>
      <c r="F607" s="13" t="s">
        <v>65</v>
      </c>
      <c r="G607" s="13" t="s">
        <v>65</v>
      </c>
      <c r="H607" s="13" t="s">
        <v>65</v>
      </c>
      <c r="I607" s="13"/>
      <c r="J607" s="13" t="s">
        <v>65</v>
      </c>
      <c r="K607" s="13"/>
      <c r="L607" s="13" t="s">
        <v>65</v>
      </c>
      <c r="M607" s="13" t="s">
        <v>65</v>
      </c>
    </row>
    <row r="608" spans="1:13" x14ac:dyDescent="0.35">
      <c r="A608" s="11" t="s">
        <v>707</v>
      </c>
      <c r="B608" s="11" t="s">
        <v>65</v>
      </c>
      <c r="C608" s="11"/>
      <c r="D608" s="12"/>
      <c r="E608" s="12"/>
      <c r="F608" s="11" t="s">
        <v>65</v>
      </c>
      <c r="G608" s="11" t="s">
        <v>65</v>
      </c>
      <c r="H608" s="11" t="s">
        <v>65</v>
      </c>
      <c r="I608" s="11"/>
      <c r="J608" s="11" t="s">
        <v>65</v>
      </c>
      <c r="K608" s="11"/>
      <c r="L608" s="11" t="s">
        <v>65</v>
      </c>
      <c r="M608" s="11" t="s">
        <v>65</v>
      </c>
    </row>
    <row r="609" spans="1:13" x14ac:dyDescent="0.35">
      <c r="A609" s="13" t="s">
        <v>70</v>
      </c>
      <c r="B609" s="13" t="s">
        <v>708</v>
      </c>
      <c r="C609" s="13">
        <v>6</v>
      </c>
      <c r="D609" s="14">
        <v>45022.165277777778</v>
      </c>
      <c r="E609" s="14">
        <v>45022.305555555555</v>
      </c>
      <c r="F609" s="13" t="s">
        <v>170</v>
      </c>
      <c r="G609" s="13" t="s">
        <v>86</v>
      </c>
      <c r="H609" s="13" t="s">
        <v>74</v>
      </c>
      <c r="I609" s="13">
        <v>3655</v>
      </c>
      <c r="J609" s="13" t="s">
        <v>94</v>
      </c>
      <c r="K609" s="13">
        <v>608</v>
      </c>
      <c r="L609" s="13" t="s">
        <v>181</v>
      </c>
      <c r="M609" s="13" t="s">
        <v>23</v>
      </c>
    </row>
    <row r="610" spans="1:13" x14ac:dyDescent="0.35">
      <c r="A610" s="11" t="s">
        <v>161</v>
      </c>
      <c r="B610" s="11" t="s">
        <v>312</v>
      </c>
      <c r="C610" s="11">
        <v>4</v>
      </c>
      <c r="D610" s="12">
        <v>45022.140972222223</v>
      </c>
      <c r="E610" s="12">
        <v>45022.293055555558</v>
      </c>
      <c r="F610" s="11" t="s">
        <v>223</v>
      </c>
      <c r="G610" s="11" t="s">
        <v>86</v>
      </c>
      <c r="H610" s="11" t="s">
        <v>74</v>
      </c>
      <c r="I610" s="11">
        <v>2329</v>
      </c>
      <c r="J610" s="11" t="s">
        <v>94</v>
      </c>
      <c r="K610" s="11">
        <v>609</v>
      </c>
      <c r="L610" s="11" t="s">
        <v>187</v>
      </c>
      <c r="M610" s="11" t="s">
        <v>33</v>
      </c>
    </row>
    <row r="611" spans="1:13" x14ac:dyDescent="0.35">
      <c r="A611" s="13" t="s">
        <v>709</v>
      </c>
      <c r="B611" s="13" t="s">
        <v>65</v>
      </c>
      <c r="C611" s="13"/>
      <c r="D611" s="14"/>
      <c r="E611" s="14"/>
      <c r="F611" s="13" t="s">
        <v>65</v>
      </c>
      <c r="G611" s="13" t="s">
        <v>65</v>
      </c>
      <c r="H611" s="13" t="s">
        <v>65</v>
      </c>
      <c r="I611" s="13"/>
      <c r="J611" s="13" t="s">
        <v>65</v>
      </c>
      <c r="K611" s="13"/>
      <c r="L611" s="13" t="s">
        <v>65</v>
      </c>
      <c r="M611" s="13" t="s">
        <v>65</v>
      </c>
    </row>
    <row r="612" spans="1:13" x14ac:dyDescent="0.35">
      <c r="A612" s="11" t="s">
        <v>710</v>
      </c>
      <c r="B612" s="11" t="s">
        <v>65</v>
      </c>
      <c r="C612" s="11"/>
      <c r="D612" s="12"/>
      <c r="E612" s="12"/>
      <c r="F612" s="11" t="s">
        <v>65</v>
      </c>
      <c r="G612" s="11" t="s">
        <v>65</v>
      </c>
      <c r="H612" s="11" t="s">
        <v>65</v>
      </c>
      <c r="I612" s="11"/>
      <c r="J612" s="11" t="s">
        <v>65</v>
      </c>
      <c r="K612" s="11"/>
      <c r="L612" s="11" t="s">
        <v>65</v>
      </c>
      <c r="M612" s="11" t="s">
        <v>65</v>
      </c>
    </row>
    <row r="613" spans="1:13" x14ac:dyDescent="0.35">
      <c r="A613" s="13" t="s">
        <v>711</v>
      </c>
      <c r="B613" s="13" t="s">
        <v>65</v>
      </c>
      <c r="C613" s="13"/>
      <c r="D613" s="14"/>
      <c r="E613" s="14"/>
      <c r="F613" s="13" t="s">
        <v>65</v>
      </c>
      <c r="G613" s="13" t="s">
        <v>65</v>
      </c>
      <c r="H613" s="13" t="s">
        <v>65</v>
      </c>
      <c r="I613" s="13"/>
      <c r="J613" s="13" t="s">
        <v>65</v>
      </c>
      <c r="K613" s="13"/>
      <c r="L613" s="13" t="s">
        <v>65</v>
      </c>
      <c r="M613" s="13" t="s">
        <v>65</v>
      </c>
    </row>
    <row r="614" spans="1:13" x14ac:dyDescent="0.35">
      <c r="A614" s="11" t="s">
        <v>712</v>
      </c>
      <c r="B614" s="11" t="s">
        <v>65</v>
      </c>
      <c r="C614" s="11"/>
      <c r="D614" s="12"/>
      <c r="E614" s="12"/>
      <c r="F614" s="11" t="s">
        <v>65</v>
      </c>
      <c r="G614" s="11" t="s">
        <v>65</v>
      </c>
      <c r="H614" s="11" t="s">
        <v>65</v>
      </c>
      <c r="I614" s="11"/>
      <c r="J614" s="11" t="s">
        <v>65</v>
      </c>
      <c r="K614" s="11"/>
      <c r="L614" s="11" t="s">
        <v>65</v>
      </c>
      <c r="M614" s="11" t="s">
        <v>65</v>
      </c>
    </row>
    <row r="615" spans="1:13" x14ac:dyDescent="0.35">
      <c r="A615" s="13" t="s">
        <v>177</v>
      </c>
      <c r="B615" s="13" t="s">
        <v>439</v>
      </c>
      <c r="C615" s="13">
        <v>6</v>
      </c>
      <c r="D615" s="14">
        <v>45022.105555555558</v>
      </c>
      <c r="E615" s="14">
        <v>45022.192361111112</v>
      </c>
      <c r="F615" s="13" t="s">
        <v>223</v>
      </c>
      <c r="G615" s="13" t="s">
        <v>163</v>
      </c>
      <c r="H615" s="13" t="s">
        <v>109</v>
      </c>
      <c r="I615" s="13">
        <v>2648</v>
      </c>
      <c r="J615" s="13" t="s">
        <v>94</v>
      </c>
      <c r="K615" s="13">
        <v>614</v>
      </c>
      <c r="L615" s="13" t="s">
        <v>275</v>
      </c>
      <c r="M615" s="13" t="s">
        <v>9</v>
      </c>
    </row>
    <row r="616" spans="1:13" x14ac:dyDescent="0.35">
      <c r="A616" s="11" t="s">
        <v>713</v>
      </c>
      <c r="B616" s="11" t="s">
        <v>65</v>
      </c>
      <c r="C616" s="11"/>
      <c r="D616" s="12"/>
      <c r="E616" s="12"/>
      <c r="F616" s="11" t="s">
        <v>65</v>
      </c>
      <c r="G616" s="11" t="s">
        <v>65</v>
      </c>
      <c r="H616" s="11" t="s">
        <v>65</v>
      </c>
      <c r="I616" s="11"/>
      <c r="J616" s="11" t="s">
        <v>65</v>
      </c>
      <c r="K616" s="11"/>
      <c r="L616" s="11" t="s">
        <v>65</v>
      </c>
      <c r="M616" s="11" t="s">
        <v>65</v>
      </c>
    </row>
    <row r="617" spans="1:13" x14ac:dyDescent="0.35">
      <c r="A617" s="13" t="s">
        <v>714</v>
      </c>
      <c r="B617" s="13" t="s">
        <v>65</v>
      </c>
      <c r="C617" s="13"/>
      <c r="D617" s="14"/>
      <c r="E617" s="14"/>
      <c r="F617" s="13" t="s">
        <v>65</v>
      </c>
      <c r="G617" s="13" t="s">
        <v>65</v>
      </c>
      <c r="H617" s="13" t="s">
        <v>65</v>
      </c>
      <c r="I617" s="13"/>
      <c r="J617" s="13" t="s">
        <v>65</v>
      </c>
      <c r="K617" s="13"/>
      <c r="L617" s="13" t="s">
        <v>65</v>
      </c>
      <c r="M617" s="13" t="s">
        <v>65</v>
      </c>
    </row>
    <row r="618" spans="1:13" x14ac:dyDescent="0.35">
      <c r="A618" s="11" t="s">
        <v>715</v>
      </c>
      <c r="B618" s="11" t="s">
        <v>65</v>
      </c>
      <c r="C618" s="11"/>
      <c r="D618" s="12"/>
      <c r="E618" s="12"/>
      <c r="F618" s="11" t="s">
        <v>65</v>
      </c>
      <c r="G618" s="11" t="s">
        <v>65</v>
      </c>
      <c r="H618" s="11" t="s">
        <v>65</v>
      </c>
      <c r="I618" s="11"/>
      <c r="J618" s="11" t="s">
        <v>65</v>
      </c>
      <c r="K618" s="11"/>
      <c r="L618" s="11" t="s">
        <v>65</v>
      </c>
      <c r="M618" s="11" t="s">
        <v>65</v>
      </c>
    </row>
    <row r="619" spans="1:13" x14ac:dyDescent="0.35">
      <c r="A619" s="13" t="s">
        <v>716</v>
      </c>
      <c r="B619" s="13" t="s">
        <v>65</v>
      </c>
      <c r="C619" s="13"/>
      <c r="D619" s="14"/>
      <c r="E619" s="14"/>
      <c r="F619" s="13" t="s">
        <v>65</v>
      </c>
      <c r="G619" s="13" t="s">
        <v>65</v>
      </c>
      <c r="H619" s="13" t="s">
        <v>65</v>
      </c>
      <c r="I619" s="13"/>
      <c r="J619" s="13" t="s">
        <v>65</v>
      </c>
      <c r="K619" s="13"/>
      <c r="L619" s="13" t="s">
        <v>65</v>
      </c>
      <c r="M619" s="13" t="s">
        <v>65</v>
      </c>
    </row>
    <row r="620" spans="1:13" x14ac:dyDescent="0.35">
      <c r="A620" s="11" t="s">
        <v>717</v>
      </c>
      <c r="B620" s="11" t="s">
        <v>65</v>
      </c>
      <c r="C620" s="11"/>
      <c r="D620" s="12"/>
      <c r="E620" s="12"/>
      <c r="F620" s="11" t="s">
        <v>65</v>
      </c>
      <c r="G620" s="11" t="s">
        <v>65</v>
      </c>
      <c r="H620" s="11" t="s">
        <v>65</v>
      </c>
      <c r="I620" s="11"/>
      <c r="J620" s="11" t="s">
        <v>65</v>
      </c>
      <c r="K620" s="11"/>
      <c r="L620" s="11" t="s">
        <v>65</v>
      </c>
      <c r="M620" s="11" t="s">
        <v>65</v>
      </c>
    </row>
    <row r="621" spans="1:13" x14ac:dyDescent="0.35">
      <c r="A621" s="13" t="s">
        <v>224</v>
      </c>
      <c r="B621" s="13" t="s">
        <v>718</v>
      </c>
      <c r="C621" s="13">
        <v>3</v>
      </c>
      <c r="D621" s="14">
        <v>45022.117361111108</v>
      </c>
      <c r="E621" s="14">
        <v>45022.254861111112</v>
      </c>
      <c r="F621" s="13" t="s">
        <v>72</v>
      </c>
      <c r="G621" s="13" t="s">
        <v>86</v>
      </c>
      <c r="H621" s="13" t="s">
        <v>74</v>
      </c>
      <c r="I621" s="13">
        <v>2664</v>
      </c>
      <c r="J621" s="13" t="s">
        <v>94</v>
      </c>
      <c r="K621" s="13">
        <v>620</v>
      </c>
      <c r="L621" s="13" t="s">
        <v>221</v>
      </c>
      <c r="M621" s="13" t="s">
        <v>29</v>
      </c>
    </row>
    <row r="622" spans="1:13" x14ac:dyDescent="0.35">
      <c r="A622" s="11" t="s">
        <v>121</v>
      </c>
      <c r="B622" s="11" t="s">
        <v>719</v>
      </c>
      <c r="C622" s="11">
        <v>2</v>
      </c>
      <c r="D622" s="12">
        <v>45022.047222222223</v>
      </c>
      <c r="E622" s="12">
        <v>45022.102083333331</v>
      </c>
      <c r="F622" s="11" t="s">
        <v>100</v>
      </c>
      <c r="G622" s="11" t="s">
        <v>86</v>
      </c>
      <c r="H622" s="11" t="s">
        <v>74</v>
      </c>
      <c r="I622" s="11">
        <v>4227</v>
      </c>
      <c r="J622" s="11" t="s">
        <v>88</v>
      </c>
      <c r="K622" s="11">
        <v>621</v>
      </c>
      <c r="L622" s="11" t="s">
        <v>187</v>
      </c>
      <c r="M622" s="11" t="s">
        <v>31</v>
      </c>
    </row>
    <row r="623" spans="1:13" x14ac:dyDescent="0.35">
      <c r="A623" s="13" t="s">
        <v>720</v>
      </c>
      <c r="B623" s="13" t="s">
        <v>65</v>
      </c>
      <c r="C623" s="13"/>
      <c r="D623" s="14"/>
      <c r="E623" s="14"/>
      <c r="F623" s="13" t="s">
        <v>65</v>
      </c>
      <c r="G623" s="13" t="s">
        <v>65</v>
      </c>
      <c r="H623" s="13" t="s">
        <v>65</v>
      </c>
      <c r="I623" s="13"/>
      <c r="J623" s="13" t="s">
        <v>65</v>
      </c>
      <c r="K623" s="13"/>
      <c r="L623" s="13" t="s">
        <v>65</v>
      </c>
      <c r="M623" s="13" t="s">
        <v>65</v>
      </c>
    </row>
    <row r="624" spans="1:13" x14ac:dyDescent="0.35">
      <c r="A624" s="11" t="s">
        <v>721</v>
      </c>
      <c r="B624" s="11" t="s">
        <v>65</v>
      </c>
      <c r="C624" s="11"/>
      <c r="D624" s="12"/>
      <c r="E624" s="12"/>
      <c r="F624" s="11" t="s">
        <v>65</v>
      </c>
      <c r="G624" s="11" t="s">
        <v>65</v>
      </c>
      <c r="H624" s="11" t="s">
        <v>65</v>
      </c>
      <c r="I624" s="11"/>
      <c r="J624" s="11" t="s">
        <v>65</v>
      </c>
      <c r="K624" s="11"/>
      <c r="L624" s="11" t="s">
        <v>65</v>
      </c>
      <c r="M624" s="11" t="s">
        <v>65</v>
      </c>
    </row>
    <row r="625" spans="1:13" x14ac:dyDescent="0.35">
      <c r="A625" s="13" t="s">
        <v>722</v>
      </c>
      <c r="B625" s="13" t="s">
        <v>65</v>
      </c>
      <c r="C625" s="13"/>
      <c r="D625" s="14"/>
      <c r="E625" s="14"/>
      <c r="F625" s="13" t="s">
        <v>65</v>
      </c>
      <c r="G625" s="13" t="s">
        <v>65</v>
      </c>
      <c r="H625" s="13" t="s">
        <v>65</v>
      </c>
      <c r="I625" s="13"/>
      <c r="J625" s="13" t="s">
        <v>65</v>
      </c>
      <c r="K625" s="13"/>
      <c r="L625" s="13" t="s">
        <v>65</v>
      </c>
      <c r="M625" s="13" t="s">
        <v>65</v>
      </c>
    </row>
    <row r="626" spans="1:13" x14ac:dyDescent="0.35">
      <c r="A626" s="11" t="s">
        <v>723</v>
      </c>
      <c r="B626" s="11" t="s">
        <v>65</v>
      </c>
      <c r="C626" s="11"/>
      <c r="D626" s="12"/>
      <c r="E626" s="12"/>
      <c r="F626" s="11" t="s">
        <v>65</v>
      </c>
      <c r="G626" s="11" t="s">
        <v>65</v>
      </c>
      <c r="H626" s="11" t="s">
        <v>65</v>
      </c>
      <c r="I626" s="11"/>
      <c r="J626" s="11" t="s">
        <v>65</v>
      </c>
      <c r="K626" s="11"/>
      <c r="L626" s="11" t="s">
        <v>65</v>
      </c>
      <c r="M626" s="11" t="s">
        <v>65</v>
      </c>
    </row>
    <row r="627" spans="1:13" x14ac:dyDescent="0.35">
      <c r="A627" s="13" t="s">
        <v>724</v>
      </c>
      <c r="B627" s="13" t="s">
        <v>65</v>
      </c>
      <c r="C627" s="13"/>
      <c r="D627" s="14"/>
      <c r="E627" s="14"/>
      <c r="F627" s="13" t="s">
        <v>65</v>
      </c>
      <c r="G627" s="13" t="s">
        <v>65</v>
      </c>
      <c r="H627" s="13" t="s">
        <v>65</v>
      </c>
      <c r="I627" s="13"/>
      <c r="J627" s="13" t="s">
        <v>65</v>
      </c>
      <c r="K627" s="13"/>
      <c r="L627" s="13" t="s">
        <v>65</v>
      </c>
      <c r="M627" s="13" t="s">
        <v>65</v>
      </c>
    </row>
    <row r="628" spans="1:13" x14ac:dyDescent="0.35">
      <c r="A628" s="11" t="s">
        <v>210</v>
      </c>
      <c r="B628" s="11" t="s">
        <v>725</v>
      </c>
      <c r="C628" s="11">
        <v>3</v>
      </c>
      <c r="D628" s="12">
        <v>45022.099305555559</v>
      </c>
      <c r="E628" s="12">
        <v>45022.175694444442</v>
      </c>
      <c r="F628" s="11" t="s">
        <v>170</v>
      </c>
      <c r="G628" s="11" t="s">
        <v>86</v>
      </c>
      <c r="H628" s="11" t="s">
        <v>74</v>
      </c>
      <c r="I628" s="11">
        <v>4424</v>
      </c>
      <c r="J628" s="11" t="s">
        <v>88</v>
      </c>
      <c r="K628" s="11">
        <v>627</v>
      </c>
      <c r="L628" s="11" t="s">
        <v>187</v>
      </c>
      <c r="M628" s="11" t="s">
        <v>43</v>
      </c>
    </row>
    <row r="629" spans="1:13" x14ac:dyDescent="0.35">
      <c r="A629" s="13" t="s">
        <v>726</v>
      </c>
      <c r="B629" s="13" t="s">
        <v>65</v>
      </c>
      <c r="C629" s="13"/>
      <c r="D629" s="14"/>
      <c r="E629" s="14"/>
      <c r="F629" s="13" t="s">
        <v>65</v>
      </c>
      <c r="G629" s="13" t="s">
        <v>65</v>
      </c>
      <c r="H629" s="13" t="s">
        <v>65</v>
      </c>
      <c r="I629" s="13"/>
      <c r="J629" s="13" t="s">
        <v>65</v>
      </c>
      <c r="K629" s="13"/>
      <c r="L629" s="13" t="s">
        <v>65</v>
      </c>
      <c r="M629" s="13" t="s">
        <v>65</v>
      </c>
    </row>
    <row r="630" spans="1:13" x14ac:dyDescent="0.35">
      <c r="A630" s="11" t="s">
        <v>727</v>
      </c>
      <c r="B630" s="11" t="s">
        <v>65</v>
      </c>
      <c r="C630" s="11"/>
      <c r="D630" s="12"/>
      <c r="E630" s="12"/>
      <c r="F630" s="11" t="s">
        <v>65</v>
      </c>
      <c r="G630" s="11" t="s">
        <v>65</v>
      </c>
      <c r="H630" s="11" t="s">
        <v>65</v>
      </c>
      <c r="I630" s="11"/>
      <c r="J630" s="11" t="s">
        <v>65</v>
      </c>
      <c r="K630" s="11"/>
      <c r="L630" s="11" t="s">
        <v>65</v>
      </c>
      <c r="M630" s="11" t="s">
        <v>65</v>
      </c>
    </row>
    <row r="631" spans="1:13" x14ac:dyDescent="0.35">
      <c r="A631" s="13" t="s">
        <v>728</v>
      </c>
      <c r="B631" s="13" t="s">
        <v>65</v>
      </c>
      <c r="C631" s="13"/>
      <c r="D631" s="14"/>
      <c r="E631" s="14"/>
      <c r="F631" s="13" t="s">
        <v>65</v>
      </c>
      <c r="G631" s="13" t="s">
        <v>65</v>
      </c>
      <c r="H631" s="13" t="s">
        <v>65</v>
      </c>
      <c r="I631" s="13"/>
      <c r="J631" s="13" t="s">
        <v>65</v>
      </c>
      <c r="K631" s="13"/>
      <c r="L631" s="13" t="s">
        <v>65</v>
      </c>
      <c r="M631" s="13" t="s">
        <v>65</v>
      </c>
    </row>
    <row r="632" spans="1:13" x14ac:dyDescent="0.35">
      <c r="A632" s="11" t="s">
        <v>185</v>
      </c>
      <c r="B632" s="11" t="s">
        <v>729</v>
      </c>
      <c r="C632" s="11">
        <v>1</v>
      </c>
      <c r="D632" s="12">
        <v>45022.01458333333</v>
      </c>
      <c r="E632" s="12">
        <v>45022.118750000001</v>
      </c>
      <c r="F632" s="11" t="s">
        <v>85</v>
      </c>
      <c r="G632" s="11" t="s">
        <v>73</v>
      </c>
      <c r="H632" s="11" t="s">
        <v>74</v>
      </c>
      <c r="I632" s="11">
        <v>3971</v>
      </c>
      <c r="J632" s="11" t="s">
        <v>94</v>
      </c>
      <c r="K632" s="11">
        <v>631</v>
      </c>
      <c r="L632" s="11" t="s">
        <v>110</v>
      </c>
      <c r="M632" s="11" t="s">
        <v>35</v>
      </c>
    </row>
    <row r="633" spans="1:13" x14ac:dyDescent="0.35">
      <c r="A633" s="13" t="s">
        <v>730</v>
      </c>
      <c r="B633" s="13" t="s">
        <v>65</v>
      </c>
      <c r="C633" s="13"/>
      <c r="D633" s="14"/>
      <c r="E633" s="14"/>
      <c r="F633" s="13" t="s">
        <v>65</v>
      </c>
      <c r="G633" s="13" t="s">
        <v>65</v>
      </c>
      <c r="H633" s="13" t="s">
        <v>65</v>
      </c>
      <c r="I633" s="13"/>
      <c r="J633" s="13" t="s">
        <v>65</v>
      </c>
      <c r="K633" s="13"/>
      <c r="L633" s="13" t="s">
        <v>65</v>
      </c>
      <c r="M633" s="13" t="s">
        <v>65</v>
      </c>
    </row>
    <row r="634" spans="1:13" x14ac:dyDescent="0.35">
      <c r="A634" s="11" t="s">
        <v>731</v>
      </c>
      <c r="B634" s="11" t="s">
        <v>65</v>
      </c>
      <c r="C634" s="11"/>
      <c r="D634" s="12"/>
      <c r="E634" s="12"/>
      <c r="F634" s="11" t="s">
        <v>65</v>
      </c>
      <c r="G634" s="11" t="s">
        <v>65</v>
      </c>
      <c r="H634" s="11" t="s">
        <v>65</v>
      </c>
      <c r="I634" s="11"/>
      <c r="J634" s="11" t="s">
        <v>65</v>
      </c>
      <c r="K634" s="11"/>
      <c r="L634" s="11" t="s">
        <v>65</v>
      </c>
      <c r="M634" s="11" t="s">
        <v>65</v>
      </c>
    </row>
    <row r="635" spans="1:13" x14ac:dyDescent="0.35">
      <c r="A635" s="13" t="s">
        <v>732</v>
      </c>
      <c r="B635" s="13" t="s">
        <v>65</v>
      </c>
      <c r="C635" s="13"/>
      <c r="D635" s="14"/>
      <c r="E635" s="14"/>
      <c r="F635" s="13" t="s">
        <v>65</v>
      </c>
      <c r="G635" s="13" t="s">
        <v>65</v>
      </c>
      <c r="H635" s="13" t="s">
        <v>65</v>
      </c>
      <c r="I635" s="13"/>
      <c r="J635" s="13" t="s">
        <v>65</v>
      </c>
      <c r="K635" s="13"/>
      <c r="L635" s="13" t="s">
        <v>65</v>
      </c>
      <c r="M635" s="13" t="s">
        <v>65</v>
      </c>
    </row>
    <row r="636" spans="1:13" x14ac:dyDescent="0.35">
      <c r="A636" s="11" t="s">
        <v>121</v>
      </c>
      <c r="B636" s="11" t="s">
        <v>733</v>
      </c>
      <c r="C636" s="11">
        <v>2</v>
      </c>
      <c r="D636" s="12">
        <v>45022.011805555558</v>
      </c>
      <c r="E636" s="12">
        <v>45022.12777777778</v>
      </c>
      <c r="F636" s="11" t="s">
        <v>100</v>
      </c>
      <c r="G636" s="11" t="s">
        <v>86</v>
      </c>
      <c r="H636" s="11" t="s">
        <v>74</v>
      </c>
      <c r="I636" s="11">
        <v>2215</v>
      </c>
      <c r="J636" s="11" t="s">
        <v>75</v>
      </c>
      <c r="K636" s="11">
        <v>635</v>
      </c>
      <c r="L636" s="11" t="s">
        <v>76</v>
      </c>
      <c r="M636" s="11" t="s">
        <v>23</v>
      </c>
    </row>
    <row r="637" spans="1:13" x14ac:dyDescent="0.35">
      <c r="A637" s="13" t="s">
        <v>734</v>
      </c>
      <c r="B637" s="13" t="s">
        <v>65</v>
      </c>
      <c r="C637" s="13"/>
      <c r="D637" s="14"/>
      <c r="E637" s="14"/>
      <c r="F637" s="13" t="s">
        <v>65</v>
      </c>
      <c r="G637" s="13" t="s">
        <v>65</v>
      </c>
      <c r="H637" s="13" t="s">
        <v>65</v>
      </c>
      <c r="I637" s="13"/>
      <c r="J637" s="13" t="s">
        <v>65</v>
      </c>
      <c r="K637" s="13"/>
      <c r="L637" s="13" t="s">
        <v>65</v>
      </c>
      <c r="M637" s="13" t="s">
        <v>65</v>
      </c>
    </row>
    <row r="638" spans="1:13" x14ac:dyDescent="0.35">
      <c r="A638" s="11" t="s">
        <v>735</v>
      </c>
      <c r="B638" s="11" t="s">
        <v>65</v>
      </c>
      <c r="C638" s="11"/>
      <c r="D638" s="12"/>
      <c r="E638" s="12"/>
      <c r="F638" s="11" t="s">
        <v>65</v>
      </c>
      <c r="G638" s="11" t="s">
        <v>65</v>
      </c>
      <c r="H638" s="11" t="s">
        <v>65</v>
      </c>
      <c r="I638" s="11"/>
      <c r="J638" s="11" t="s">
        <v>65</v>
      </c>
      <c r="K638" s="11"/>
      <c r="L638" s="11" t="s">
        <v>65</v>
      </c>
      <c r="M638" s="11" t="s">
        <v>65</v>
      </c>
    </row>
    <row r="639" spans="1:13" x14ac:dyDescent="0.35">
      <c r="A639" s="13" t="s">
        <v>224</v>
      </c>
      <c r="B639" s="13" t="s">
        <v>268</v>
      </c>
      <c r="C639" s="13">
        <v>6</v>
      </c>
      <c r="D639" s="14">
        <v>45022.037499999999</v>
      </c>
      <c r="E639" s="14">
        <v>45022.094444444447</v>
      </c>
      <c r="F639" s="13" t="s">
        <v>170</v>
      </c>
      <c r="G639" s="13" t="s">
        <v>73</v>
      </c>
      <c r="H639" s="13" t="s">
        <v>74</v>
      </c>
      <c r="I639" s="13">
        <v>3071</v>
      </c>
      <c r="J639" s="13" t="s">
        <v>88</v>
      </c>
      <c r="K639" s="13">
        <v>638</v>
      </c>
      <c r="L639" s="13" t="s">
        <v>164</v>
      </c>
      <c r="M639" s="13" t="s">
        <v>12</v>
      </c>
    </row>
    <row r="640" spans="1:13" x14ac:dyDescent="0.35">
      <c r="A640" s="11" t="s">
        <v>736</v>
      </c>
      <c r="B640" s="11" t="s">
        <v>65</v>
      </c>
      <c r="C640" s="11"/>
      <c r="D640" s="12"/>
      <c r="E640" s="12"/>
      <c r="F640" s="11" t="s">
        <v>65</v>
      </c>
      <c r="G640" s="11" t="s">
        <v>65</v>
      </c>
      <c r="H640" s="11" t="s">
        <v>65</v>
      </c>
      <c r="I640" s="11"/>
      <c r="J640" s="11" t="s">
        <v>65</v>
      </c>
      <c r="K640" s="11"/>
      <c r="L640" s="11" t="s">
        <v>65</v>
      </c>
      <c r="M640" s="11" t="s">
        <v>65</v>
      </c>
    </row>
    <row r="641" spans="1:13" x14ac:dyDescent="0.35">
      <c r="A641" s="13" t="s">
        <v>737</v>
      </c>
      <c r="B641" s="13" t="s">
        <v>65</v>
      </c>
      <c r="C641" s="13"/>
      <c r="D641" s="14"/>
      <c r="E641" s="14"/>
      <c r="F641" s="13" t="s">
        <v>65</v>
      </c>
      <c r="G641" s="13" t="s">
        <v>65</v>
      </c>
      <c r="H641" s="13" t="s">
        <v>65</v>
      </c>
      <c r="I641" s="13"/>
      <c r="J641" s="13" t="s">
        <v>65</v>
      </c>
      <c r="K641" s="13"/>
      <c r="L641" s="13" t="s">
        <v>65</v>
      </c>
      <c r="M641" s="13" t="s">
        <v>65</v>
      </c>
    </row>
    <row r="642" spans="1:13" x14ac:dyDescent="0.35">
      <c r="A642" s="11" t="s">
        <v>738</v>
      </c>
      <c r="B642" s="11" t="s">
        <v>65</v>
      </c>
      <c r="C642" s="11"/>
      <c r="D642" s="12"/>
      <c r="E642" s="12"/>
      <c r="F642" s="11" t="s">
        <v>65</v>
      </c>
      <c r="G642" s="11" t="s">
        <v>65</v>
      </c>
      <c r="H642" s="11" t="s">
        <v>65</v>
      </c>
      <c r="I642" s="11"/>
      <c r="J642" s="11" t="s">
        <v>65</v>
      </c>
      <c r="K642" s="11"/>
      <c r="L642" s="11" t="s">
        <v>65</v>
      </c>
      <c r="M642" s="11" t="s">
        <v>65</v>
      </c>
    </row>
    <row r="643" spans="1:13" x14ac:dyDescent="0.35">
      <c r="A643" s="13" t="s">
        <v>739</v>
      </c>
      <c r="B643" s="13" t="s">
        <v>65</v>
      </c>
      <c r="C643" s="13"/>
      <c r="D643" s="14"/>
      <c r="E643" s="14"/>
      <c r="F643" s="13" t="s">
        <v>65</v>
      </c>
      <c r="G643" s="13" t="s">
        <v>65</v>
      </c>
      <c r="H643" s="13" t="s">
        <v>65</v>
      </c>
      <c r="I643" s="13"/>
      <c r="J643" s="13" t="s">
        <v>65</v>
      </c>
      <c r="K643" s="13"/>
      <c r="L643" s="13" t="s">
        <v>65</v>
      </c>
      <c r="M643" s="13" t="s">
        <v>65</v>
      </c>
    </row>
    <row r="644" spans="1:13" x14ac:dyDescent="0.35">
      <c r="A644" s="11" t="s">
        <v>132</v>
      </c>
      <c r="B644" s="11" t="s">
        <v>740</v>
      </c>
      <c r="C644" s="11">
        <v>2</v>
      </c>
      <c r="D644" s="12">
        <v>45022.011805555558</v>
      </c>
      <c r="E644" s="12">
        <v>45022.080555555556</v>
      </c>
      <c r="F644" s="11" t="s">
        <v>100</v>
      </c>
      <c r="G644" s="11" t="s">
        <v>163</v>
      </c>
      <c r="H644" s="11" t="s">
        <v>109</v>
      </c>
      <c r="I644" s="11">
        <v>2881</v>
      </c>
      <c r="J644" s="11" t="s">
        <v>88</v>
      </c>
      <c r="K644" s="11">
        <v>643</v>
      </c>
      <c r="L644" s="11" t="s">
        <v>174</v>
      </c>
      <c r="M644" s="11" t="s">
        <v>25</v>
      </c>
    </row>
    <row r="645" spans="1:13" x14ac:dyDescent="0.35">
      <c r="A645" s="13" t="s">
        <v>247</v>
      </c>
      <c r="B645" s="13" t="s">
        <v>741</v>
      </c>
      <c r="C645" s="13">
        <v>6</v>
      </c>
      <c r="D645" s="14">
        <v>45022.155555555553</v>
      </c>
      <c r="E645" s="14">
        <v>45022.298611111109</v>
      </c>
      <c r="F645" s="13" t="s">
        <v>223</v>
      </c>
      <c r="G645" s="13" t="s">
        <v>86</v>
      </c>
      <c r="H645" s="13" t="s">
        <v>109</v>
      </c>
      <c r="I645" s="13">
        <v>1386</v>
      </c>
      <c r="J645" s="13" t="s">
        <v>94</v>
      </c>
      <c r="K645" s="13">
        <v>644</v>
      </c>
      <c r="L645" s="13" t="s">
        <v>187</v>
      </c>
      <c r="M645" s="13" t="s">
        <v>15</v>
      </c>
    </row>
    <row r="646" spans="1:13" x14ac:dyDescent="0.35">
      <c r="A646" s="11" t="s">
        <v>742</v>
      </c>
      <c r="B646" s="11" t="s">
        <v>65</v>
      </c>
      <c r="C646" s="11"/>
      <c r="D646" s="12"/>
      <c r="E646" s="12"/>
      <c r="F646" s="11" t="s">
        <v>65</v>
      </c>
      <c r="G646" s="11" t="s">
        <v>65</v>
      </c>
      <c r="H646" s="11" t="s">
        <v>65</v>
      </c>
      <c r="I646" s="11"/>
      <c r="J646" s="11" t="s">
        <v>65</v>
      </c>
      <c r="K646" s="11"/>
      <c r="L646" s="11" t="s">
        <v>65</v>
      </c>
      <c r="M646" s="11" t="s">
        <v>65</v>
      </c>
    </row>
    <row r="647" spans="1:13" x14ac:dyDescent="0.35">
      <c r="A647" s="13" t="s">
        <v>107</v>
      </c>
      <c r="B647" s="13" t="s">
        <v>743</v>
      </c>
      <c r="C647" s="13">
        <v>2</v>
      </c>
      <c r="D647" s="14">
        <v>45022.165972222225</v>
      </c>
      <c r="E647" s="14">
        <v>45022.276388888888</v>
      </c>
      <c r="F647" s="13" t="s">
        <v>100</v>
      </c>
      <c r="G647" s="13" t="s">
        <v>86</v>
      </c>
      <c r="H647" s="13" t="s">
        <v>109</v>
      </c>
      <c r="I647" s="13">
        <v>1259</v>
      </c>
      <c r="J647" s="13" t="s">
        <v>75</v>
      </c>
      <c r="K647" s="13">
        <v>646</v>
      </c>
      <c r="L647" s="13" t="s">
        <v>95</v>
      </c>
      <c r="M647" s="13" t="s">
        <v>31</v>
      </c>
    </row>
    <row r="648" spans="1:13" x14ac:dyDescent="0.35">
      <c r="A648" s="11" t="s">
        <v>744</v>
      </c>
      <c r="B648" s="11" t="s">
        <v>65</v>
      </c>
      <c r="C648" s="11"/>
      <c r="D648" s="12"/>
      <c r="E648" s="12"/>
      <c r="F648" s="11" t="s">
        <v>65</v>
      </c>
      <c r="G648" s="11" t="s">
        <v>65</v>
      </c>
      <c r="H648" s="11" t="s">
        <v>65</v>
      </c>
      <c r="I648" s="11"/>
      <c r="J648" s="11" t="s">
        <v>65</v>
      </c>
      <c r="K648" s="11"/>
      <c r="L648" s="11" t="s">
        <v>65</v>
      </c>
      <c r="M648" s="11" t="s">
        <v>65</v>
      </c>
    </row>
    <row r="649" spans="1:13" x14ac:dyDescent="0.35">
      <c r="A649" s="13" t="s">
        <v>247</v>
      </c>
      <c r="B649" s="13" t="s">
        <v>745</v>
      </c>
      <c r="C649" s="13">
        <v>1</v>
      </c>
      <c r="D649" s="14">
        <v>45022.124305555553</v>
      </c>
      <c r="E649" s="14">
        <v>45022.204861111109</v>
      </c>
      <c r="F649" s="13" t="s">
        <v>100</v>
      </c>
      <c r="G649" s="13" t="s">
        <v>73</v>
      </c>
      <c r="H649" s="13" t="s">
        <v>74</v>
      </c>
      <c r="I649" s="13">
        <v>1743</v>
      </c>
      <c r="J649" s="13" t="s">
        <v>75</v>
      </c>
      <c r="K649" s="13">
        <v>648</v>
      </c>
      <c r="L649" s="13" t="s">
        <v>89</v>
      </c>
      <c r="M649" s="13" t="s">
        <v>27</v>
      </c>
    </row>
    <row r="650" spans="1:13" x14ac:dyDescent="0.35">
      <c r="A650" s="11" t="s">
        <v>746</v>
      </c>
      <c r="B650" s="11" t="s">
        <v>65</v>
      </c>
      <c r="C650" s="11"/>
      <c r="D650" s="12"/>
      <c r="E650" s="12"/>
      <c r="F650" s="11" t="s">
        <v>65</v>
      </c>
      <c r="G650" s="11" t="s">
        <v>65</v>
      </c>
      <c r="H650" s="11" t="s">
        <v>65</v>
      </c>
      <c r="I650" s="11"/>
      <c r="J650" s="11" t="s">
        <v>65</v>
      </c>
      <c r="K650" s="11"/>
      <c r="L650" s="11" t="s">
        <v>65</v>
      </c>
      <c r="M650" s="11" t="s">
        <v>65</v>
      </c>
    </row>
    <row r="651" spans="1:13" x14ac:dyDescent="0.35">
      <c r="A651" s="13" t="s">
        <v>747</v>
      </c>
      <c r="B651" s="13" t="s">
        <v>65</v>
      </c>
      <c r="C651" s="13"/>
      <c r="D651" s="14"/>
      <c r="E651" s="14"/>
      <c r="F651" s="13" t="s">
        <v>65</v>
      </c>
      <c r="G651" s="13" t="s">
        <v>65</v>
      </c>
      <c r="H651" s="13" t="s">
        <v>65</v>
      </c>
      <c r="I651" s="13"/>
      <c r="J651" s="13" t="s">
        <v>65</v>
      </c>
      <c r="K651" s="13"/>
      <c r="L651" s="13" t="s">
        <v>65</v>
      </c>
      <c r="M651" s="13" t="s">
        <v>65</v>
      </c>
    </row>
    <row r="652" spans="1:13" x14ac:dyDescent="0.35">
      <c r="A652" s="11" t="s">
        <v>748</v>
      </c>
      <c r="B652" s="11" t="s">
        <v>65</v>
      </c>
      <c r="C652" s="11"/>
      <c r="D652" s="12"/>
      <c r="E652" s="12"/>
      <c r="F652" s="11" t="s">
        <v>65</v>
      </c>
      <c r="G652" s="11" t="s">
        <v>65</v>
      </c>
      <c r="H652" s="11" t="s">
        <v>65</v>
      </c>
      <c r="I652" s="11"/>
      <c r="J652" s="11" t="s">
        <v>65</v>
      </c>
      <c r="K652" s="11"/>
      <c r="L652" s="11" t="s">
        <v>65</v>
      </c>
      <c r="M652" s="11" t="s">
        <v>65</v>
      </c>
    </row>
    <row r="653" spans="1:13" x14ac:dyDescent="0.35">
      <c r="A653" s="13" t="s">
        <v>749</v>
      </c>
      <c r="B653" s="13" t="s">
        <v>65</v>
      </c>
      <c r="C653" s="13"/>
      <c r="D653" s="14"/>
      <c r="E653" s="14"/>
      <c r="F653" s="13" t="s">
        <v>65</v>
      </c>
      <c r="G653" s="13" t="s">
        <v>65</v>
      </c>
      <c r="H653" s="13" t="s">
        <v>65</v>
      </c>
      <c r="I653" s="13"/>
      <c r="J653" s="13" t="s">
        <v>65</v>
      </c>
      <c r="K653" s="13"/>
      <c r="L653" s="13" t="s">
        <v>65</v>
      </c>
      <c r="M653" s="13" t="s">
        <v>65</v>
      </c>
    </row>
    <row r="654" spans="1:13" x14ac:dyDescent="0.35">
      <c r="A654" s="11" t="s">
        <v>750</v>
      </c>
      <c r="B654" s="11" t="s">
        <v>65</v>
      </c>
      <c r="C654" s="11"/>
      <c r="D654" s="12"/>
      <c r="E654" s="12"/>
      <c r="F654" s="11" t="s">
        <v>65</v>
      </c>
      <c r="G654" s="11" t="s">
        <v>65</v>
      </c>
      <c r="H654" s="11" t="s">
        <v>65</v>
      </c>
      <c r="I654" s="11"/>
      <c r="J654" s="11" t="s">
        <v>65</v>
      </c>
      <c r="K654" s="11"/>
      <c r="L654" s="11" t="s">
        <v>65</v>
      </c>
      <c r="M654" s="11" t="s">
        <v>65</v>
      </c>
    </row>
    <row r="655" spans="1:13" x14ac:dyDescent="0.35">
      <c r="A655" s="13" t="s">
        <v>751</v>
      </c>
      <c r="B655" s="13" t="s">
        <v>65</v>
      </c>
      <c r="C655" s="13"/>
      <c r="D655" s="14"/>
      <c r="E655" s="14"/>
      <c r="F655" s="13" t="s">
        <v>65</v>
      </c>
      <c r="G655" s="13" t="s">
        <v>65</v>
      </c>
      <c r="H655" s="13" t="s">
        <v>65</v>
      </c>
      <c r="I655" s="13"/>
      <c r="J655" s="13" t="s">
        <v>65</v>
      </c>
      <c r="K655" s="13"/>
      <c r="L655" s="13" t="s">
        <v>65</v>
      </c>
      <c r="M655" s="13" t="s">
        <v>65</v>
      </c>
    </row>
    <row r="656" spans="1:13" x14ac:dyDescent="0.35">
      <c r="A656" s="11" t="s">
        <v>121</v>
      </c>
      <c r="B656" s="11" t="s">
        <v>752</v>
      </c>
      <c r="C656" s="11">
        <v>4</v>
      </c>
      <c r="D656" s="12">
        <v>45023.052083333336</v>
      </c>
      <c r="E656" s="12">
        <v>45023.200694444444</v>
      </c>
      <c r="F656" s="11" t="s">
        <v>85</v>
      </c>
      <c r="G656" s="11" t="s">
        <v>86</v>
      </c>
      <c r="H656" s="11" t="s">
        <v>87</v>
      </c>
      <c r="I656" s="11">
        <v>217</v>
      </c>
      <c r="J656" s="11" t="s">
        <v>94</v>
      </c>
      <c r="K656" s="11">
        <v>655</v>
      </c>
      <c r="L656" s="11" t="s">
        <v>89</v>
      </c>
      <c r="M656" s="11" t="s">
        <v>15</v>
      </c>
    </row>
    <row r="657" spans="1:13" x14ac:dyDescent="0.35">
      <c r="A657" s="13" t="s">
        <v>753</v>
      </c>
      <c r="B657" s="13" t="s">
        <v>65</v>
      </c>
      <c r="C657" s="13"/>
      <c r="D657" s="14"/>
      <c r="E657" s="14"/>
      <c r="F657" s="13" t="s">
        <v>65</v>
      </c>
      <c r="G657" s="13" t="s">
        <v>65</v>
      </c>
      <c r="H657" s="13" t="s">
        <v>65</v>
      </c>
      <c r="I657" s="13"/>
      <c r="J657" s="13" t="s">
        <v>65</v>
      </c>
      <c r="K657" s="13"/>
      <c r="L657" s="13" t="s">
        <v>65</v>
      </c>
      <c r="M657" s="13" t="s">
        <v>65</v>
      </c>
    </row>
    <row r="658" spans="1:13" x14ac:dyDescent="0.35">
      <c r="A658" s="11" t="s">
        <v>754</v>
      </c>
      <c r="B658" s="11" t="s">
        <v>65</v>
      </c>
      <c r="C658" s="11"/>
      <c r="D658" s="12"/>
      <c r="E658" s="12"/>
      <c r="F658" s="11" t="s">
        <v>65</v>
      </c>
      <c r="G658" s="11" t="s">
        <v>65</v>
      </c>
      <c r="H658" s="11" t="s">
        <v>65</v>
      </c>
      <c r="I658" s="11"/>
      <c r="J658" s="11" t="s">
        <v>65</v>
      </c>
      <c r="K658" s="11"/>
      <c r="L658" s="11" t="s">
        <v>65</v>
      </c>
      <c r="M658" s="11" t="s">
        <v>65</v>
      </c>
    </row>
    <row r="659" spans="1:13" x14ac:dyDescent="0.35">
      <c r="A659" s="13" t="s">
        <v>755</v>
      </c>
      <c r="B659" s="13" t="s">
        <v>65</v>
      </c>
      <c r="C659" s="13"/>
      <c r="D659" s="14"/>
      <c r="E659" s="14"/>
      <c r="F659" s="13" t="s">
        <v>65</v>
      </c>
      <c r="G659" s="13" t="s">
        <v>65</v>
      </c>
      <c r="H659" s="13" t="s">
        <v>65</v>
      </c>
      <c r="I659" s="13"/>
      <c r="J659" s="13" t="s">
        <v>65</v>
      </c>
      <c r="K659" s="13"/>
      <c r="L659" s="13" t="s">
        <v>65</v>
      </c>
      <c r="M659" s="13" t="s">
        <v>65</v>
      </c>
    </row>
    <row r="660" spans="1:13" x14ac:dyDescent="0.35">
      <c r="A660" s="11" t="s">
        <v>247</v>
      </c>
      <c r="B660" s="11" t="s">
        <v>358</v>
      </c>
      <c r="C660" s="11">
        <v>4</v>
      </c>
      <c r="D660" s="12">
        <v>45023.118055555555</v>
      </c>
      <c r="E660" s="12">
        <v>45023.168749999997</v>
      </c>
      <c r="F660" s="11" t="s">
        <v>72</v>
      </c>
      <c r="G660" s="11" t="s">
        <v>86</v>
      </c>
      <c r="H660" s="11" t="s">
        <v>74</v>
      </c>
      <c r="I660" s="11">
        <v>3524</v>
      </c>
      <c r="J660" s="11" t="s">
        <v>88</v>
      </c>
      <c r="K660" s="11">
        <v>659</v>
      </c>
      <c r="L660" s="11" t="s">
        <v>76</v>
      </c>
      <c r="M660" s="11" t="s">
        <v>23</v>
      </c>
    </row>
    <row r="661" spans="1:13" x14ac:dyDescent="0.35">
      <c r="A661" s="13" t="s">
        <v>756</v>
      </c>
      <c r="B661" s="13" t="s">
        <v>65</v>
      </c>
      <c r="C661" s="13"/>
      <c r="D661" s="14"/>
      <c r="E661" s="14"/>
      <c r="F661" s="13" t="s">
        <v>65</v>
      </c>
      <c r="G661" s="13" t="s">
        <v>65</v>
      </c>
      <c r="H661" s="13" t="s">
        <v>65</v>
      </c>
      <c r="I661" s="13"/>
      <c r="J661" s="13" t="s">
        <v>65</v>
      </c>
      <c r="K661" s="13"/>
      <c r="L661" s="13" t="s">
        <v>65</v>
      </c>
      <c r="M661" s="13" t="s">
        <v>65</v>
      </c>
    </row>
    <row r="662" spans="1:13" x14ac:dyDescent="0.35">
      <c r="A662" s="11" t="s">
        <v>757</v>
      </c>
      <c r="B662" s="11" t="s">
        <v>65</v>
      </c>
      <c r="C662" s="11"/>
      <c r="D662" s="12"/>
      <c r="E662" s="12"/>
      <c r="F662" s="11" t="s">
        <v>65</v>
      </c>
      <c r="G662" s="11" t="s">
        <v>65</v>
      </c>
      <c r="H662" s="11" t="s">
        <v>65</v>
      </c>
      <c r="I662" s="11"/>
      <c r="J662" s="11" t="s">
        <v>65</v>
      </c>
      <c r="K662" s="11"/>
      <c r="L662" s="11" t="s">
        <v>65</v>
      </c>
      <c r="M662" s="11" t="s">
        <v>65</v>
      </c>
    </row>
    <row r="663" spans="1:13" x14ac:dyDescent="0.35">
      <c r="A663" s="13" t="s">
        <v>758</v>
      </c>
      <c r="B663" s="13" t="s">
        <v>65</v>
      </c>
      <c r="C663" s="13"/>
      <c r="D663" s="14"/>
      <c r="E663" s="14"/>
      <c r="F663" s="13" t="s">
        <v>65</v>
      </c>
      <c r="G663" s="13" t="s">
        <v>65</v>
      </c>
      <c r="H663" s="13" t="s">
        <v>65</v>
      </c>
      <c r="I663" s="13"/>
      <c r="J663" s="13" t="s">
        <v>65</v>
      </c>
      <c r="K663" s="13"/>
      <c r="L663" s="13" t="s">
        <v>65</v>
      </c>
      <c r="M663" s="13" t="s">
        <v>65</v>
      </c>
    </row>
    <row r="664" spans="1:13" x14ac:dyDescent="0.35">
      <c r="A664" s="11" t="s">
        <v>759</v>
      </c>
      <c r="B664" s="11" t="s">
        <v>65</v>
      </c>
      <c r="C664" s="11"/>
      <c r="D664" s="12"/>
      <c r="E664" s="12"/>
      <c r="F664" s="11" t="s">
        <v>65</v>
      </c>
      <c r="G664" s="11" t="s">
        <v>65</v>
      </c>
      <c r="H664" s="11" t="s">
        <v>65</v>
      </c>
      <c r="I664" s="11"/>
      <c r="J664" s="11" t="s">
        <v>65</v>
      </c>
      <c r="K664" s="11"/>
      <c r="L664" s="11" t="s">
        <v>65</v>
      </c>
      <c r="M664" s="11" t="s">
        <v>65</v>
      </c>
    </row>
    <row r="665" spans="1:13" x14ac:dyDescent="0.35">
      <c r="A665" s="13" t="s">
        <v>760</v>
      </c>
      <c r="B665" s="13" t="s">
        <v>65</v>
      </c>
      <c r="C665" s="13"/>
      <c r="D665" s="14"/>
      <c r="E665" s="14"/>
      <c r="F665" s="13" t="s">
        <v>65</v>
      </c>
      <c r="G665" s="13" t="s">
        <v>65</v>
      </c>
      <c r="H665" s="13" t="s">
        <v>65</v>
      </c>
      <c r="I665" s="13"/>
      <c r="J665" s="13" t="s">
        <v>65</v>
      </c>
      <c r="K665" s="13"/>
      <c r="L665" s="13" t="s">
        <v>65</v>
      </c>
      <c r="M665" s="13" t="s">
        <v>65</v>
      </c>
    </row>
    <row r="666" spans="1:13" x14ac:dyDescent="0.35">
      <c r="A666" s="11" t="s">
        <v>761</v>
      </c>
      <c r="B666" s="11" t="s">
        <v>65</v>
      </c>
      <c r="C666" s="11"/>
      <c r="D666" s="12"/>
      <c r="E666" s="12"/>
      <c r="F666" s="11" t="s">
        <v>65</v>
      </c>
      <c r="G666" s="11" t="s">
        <v>65</v>
      </c>
      <c r="H666" s="11" t="s">
        <v>65</v>
      </c>
      <c r="I666" s="11"/>
      <c r="J666" s="11" t="s">
        <v>65</v>
      </c>
      <c r="K666" s="11"/>
      <c r="L666" s="11" t="s">
        <v>65</v>
      </c>
      <c r="M666" s="11" t="s">
        <v>65</v>
      </c>
    </row>
    <row r="667" spans="1:13" x14ac:dyDescent="0.35">
      <c r="A667" s="13" t="s">
        <v>215</v>
      </c>
      <c r="B667" s="13" t="s">
        <v>762</v>
      </c>
      <c r="C667" s="13">
        <v>4</v>
      </c>
      <c r="D667" s="14">
        <v>45023.044444444444</v>
      </c>
      <c r="E667" s="14">
        <v>45023.206250000003</v>
      </c>
      <c r="F667" s="13" t="s">
        <v>100</v>
      </c>
      <c r="G667" s="13" t="s">
        <v>86</v>
      </c>
      <c r="H667" s="13" t="s">
        <v>74</v>
      </c>
      <c r="I667" s="13">
        <v>1186</v>
      </c>
      <c r="J667" s="13" t="s">
        <v>75</v>
      </c>
      <c r="K667" s="13">
        <v>666</v>
      </c>
      <c r="L667" s="13" t="s">
        <v>221</v>
      </c>
      <c r="M667" s="13" t="s">
        <v>39</v>
      </c>
    </row>
    <row r="668" spans="1:13" x14ac:dyDescent="0.35">
      <c r="A668" s="11" t="s">
        <v>185</v>
      </c>
      <c r="B668" s="11" t="s">
        <v>763</v>
      </c>
      <c r="C668" s="11">
        <v>5</v>
      </c>
      <c r="D668" s="12">
        <v>45023.152083333334</v>
      </c>
      <c r="E668" s="12">
        <v>45023.296527777777</v>
      </c>
      <c r="F668" s="11" t="s">
        <v>170</v>
      </c>
      <c r="G668" s="11" t="s">
        <v>86</v>
      </c>
      <c r="H668" s="11" t="s">
        <v>74</v>
      </c>
      <c r="I668" s="11">
        <v>2049</v>
      </c>
      <c r="J668" s="11" t="s">
        <v>94</v>
      </c>
      <c r="K668" s="11">
        <v>667</v>
      </c>
      <c r="L668" s="11" t="s">
        <v>76</v>
      </c>
      <c r="M668" s="11" t="s">
        <v>21</v>
      </c>
    </row>
    <row r="669" spans="1:13" x14ac:dyDescent="0.35">
      <c r="A669" s="13" t="s">
        <v>764</v>
      </c>
      <c r="B669" s="13" t="s">
        <v>65</v>
      </c>
      <c r="C669" s="13"/>
      <c r="D669" s="14"/>
      <c r="E669" s="14"/>
      <c r="F669" s="13" t="s">
        <v>65</v>
      </c>
      <c r="G669" s="13" t="s">
        <v>65</v>
      </c>
      <c r="H669" s="13" t="s">
        <v>65</v>
      </c>
      <c r="I669" s="13"/>
      <c r="J669" s="13" t="s">
        <v>65</v>
      </c>
      <c r="K669" s="13"/>
      <c r="L669" s="13" t="s">
        <v>65</v>
      </c>
      <c r="M669" s="13" t="s">
        <v>65</v>
      </c>
    </row>
    <row r="670" spans="1:13" x14ac:dyDescent="0.35">
      <c r="A670" s="11" t="s">
        <v>765</v>
      </c>
      <c r="B670" s="11" t="s">
        <v>65</v>
      </c>
      <c r="C670" s="11"/>
      <c r="D670" s="12"/>
      <c r="E670" s="12"/>
      <c r="F670" s="11" t="s">
        <v>65</v>
      </c>
      <c r="G670" s="11" t="s">
        <v>65</v>
      </c>
      <c r="H670" s="11" t="s">
        <v>65</v>
      </c>
      <c r="I670" s="11"/>
      <c r="J670" s="11" t="s">
        <v>65</v>
      </c>
      <c r="K670" s="11"/>
      <c r="L670" s="11" t="s">
        <v>65</v>
      </c>
      <c r="M670" s="11" t="s">
        <v>65</v>
      </c>
    </row>
    <row r="671" spans="1:13" x14ac:dyDescent="0.35">
      <c r="A671" s="13" t="s">
        <v>766</v>
      </c>
      <c r="B671" s="13" t="s">
        <v>65</v>
      </c>
      <c r="C671" s="13"/>
      <c r="D671" s="14"/>
      <c r="E671" s="14"/>
      <c r="F671" s="13" t="s">
        <v>65</v>
      </c>
      <c r="G671" s="13" t="s">
        <v>65</v>
      </c>
      <c r="H671" s="13" t="s">
        <v>65</v>
      </c>
      <c r="I671" s="13"/>
      <c r="J671" s="13" t="s">
        <v>65</v>
      </c>
      <c r="K671" s="13"/>
      <c r="L671" s="13" t="s">
        <v>65</v>
      </c>
      <c r="M671" s="13" t="s">
        <v>65</v>
      </c>
    </row>
    <row r="672" spans="1:13" x14ac:dyDescent="0.35">
      <c r="A672" s="11" t="s">
        <v>767</v>
      </c>
      <c r="B672" s="11" t="s">
        <v>65</v>
      </c>
      <c r="C672" s="11"/>
      <c r="D672" s="12"/>
      <c r="E672" s="12"/>
      <c r="F672" s="11" t="s">
        <v>65</v>
      </c>
      <c r="G672" s="11" t="s">
        <v>65</v>
      </c>
      <c r="H672" s="11" t="s">
        <v>65</v>
      </c>
      <c r="I672" s="11"/>
      <c r="J672" s="11" t="s">
        <v>65</v>
      </c>
      <c r="K672" s="11"/>
      <c r="L672" s="11" t="s">
        <v>65</v>
      </c>
      <c r="M672" s="11" t="s">
        <v>65</v>
      </c>
    </row>
    <row r="673" spans="1:13" x14ac:dyDescent="0.35">
      <c r="A673" s="13" t="s">
        <v>768</v>
      </c>
      <c r="B673" s="13" t="s">
        <v>65</v>
      </c>
      <c r="C673" s="13"/>
      <c r="D673" s="14"/>
      <c r="E673" s="14"/>
      <c r="F673" s="13" t="s">
        <v>65</v>
      </c>
      <c r="G673" s="13" t="s">
        <v>65</v>
      </c>
      <c r="H673" s="13" t="s">
        <v>65</v>
      </c>
      <c r="I673" s="13"/>
      <c r="J673" s="13" t="s">
        <v>65</v>
      </c>
      <c r="K673" s="13"/>
      <c r="L673" s="13" t="s">
        <v>65</v>
      </c>
      <c r="M673" s="13" t="s">
        <v>65</v>
      </c>
    </row>
    <row r="674" spans="1:13" x14ac:dyDescent="0.35">
      <c r="A674" s="11" t="s">
        <v>769</v>
      </c>
      <c r="B674" s="11" t="s">
        <v>65</v>
      </c>
      <c r="C674" s="11"/>
      <c r="D674" s="12"/>
      <c r="E674" s="12"/>
      <c r="F674" s="11" t="s">
        <v>65</v>
      </c>
      <c r="G674" s="11" t="s">
        <v>65</v>
      </c>
      <c r="H674" s="11" t="s">
        <v>65</v>
      </c>
      <c r="I674" s="11"/>
      <c r="J674" s="11" t="s">
        <v>65</v>
      </c>
      <c r="K674" s="11"/>
      <c r="L674" s="11" t="s">
        <v>65</v>
      </c>
      <c r="M674" s="11" t="s">
        <v>65</v>
      </c>
    </row>
    <row r="675" spans="1:13" x14ac:dyDescent="0.35">
      <c r="A675" s="13" t="s">
        <v>770</v>
      </c>
      <c r="B675" s="13" t="s">
        <v>65</v>
      </c>
      <c r="C675" s="13"/>
      <c r="D675" s="14"/>
      <c r="E675" s="14"/>
      <c r="F675" s="13" t="s">
        <v>65</v>
      </c>
      <c r="G675" s="13" t="s">
        <v>65</v>
      </c>
      <c r="H675" s="13" t="s">
        <v>65</v>
      </c>
      <c r="I675" s="13"/>
      <c r="J675" s="13" t="s">
        <v>65</v>
      </c>
      <c r="K675" s="13"/>
      <c r="L675" s="13" t="s">
        <v>65</v>
      </c>
      <c r="M675" s="13" t="s">
        <v>65</v>
      </c>
    </row>
    <row r="676" spans="1:13" x14ac:dyDescent="0.35">
      <c r="A676" s="11" t="s">
        <v>771</v>
      </c>
      <c r="B676" s="11" t="s">
        <v>65</v>
      </c>
      <c r="C676" s="11"/>
      <c r="D676" s="12"/>
      <c r="E676" s="12"/>
      <c r="F676" s="11" t="s">
        <v>65</v>
      </c>
      <c r="G676" s="11" t="s">
        <v>65</v>
      </c>
      <c r="H676" s="11" t="s">
        <v>65</v>
      </c>
      <c r="I676" s="11"/>
      <c r="J676" s="11" t="s">
        <v>65</v>
      </c>
      <c r="K676" s="11"/>
      <c r="L676" s="11" t="s">
        <v>65</v>
      </c>
      <c r="M676" s="11" t="s">
        <v>65</v>
      </c>
    </row>
    <row r="677" spans="1:13" x14ac:dyDescent="0.35">
      <c r="A677" s="13" t="s">
        <v>772</v>
      </c>
      <c r="B677" s="13" t="s">
        <v>65</v>
      </c>
      <c r="C677" s="13"/>
      <c r="D677" s="14"/>
      <c r="E677" s="14"/>
      <c r="F677" s="13" t="s">
        <v>65</v>
      </c>
      <c r="G677" s="13" t="s">
        <v>65</v>
      </c>
      <c r="H677" s="13" t="s">
        <v>65</v>
      </c>
      <c r="I677" s="13"/>
      <c r="J677" s="13" t="s">
        <v>65</v>
      </c>
      <c r="K677" s="13"/>
      <c r="L677" s="13" t="s">
        <v>65</v>
      </c>
      <c r="M677" s="13" t="s">
        <v>65</v>
      </c>
    </row>
    <row r="678" spans="1:13" x14ac:dyDescent="0.35">
      <c r="A678" s="11" t="s">
        <v>773</v>
      </c>
      <c r="B678" s="11" t="s">
        <v>65</v>
      </c>
      <c r="C678" s="11"/>
      <c r="D678" s="12"/>
      <c r="E678" s="12"/>
      <c r="F678" s="11" t="s">
        <v>65</v>
      </c>
      <c r="G678" s="11" t="s">
        <v>65</v>
      </c>
      <c r="H678" s="11" t="s">
        <v>65</v>
      </c>
      <c r="I678" s="11"/>
      <c r="J678" s="11" t="s">
        <v>65</v>
      </c>
      <c r="K678" s="11"/>
      <c r="L678" s="11" t="s">
        <v>65</v>
      </c>
      <c r="M678" s="11" t="s">
        <v>65</v>
      </c>
    </row>
    <row r="679" spans="1:13" x14ac:dyDescent="0.35">
      <c r="A679" s="13" t="s">
        <v>774</v>
      </c>
      <c r="B679" s="13" t="s">
        <v>65</v>
      </c>
      <c r="C679" s="13"/>
      <c r="D679" s="14"/>
      <c r="E679" s="14"/>
      <c r="F679" s="13" t="s">
        <v>65</v>
      </c>
      <c r="G679" s="13" t="s">
        <v>65</v>
      </c>
      <c r="H679" s="13" t="s">
        <v>65</v>
      </c>
      <c r="I679" s="13"/>
      <c r="J679" s="13" t="s">
        <v>65</v>
      </c>
      <c r="K679" s="13"/>
      <c r="L679" s="13" t="s">
        <v>65</v>
      </c>
      <c r="M679" s="13" t="s">
        <v>65</v>
      </c>
    </row>
    <row r="680" spans="1:13" x14ac:dyDescent="0.35">
      <c r="A680" s="11" t="s">
        <v>775</v>
      </c>
      <c r="B680" s="11" t="s">
        <v>65</v>
      </c>
      <c r="C680" s="11"/>
      <c r="D680" s="12"/>
      <c r="E680" s="12"/>
      <c r="F680" s="11" t="s">
        <v>65</v>
      </c>
      <c r="G680" s="11" t="s">
        <v>65</v>
      </c>
      <c r="H680" s="11" t="s">
        <v>65</v>
      </c>
      <c r="I680" s="11"/>
      <c r="J680" s="11" t="s">
        <v>65</v>
      </c>
      <c r="K680" s="11"/>
      <c r="L680" s="11" t="s">
        <v>65</v>
      </c>
      <c r="M680" s="11" t="s">
        <v>65</v>
      </c>
    </row>
    <row r="681" spans="1:13" x14ac:dyDescent="0.35">
      <c r="A681" s="13" t="s">
        <v>776</v>
      </c>
      <c r="B681" s="13" t="s">
        <v>65</v>
      </c>
      <c r="C681" s="13"/>
      <c r="D681" s="14"/>
      <c r="E681" s="14"/>
      <c r="F681" s="13" t="s">
        <v>65</v>
      </c>
      <c r="G681" s="13" t="s">
        <v>65</v>
      </c>
      <c r="H681" s="13" t="s">
        <v>65</v>
      </c>
      <c r="I681" s="13"/>
      <c r="J681" s="13" t="s">
        <v>65</v>
      </c>
      <c r="K681" s="13"/>
      <c r="L681" s="13" t="s">
        <v>65</v>
      </c>
      <c r="M681" s="13" t="s">
        <v>65</v>
      </c>
    </row>
    <row r="682" spans="1:13" x14ac:dyDescent="0.35">
      <c r="A682" s="11" t="s">
        <v>777</v>
      </c>
      <c r="B682" s="11" t="s">
        <v>65</v>
      </c>
      <c r="C682" s="11"/>
      <c r="D682" s="12"/>
      <c r="E682" s="12"/>
      <c r="F682" s="11" t="s">
        <v>65</v>
      </c>
      <c r="G682" s="11" t="s">
        <v>65</v>
      </c>
      <c r="H682" s="11" t="s">
        <v>65</v>
      </c>
      <c r="I682" s="11"/>
      <c r="J682" s="11" t="s">
        <v>65</v>
      </c>
      <c r="K682" s="11"/>
      <c r="L682" s="11" t="s">
        <v>65</v>
      </c>
      <c r="M682" s="11" t="s">
        <v>65</v>
      </c>
    </row>
    <row r="683" spans="1:13" x14ac:dyDescent="0.35">
      <c r="A683" s="13" t="s">
        <v>161</v>
      </c>
      <c r="B683" s="13" t="s">
        <v>778</v>
      </c>
      <c r="C683" s="13">
        <v>5</v>
      </c>
      <c r="D683" s="14">
        <v>45023.05972222222</v>
      </c>
      <c r="E683" s="14">
        <v>45023.170138888891</v>
      </c>
      <c r="F683" s="13" t="s">
        <v>85</v>
      </c>
      <c r="G683" s="13" t="s">
        <v>163</v>
      </c>
      <c r="H683" s="13" t="s">
        <v>74</v>
      </c>
      <c r="I683" s="13">
        <v>2104</v>
      </c>
      <c r="J683" s="13" t="s">
        <v>88</v>
      </c>
      <c r="K683" s="13">
        <v>682</v>
      </c>
      <c r="L683" s="13" t="s">
        <v>275</v>
      </c>
      <c r="M683" s="13" t="s">
        <v>41</v>
      </c>
    </row>
    <row r="684" spans="1:13" x14ac:dyDescent="0.35">
      <c r="A684" s="11" t="s">
        <v>779</v>
      </c>
      <c r="B684" s="11" t="s">
        <v>65</v>
      </c>
      <c r="C684" s="11"/>
      <c r="D684" s="12"/>
      <c r="E684" s="12"/>
      <c r="F684" s="11" t="s">
        <v>65</v>
      </c>
      <c r="G684" s="11" t="s">
        <v>65</v>
      </c>
      <c r="H684" s="11" t="s">
        <v>65</v>
      </c>
      <c r="I684" s="11"/>
      <c r="J684" s="11" t="s">
        <v>65</v>
      </c>
      <c r="K684" s="11"/>
      <c r="L684" s="11" t="s">
        <v>65</v>
      </c>
      <c r="M684" s="11" t="s">
        <v>65</v>
      </c>
    </row>
    <row r="685" spans="1:13" x14ac:dyDescent="0.35">
      <c r="A685" s="13" t="s">
        <v>780</v>
      </c>
      <c r="B685" s="13" t="s">
        <v>65</v>
      </c>
      <c r="C685" s="13"/>
      <c r="D685" s="14"/>
      <c r="E685" s="14"/>
      <c r="F685" s="13" t="s">
        <v>65</v>
      </c>
      <c r="G685" s="13" t="s">
        <v>65</v>
      </c>
      <c r="H685" s="13" t="s">
        <v>65</v>
      </c>
      <c r="I685" s="13"/>
      <c r="J685" s="13" t="s">
        <v>65</v>
      </c>
      <c r="K685" s="13"/>
      <c r="L685" s="13" t="s">
        <v>65</v>
      </c>
      <c r="M685" s="13" t="s">
        <v>65</v>
      </c>
    </row>
    <row r="686" spans="1:13" x14ac:dyDescent="0.35">
      <c r="A686" s="11" t="s">
        <v>121</v>
      </c>
      <c r="B686" s="11" t="s">
        <v>781</v>
      </c>
      <c r="C686" s="11">
        <v>5</v>
      </c>
      <c r="D686" s="12">
        <v>45023.019444444442</v>
      </c>
      <c r="E686" s="12">
        <v>45023.071527777778</v>
      </c>
      <c r="F686" s="11" t="s">
        <v>100</v>
      </c>
      <c r="G686" s="11" t="s">
        <v>86</v>
      </c>
      <c r="H686" s="11" t="s">
        <v>109</v>
      </c>
      <c r="I686" s="11">
        <v>1989</v>
      </c>
      <c r="J686" s="11" t="s">
        <v>75</v>
      </c>
      <c r="K686" s="11">
        <v>685</v>
      </c>
      <c r="L686" s="11" t="s">
        <v>181</v>
      </c>
      <c r="M686" s="11" t="s">
        <v>17</v>
      </c>
    </row>
    <row r="687" spans="1:13" x14ac:dyDescent="0.35">
      <c r="A687" s="13" t="s">
        <v>782</v>
      </c>
      <c r="B687" s="13" t="s">
        <v>65</v>
      </c>
      <c r="C687" s="13"/>
      <c r="D687" s="14"/>
      <c r="E687" s="14"/>
      <c r="F687" s="13" t="s">
        <v>65</v>
      </c>
      <c r="G687" s="13" t="s">
        <v>65</v>
      </c>
      <c r="H687" s="13" t="s">
        <v>65</v>
      </c>
      <c r="I687" s="13"/>
      <c r="J687" s="13" t="s">
        <v>65</v>
      </c>
      <c r="K687" s="13"/>
      <c r="L687" s="13" t="s">
        <v>65</v>
      </c>
      <c r="M687" s="13" t="s">
        <v>65</v>
      </c>
    </row>
    <row r="688" spans="1:13" x14ac:dyDescent="0.35">
      <c r="A688" s="11" t="s">
        <v>83</v>
      </c>
      <c r="B688" s="11" t="s">
        <v>783</v>
      </c>
      <c r="C688" s="11">
        <v>6</v>
      </c>
      <c r="D688" s="12">
        <v>45023.07916666667</v>
      </c>
      <c r="E688" s="12">
        <v>45023.23541666667</v>
      </c>
      <c r="F688" s="11" t="s">
        <v>72</v>
      </c>
      <c r="G688" s="11" t="s">
        <v>86</v>
      </c>
      <c r="H688" s="11" t="s">
        <v>87</v>
      </c>
      <c r="I688" s="11">
        <v>1053</v>
      </c>
      <c r="J688" s="11" t="s">
        <v>75</v>
      </c>
      <c r="K688" s="11">
        <v>687</v>
      </c>
      <c r="L688" s="11" t="s">
        <v>181</v>
      </c>
      <c r="M688" s="11" t="s">
        <v>21</v>
      </c>
    </row>
    <row r="689" spans="1:13" x14ac:dyDescent="0.35">
      <c r="A689" s="13" t="s">
        <v>308</v>
      </c>
      <c r="B689" s="13" t="s">
        <v>784</v>
      </c>
      <c r="C689" s="13">
        <v>1</v>
      </c>
      <c r="D689" s="14">
        <v>45023.143055555556</v>
      </c>
      <c r="E689" s="14">
        <v>45023.210416666669</v>
      </c>
      <c r="F689" s="13" t="s">
        <v>223</v>
      </c>
      <c r="G689" s="13" t="s">
        <v>86</v>
      </c>
      <c r="H689" s="13" t="s">
        <v>74</v>
      </c>
      <c r="I689" s="13">
        <v>487</v>
      </c>
      <c r="J689" s="13" t="s">
        <v>88</v>
      </c>
      <c r="K689" s="13">
        <v>688</v>
      </c>
      <c r="L689" s="13" t="s">
        <v>164</v>
      </c>
      <c r="M689" s="13" t="s">
        <v>23</v>
      </c>
    </row>
    <row r="690" spans="1:13" x14ac:dyDescent="0.35">
      <c r="A690" s="11" t="s">
        <v>785</v>
      </c>
      <c r="B690" s="11" t="s">
        <v>65</v>
      </c>
      <c r="C690" s="11"/>
      <c r="D690" s="12"/>
      <c r="E690" s="12"/>
      <c r="F690" s="11" t="s">
        <v>65</v>
      </c>
      <c r="G690" s="11" t="s">
        <v>65</v>
      </c>
      <c r="H690" s="11" t="s">
        <v>65</v>
      </c>
      <c r="I690" s="11"/>
      <c r="J690" s="11" t="s">
        <v>65</v>
      </c>
      <c r="K690" s="11"/>
      <c r="L690" s="11" t="s">
        <v>65</v>
      </c>
      <c r="M690" s="11" t="s">
        <v>65</v>
      </c>
    </row>
    <row r="691" spans="1:13" x14ac:dyDescent="0.35">
      <c r="A691" s="13" t="s">
        <v>786</v>
      </c>
      <c r="B691" s="13" t="s">
        <v>65</v>
      </c>
      <c r="C691" s="13"/>
      <c r="D691" s="14"/>
      <c r="E691" s="14"/>
      <c r="F691" s="13" t="s">
        <v>65</v>
      </c>
      <c r="G691" s="13" t="s">
        <v>65</v>
      </c>
      <c r="H691" s="13" t="s">
        <v>65</v>
      </c>
      <c r="I691" s="13"/>
      <c r="J691" s="13" t="s">
        <v>65</v>
      </c>
      <c r="K691" s="13"/>
      <c r="L691" s="13" t="s">
        <v>65</v>
      </c>
      <c r="M691" s="13" t="s">
        <v>65</v>
      </c>
    </row>
    <row r="692" spans="1:13" x14ac:dyDescent="0.35">
      <c r="A692" s="11" t="s">
        <v>177</v>
      </c>
      <c r="B692" s="11" t="s">
        <v>787</v>
      </c>
      <c r="C692" s="11">
        <v>4</v>
      </c>
      <c r="D692" s="12">
        <v>45023.071527777778</v>
      </c>
      <c r="E692" s="12">
        <v>45023.220138888886</v>
      </c>
      <c r="F692" s="11" t="s">
        <v>170</v>
      </c>
      <c r="G692" s="11" t="s">
        <v>73</v>
      </c>
      <c r="H692" s="11" t="s">
        <v>109</v>
      </c>
      <c r="I692" s="11">
        <v>139</v>
      </c>
      <c r="J692" s="11" t="s">
        <v>88</v>
      </c>
      <c r="K692" s="11">
        <v>691</v>
      </c>
      <c r="L692" s="11" t="s">
        <v>110</v>
      </c>
      <c r="M692" s="11" t="s">
        <v>35</v>
      </c>
    </row>
    <row r="693" spans="1:13" x14ac:dyDescent="0.35">
      <c r="A693" s="13" t="s">
        <v>788</v>
      </c>
      <c r="B693" s="13" t="s">
        <v>65</v>
      </c>
      <c r="C693" s="13"/>
      <c r="D693" s="14"/>
      <c r="E693" s="14"/>
      <c r="F693" s="13" t="s">
        <v>65</v>
      </c>
      <c r="G693" s="13" t="s">
        <v>65</v>
      </c>
      <c r="H693" s="13" t="s">
        <v>65</v>
      </c>
      <c r="I693" s="13"/>
      <c r="J693" s="13" t="s">
        <v>65</v>
      </c>
      <c r="K693" s="13"/>
      <c r="L693" s="13" t="s">
        <v>65</v>
      </c>
      <c r="M693" s="13" t="s">
        <v>65</v>
      </c>
    </row>
    <row r="694" spans="1:13" x14ac:dyDescent="0.35">
      <c r="A694" s="11" t="s">
        <v>789</v>
      </c>
      <c r="B694" s="11" t="s">
        <v>65</v>
      </c>
      <c r="C694" s="11"/>
      <c r="D694" s="12"/>
      <c r="E694" s="12"/>
      <c r="F694" s="11" t="s">
        <v>65</v>
      </c>
      <c r="G694" s="11" t="s">
        <v>65</v>
      </c>
      <c r="H694" s="11" t="s">
        <v>65</v>
      </c>
      <c r="I694" s="11"/>
      <c r="J694" s="11" t="s">
        <v>65</v>
      </c>
      <c r="K694" s="11"/>
      <c r="L694" s="11" t="s">
        <v>65</v>
      </c>
      <c r="M694" s="11" t="s">
        <v>65</v>
      </c>
    </row>
    <row r="695" spans="1:13" x14ac:dyDescent="0.35">
      <c r="A695" s="13" t="s">
        <v>790</v>
      </c>
      <c r="B695" s="13" t="s">
        <v>65</v>
      </c>
      <c r="C695" s="13"/>
      <c r="D695" s="14"/>
      <c r="E695" s="14"/>
      <c r="F695" s="13" t="s">
        <v>65</v>
      </c>
      <c r="G695" s="13" t="s">
        <v>65</v>
      </c>
      <c r="H695" s="13" t="s">
        <v>65</v>
      </c>
      <c r="I695" s="13"/>
      <c r="J695" s="13" t="s">
        <v>65</v>
      </c>
      <c r="K695" s="13"/>
      <c r="L695" s="13" t="s">
        <v>65</v>
      </c>
      <c r="M695" s="13" t="s">
        <v>65</v>
      </c>
    </row>
    <row r="696" spans="1:13" x14ac:dyDescent="0.35">
      <c r="A696" s="11" t="s">
        <v>791</v>
      </c>
      <c r="B696" s="11" t="s">
        <v>65</v>
      </c>
      <c r="C696" s="11"/>
      <c r="D696" s="12"/>
      <c r="E696" s="12"/>
      <c r="F696" s="11" t="s">
        <v>65</v>
      </c>
      <c r="G696" s="11" t="s">
        <v>65</v>
      </c>
      <c r="H696" s="11" t="s">
        <v>65</v>
      </c>
      <c r="I696" s="11"/>
      <c r="J696" s="11" t="s">
        <v>65</v>
      </c>
      <c r="K696" s="11"/>
      <c r="L696" s="11" t="s">
        <v>65</v>
      </c>
      <c r="M696" s="11" t="s">
        <v>65</v>
      </c>
    </row>
    <row r="697" spans="1:13" x14ac:dyDescent="0.35">
      <c r="A697" s="13" t="s">
        <v>83</v>
      </c>
      <c r="B697" s="13" t="s">
        <v>792</v>
      </c>
      <c r="C697" s="13">
        <v>6</v>
      </c>
      <c r="D697" s="14">
        <v>45023.094444444447</v>
      </c>
      <c r="E697" s="14">
        <v>45023.257638888892</v>
      </c>
      <c r="F697" s="13" t="s">
        <v>223</v>
      </c>
      <c r="G697" s="13" t="s">
        <v>73</v>
      </c>
      <c r="H697" s="13" t="s">
        <v>74</v>
      </c>
      <c r="I697" s="13">
        <v>1876</v>
      </c>
      <c r="J697" s="13" t="s">
        <v>88</v>
      </c>
      <c r="K697" s="13">
        <v>696</v>
      </c>
      <c r="L697" s="13" t="s">
        <v>76</v>
      </c>
      <c r="M697" s="13" t="s">
        <v>41</v>
      </c>
    </row>
    <row r="698" spans="1:13" x14ac:dyDescent="0.35">
      <c r="A698" s="11" t="s">
        <v>793</v>
      </c>
      <c r="B698" s="11" t="s">
        <v>65</v>
      </c>
      <c r="C698" s="11"/>
      <c r="D698" s="12"/>
      <c r="E698" s="12"/>
      <c r="F698" s="11" t="s">
        <v>65</v>
      </c>
      <c r="G698" s="11" t="s">
        <v>65</v>
      </c>
      <c r="H698" s="11" t="s">
        <v>65</v>
      </c>
      <c r="I698" s="11"/>
      <c r="J698" s="11" t="s">
        <v>65</v>
      </c>
      <c r="K698" s="11"/>
      <c r="L698" s="11" t="s">
        <v>65</v>
      </c>
      <c r="M698" s="11" t="s">
        <v>65</v>
      </c>
    </row>
    <row r="699" spans="1:13" x14ac:dyDescent="0.35">
      <c r="A699" s="13" t="s">
        <v>794</v>
      </c>
      <c r="B699" s="13" t="s">
        <v>65</v>
      </c>
      <c r="C699" s="13"/>
      <c r="D699" s="14"/>
      <c r="E699" s="14"/>
      <c r="F699" s="13" t="s">
        <v>65</v>
      </c>
      <c r="G699" s="13" t="s">
        <v>65</v>
      </c>
      <c r="H699" s="13" t="s">
        <v>65</v>
      </c>
      <c r="I699" s="13"/>
      <c r="J699" s="13" t="s">
        <v>65</v>
      </c>
      <c r="K699" s="13"/>
      <c r="L699" s="13" t="s">
        <v>65</v>
      </c>
      <c r="M699" s="13" t="s">
        <v>65</v>
      </c>
    </row>
    <row r="700" spans="1:13" x14ac:dyDescent="0.35">
      <c r="A700" s="11" t="s">
        <v>215</v>
      </c>
      <c r="B700" s="11" t="s">
        <v>795</v>
      </c>
      <c r="C700" s="11">
        <v>6</v>
      </c>
      <c r="D700" s="12">
        <v>45023.065972222219</v>
      </c>
      <c r="E700" s="12">
        <v>45023.12222222222</v>
      </c>
      <c r="F700" s="11" t="s">
        <v>100</v>
      </c>
      <c r="G700" s="11" t="s">
        <v>86</v>
      </c>
      <c r="H700" s="11" t="s">
        <v>74</v>
      </c>
      <c r="I700" s="11">
        <v>3844</v>
      </c>
      <c r="J700" s="11" t="s">
        <v>94</v>
      </c>
      <c r="K700" s="11">
        <v>699</v>
      </c>
      <c r="L700" s="11" t="s">
        <v>181</v>
      </c>
      <c r="M700" s="11" t="s">
        <v>23</v>
      </c>
    </row>
    <row r="701" spans="1:13" x14ac:dyDescent="0.35">
      <c r="A701" s="13" t="s">
        <v>796</v>
      </c>
      <c r="B701" s="13" t="s">
        <v>65</v>
      </c>
      <c r="C701" s="13"/>
      <c r="D701" s="14"/>
      <c r="E701" s="14"/>
      <c r="F701" s="13" t="s">
        <v>65</v>
      </c>
      <c r="G701" s="13" t="s">
        <v>65</v>
      </c>
      <c r="H701" s="13" t="s">
        <v>65</v>
      </c>
      <c r="I701" s="13"/>
      <c r="J701" s="13" t="s">
        <v>65</v>
      </c>
      <c r="K701" s="13"/>
      <c r="L701" s="13" t="s">
        <v>65</v>
      </c>
      <c r="M701" s="13" t="s">
        <v>65</v>
      </c>
    </row>
    <row r="702" spans="1:13" x14ac:dyDescent="0.35">
      <c r="A702" s="11" t="s">
        <v>797</v>
      </c>
      <c r="B702" s="11" t="s">
        <v>65</v>
      </c>
      <c r="C702" s="11"/>
      <c r="D702" s="12"/>
      <c r="E702" s="12"/>
      <c r="F702" s="11" t="s">
        <v>65</v>
      </c>
      <c r="G702" s="11" t="s">
        <v>65</v>
      </c>
      <c r="H702" s="11" t="s">
        <v>65</v>
      </c>
      <c r="I702" s="11"/>
      <c r="J702" s="11" t="s">
        <v>65</v>
      </c>
      <c r="K702" s="11"/>
      <c r="L702" s="11" t="s">
        <v>65</v>
      </c>
      <c r="M702" s="11" t="s">
        <v>65</v>
      </c>
    </row>
    <row r="703" spans="1:13" x14ac:dyDescent="0.35">
      <c r="A703" s="13" t="s">
        <v>798</v>
      </c>
      <c r="B703" s="13" t="s">
        <v>65</v>
      </c>
      <c r="C703" s="13"/>
      <c r="D703" s="14"/>
      <c r="E703" s="14"/>
      <c r="F703" s="13" t="s">
        <v>65</v>
      </c>
      <c r="G703" s="13" t="s">
        <v>65</v>
      </c>
      <c r="H703" s="13" t="s">
        <v>65</v>
      </c>
      <c r="I703" s="13"/>
      <c r="J703" s="13" t="s">
        <v>65</v>
      </c>
      <c r="K703" s="13"/>
      <c r="L703" s="13" t="s">
        <v>65</v>
      </c>
      <c r="M703" s="13" t="s">
        <v>65</v>
      </c>
    </row>
    <row r="704" spans="1:13" x14ac:dyDescent="0.35">
      <c r="A704" s="11" t="s">
        <v>247</v>
      </c>
      <c r="B704" s="11" t="s">
        <v>799</v>
      </c>
      <c r="C704" s="11">
        <v>5</v>
      </c>
      <c r="D704" s="12">
        <v>45023.011805555558</v>
      </c>
      <c r="E704" s="12">
        <v>45023.09652777778</v>
      </c>
      <c r="F704" s="11" t="s">
        <v>223</v>
      </c>
      <c r="G704" s="11" t="s">
        <v>86</v>
      </c>
      <c r="H704" s="11" t="s">
        <v>74</v>
      </c>
      <c r="I704" s="11">
        <v>2224</v>
      </c>
      <c r="J704" s="11" t="s">
        <v>88</v>
      </c>
      <c r="K704" s="11">
        <v>703</v>
      </c>
      <c r="L704" s="11" t="s">
        <v>275</v>
      </c>
      <c r="M704" s="11" t="s">
        <v>43</v>
      </c>
    </row>
    <row r="705" spans="1:13" x14ac:dyDescent="0.35">
      <c r="A705" s="13" t="s">
        <v>240</v>
      </c>
      <c r="B705" s="13" t="s">
        <v>800</v>
      </c>
      <c r="C705" s="13">
        <v>6</v>
      </c>
      <c r="D705" s="14">
        <v>45023.069444444445</v>
      </c>
      <c r="E705" s="14">
        <v>45023.186805555553</v>
      </c>
      <c r="F705" s="13" t="s">
        <v>100</v>
      </c>
      <c r="G705" s="13" t="s">
        <v>73</v>
      </c>
      <c r="H705" s="13" t="s">
        <v>74</v>
      </c>
      <c r="I705" s="13">
        <v>3329</v>
      </c>
      <c r="J705" s="13" t="s">
        <v>94</v>
      </c>
      <c r="K705" s="13">
        <v>704</v>
      </c>
      <c r="L705" s="13" t="s">
        <v>95</v>
      </c>
      <c r="M705" s="13" t="s">
        <v>45</v>
      </c>
    </row>
    <row r="706" spans="1:13" x14ac:dyDescent="0.35">
      <c r="A706" s="11" t="s">
        <v>801</v>
      </c>
      <c r="B706" s="11" t="s">
        <v>65</v>
      </c>
      <c r="C706" s="11"/>
      <c r="D706" s="12"/>
      <c r="E706" s="12"/>
      <c r="F706" s="11" t="s">
        <v>65</v>
      </c>
      <c r="G706" s="11" t="s">
        <v>65</v>
      </c>
      <c r="H706" s="11" t="s">
        <v>65</v>
      </c>
      <c r="I706" s="11"/>
      <c r="J706" s="11" t="s">
        <v>65</v>
      </c>
      <c r="K706" s="11"/>
      <c r="L706" s="11" t="s">
        <v>65</v>
      </c>
      <c r="M706" s="11" t="s">
        <v>65</v>
      </c>
    </row>
    <row r="707" spans="1:13" x14ac:dyDescent="0.35">
      <c r="A707" s="13" t="s">
        <v>92</v>
      </c>
      <c r="B707" s="13" t="s">
        <v>802</v>
      </c>
      <c r="C707" s="13">
        <v>6</v>
      </c>
      <c r="D707" s="14">
        <v>45023.051388888889</v>
      </c>
      <c r="E707" s="14">
        <v>45023.20416666667</v>
      </c>
      <c r="F707" s="13" t="s">
        <v>223</v>
      </c>
      <c r="G707" s="13" t="s">
        <v>86</v>
      </c>
      <c r="H707" s="13" t="s">
        <v>74</v>
      </c>
      <c r="I707" s="13">
        <v>4445</v>
      </c>
      <c r="J707" s="13" t="s">
        <v>88</v>
      </c>
      <c r="K707" s="13">
        <v>706</v>
      </c>
      <c r="L707" s="13" t="s">
        <v>164</v>
      </c>
      <c r="M707" s="13" t="s">
        <v>45</v>
      </c>
    </row>
    <row r="708" spans="1:13" x14ac:dyDescent="0.35">
      <c r="A708" s="11" t="s">
        <v>803</v>
      </c>
      <c r="B708" s="11" t="s">
        <v>65</v>
      </c>
      <c r="C708" s="11"/>
      <c r="D708" s="12"/>
      <c r="E708" s="12"/>
      <c r="F708" s="11" t="s">
        <v>65</v>
      </c>
      <c r="G708" s="11" t="s">
        <v>65</v>
      </c>
      <c r="H708" s="11" t="s">
        <v>65</v>
      </c>
      <c r="I708" s="11"/>
      <c r="J708" s="11" t="s">
        <v>65</v>
      </c>
      <c r="K708" s="11"/>
      <c r="L708" s="11" t="s">
        <v>65</v>
      </c>
      <c r="M708" s="11" t="s">
        <v>65</v>
      </c>
    </row>
    <row r="709" spans="1:13" x14ac:dyDescent="0.35">
      <c r="A709" s="13" t="s">
        <v>121</v>
      </c>
      <c r="B709" s="13" t="s">
        <v>804</v>
      </c>
      <c r="C709" s="13">
        <v>2</v>
      </c>
      <c r="D709" s="14">
        <v>45023.15</v>
      </c>
      <c r="E709" s="14">
        <v>45023.308333333334</v>
      </c>
      <c r="F709" s="13" t="s">
        <v>170</v>
      </c>
      <c r="G709" s="13" t="s">
        <v>73</v>
      </c>
      <c r="H709" s="13" t="s">
        <v>74</v>
      </c>
      <c r="I709" s="13">
        <v>418</v>
      </c>
      <c r="J709" s="13" t="s">
        <v>88</v>
      </c>
      <c r="K709" s="13">
        <v>708</v>
      </c>
      <c r="L709" s="13" t="s">
        <v>181</v>
      </c>
      <c r="M709" s="13" t="s">
        <v>17</v>
      </c>
    </row>
    <row r="710" spans="1:13" x14ac:dyDescent="0.35">
      <c r="A710" s="11" t="s">
        <v>805</v>
      </c>
      <c r="B710" s="11" t="s">
        <v>65</v>
      </c>
      <c r="C710" s="11"/>
      <c r="D710" s="12"/>
      <c r="E710" s="12"/>
      <c r="F710" s="11" t="s">
        <v>65</v>
      </c>
      <c r="G710" s="11" t="s">
        <v>65</v>
      </c>
      <c r="H710" s="11" t="s">
        <v>65</v>
      </c>
      <c r="I710" s="11"/>
      <c r="J710" s="11" t="s">
        <v>65</v>
      </c>
      <c r="K710" s="11"/>
      <c r="L710" s="11" t="s">
        <v>65</v>
      </c>
      <c r="M710" s="11" t="s">
        <v>65</v>
      </c>
    </row>
    <row r="711" spans="1:13" x14ac:dyDescent="0.35">
      <c r="A711" s="13" t="s">
        <v>806</v>
      </c>
      <c r="B711" s="13" t="s">
        <v>65</v>
      </c>
      <c r="C711" s="13"/>
      <c r="D711" s="14"/>
      <c r="E711" s="14"/>
      <c r="F711" s="13" t="s">
        <v>65</v>
      </c>
      <c r="G711" s="13" t="s">
        <v>65</v>
      </c>
      <c r="H711" s="13" t="s">
        <v>65</v>
      </c>
      <c r="I711" s="13"/>
      <c r="J711" s="13" t="s">
        <v>65</v>
      </c>
      <c r="K711" s="13"/>
      <c r="L711" s="13" t="s">
        <v>65</v>
      </c>
      <c r="M711" s="13" t="s">
        <v>65</v>
      </c>
    </row>
    <row r="712" spans="1:13" x14ac:dyDescent="0.35">
      <c r="A712" s="11" t="s">
        <v>807</v>
      </c>
      <c r="B712" s="11" t="s">
        <v>65</v>
      </c>
      <c r="C712" s="11"/>
      <c r="D712" s="12"/>
      <c r="E712" s="12"/>
      <c r="F712" s="11" t="s">
        <v>65</v>
      </c>
      <c r="G712" s="11" t="s">
        <v>65</v>
      </c>
      <c r="H712" s="11" t="s">
        <v>65</v>
      </c>
      <c r="I712" s="11"/>
      <c r="J712" s="11" t="s">
        <v>65</v>
      </c>
      <c r="K712" s="11"/>
      <c r="L712" s="11" t="s">
        <v>65</v>
      </c>
      <c r="M712" s="11" t="s">
        <v>65</v>
      </c>
    </row>
    <row r="713" spans="1:13" x14ac:dyDescent="0.35">
      <c r="A713" s="13" t="s">
        <v>232</v>
      </c>
      <c r="B713" s="13" t="s">
        <v>808</v>
      </c>
      <c r="C713" s="13">
        <v>5</v>
      </c>
      <c r="D713" s="14">
        <v>45023.004166666666</v>
      </c>
      <c r="E713" s="14">
        <v>45023.102083333331</v>
      </c>
      <c r="F713" s="13" t="s">
        <v>100</v>
      </c>
      <c r="G713" s="13" t="s">
        <v>163</v>
      </c>
      <c r="H713" s="13" t="s">
        <v>87</v>
      </c>
      <c r="I713" s="13">
        <v>4221</v>
      </c>
      <c r="J713" s="13" t="s">
        <v>94</v>
      </c>
      <c r="K713" s="13">
        <v>712</v>
      </c>
      <c r="L713" s="13" t="s">
        <v>76</v>
      </c>
      <c r="M713" s="13" t="s">
        <v>9</v>
      </c>
    </row>
    <row r="714" spans="1:13" x14ac:dyDescent="0.35">
      <c r="A714" s="11" t="s">
        <v>809</v>
      </c>
      <c r="B714" s="11" t="s">
        <v>65</v>
      </c>
      <c r="C714" s="11"/>
      <c r="D714" s="12"/>
      <c r="E714" s="12"/>
      <c r="F714" s="11" t="s">
        <v>65</v>
      </c>
      <c r="G714" s="11" t="s">
        <v>65</v>
      </c>
      <c r="H714" s="11" t="s">
        <v>65</v>
      </c>
      <c r="I714" s="11"/>
      <c r="J714" s="11" t="s">
        <v>65</v>
      </c>
      <c r="K714" s="11"/>
      <c r="L714" s="11" t="s">
        <v>65</v>
      </c>
      <c r="M714" s="11" t="s">
        <v>65</v>
      </c>
    </row>
    <row r="715" spans="1:13" x14ac:dyDescent="0.35">
      <c r="A715" s="13" t="s">
        <v>810</v>
      </c>
      <c r="B715" s="13" t="s">
        <v>65</v>
      </c>
      <c r="C715" s="13"/>
      <c r="D715" s="14"/>
      <c r="E715" s="14"/>
      <c r="F715" s="13" t="s">
        <v>65</v>
      </c>
      <c r="G715" s="13" t="s">
        <v>65</v>
      </c>
      <c r="H715" s="13" t="s">
        <v>65</v>
      </c>
      <c r="I715" s="13"/>
      <c r="J715" s="13" t="s">
        <v>65</v>
      </c>
      <c r="K715" s="13"/>
      <c r="L715" s="13" t="s">
        <v>65</v>
      </c>
      <c r="M715" s="13" t="s">
        <v>65</v>
      </c>
    </row>
    <row r="716" spans="1:13" x14ac:dyDescent="0.35">
      <c r="A716" s="11" t="s">
        <v>811</v>
      </c>
      <c r="B716" s="11" t="s">
        <v>65</v>
      </c>
      <c r="C716" s="11"/>
      <c r="D716" s="12"/>
      <c r="E716" s="12"/>
      <c r="F716" s="11" t="s">
        <v>65</v>
      </c>
      <c r="G716" s="11" t="s">
        <v>65</v>
      </c>
      <c r="H716" s="11" t="s">
        <v>65</v>
      </c>
      <c r="I716" s="11"/>
      <c r="J716" s="11" t="s">
        <v>65</v>
      </c>
      <c r="K716" s="11"/>
      <c r="L716" s="11" t="s">
        <v>65</v>
      </c>
      <c r="M716" s="11" t="s">
        <v>65</v>
      </c>
    </row>
    <row r="717" spans="1:13" x14ac:dyDescent="0.35">
      <c r="A717" s="13" t="s">
        <v>812</v>
      </c>
      <c r="B717" s="13" t="s">
        <v>65</v>
      </c>
      <c r="C717" s="13"/>
      <c r="D717" s="14"/>
      <c r="E717" s="14"/>
      <c r="F717" s="13" t="s">
        <v>65</v>
      </c>
      <c r="G717" s="13" t="s">
        <v>65</v>
      </c>
      <c r="H717" s="13" t="s">
        <v>65</v>
      </c>
      <c r="I717" s="13"/>
      <c r="J717" s="13" t="s">
        <v>65</v>
      </c>
      <c r="K717" s="13"/>
      <c r="L717" s="13" t="s">
        <v>65</v>
      </c>
      <c r="M717" s="13" t="s">
        <v>65</v>
      </c>
    </row>
    <row r="718" spans="1:13" x14ac:dyDescent="0.35">
      <c r="A718" s="11" t="s">
        <v>813</v>
      </c>
      <c r="B718" s="11" t="s">
        <v>65</v>
      </c>
      <c r="C718" s="11"/>
      <c r="D718" s="12"/>
      <c r="E718" s="12"/>
      <c r="F718" s="11" t="s">
        <v>65</v>
      </c>
      <c r="G718" s="11" t="s">
        <v>65</v>
      </c>
      <c r="H718" s="11" t="s">
        <v>65</v>
      </c>
      <c r="I718" s="11"/>
      <c r="J718" s="11" t="s">
        <v>65</v>
      </c>
      <c r="K718" s="11"/>
      <c r="L718" s="11" t="s">
        <v>65</v>
      </c>
      <c r="M718" s="11" t="s">
        <v>65</v>
      </c>
    </row>
    <row r="719" spans="1:13" x14ac:dyDescent="0.35">
      <c r="A719" s="13" t="s">
        <v>70</v>
      </c>
      <c r="B719" s="13" t="s">
        <v>814</v>
      </c>
      <c r="C719" s="13">
        <v>6</v>
      </c>
      <c r="D719" s="14">
        <v>45023.137499999997</v>
      </c>
      <c r="E719" s="14">
        <v>45023.29583333333</v>
      </c>
      <c r="F719" s="13" t="s">
        <v>100</v>
      </c>
      <c r="G719" s="13" t="s">
        <v>163</v>
      </c>
      <c r="H719" s="13" t="s">
        <v>74</v>
      </c>
      <c r="I719" s="13">
        <v>3721</v>
      </c>
      <c r="J719" s="13" t="s">
        <v>75</v>
      </c>
      <c r="K719" s="13">
        <v>718</v>
      </c>
      <c r="L719" s="13" t="s">
        <v>275</v>
      </c>
      <c r="M719" s="13" t="s">
        <v>39</v>
      </c>
    </row>
    <row r="720" spans="1:13" x14ac:dyDescent="0.35">
      <c r="A720" s="11" t="s">
        <v>815</v>
      </c>
      <c r="B720" s="11" t="s">
        <v>65</v>
      </c>
      <c r="C720" s="11"/>
      <c r="D720" s="12"/>
      <c r="E720" s="12"/>
      <c r="F720" s="11" t="s">
        <v>65</v>
      </c>
      <c r="G720" s="11" t="s">
        <v>65</v>
      </c>
      <c r="H720" s="11" t="s">
        <v>65</v>
      </c>
      <c r="I720" s="11"/>
      <c r="J720" s="11" t="s">
        <v>65</v>
      </c>
      <c r="K720" s="11"/>
      <c r="L720" s="11" t="s">
        <v>65</v>
      </c>
      <c r="M720" s="11" t="s">
        <v>65</v>
      </c>
    </row>
    <row r="721" spans="1:13" x14ac:dyDescent="0.35">
      <c r="A721" s="13" t="s">
        <v>816</v>
      </c>
      <c r="B721" s="13" t="s">
        <v>65</v>
      </c>
      <c r="C721" s="13"/>
      <c r="D721" s="14"/>
      <c r="E721" s="14"/>
      <c r="F721" s="13" t="s">
        <v>65</v>
      </c>
      <c r="G721" s="13" t="s">
        <v>65</v>
      </c>
      <c r="H721" s="13" t="s">
        <v>65</v>
      </c>
      <c r="I721" s="13"/>
      <c r="J721" s="13" t="s">
        <v>65</v>
      </c>
      <c r="K721" s="13"/>
      <c r="L721" s="13" t="s">
        <v>65</v>
      </c>
      <c r="M721" s="13" t="s">
        <v>65</v>
      </c>
    </row>
    <row r="722" spans="1:13" x14ac:dyDescent="0.35">
      <c r="A722" s="11" t="s">
        <v>817</v>
      </c>
      <c r="B722" s="11" t="s">
        <v>65</v>
      </c>
      <c r="C722" s="11"/>
      <c r="D722" s="12"/>
      <c r="E722" s="12"/>
      <c r="F722" s="11" t="s">
        <v>65</v>
      </c>
      <c r="G722" s="11" t="s">
        <v>65</v>
      </c>
      <c r="H722" s="11" t="s">
        <v>65</v>
      </c>
      <c r="I722" s="11"/>
      <c r="J722" s="11" t="s">
        <v>65</v>
      </c>
      <c r="K722" s="11"/>
      <c r="L722" s="11" t="s">
        <v>65</v>
      </c>
      <c r="M722" s="11" t="s">
        <v>65</v>
      </c>
    </row>
    <row r="723" spans="1:13" x14ac:dyDescent="0.35">
      <c r="A723" s="13" t="s">
        <v>818</v>
      </c>
      <c r="B723" s="13" t="s">
        <v>65</v>
      </c>
      <c r="C723" s="13"/>
      <c r="D723" s="14"/>
      <c r="E723" s="14"/>
      <c r="F723" s="13" t="s">
        <v>65</v>
      </c>
      <c r="G723" s="13" t="s">
        <v>65</v>
      </c>
      <c r="H723" s="13" t="s">
        <v>65</v>
      </c>
      <c r="I723" s="13"/>
      <c r="J723" s="13" t="s">
        <v>65</v>
      </c>
      <c r="K723" s="13"/>
      <c r="L723" s="13" t="s">
        <v>65</v>
      </c>
      <c r="M723" s="13" t="s">
        <v>65</v>
      </c>
    </row>
    <row r="724" spans="1:13" x14ac:dyDescent="0.35">
      <c r="A724" s="11" t="s">
        <v>819</v>
      </c>
      <c r="B724" s="11" t="s">
        <v>65</v>
      </c>
      <c r="C724" s="11"/>
      <c r="D724" s="12"/>
      <c r="E724" s="12"/>
      <c r="F724" s="11" t="s">
        <v>65</v>
      </c>
      <c r="G724" s="11" t="s">
        <v>65</v>
      </c>
      <c r="H724" s="11" t="s">
        <v>65</v>
      </c>
      <c r="I724" s="11"/>
      <c r="J724" s="11" t="s">
        <v>65</v>
      </c>
      <c r="K724" s="11"/>
      <c r="L724" s="11" t="s">
        <v>65</v>
      </c>
      <c r="M724" s="11" t="s">
        <v>65</v>
      </c>
    </row>
    <row r="725" spans="1:13" x14ac:dyDescent="0.35">
      <c r="A725" s="13" t="s">
        <v>215</v>
      </c>
      <c r="B725" s="13" t="s">
        <v>410</v>
      </c>
      <c r="C725" s="13">
        <v>6</v>
      </c>
      <c r="D725" s="14">
        <v>45023.12222222222</v>
      </c>
      <c r="E725" s="14">
        <v>45023.177083333336</v>
      </c>
      <c r="F725" s="13" t="s">
        <v>85</v>
      </c>
      <c r="G725" s="13" t="s">
        <v>73</v>
      </c>
      <c r="H725" s="13" t="s">
        <v>87</v>
      </c>
      <c r="I725" s="13">
        <v>1412</v>
      </c>
      <c r="J725" s="13" t="s">
        <v>75</v>
      </c>
      <c r="K725" s="13">
        <v>724</v>
      </c>
      <c r="L725" s="13" t="s">
        <v>275</v>
      </c>
      <c r="M725" s="13" t="s">
        <v>35</v>
      </c>
    </row>
    <row r="726" spans="1:13" x14ac:dyDescent="0.35">
      <c r="A726" s="11" t="s">
        <v>820</v>
      </c>
      <c r="B726" s="11" t="s">
        <v>65</v>
      </c>
      <c r="C726" s="11"/>
      <c r="D726" s="12"/>
      <c r="E726" s="12"/>
      <c r="F726" s="11" t="s">
        <v>65</v>
      </c>
      <c r="G726" s="11" t="s">
        <v>65</v>
      </c>
      <c r="H726" s="11" t="s">
        <v>65</v>
      </c>
      <c r="I726" s="11"/>
      <c r="J726" s="11" t="s">
        <v>65</v>
      </c>
      <c r="K726" s="11"/>
      <c r="L726" s="11" t="s">
        <v>65</v>
      </c>
      <c r="M726" s="11" t="s">
        <v>65</v>
      </c>
    </row>
    <row r="727" spans="1:13" x14ac:dyDescent="0.35">
      <c r="A727" s="13" t="s">
        <v>821</v>
      </c>
      <c r="B727" s="13" t="s">
        <v>65</v>
      </c>
      <c r="C727" s="13"/>
      <c r="D727" s="14"/>
      <c r="E727" s="14"/>
      <c r="F727" s="13" t="s">
        <v>65</v>
      </c>
      <c r="G727" s="13" t="s">
        <v>65</v>
      </c>
      <c r="H727" s="13" t="s">
        <v>65</v>
      </c>
      <c r="I727" s="13"/>
      <c r="J727" s="13" t="s">
        <v>65</v>
      </c>
      <c r="K727" s="13"/>
      <c r="L727" s="13" t="s">
        <v>65</v>
      </c>
      <c r="M727" s="13" t="s">
        <v>65</v>
      </c>
    </row>
    <row r="728" spans="1:13" x14ac:dyDescent="0.35">
      <c r="A728" s="11" t="s">
        <v>132</v>
      </c>
      <c r="B728" s="11" t="s">
        <v>822</v>
      </c>
      <c r="C728" s="11">
        <v>6</v>
      </c>
      <c r="D728" s="12">
        <v>45023.021527777775</v>
      </c>
      <c r="E728" s="12">
        <v>45023.126388888886</v>
      </c>
      <c r="F728" s="11" t="s">
        <v>100</v>
      </c>
      <c r="G728" s="11" t="s">
        <v>73</v>
      </c>
      <c r="H728" s="11" t="s">
        <v>109</v>
      </c>
      <c r="I728" s="11">
        <v>1324</v>
      </c>
      <c r="J728" s="11" t="s">
        <v>94</v>
      </c>
      <c r="K728" s="11">
        <v>727</v>
      </c>
      <c r="L728" s="11" t="s">
        <v>110</v>
      </c>
      <c r="M728" s="11" t="s">
        <v>39</v>
      </c>
    </row>
    <row r="729" spans="1:13" x14ac:dyDescent="0.35">
      <c r="A729" s="13" t="s">
        <v>823</v>
      </c>
      <c r="B729" s="13" t="s">
        <v>65</v>
      </c>
      <c r="C729" s="13"/>
      <c r="D729" s="14"/>
      <c r="E729" s="14"/>
      <c r="F729" s="13" t="s">
        <v>65</v>
      </c>
      <c r="G729" s="13" t="s">
        <v>65</v>
      </c>
      <c r="H729" s="13" t="s">
        <v>65</v>
      </c>
      <c r="I729" s="13"/>
      <c r="J729" s="13" t="s">
        <v>65</v>
      </c>
      <c r="K729" s="13"/>
      <c r="L729" s="13" t="s">
        <v>65</v>
      </c>
      <c r="M729" s="13" t="s">
        <v>65</v>
      </c>
    </row>
    <row r="730" spans="1:13" x14ac:dyDescent="0.35">
      <c r="A730" s="11" t="s">
        <v>824</v>
      </c>
      <c r="B730" s="11" t="s">
        <v>65</v>
      </c>
      <c r="C730" s="11"/>
      <c r="D730" s="12"/>
      <c r="E730" s="12"/>
      <c r="F730" s="11" t="s">
        <v>65</v>
      </c>
      <c r="G730" s="11" t="s">
        <v>65</v>
      </c>
      <c r="H730" s="11" t="s">
        <v>65</v>
      </c>
      <c r="I730" s="11"/>
      <c r="J730" s="11" t="s">
        <v>65</v>
      </c>
      <c r="K730" s="11"/>
      <c r="L730" s="11" t="s">
        <v>65</v>
      </c>
      <c r="M730" s="11" t="s">
        <v>65</v>
      </c>
    </row>
    <row r="731" spans="1:13" x14ac:dyDescent="0.35">
      <c r="A731" s="13" t="s">
        <v>825</v>
      </c>
      <c r="B731" s="13" t="s">
        <v>65</v>
      </c>
      <c r="C731" s="13"/>
      <c r="D731" s="14"/>
      <c r="E731" s="14"/>
      <c r="F731" s="13" t="s">
        <v>65</v>
      </c>
      <c r="G731" s="13" t="s">
        <v>65</v>
      </c>
      <c r="H731" s="13" t="s">
        <v>65</v>
      </c>
      <c r="I731" s="13"/>
      <c r="J731" s="13" t="s">
        <v>65</v>
      </c>
      <c r="K731" s="13"/>
      <c r="L731" s="13" t="s">
        <v>65</v>
      </c>
      <c r="M731" s="13" t="s">
        <v>65</v>
      </c>
    </row>
    <row r="732" spans="1:13" x14ac:dyDescent="0.35">
      <c r="A732" s="11" t="s">
        <v>132</v>
      </c>
      <c r="B732" s="11" t="s">
        <v>826</v>
      </c>
      <c r="C732" s="11">
        <v>3</v>
      </c>
      <c r="D732" s="12">
        <v>45023.136111111111</v>
      </c>
      <c r="E732" s="12">
        <v>45023.267361111109</v>
      </c>
      <c r="F732" s="11" t="s">
        <v>100</v>
      </c>
      <c r="G732" s="11" t="s">
        <v>86</v>
      </c>
      <c r="H732" s="11" t="s">
        <v>74</v>
      </c>
      <c r="I732" s="11">
        <v>1435</v>
      </c>
      <c r="J732" s="11" t="s">
        <v>94</v>
      </c>
      <c r="K732" s="11">
        <v>731</v>
      </c>
      <c r="L732" s="11" t="s">
        <v>101</v>
      </c>
      <c r="M732" s="11" t="s">
        <v>33</v>
      </c>
    </row>
    <row r="733" spans="1:13" x14ac:dyDescent="0.35">
      <c r="A733" s="13" t="s">
        <v>827</v>
      </c>
      <c r="B733" s="13" t="s">
        <v>65</v>
      </c>
      <c r="C733" s="13"/>
      <c r="D733" s="14"/>
      <c r="E733" s="14"/>
      <c r="F733" s="13" t="s">
        <v>65</v>
      </c>
      <c r="G733" s="13" t="s">
        <v>65</v>
      </c>
      <c r="H733" s="13" t="s">
        <v>65</v>
      </c>
      <c r="I733" s="13"/>
      <c r="J733" s="13" t="s">
        <v>65</v>
      </c>
      <c r="K733" s="13"/>
      <c r="L733" s="13" t="s">
        <v>65</v>
      </c>
      <c r="M733" s="13" t="s">
        <v>65</v>
      </c>
    </row>
    <row r="734" spans="1:13" x14ac:dyDescent="0.35">
      <c r="A734" s="11" t="s">
        <v>828</v>
      </c>
      <c r="B734" s="11" t="s">
        <v>65</v>
      </c>
      <c r="C734" s="11"/>
      <c r="D734" s="12"/>
      <c r="E734" s="12"/>
      <c r="F734" s="11" t="s">
        <v>65</v>
      </c>
      <c r="G734" s="11" t="s">
        <v>65</v>
      </c>
      <c r="H734" s="11" t="s">
        <v>65</v>
      </c>
      <c r="I734" s="11"/>
      <c r="J734" s="11" t="s">
        <v>65</v>
      </c>
      <c r="K734" s="11"/>
      <c r="L734" s="11" t="s">
        <v>65</v>
      </c>
      <c r="M734" s="11" t="s">
        <v>65</v>
      </c>
    </row>
    <row r="735" spans="1:13" x14ac:dyDescent="0.35">
      <c r="A735" s="13" t="s">
        <v>829</v>
      </c>
      <c r="B735" s="13" t="s">
        <v>65</v>
      </c>
      <c r="C735" s="13"/>
      <c r="D735" s="14"/>
      <c r="E735" s="14"/>
      <c r="F735" s="13" t="s">
        <v>65</v>
      </c>
      <c r="G735" s="13" t="s">
        <v>65</v>
      </c>
      <c r="H735" s="13" t="s">
        <v>65</v>
      </c>
      <c r="I735" s="13"/>
      <c r="J735" s="13" t="s">
        <v>65</v>
      </c>
      <c r="K735" s="13"/>
      <c r="L735" s="13" t="s">
        <v>65</v>
      </c>
      <c r="M735" s="13" t="s">
        <v>65</v>
      </c>
    </row>
    <row r="736" spans="1:13" x14ac:dyDescent="0.35">
      <c r="A736" s="11" t="s">
        <v>830</v>
      </c>
      <c r="B736" s="11" t="s">
        <v>65</v>
      </c>
      <c r="C736" s="11"/>
      <c r="D736" s="12"/>
      <c r="E736" s="12"/>
      <c r="F736" s="11" t="s">
        <v>65</v>
      </c>
      <c r="G736" s="11" t="s">
        <v>65</v>
      </c>
      <c r="H736" s="11" t="s">
        <v>65</v>
      </c>
      <c r="I736" s="11"/>
      <c r="J736" s="11" t="s">
        <v>65</v>
      </c>
      <c r="K736" s="11"/>
      <c r="L736" s="11" t="s">
        <v>65</v>
      </c>
      <c r="M736" s="11" t="s">
        <v>65</v>
      </c>
    </row>
    <row r="737" spans="1:13" x14ac:dyDescent="0.35">
      <c r="A737" s="13" t="s">
        <v>831</v>
      </c>
      <c r="B737" s="13" t="s">
        <v>65</v>
      </c>
      <c r="C737" s="13"/>
      <c r="D737" s="14"/>
      <c r="E737" s="14"/>
      <c r="F737" s="13" t="s">
        <v>65</v>
      </c>
      <c r="G737" s="13" t="s">
        <v>65</v>
      </c>
      <c r="H737" s="13" t="s">
        <v>65</v>
      </c>
      <c r="I737" s="13"/>
      <c r="J737" s="13" t="s">
        <v>65</v>
      </c>
      <c r="K737" s="13"/>
      <c r="L737" s="13" t="s">
        <v>65</v>
      </c>
      <c r="M737" s="13" t="s">
        <v>65</v>
      </c>
    </row>
    <row r="738" spans="1:13" x14ac:dyDescent="0.35">
      <c r="A738" s="11" t="s">
        <v>832</v>
      </c>
      <c r="B738" s="11" t="s">
        <v>65</v>
      </c>
      <c r="C738" s="11"/>
      <c r="D738" s="12"/>
      <c r="E738" s="12"/>
      <c r="F738" s="11" t="s">
        <v>65</v>
      </c>
      <c r="G738" s="11" t="s">
        <v>65</v>
      </c>
      <c r="H738" s="11" t="s">
        <v>65</v>
      </c>
      <c r="I738" s="11"/>
      <c r="J738" s="11" t="s">
        <v>65</v>
      </c>
      <c r="K738" s="11"/>
      <c r="L738" s="11" t="s">
        <v>65</v>
      </c>
      <c r="M738" s="11" t="s">
        <v>65</v>
      </c>
    </row>
    <row r="739" spans="1:13" x14ac:dyDescent="0.35">
      <c r="A739" s="13" t="s">
        <v>833</v>
      </c>
      <c r="B739" s="13" t="s">
        <v>65</v>
      </c>
      <c r="C739" s="13"/>
      <c r="D739" s="14"/>
      <c r="E739" s="14"/>
      <c r="F739" s="13" t="s">
        <v>65</v>
      </c>
      <c r="G739" s="13" t="s">
        <v>65</v>
      </c>
      <c r="H739" s="13" t="s">
        <v>65</v>
      </c>
      <c r="I739" s="13"/>
      <c r="J739" s="13" t="s">
        <v>65</v>
      </c>
      <c r="K739" s="13"/>
      <c r="L739" s="13" t="s">
        <v>65</v>
      </c>
      <c r="M739" s="13" t="s">
        <v>65</v>
      </c>
    </row>
    <row r="740" spans="1:13" x14ac:dyDescent="0.35">
      <c r="A740" s="11" t="s">
        <v>232</v>
      </c>
      <c r="B740" s="11" t="s">
        <v>834</v>
      </c>
      <c r="C740" s="11">
        <v>5</v>
      </c>
      <c r="D740" s="12">
        <v>45023.161805555559</v>
      </c>
      <c r="E740" s="12">
        <v>45023.256944444445</v>
      </c>
      <c r="F740" s="11" t="s">
        <v>100</v>
      </c>
      <c r="G740" s="11" t="s">
        <v>86</v>
      </c>
      <c r="H740" s="11" t="s">
        <v>109</v>
      </c>
      <c r="I740" s="11">
        <v>3369</v>
      </c>
      <c r="J740" s="11" t="s">
        <v>94</v>
      </c>
      <c r="K740" s="11">
        <v>739</v>
      </c>
      <c r="L740" s="11" t="s">
        <v>110</v>
      </c>
      <c r="M740" s="11" t="s">
        <v>41</v>
      </c>
    </row>
    <row r="741" spans="1:13" x14ac:dyDescent="0.35">
      <c r="A741" s="13" t="s">
        <v>835</v>
      </c>
      <c r="B741" s="13" t="s">
        <v>65</v>
      </c>
      <c r="C741" s="13"/>
      <c r="D741" s="14"/>
      <c r="E741" s="14"/>
      <c r="F741" s="13" t="s">
        <v>65</v>
      </c>
      <c r="G741" s="13" t="s">
        <v>65</v>
      </c>
      <c r="H741" s="13" t="s">
        <v>65</v>
      </c>
      <c r="I741" s="13"/>
      <c r="J741" s="13" t="s">
        <v>65</v>
      </c>
      <c r="K741" s="13"/>
      <c r="L741" s="13" t="s">
        <v>65</v>
      </c>
      <c r="M741" s="13" t="s">
        <v>65</v>
      </c>
    </row>
    <row r="742" spans="1:13" x14ac:dyDescent="0.35">
      <c r="A742" s="11" t="s">
        <v>836</v>
      </c>
      <c r="B742" s="11" t="s">
        <v>65</v>
      </c>
      <c r="C742" s="11"/>
      <c r="D742" s="12"/>
      <c r="E742" s="12"/>
      <c r="F742" s="11" t="s">
        <v>65</v>
      </c>
      <c r="G742" s="11" t="s">
        <v>65</v>
      </c>
      <c r="H742" s="11" t="s">
        <v>65</v>
      </c>
      <c r="I742" s="11"/>
      <c r="J742" s="11" t="s">
        <v>65</v>
      </c>
      <c r="K742" s="11"/>
      <c r="L742" s="11" t="s">
        <v>65</v>
      </c>
      <c r="M742" s="11" t="s">
        <v>65</v>
      </c>
    </row>
    <row r="743" spans="1:13" x14ac:dyDescent="0.35">
      <c r="A743" s="13" t="s">
        <v>837</v>
      </c>
      <c r="B743" s="13" t="s">
        <v>65</v>
      </c>
      <c r="C743" s="13"/>
      <c r="D743" s="14"/>
      <c r="E743" s="14"/>
      <c r="F743" s="13" t="s">
        <v>65</v>
      </c>
      <c r="G743" s="13" t="s">
        <v>65</v>
      </c>
      <c r="H743" s="13" t="s">
        <v>65</v>
      </c>
      <c r="I743" s="13"/>
      <c r="J743" s="13" t="s">
        <v>65</v>
      </c>
      <c r="K743" s="13"/>
      <c r="L743" s="13" t="s">
        <v>65</v>
      </c>
      <c r="M743" s="13" t="s">
        <v>65</v>
      </c>
    </row>
    <row r="744" spans="1:13" x14ac:dyDescent="0.35">
      <c r="A744" s="11" t="s">
        <v>838</v>
      </c>
      <c r="B744" s="11" t="s">
        <v>65</v>
      </c>
      <c r="C744" s="11"/>
      <c r="D744" s="12"/>
      <c r="E744" s="12"/>
      <c r="F744" s="11" t="s">
        <v>65</v>
      </c>
      <c r="G744" s="11" t="s">
        <v>65</v>
      </c>
      <c r="H744" s="11" t="s">
        <v>65</v>
      </c>
      <c r="I744" s="11"/>
      <c r="J744" s="11" t="s">
        <v>65</v>
      </c>
      <c r="K744" s="11"/>
      <c r="L744" s="11" t="s">
        <v>65</v>
      </c>
      <c r="M744" s="11" t="s">
        <v>65</v>
      </c>
    </row>
    <row r="745" spans="1:13" x14ac:dyDescent="0.35">
      <c r="A745" s="13" t="s">
        <v>839</v>
      </c>
      <c r="B745" s="13" t="s">
        <v>65</v>
      </c>
      <c r="C745" s="13"/>
      <c r="D745" s="14"/>
      <c r="E745" s="14"/>
      <c r="F745" s="13" t="s">
        <v>65</v>
      </c>
      <c r="G745" s="13" t="s">
        <v>65</v>
      </c>
      <c r="H745" s="13" t="s">
        <v>65</v>
      </c>
      <c r="I745" s="13"/>
      <c r="J745" s="13" t="s">
        <v>65</v>
      </c>
      <c r="K745" s="13"/>
      <c r="L745" s="13" t="s">
        <v>65</v>
      </c>
      <c r="M745" s="13" t="s">
        <v>65</v>
      </c>
    </row>
    <row r="746" spans="1:13" x14ac:dyDescent="0.35">
      <c r="A746" s="11" t="s">
        <v>840</v>
      </c>
      <c r="B746" s="11" t="s">
        <v>65</v>
      </c>
      <c r="C746" s="11"/>
      <c r="D746" s="12"/>
      <c r="E746" s="12"/>
      <c r="F746" s="11" t="s">
        <v>65</v>
      </c>
      <c r="G746" s="11" t="s">
        <v>65</v>
      </c>
      <c r="H746" s="11" t="s">
        <v>65</v>
      </c>
      <c r="I746" s="11"/>
      <c r="J746" s="11" t="s">
        <v>65</v>
      </c>
      <c r="K746" s="11"/>
      <c r="L746" s="11" t="s">
        <v>65</v>
      </c>
      <c r="M746" s="11" t="s">
        <v>65</v>
      </c>
    </row>
    <row r="747" spans="1:13" x14ac:dyDescent="0.35">
      <c r="A747" s="13" t="s">
        <v>841</v>
      </c>
      <c r="B747" s="13" t="s">
        <v>65</v>
      </c>
      <c r="C747" s="13"/>
      <c r="D747" s="14"/>
      <c r="E747" s="14"/>
      <c r="F747" s="13" t="s">
        <v>65</v>
      </c>
      <c r="G747" s="13" t="s">
        <v>65</v>
      </c>
      <c r="H747" s="13" t="s">
        <v>65</v>
      </c>
      <c r="I747" s="13"/>
      <c r="J747" s="13" t="s">
        <v>65</v>
      </c>
      <c r="K747" s="13"/>
      <c r="L747" s="13" t="s">
        <v>65</v>
      </c>
      <c r="M747" s="13" t="s">
        <v>65</v>
      </c>
    </row>
    <row r="748" spans="1:13" x14ac:dyDescent="0.35">
      <c r="A748" s="11" t="s">
        <v>224</v>
      </c>
      <c r="B748" s="11" t="s">
        <v>842</v>
      </c>
      <c r="C748" s="11">
        <v>3</v>
      </c>
      <c r="D748" s="12">
        <v>45023.120138888888</v>
      </c>
      <c r="E748" s="12">
        <v>45023.200694444444</v>
      </c>
      <c r="F748" s="11" t="s">
        <v>223</v>
      </c>
      <c r="G748" s="11" t="s">
        <v>163</v>
      </c>
      <c r="H748" s="11" t="s">
        <v>109</v>
      </c>
      <c r="I748" s="11">
        <v>3723</v>
      </c>
      <c r="J748" s="11" t="s">
        <v>94</v>
      </c>
      <c r="K748" s="11">
        <v>747</v>
      </c>
      <c r="L748" s="11" t="s">
        <v>174</v>
      </c>
      <c r="M748" s="11" t="s">
        <v>49</v>
      </c>
    </row>
    <row r="749" spans="1:13" x14ac:dyDescent="0.35">
      <c r="A749" s="13" t="s">
        <v>843</v>
      </c>
      <c r="B749" s="13" t="s">
        <v>65</v>
      </c>
      <c r="C749" s="13"/>
      <c r="D749" s="14"/>
      <c r="E749" s="14"/>
      <c r="F749" s="13" t="s">
        <v>65</v>
      </c>
      <c r="G749" s="13" t="s">
        <v>65</v>
      </c>
      <c r="H749" s="13" t="s">
        <v>65</v>
      </c>
      <c r="I749" s="13"/>
      <c r="J749" s="13" t="s">
        <v>65</v>
      </c>
      <c r="K749" s="13"/>
      <c r="L749" s="13" t="s">
        <v>65</v>
      </c>
      <c r="M749" s="13" t="s">
        <v>65</v>
      </c>
    </row>
    <row r="750" spans="1:13" x14ac:dyDescent="0.35">
      <c r="A750" s="11" t="s">
        <v>161</v>
      </c>
      <c r="B750" s="11" t="s">
        <v>842</v>
      </c>
      <c r="C750" s="11">
        <v>2</v>
      </c>
      <c r="D750" s="12">
        <v>45023.056250000001</v>
      </c>
      <c r="E750" s="12">
        <v>45023.119444444441</v>
      </c>
      <c r="F750" s="11" t="s">
        <v>72</v>
      </c>
      <c r="G750" s="11" t="s">
        <v>86</v>
      </c>
      <c r="H750" s="11" t="s">
        <v>109</v>
      </c>
      <c r="I750" s="11">
        <v>2412</v>
      </c>
      <c r="J750" s="11" t="s">
        <v>88</v>
      </c>
      <c r="K750" s="11">
        <v>749</v>
      </c>
      <c r="L750" s="11" t="s">
        <v>76</v>
      </c>
      <c r="M750" s="11" t="s">
        <v>31</v>
      </c>
    </row>
    <row r="751" spans="1:13" x14ac:dyDescent="0.35">
      <c r="A751" s="13" t="s">
        <v>844</v>
      </c>
      <c r="B751" s="13" t="s">
        <v>65</v>
      </c>
      <c r="C751" s="13"/>
      <c r="D751" s="14"/>
      <c r="E751" s="14"/>
      <c r="F751" s="13" t="s">
        <v>65</v>
      </c>
      <c r="G751" s="13" t="s">
        <v>65</v>
      </c>
      <c r="H751" s="13" t="s">
        <v>65</v>
      </c>
      <c r="I751" s="13"/>
      <c r="J751" s="13" t="s">
        <v>65</v>
      </c>
      <c r="K751" s="13"/>
      <c r="L751" s="13" t="s">
        <v>65</v>
      </c>
      <c r="M751" s="13" t="s">
        <v>65</v>
      </c>
    </row>
    <row r="752" spans="1:13" x14ac:dyDescent="0.35">
      <c r="A752" s="11" t="s">
        <v>845</v>
      </c>
      <c r="B752" s="11" t="s">
        <v>65</v>
      </c>
      <c r="C752" s="11"/>
      <c r="D752" s="12"/>
      <c r="E752" s="12"/>
      <c r="F752" s="11" t="s">
        <v>65</v>
      </c>
      <c r="G752" s="11" t="s">
        <v>65</v>
      </c>
      <c r="H752" s="11" t="s">
        <v>65</v>
      </c>
      <c r="I752" s="11"/>
      <c r="J752" s="11" t="s">
        <v>65</v>
      </c>
      <c r="K752" s="11"/>
      <c r="L752" s="11" t="s">
        <v>65</v>
      </c>
      <c r="M752" s="11" t="s">
        <v>65</v>
      </c>
    </row>
    <row r="753" spans="1:13" x14ac:dyDescent="0.35">
      <c r="A753" s="13" t="s">
        <v>308</v>
      </c>
      <c r="B753" s="13" t="s">
        <v>519</v>
      </c>
      <c r="C753" s="13">
        <v>5</v>
      </c>
      <c r="D753" s="14">
        <v>45023.086805555555</v>
      </c>
      <c r="E753" s="14">
        <v>45023.182638888888</v>
      </c>
      <c r="F753" s="13" t="s">
        <v>170</v>
      </c>
      <c r="G753" s="13" t="s">
        <v>86</v>
      </c>
      <c r="H753" s="13" t="s">
        <v>74</v>
      </c>
      <c r="I753" s="13">
        <v>4627</v>
      </c>
      <c r="J753" s="13" t="s">
        <v>75</v>
      </c>
      <c r="K753" s="13">
        <v>752</v>
      </c>
      <c r="L753" s="13" t="s">
        <v>76</v>
      </c>
      <c r="M753" s="13" t="s">
        <v>12</v>
      </c>
    </row>
    <row r="754" spans="1:13" x14ac:dyDescent="0.35">
      <c r="A754" s="11" t="s">
        <v>846</v>
      </c>
      <c r="B754" s="11" t="s">
        <v>65</v>
      </c>
      <c r="C754" s="11"/>
      <c r="D754" s="12"/>
      <c r="E754" s="12"/>
      <c r="F754" s="11" t="s">
        <v>65</v>
      </c>
      <c r="G754" s="11" t="s">
        <v>65</v>
      </c>
      <c r="H754" s="11" t="s">
        <v>65</v>
      </c>
      <c r="I754" s="11"/>
      <c r="J754" s="11" t="s">
        <v>65</v>
      </c>
      <c r="K754" s="11"/>
      <c r="L754" s="11" t="s">
        <v>65</v>
      </c>
      <c r="M754" s="11" t="s">
        <v>65</v>
      </c>
    </row>
    <row r="755" spans="1:13" x14ac:dyDescent="0.35">
      <c r="A755" s="13" t="s">
        <v>847</v>
      </c>
      <c r="B755" s="13" t="s">
        <v>65</v>
      </c>
      <c r="C755" s="13"/>
      <c r="D755" s="14"/>
      <c r="E755" s="14"/>
      <c r="F755" s="13" t="s">
        <v>65</v>
      </c>
      <c r="G755" s="13" t="s">
        <v>65</v>
      </c>
      <c r="H755" s="13" t="s">
        <v>65</v>
      </c>
      <c r="I755" s="13"/>
      <c r="J755" s="13" t="s">
        <v>65</v>
      </c>
      <c r="K755" s="13"/>
      <c r="L755" s="13" t="s">
        <v>65</v>
      </c>
      <c r="M755" s="13" t="s">
        <v>65</v>
      </c>
    </row>
    <row r="756" spans="1:13" x14ac:dyDescent="0.35">
      <c r="A756" s="11" t="s">
        <v>848</v>
      </c>
      <c r="B756" s="11" t="s">
        <v>65</v>
      </c>
      <c r="C756" s="11"/>
      <c r="D756" s="12"/>
      <c r="E756" s="12"/>
      <c r="F756" s="11" t="s">
        <v>65</v>
      </c>
      <c r="G756" s="11" t="s">
        <v>65</v>
      </c>
      <c r="H756" s="11" t="s">
        <v>65</v>
      </c>
      <c r="I756" s="11"/>
      <c r="J756" s="11" t="s">
        <v>65</v>
      </c>
      <c r="K756" s="11"/>
      <c r="L756" s="11" t="s">
        <v>65</v>
      </c>
      <c r="M756" s="11" t="s">
        <v>65</v>
      </c>
    </row>
    <row r="757" spans="1:13" x14ac:dyDescent="0.35">
      <c r="A757" s="13" t="s">
        <v>849</v>
      </c>
      <c r="B757" s="13" t="s">
        <v>65</v>
      </c>
      <c r="C757" s="13"/>
      <c r="D757" s="14"/>
      <c r="E757" s="14"/>
      <c r="F757" s="13" t="s">
        <v>65</v>
      </c>
      <c r="G757" s="13" t="s">
        <v>65</v>
      </c>
      <c r="H757" s="13" t="s">
        <v>65</v>
      </c>
      <c r="I757" s="13"/>
      <c r="J757" s="13" t="s">
        <v>65</v>
      </c>
      <c r="K757" s="13"/>
      <c r="L757" s="13" t="s">
        <v>65</v>
      </c>
      <c r="M757" s="13" t="s">
        <v>65</v>
      </c>
    </row>
    <row r="758" spans="1:13" x14ac:dyDescent="0.35">
      <c r="A758" s="11" t="s">
        <v>308</v>
      </c>
      <c r="B758" s="11" t="s">
        <v>850</v>
      </c>
      <c r="C758" s="11">
        <v>6</v>
      </c>
      <c r="D758" s="12">
        <v>45023.074305555558</v>
      </c>
      <c r="E758" s="12">
        <v>45023.195833333331</v>
      </c>
      <c r="F758" s="11" t="s">
        <v>100</v>
      </c>
      <c r="G758" s="11" t="s">
        <v>86</v>
      </c>
      <c r="H758" s="11" t="s">
        <v>109</v>
      </c>
      <c r="I758" s="11">
        <v>1003</v>
      </c>
      <c r="J758" s="11" t="s">
        <v>94</v>
      </c>
      <c r="K758" s="11">
        <v>757</v>
      </c>
      <c r="L758" s="11" t="s">
        <v>89</v>
      </c>
      <c r="M758" s="11" t="s">
        <v>12</v>
      </c>
    </row>
    <row r="759" spans="1:13" x14ac:dyDescent="0.35">
      <c r="A759" s="13" t="s">
        <v>851</v>
      </c>
      <c r="B759" s="13" t="s">
        <v>65</v>
      </c>
      <c r="C759" s="13"/>
      <c r="D759" s="14"/>
      <c r="E759" s="14"/>
      <c r="F759" s="13" t="s">
        <v>65</v>
      </c>
      <c r="G759" s="13" t="s">
        <v>65</v>
      </c>
      <c r="H759" s="13" t="s">
        <v>65</v>
      </c>
      <c r="I759" s="13"/>
      <c r="J759" s="13" t="s">
        <v>65</v>
      </c>
      <c r="K759" s="13"/>
      <c r="L759" s="13" t="s">
        <v>65</v>
      </c>
      <c r="M759" s="13" t="s">
        <v>65</v>
      </c>
    </row>
    <row r="760" spans="1:13" x14ac:dyDescent="0.35">
      <c r="A760" s="11" t="s">
        <v>852</v>
      </c>
      <c r="B760" s="11" t="s">
        <v>65</v>
      </c>
      <c r="C760" s="11"/>
      <c r="D760" s="12"/>
      <c r="E760" s="12"/>
      <c r="F760" s="11" t="s">
        <v>65</v>
      </c>
      <c r="G760" s="11" t="s">
        <v>65</v>
      </c>
      <c r="H760" s="11" t="s">
        <v>65</v>
      </c>
      <c r="I760" s="11"/>
      <c r="J760" s="11" t="s">
        <v>65</v>
      </c>
      <c r="K760" s="11"/>
      <c r="L760" s="11" t="s">
        <v>65</v>
      </c>
      <c r="M760" s="11" t="s">
        <v>65</v>
      </c>
    </row>
    <row r="761" spans="1:13" x14ac:dyDescent="0.35">
      <c r="A761" s="13" t="s">
        <v>121</v>
      </c>
      <c r="B761" s="13" t="s">
        <v>853</v>
      </c>
      <c r="C761" s="13">
        <v>6</v>
      </c>
      <c r="D761" s="14">
        <v>45023.017361111109</v>
      </c>
      <c r="E761" s="14">
        <v>45023.069444444445</v>
      </c>
      <c r="F761" s="13" t="s">
        <v>72</v>
      </c>
      <c r="G761" s="13" t="s">
        <v>86</v>
      </c>
      <c r="H761" s="13" t="s">
        <v>74</v>
      </c>
      <c r="I761" s="13">
        <v>3942</v>
      </c>
      <c r="J761" s="13" t="s">
        <v>75</v>
      </c>
      <c r="K761" s="13">
        <v>760</v>
      </c>
      <c r="L761" s="13" t="s">
        <v>164</v>
      </c>
      <c r="M761" s="13" t="s">
        <v>31</v>
      </c>
    </row>
    <row r="762" spans="1:13" x14ac:dyDescent="0.35">
      <c r="A762" s="11" t="s">
        <v>854</v>
      </c>
      <c r="B762" s="11" t="s">
        <v>65</v>
      </c>
      <c r="C762" s="11"/>
      <c r="D762" s="12"/>
      <c r="E762" s="12"/>
      <c r="F762" s="11" t="s">
        <v>65</v>
      </c>
      <c r="G762" s="11" t="s">
        <v>65</v>
      </c>
      <c r="H762" s="11" t="s">
        <v>65</v>
      </c>
      <c r="I762" s="11"/>
      <c r="J762" s="11" t="s">
        <v>65</v>
      </c>
      <c r="K762" s="11"/>
      <c r="L762" s="11" t="s">
        <v>65</v>
      </c>
      <c r="M762" s="11" t="s">
        <v>65</v>
      </c>
    </row>
    <row r="763" spans="1:13" x14ac:dyDescent="0.35">
      <c r="A763" s="13" t="s">
        <v>855</v>
      </c>
      <c r="B763" s="13" t="s">
        <v>65</v>
      </c>
      <c r="C763" s="13"/>
      <c r="D763" s="14"/>
      <c r="E763" s="14"/>
      <c r="F763" s="13" t="s">
        <v>65</v>
      </c>
      <c r="G763" s="13" t="s">
        <v>65</v>
      </c>
      <c r="H763" s="13" t="s">
        <v>65</v>
      </c>
      <c r="I763" s="13"/>
      <c r="J763" s="13" t="s">
        <v>65</v>
      </c>
      <c r="K763" s="13"/>
      <c r="L763" s="13" t="s">
        <v>65</v>
      </c>
      <c r="M763" s="13" t="s">
        <v>65</v>
      </c>
    </row>
    <row r="764" spans="1:13" x14ac:dyDescent="0.35">
      <c r="A764" s="11" t="s">
        <v>856</v>
      </c>
      <c r="B764" s="11" t="s">
        <v>65</v>
      </c>
      <c r="C764" s="11"/>
      <c r="D764" s="12"/>
      <c r="E764" s="12"/>
      <c r="F764" s="11" t="s">
        <v>65</v>
      </c>
      <c r="G764" s="11" t="s">
        <v>65</v>
      </c>
      <c r="H764" s="11" t="s">
        <v>65</v>
      </c>
      <c r="I764" s="11"/>
      <c r="J764" s="11" t="s">
        <v>65</v>
      </c>
      <c r="K764" s="11"/>
      <c r="L764" s="11" t="s">
        <v>65</v>
      </c>
      <c r="M764" s="11" t="s">
        <v>65</v>
      </c>
    </row>
    <row r="765" spans="1:13" x14ac:dyDescent="0.35">
      <c r="A765" s="13" t="s">
        <v>857</v>
      </c>
      <c r="B765" s="13" t="s">
        <v>65</v>
      </c>
      <c r="C765" s="13"/>
      <c r="D765" s="14"/>
      <c r="E765" s="14"/>
      <c r="F765" s="13" t="s">
        <v>65</v>
      </c>
      <c r="G765" s="13" t="s">
        <v>65</v>
      </c>
      <c r="H765" s="13" t="s">
        <v>65</v>
      </c>
      <c r="I765" s="13"/>
      <c r="J765" s="13" t="s">
        <v>65</v>
      </c>
      <c r="K765" s="13"/>
      <c r="L765" s="13" t="s">
        <v>65</v>
      </c>
      <c r="M765" s="13" t="s">
        <v>65</v>
      </c>
    </row>
    <row r="766" spans="1:13" x14ac:dyDescent="0.35">
      <c r="A766" s="11" t="s">
        <v>858</v>
      </c>
      <c r="B766" s="11" t="s">
        <v>65</v>
      </c>
      <c r="C766" s="11"/>
      <c r="D766" s="12"/>
      <c r="E766" s="12"/>
      <c r="F766" s="11" t="s">
        <v>65</v>
      </c>
      <c r="G766" s="11" t="s">
        <v>65</v>
      </c>
      <c r="H766" s="11" t="s">
        <v>65</v>
      </c>
      <c r="I766" s="11"/>
      <c r="J766" s="11" t="s">
        <v>65</v>
      </c>
      <c r="K766" s="11"/>
      <c r="L766" s="11" t="s">
        <v>65</v>
      </c>
      <c r="M766" s="11" t="s">
        <v>65</v>
      </c>
    </row>
    <row r="767" spans="1:13" x14ac:dyDescent="0.35">
      <c r="A767" s="13" t="s">
        <v>859</v>
      </c>
      <c r="B767" s="13" t="s">
        <v>65</v>
      </c>
      <c r="C767" s="13"/>
      <c r="D767" s="14"/>
      <c r="E767" s="14"/>
      <c r="F767" s="13" t="s">
        <v>65</v>
      </c>
      <c r="G767" s="13" t="s">
        <v>65</v>
      </c>
      <c r="H767" s="13" t="s">
        <v>65</v>
      </c>
      <c r="I767" s="13"/>
      <c r="J767" s="13" t="s">
        <v>65</v>
      </c>
      <c r="K767" s="13"/>
      <c r="L767" s="13" t="s">
        <v>65</v>
      </c>
      <c r="M767" s="13" t="s">
        <v>65</v>
      </c>
    </row>
    <row r="768" spans="1:13" x14ac:dyDescent="0.35">
      <c r="A768" s="11" t="s">
        <v>860</v>
      </c>
      <c r="B768" s="11" t="s">
        <v>65</v>
      </c>
      <c r="C768" s="11"/>
      <c r="D768" s="12"/>
      <c r="E768" s="12"/>
      <c r="F768" s="11" t="s">
        <v>65</v>
      </c>
      <c r="G768" s="11" t="s">
        <v>65</v>
      </c>
      <c r="H768" s="11" t="s">
        <v>65</v>
      </c>
      <c r="I768" s="11"/>
      <c r="J768" s="11" t="s">
        <v>65</v>
      </c>
      <c r="K768" s="11"/>
      <c r="L768" s="11" t="s">
        <v>65</v>
      </c>
      <c r="M768" s="11" t="s">
        <v>65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0AE6-B04F-4518-8B06-259DAF5FA09C}">
  <dimension ref="A1:L1903"/>
  <sheetViews>
    <sheetView zoomScale="58" workbookViewId="0">
      <selection activeCell="D3" sqref="D3"/>
    </sheetView>
  </sheetViews>
  <sheetFormatPr baseColWidth="10" defaultRowHeight="14.5" x14ac:dyDescent="0.35"/>
  <cols>
    <col min="1" max="1" width="18.6328125" bestFit="1" customWidth="1"/>
    <col min="2" max="2" width="17.81640625" bestFit="1" customWidth="1"/>
    <col min="3" max="3" width="17.36328125" bestFit="1" customWidth="1"/>
    <col min="4" max="4" width="22.1796875" bestFit="1" customWidth="1"/>
    <col min="5" max="5" width="15" bestFit="1" customWidth="1"/>
    <col min="6" max="6" width="15.453125" bestFit="1" customWidth="1"/>
    <col min="7" max="7" width="19.453125" bestFit="1" customWidth="1"/>
    <col min="8" max="8" width="23.6328125" bestFit="1" customWidth="1"/>
    <col min="9" max="9" width="15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35">
      <c r="A2">
        <v>1</v>
      </c>
      <c r="B2">
        <v>10</v>
      </c>
      <c r="C2" t="s">
        <v>9</v>
      </c>
      <c r="D2" t="s">
        <v>10</v>
      </c>
      <c r="E2">
        <v>14</v>
      </c>
      <c r="F2">
        <v>24</v>
      </c>
      <c r="G2">
        <v>2</v>
      </c>
      <c r="H2">
        <v>25</v>
      </c>
      <c r="I2" t="s">
        <v>11</v>
      </c>
    </row>
    <row r="3" spans="1:12" x14ac:dyDescent="0.35">
      <c r="A3">
        <v>1</v>
      </c>
      <c r="B3">
        <v>10</v>
      </c>
      <c r="C3" t="s">
        <v>12</v>
      </c>
      <c r="D3" t="s">
        <v>13</v>
      </c>
      <c r="E3">
        <v>18</v>
      </c>
      <c r="F3">
        <v>30</v>
      </c>
      <c r="G3">
        <v>3</v>
      </c>
      <c r="H3">
        <v>32</v>
      </c>
      <c r="I3" t="s">
        <v>14</v>
      </c>
    </row>
    <row r="4" spans="1:12" x14ac:dyDescent="0.35">
      <c r="A4">
        <v>2</v>
      </c>
      <c r="B4">
        <v>6</v>
      </c>
      <c r="C4" t="s">
        <v>15</v>
      </c>
      <c r="D4" t="s">
        <v>16</v>
      </c>
      <c r="E4">
        <v>19</v>
      </c>
      <c r="F4">
        <v>31</v>
      </c>
      <c r="G4">
        <v>1</v>
      </c>
      <c r="H4">
        <v>51</v>
      </c>
      <c r="I4" t="s">
        <v>11</v>
      </c>
    </row>
    <row r="5" spans="1:12" x14ac:dyDescent="0.35">
      <c r="A5">
        <v>2</v>
      </c>
      <c r="B5">
        <v>6</v>
      </c>
      <c r="C5" t="s">
        <v>17</v>
      </c>
      <c r="D5" t="s">
        <v>18</v>
      </c>
      <c r="E5">
        <v>16</v>
      </c>
      <c r="F5">
        <v>27</v>
      </c>
      <c r="G5">
        <v>1</v>
      </c>
      <c r="H5">
        <v>34</v>
      </c>
      <c r="I5" t="s">
        <v>14</v>
      </c>
    </row>
    <row r="6" spans="1:12" x14ac:dyDescent="0.35">
      <c r="A6">
        <v>3</v>
      </c>
      <c r="B6">
        <v>20</v>
      </c>
      <c r="C6" t="s">
        <v>19</v>
      </c>
      <c r="D6" t="s">
        <v>20</v>
      </c>
      <c r="E6">
        <v>25</v>
      </c>
      <c r="F6">
        <v>40</v>
      </c>
      <c r="G6">
        <v>1</v>
      </c>
      <c r="H6">
        <v>9</v>
      </c>
      <c r="I6" t="s">
        <v>14</v>
      </c>
      <c r="L6" t="s">
        <v>861</v>
      </c>
    </row>
    <row r="7" spans="1:12" x14ac:dyDescent="0.35">
      <c r="A7">
        <v>3</v>
      </c>
      <c r="B7">
        <v>20</v>
      </c>
      <c r="C7" t="s">
        <v>15</v>
      </c>
      <c r="D7" t="s">
        <v>16</v>
      </c>
      <c r="E7">
        <v>19</v>
      </c>
      <c r="F7">
        <v>31</v>
      </c>
      <c r="G7">
        <v>1</v>
      </c>
      <c r="H7">
        <v>27</v>
      </c>
      <c r="I7" t="s">
        <v>11</v>
      </c>
    </row>
    <row r="8" spans="1:12" x14ac:dyDescent="0.35">
      <c r="A8">
        <v>3</v>
      </c>
      <c r="B8">
        <v>20</v>
      </c>
      <c r="C8" t="s">
        <v>21</v>
      </c>
      <c r="D8" t="s">
        <v>22</v>
      </c>
      <c r="E8">
        <v>22</v>
      </c>
      <c r="F8">
        <v>36</v>
      </c>
      <c r="G8">
        <v>1</v>
      </c>
      <c r="H8">
        <v>36</v>
      </c>
      <c r="I8" t="s">
        <v>11</v>
      </c>
    </row>
    <row r="9" spans="1:12" x14ac:dyDescent="0.35">
      <c r="A9">
        <v>3</v>
      </c>
      <c r="B9">
        <v>20</v>
      </c>
      <c r="C9" t="s">
        <v>23</v>
      </c>
      <c r="D9" t="s">
        <v>24</v>
      </c>
      <c r="E9">
        <v>17</v>
      </c>
      <c r="F9">
        <v>29</v>
      </c>
      <c r="G9">
        <v>2</v>
      </c>
      <c r="H9">
        <v>54</v>
      </c>
      <c r="I9" t="s">
        <v>14</v>
      </c>
    </row>
    <row r="10" spans="1:12" x14ac:dyDescent="0.35">
      <c r="A10">
        <v>4</v>
      </c>
      <c r="B10">
        <v>3</v>
      </c>
      <c r="C10" t="s">
        <v>25</v>
      </c>
      <c r="D10" t="s">
        <v>26</v>
      </c>
      <c r="E10">
        <v>20</v>
      </c>
      <c r="F10">
        <v>33</v>
      </c>
      <c r="G10">
        <v>3</v>
      </c>
      <c r="H10">
        <v>23</v>
      </c>
      <c r="I10" t="s">
        <v>14</v>
      </c>
    </row>
    <row r="11" spans="1:12" x14ac:dyDescent="0.35">
      <c r="A11">
        <v>4</v>
      </c>
      <c r="B11">
        <v>3</v>
      </c>
      <c r="C11" t="s">
        <v>27</v>
      </c>
      <c r="D11" t="s">
        <v>28</v>
      </c>
      <c r="E11">
        <v>16</v>
      </c>
      <c r="F11">
        <v>28</v>
      </c>
      <c r="G11">
        <v>3</v>
      </c>
      <c r="H11">
        <v>17</v>
      </c>
      <c r="I11" t="s">
        <v>11</v>
      </c>
    </row>
    <row r="12" spans="1:12" x14ac:dyDescent="0.35">
      <c r="A12">
        <v>5</v>
      </c>
      <c r="B12">
        <v>8</v>
      </c>
      <c r="C12" t="s">
        <v>29</v>
      </c>
      <c r="D12" t="s">
        <v>30</v>
      </c>
      <c r="E12">
        <v>11</v>
      </c>
      <c r="F12">
        <v>19</v>
      </c>
      <c r="G12">
        <v>1</v>
      </c>
      <c r="H12">
        <v>8</v>
      </c>
      <c r="I12" t="s">
        <v>11</v>
      </c>
    </row>
    <row r="13" spans="1:12" x14ac:dyDescent="0.35">
      <c r="A13">
        <v>5</v>
      </c>
      <c r="B13">
        <v>8</v>
      </c>
      <c r="C13" t="s">
        <v>9</v>
      </c>
      <c r="D13" t="s">
        <v>10</v>
      </c>
      <c r="E13">
        <v>14</v>
      </c>
      <c r="F13">
        <v>24</v>
      </c>
      <c r="G13">
        <v>2</v>
      </c>
      <c r="H13">
        <v>9</v>
      </c>
      <c r="I13" t="s">
        <v>14</v>
      </c>
    </row>
    <row r="14" spans="1:12" x14ac:dyDescent="0.35">
      <c r="A14">
        <v>6</v>
      </c>
      <c r="B14">
        <v>7</v>
      </c>
      <c r="C14" t="s">
        <v>31</v>
      </c>
      <c r="D14" t="s">
        <v>32</v>
      </c>
      <c r="E14">
        <v>21</v>
      </c>
      <c r="F14">
        <v>35</v>
      </c>
      <c r="G14">
        <v>2</v>
      </c>
      <c r="H14">
        <v>11</v>
      </c>
      <c r="I14" t="s">
        <v>14</v>
      </c>
    </row>
    <row r="15" spans="1:12" x14ac:dyDescent="0.35">
      <c r="A15">
        <v>7</v>
      </c>
      <c r="B15">
        <v>17</v>
      </c>
      <c r="C15" t="s">
        <v>33</v>
      </c>
      <c r="D15" t="s">
        <v>34</v>
      </c>
      <c r="E15">
        <v>19</v>
      </c>
      <c r="F15">
        <v>32</v>
      </c>
      <c r="G15">
        <v>2</v>
      </c>
      <c r="H15">
        <v>15</v>
      </c>
      <c r="I15" t="s">
        <v>14</v>
      </c>
    </row>
    <row r="16" spans="1:12" x14ac:dyDescent="0.35">
      <c r="A16">
        <v>7</v>
      </c>
      <c r="B16">
        <v>17</v>
      </c>
      <c r="C16" t="s">
        <v>21</v>
      </c>
      <c r="D16" t="s">
        <v>22</v>
      </c>
      <c r="E16">
        <v>22</v>
      </c>
      <c r="F16">
        <v>36</v>
      </c>
      <c r="G16">
        <v>3</v>
      </c>
      <c r="H16">
        <v>26</v>
      </c>
      <c r="I16" t="s">
        <v>11</v>
      </c>
    </row>
    <row r="17" spans="1:9" x14ac:dyDescent="0.35">
      <c r="A17">
        <v>8</v>
      </c>
      <c r="B17">
        <v>11</v>
      </c>
      <c r="C17" t="s">
        <v>35</v>
      </c>
      <c r="D17" t="s">
        <v>36</v>
      </c>
      <c r="E17">
        <v>13</v>
      </c>
      <c r="F17">
        <v>22</v>
      </c>
      <c r="G17">
        <v>3</v>
      </c>
      <c r="H17">
        <v>11</v>
      </c>
      <c r="I17" t="s">
        <v>11</v>
      </c>
    </row>
    <row r="18" spans="1:9" x14ac:dyDescent="0.35">
      <c r="A18">
        <v>8</v>
      </c>
      <c r="B18">
        <v>11</v>
      </c>
      <c r="C18" t="s">
        <v>27</v>
      </c>
      <c r="D18" t="s">
        <v>28</v>
      </c>
      <c r="E18">
        <v>16</v>
      </c>
      <c r="F18">
        <v>28</v>
      </c>
      <c r="G18">
        <v>2</v>
      </c>
      <c r="H18">
        <v>8</v>
      </c>
      <c r="I18" t="s">
        <v>11</v>
      </c>
    </row>
    <row r="19" spans="1:9" x14ac:dyDescent="0.35">
      <c r="A19">
        <v>8</v>
      </c>
      <c r="B19">
        <v>11</v>
      </c>
      <c r="C19" t="s">
        <v>19</v>
      </c>
      <c r="D19" t="s">
        <v>20</v>
      </c>
      <c r="E19">
        <v>25</v>
      </c>
      <c r="F19">
        <v>40</v>
      </c>
      <c r="G19">
        <v>3</v>
      </c>
      <c r="H19">
        <v>36</v>
      </c>
      <c r="I19" t="s">
        <v>11</v>
      </c>
    </row>
    <row r="20" spans="1:9" x14ac:dyDescent="0.35">
      <c r="A20">
        <v>9</v>
      </c>
      <c r="B20">
        <v>15</v>
      </c>
      <c r="C20" t="s">
        <v>12</v>
      </c>
      <c r="D20" t="s">
        <v>13</v>
      </c>
      <c r="E20">
        <v>18</v>
      </c>
      <c r="F20">
        <v>30</v>
      </c>
      <c r="G20">
        <v>1</v>
      </c>
      <c r="H20">
        <v>51</v>
      </c>
      <c r="I20" t="s">
        <v>11</v>
      </c>
    </row>
    <row r="21" spans="1:9" x14ac:dyDescent="0.35">
      <c r="A21">
        <v>9</v>
      </c>
      <c r="B21">
        <v>15</v>
      </c>
      <c r="C21" t="s">
        <v>9</v>
      </c>
      <c r="D21" t="s">
        <v>10</v>
      </c>
      <c r="E21">
        <v>14</v>
      </c>
      <c r="F21">
        <v>24</v>
      </c>
      <c r="G21">
        <v>1</v>
      </c>
      <c r="H21">
        <v>49</v>
      </c>
      <c r="I21" t="s">
        <v>14</v>
      </c>
    </row>
    <row r="22" spans="1:9" x14ac:dyDescent="0.35">
      <c r="A22">
        <v>9</v>
      </c>
      <c r="B22">
        <v>15</v>
      </c>
      <c r="C22" t="s">
        <v>29</v>
      </c>
      <c r="D22" t="s">
        <v>30</v>
      </c>
      <c r="E22">
        <v>11</v>
      </c>
      <c r="F22">
        <v>19</v>
      </c>
      <c r="G22">
        <v>1</v>
      </c>
      <c r="H22">
        <v>15</v>
      </c>
      <c r="I22" t="s">
        <v>11</v>
      </c>
    </row>
    <row r="23" spans="1:9" x14ac:dyDescent="0.35">
      <c r="A23">
        <v>9</v>
      </c>
      <c r="B23">
        <v>15</v>
      </c>
      <c r="C23" t="s">
        <v>33</v>
      </c>
      <c r="D23" t="s">
        <v>34</v>
      </c>
      <c r="E23">
        <v>19</v>
      </c>
      <c r="F23">
        <v>32</v>
      </c>
      <c r="G23">
        <v>3</v>
      </c>
      <c r="H23">
        <v>31</v>
      </c>
      <c r="I23" t="s">
        <v>11</v>
      </c>
    </row>
    <row r="24" spans="1:9" x14ac:dyDescent="0.35">
      <c r="A24">
        <v>10</v>
      </c>
      <c r="B24">
        <v>17</v>
      </c>
      <c r="C24" t="s">
        <v>37</v>
      </c>
      <c r="D24" t="s">
        <v>38</v>
      </c>
      <c r="E24">
        <v>20</v>
      </c>
      <c r="F24">
        <v>34</v>
      </c>
      <c r="G24">
        <v>2</v>
      </c>
      <c r="H24">
        <v>10</v>
      </c>
      <c r="I24" t="s">
        <v>14</v>
      </c>
    </row>
    <row r="25" spans="1:9" x14ac:dyDescent="0.35">
      <c r="A25">
        <v>10</v>
      </c>
      <c r="B25">
        <v>17</v>
      </c>
      <c r="C25" t="s">
        <v>19</v>
      </c>
      <c r="D25" t="s">
        <v>20</v>
      </c>
      <c r="E25">
        <v>25</v>
      </c>
      <c r="F25">
        <v>40</v>
      </c>
      <c r="G25">
        <v>2</v>
      </c>
      <c r="H25">
        <v>19</v>
      </c>
      <c r="I25" t="s">
        <v>11</v>
      </c>
    </row>
    <row r="26" spans="1:9" x14ac:dyDescent="0.35">
      <c r="A26">
        <v>11</v>
      </c>
      <c r="B26">
        <v>14</v>
      </c>
      <c r="C26" t="s">
        <v>27</v>
      </c>
      <c r="D26" t="s">
        <v>28</v>
      </c>
      <c r="E26">
        <v>16</v>
      </c>
      <c r="F26">
        <v>28</v>
      </c>
      <c r="G26">
        <v>1</v>
      </c>
      <c r="H26">
        <v>32</v>
      </c>
      <c r="I26" t="s">
        <v>14</v>
      </c>
    </row>
    <row r="27" spans="1:9" x14ac:dyDescent="0.35">
      <c r="A27">
        <v>11</v>
      </c>
      <c r="B27">
        <v>14</v>
      </c>
      <c r="C27" t="s">
        <v>12</v>
      </c>
      <c r="D27" t="s">
        <v>13</v>
      </c>
      <c r="E27">
        <v>18</v>
      </c>
      <c r="F27">
        <v>30</v>
      </c>
      <c r="G27">
        <v>2</v>
      </c>
      <c r="H27">
        <v>24</v>
      </c>
      <c r="I27" t="s">
        <v>14</v>
      </c>
    </row>
    <row r="28" spans="1:9" x14ac:dyDescent="0.35">
      <c r="A28">
        <v>12</v>
      </c>
      <c r="B28">
        <v>14</v>
      </c>
      <c r="C28" t="s">
        <v>27</v>
      </c>
      <c r="D28" t="s">
        <v>28</v>
      </c>
      <c r="E28">
        <v>16</v>
      </c>
      <c r="F28">
        <v>28</v>
      </c>
      <c r="G28">
        <v>1</v>
      </c>
      <c r="H28">
        <v>5</v>
      </c>
      <c r="I28" t="s">
        <v>14</v>
      </c>
    </row>
    <row r="29" spans="1:9" x14ac:dyDescent="0.35">
      <c r="A29">
        <v>12</v>
      </c>
      <c r="B29">
        <v>14</v>
      </c>
      <c r="C29" t="s">
        <v>21</v>
      </c>
      <c r="D29" t="s">
        <v>22</v>
      </c>
      <c r="E29">
        <v>22</v>
      </c>
      <c r="F29">
        <v>36</v>
      </c>
      <c r="G29">
        <v>3</v>
      </c>
      <c r="H29">
        <v>44</v>
      </c>
      <c r="I29" t="s">
        <v>11</v>
      </c>
    </row>
    <row r="30" spans="1:9" x14ac:dyDescent="0.35">
      <c r="A30">
        <v>12</v>
      </c>
      <c r="B30">
        <v>14</v>
      </c>
      <c r="C30" t="s">
        <v>31</v>
      </c>
      <c r="D30" t="s">
        <v>32</v>
      </c>
      <c r="E30">
        <v>21</v>
      </c>
      <c r="F30">
        <v>35</v>
      </c>
      <c r="G30">
        <v>2</v>
      </c>
      <c r="H30">
        <v>6</v>
      </c>
      <c r="I30" t="s">
        <v>11</v>
      </c>
    </row>
    <row r="31" spans="1:9" x14ac:dyDescent="0.35">
      <c r="A31">
        <v>12</v>
      </c>
      <c r="B31">
        <v>14</v>
      </c>
      <c r="C31" t="s">
        <v>19</v>
      </c>
      <c r="D31" t="s">
        <v>20</v>
      </c>
      <c r="E31">
        <v>25</v>
      </c>
      <c r="F31">
        <v>40</v>
      </c>
      <c r="G31">
        <v>3</v>
      </c>
      <c r="H31">
        <v>40</v>
      </c>
      <c r="I31" t="s">
        <v>11</v>
      </c>
    </row>
    <row r="32" spans="1:9" x14ac:dyDescent="0.35">
      <c r="A32">
        <v>13</v>
      </c>
      <c r="B32">
        <v>2</v>
      </c>
      <c r="C32" t="s">
        <v>23</v>
      </c>
      <c r="D32" t="s">
        <v>24</v>
      </c>
      <c r="E32">
        <v>17</v>
      </c>
      <c r="F32">
        <v>29</v>
      </c>
      <c r="G32">
        <v>3</v>
      </c>
      <c r="H32">
        <v>59</v>
      </c>
      <c r="I32" t="s">
        <v>14</v>
      </c>
    </row>
    <row r="33" spans="1:9" x14ac:dyDescent="0.35">
      <c r="A33">
        <v>14</v>
      </c>
      <c r="B33">
        <v>16</v>
      </c>
      <c r="C33" t="s">
        <v>39</v>
      </c>
      <c r="D33" t="s">
        <v>40</v>
      </c>
      <c r="E33">
        <v>12</v>
      </c>
      <c r="F33">
        <v>20</v>
      </c>
      <c r="G33">
        <v>1</v>
      </c>
      <c r="H33">
        <v>36</v>
      </c>
      <c r="I33" t="s">
        <v>11</v>
      </c>
    </row>
    <row r="34" spans="1:9" x14ac:dyDescent="0.35">
      <c r="A34">
        <v>14</v>
      </c>
      <c r="B34">
        <v>16</v>
      </c>
      <c r="C34" t="s">
        <v>25</v>
      </c>
      <c r="D34" t="s">
        <v>26</v>
      </c>
      <c r="E34">
        <v>20</v>
      </c>
      <c r="F34">
        <v>33</v>
      </c>
      <c r="G34">
        <v>1</v>
      </c>
      <c r="H34">
        <v>26</v>
      </c>
      <c r="I34" t="s">
        <v>11</v>
      </c>
    </row>
    <row r="35" spans="1:9" x14ac:dyDescent="0.35">
      <c r="A35">
        <v>14</v>
      </c>
      <c r="B35">
        <v>16</v>
      </c>
      <c r="C35" t="s">
        <v>41</v>
      </c>
      <c r="D35" t="s">
        <v>42</v>
      </c>
      <c r="E35">
        <v>14</v>
      </c>
      <c r="F35">
        <v>23</v>
      </c>
      <c r="G35">
        <v>2</v>
      </c>
      <c r="H35">
        <v>44</v>
      </c>
      <c r="I35" t="s">
        <v>14</v>
      </c>
    </row>
    <row r="36" spans="1:9" x14ac:dyDescent="0.35">
      <c r="A36">
        <v>14</v>
      </c>
      <c r="B36">
        <v>16</v>
      </c>
      <c r="C36" t="s">
        <v>12</v>
      </c>
      <c r="D36" t="s">
        <v>13</v>
      </c>
      <c r="E36">
        <v>18</v>
      </c>
      <c r="F36">
        <v>30</v>
      </c>
      <c r="G36">
        <v>1</v>
      </c>
      <c r="H36">
        <v>48</v>
      </c>
      <c r="I36" t="s">
        <v>11</v>
      </c>
    </row>
    <row r="37" spans="1:9" x14ac:dyDescent="0.35">
      <c r="A37">
        <v>15</v>
      </c>
      <c r="B37">
        <v>6</v>
      </c>
      <c r="C37" t="s">
        <v>27</v>
      </c>
      <c r="D37" t="s">
        <v>28</v>
      </c>
      <c r="E37">
        <v>16</v>
      </c>
      <c r="F37">
        <v>28</v>
      </c>
      <c r="G37">
        <v>2</v>
      </c>
      <c r="H37">
        <v>25</v>
      </c>
      <c r="I37" t="s">
        <v>11</v>
      </c>
    </row>
    <row r="38" spans="1:9" x14ac:dyDescent="0.35">
      <c r="A38">
        <v>15</v>
      </c>
      <c r="B38">
        <v>6</v>
      </c>
      <c r="C38" t="s">
        <v>43</v>
      </c>
      <c r="D38" t="s">
        <v>44</v>
      </c>
      <c r="E38">
        <v>13</v>
      </c>
      <c r="F38">
        <v>21</v>
      </c>
      <c r="G38">
        <v>3</v>
      </c>
      <c r="H38">
        <v>27</v>
      </c>
      <c r="I38" t="s">
        <v>11</v>
      </c>
    </row>
    <row r="39" spans="1:9" x14ac:dyDescent="0.35">
      <c r="A39">
        <v>15</v>
      </c>
      <c r="B39">
        <v>6</v>
      </c>
      <c r="C39" t="s">
        <v>31</v>
      </c>
      <c r="D39" t="s">
        <v>32</v>
      </c>
      <c r="E39">
        <v>21</v>
      </c>
      <c r="F39">
        <v>35</v>
      </c>
      <c r="G39">
        <v>3</v>
      </c>
      <c r="H39">
        <v>51</v>
      </c>
      <c r="I39" t="s">
        <v>11</v>
      </c>
    </row>
    <row r="40" spans="1:9" x14ac:dyDescent="0.35">
      <c r="A40">
        <v>16</v>
      </c>
      <c r="B40">
        <v>20</v>
      </c>
      <c r="C40" t="s">
        <v>27</v>
      </c>
      <c r="D40" t="s">
        <v>28</v>
      </c>
      <c r="E40">
        <v>16</v>
      </c>
      <c r="F40">
        <v>28</v>
      </c>
      <c r="G40">
        <v>1</v>
      </c>
      <c r="H40">
        <v>38</v>
      </c>
      <c r="I40" t="s">
        <v>11</v>
      </c>
    </row>
    <row r="41" spans="1:9" x14ac:dyDescent="0.35">
      <c r="A41">
        <v>17</v>
      </c>
      <c r="B41">
        <v>14</v>
      </c>
      <c r="C41" t="s">
        <v>31</v>
      </c>
      <c r="D41" t="s">
        <v>32</v>
      </c>
      <c r="E41">
        <v>21</v>
      </c>
      <c r="F41">
        <v>35</v>
      </c>
      <c r="G41">
        <v>1</v>
      </c>
      <c r="H41">
        <v>43</v>
      </c>
      <c r="I41" t="s">
        <v>14</v>
      </c>
    </row>
    <row r="42" spans="1:9" x14ac:dyDescent="0.35">
      <c r="A42">
        <v>17</v>
      </c>
      <c r="B42">
        <v>14</v>
      </c>
      <c r="C42" t="s">
        <v>45</v>
      </c>
      <c r="D42" t="s">
        <v>46</v>
      </c>
      <c r="E42">
        <v>10</v>
      </c>
      <c r="F42">
        <v>18</v>
      </c>
      <c r="G42">
        <v>2</v>
      </c>
      <c r="H42">
        <v>58</v>
      </c>
      <c r="I42" t="s">
        <v>11</v>
      </c>
    </row>
    <row r="43" spans="1:9" x14ac:dyDescent="0.35">
      <c r="A43">
        <v>17</v>
      </c>
      <c r="B43">
        <v>14</v>
      </c>
      <c r="C43" t="s">
        <v>35</v>
      </c>
      <c r="D43" t="s">
        <v>36</v>
      </c>
      <c r="E43">
        <v>13</v>
      </c>
      <c r="F43">
        <v>22</v>
      </c>
      <c r="G43">
        <v>3</v>
      </c>
      <c r="H43">
        <v>57</v>
      </c>
      <c r="I43" t="s">
        <v>14</v>
      </c>
    </row>
    <row r="44" spans="1:9" x14ac:dyDescent="0.35">
      <c r="A44">
        <v>18</v>
      </c>
      <c r="B44">
        <v>9</v>
      </c>
      <c r="C44" t="s">
        <v>23</v>
      </c>
      <c r="D44" t="s">
        <v>24</v>
      </c>
      <c r="E44">
        <v>17</v>
      </c>
      <c r="F44">
        <v>29</v>
      </c>
      <c r="G44">
        <v>1</v>
      </c>
      <c r="H44">
        <v>23</v>
      </c>
      <c r="I44" t="s">
        <v>11</v>
      </c>
    </row>
    <row r="45" spans="1:9" x14ac:dyDescent="0.35">
      <c r="A45">
        <v>18</v>
      </c>
      <c r="B45">
        <v>9</v>
      </c>
      <c r="C45" t="s">
        <v>19</v>
      </c>
      <c r="D45" t="s">
        <v>20</v>
      </c>
      <c r="E45">
        <v>25</v>
      </c>
      <c r="F45">
        <v>40</v>
      </c>
      <c r="G45">
        <v>2</v>
      </c>
      <c r="H45">
        <v>54</v>
      </c>
      <c r="I45" t="s">
        <v>11</v>
      </c>
    </row>
    <row r="46" spans="1:9" x14ac:dyDescent="0.35">
      <c r="A46">
        <v>18</v>
      </c>
      <c r="B46">
        <v>9</v>
      </c>
      <c r="C46" t="s">
        <v>47</v>
      </c>
      <c r="D46" t="s">
        <v>48</v>
      </c>
      <c r="E46">
        <v>15</v>
      </c>
      <c r="F46">
        <v>26</v>
      </c>
      <c r="G46">
        <v>3</v>
      </c>
      <c r="H46">
        <v>23</v>
      </c>
      <c r="I46" t="s">
        <v>11</v>
      </c>
    </row>
    <row r="47" spans="1:9" x14ac:dyDescent="0.35">
      <c r="A47">
        <v>18</v>
      </c>
      <c r="B47">
        <v>9</v>
      </c>
      <c r="C47" t="s">
        <v>33</v>
      </c>
      <c r="D47" t="s">
        <v>34</v>
      </c>
      <c r="E47">
        <v>19</v>
      </c>
      <c r="F47">
        <v>32</v>
      </c>
      <c r="G47">
        <v>2</v>
      </c>
      <c r="H47">
        <v>34</v>
      </c>
      <c r="I47" t="s">
        <v>11</v>
      </c>
    </row>
    <row r="48" spans="1:9" x14ac:dyDescent="0.35">
      <c r="A48">
        <v>19</v>
      </c>
      <c r="B48">
        <v>18</v>
      </c>
      <c r="C48" t="s">
        <v>19</v>
      </c>
      <c r="D48" t="s">
        <v>20</v>
      </c>
      <c r="E48">
        <v>25</v>
      </c>
      <c r="F48">
        <v>40</v>
      </c>
      <c r="G48">
        <v>2</v>
      </c>
      <c r="H48">
        <v>44</v>
      </c>
      <c r="I48" t="s">
        <v>14</v>
      </c>
    </row>
    <row r="49" spans="1:9" x14ac:dyDescent="0.35">
      <c r="A49">
        <v>20</v>
      </c>
      <c r="B49">
        <v>8</v>
      </c>
      <c r="C49" t="s">
        <v>31</v>
      </c>
      <c r="D49" t="s">
        <v>32</v>
      </c>
      <c r="E49">
        <v>21</v>
      </c>
      <c r="F49">
        <v>35</v>
      </c>
      <c r="G49">
        <v>3</v>
      </c>
      <c r="H49">
        <v>50</v>
      </c>
      <c r="I49" t="s">
        <v>14</v>
      </c>
    </row>
    <row r="50" spans="1:9" x14ac:dyDescent="0.35">
      <c r="A50">
        <v>20</v>
      </c>
      <c r="B50">
        <v>8</v>
      </c>
      <c r="C50" t="s">
        <v>49</v>
      </c>
      <c r="D50" t="s">
        <v>50</v>
      </c>
      <c r="E50">
        <v>15</v>
      </c>
      <c r="F50">
        <v>25</v>
      </c>
      <c r="G50">
        <v>2</v>
      </c>
      <c r="H50">
        <v>6</v>
      </c>
      <c r="I50" t="s">
        <v>14</v>
      </c>
    </row>
    <row r="51" spans="1:9" x14ac:dyDescent="0.35">
      <c r="A51">
        <v>20</v>
      </c>
      <c r="B51">
        <v>8</v>
      </c>
      <c r="C51" t="s">
        <v>41</v>
      </c>
      <c r="D51" t="s">
        <v>42</v>
      </c>
      <c r="E51">
        <v>14</v>
      </c>
      <c r="F51">
        <v>23</v>
      </c>
      <c r="G51">
        <v>1</v>
      </c>
      <c r="H51">
        <v>14</v>
      </c>
      <c r="I51" t="s">
        <v>14</v>
      </c>
    </row>
    <row r="52" spans="1:9" x14ac:dyDescent="0.35">
      <c r="A52">
        <v>21</v>
      </c>
      <c r="B52">
        <v>12</v>
      </c>
      <c r="C52" t="s">
        <v>19</v>
      </c>
      <c r="D52" t="s">
        <v>20</v>
      </c>
      <c r="E52">
        <v>25</v>
      </c>
      <c r="F52">
        <v>40</v>
      </c>
      <c r="G52">
        <v>3</v>
      </c>
      <c r="H52">
        <v>20</v>
      </c>
      <c r="I52" t="s">
        <v>11</v>
      </c>
    </row>
    <row r="53" spans="1:9" x14ac:dyDescent="0.35">
      <c r="A53">
        <v>21</v>
      </c>
      <c r="B53">
        <v>12</v>
      </c>
      <c r="C53" t="s">
        <v>39</v>
      </c>
      <c r="D53" t="s">
        <v>40</v>
      </c>
      <c r="E53">
        <v>12</v>
      </c>
      <c r="F53">
        <v>20</v>
      </c>
      <c r="G53">
        <v>2</v>
      </c>
      <c r="H53">
        <v>43</v>
      </c>
      <c r="I53" t="s">
        <v>11</v>
      </c>
    </row>
    <row r="54" spans="1:9" x14ac:dyDescent="0.35">
      <c r="A54">
        <v>21</v>
      </c>
      <c r="B54">
        <v>12</v>
      </c>
      <c r="C54" t="s">
        <v>33</v>
      </c>
      <c r="D54" t="s">
        <v>34</v>
      </c>
      <c r="E54">
        <v>19</v>
      </c>
      <c r="F54">
        <v>32</v>
      </c>
      <c r="G54">
        <v>2</v>
      </c>
      <c r="H54">
        <v>44</v>
      </c>
      <c r="I54" t="s">
        <v>14</v>
      </c>
    </row>
    <row r="55" spans="1:9" x14ac:dyDescent="0.35">
      <c r="A55">
        <v>21</v>
      </c>
      <c r="B55">
        <v>12</v>
      </c>
      <c r="C55" t="s">
        <v>49</v>
      </c>
      <c r="D55" t="s">
        <v>50</v>
      </c>
      <c r="E55">
        <v>15</v>
      </c>
      <c r="F55">
        <v>25</v>
      </c>
      <c r="G55">
        <v>2</v>
      </c>
      <c r="H55">
        <v>45</v>
      </c>
      <c r="I55" t="s">
        <v>14</v>
      </c>
    </row>
    <row r="56" spans="1:9" x14ac:dyDescent="0.35">
      <c r="A56">
        <v>22</v>
      </c>
      <c r="B56">
        <v>15</v>
      </c>
      <c r="C56" t="s">
        <v>45</v>
      </c>
      <c r="D56" t="s">
        <v>46</v>
      </c>
      <c r="E56">
        <v>10</v>
      </c>
      <c r="F56">
        <v>18</v>
      </c>
      <c r="G56">
        <v>1</v>
      </c>
      <c r="H56">
        <v>32</v>
      </c>
      <c r="I56" t="s">
        <v>11</v>
      </c>
    </row>
    <row r="57" spans="1:9" x14ac:dyDescent="0.35">
      <c r="A57">
        <v>22</v>
      </c>
      <c r="B57">
        <v>15</v>
      </c>
      <c r="C57" t="s">
        <v>37</v>
      </c>
      <c r="D57" t="s">
        <v>38</v>
      </c>
      <c r="E57">
        <v>20</v>
      </c>
      <c r="F57">
        <v>34</v>
      </c>
      <c r="G57">
        <v>3</v>
      </c>
      <c r="H57">
        <v>19</v>
      </c>
      <c r="I57" t="s">
        <v>11</v>
      </c>
    </row>
    <row r="58" spans="1:9" x14ac:dyDescent="0.35">
      <c r="A58">
        <v>22</v>
      </c>
      <c r="B58">
        <v>15</v>
      </c>
      <c r="C58" t="s">
        <v>23</v>
      </c>
      <c r="D58" t="s">
        <v>24</v>
      </c>
      <c r="E58">
        <v>17</v>
      </c>
      <c r="F58">
        <v>29</v>
      </c>
      <c r="G58">
        <v>2</v>
      </c>
      <c r="H58">
        <v>13</v>
      </c>
      <c r="I58" t="s">
        <v>14</v>
      </c>
    </row>
    <row r="59" spans="1:9" x14ac:dyDescent="0.35">
      <c r="A59">
        <v>22</v>
      </c>
      <c r="B59">
        <v>15</v>
      </c>
      <c r="C59" t="s">
        <v>31</v>
      </c>
      <c r="D59" t="s">
        <v>32</v>
      </c>
      <c r="E59">
        <v>21</v>
      </c>
      <c r="F59">
        <v>35</v>
      </c>
      <c r="G59">
        <v>1</v>
      </c>
      <c r="H59">
        <v>59</v>
      </c>
      <c r="I59" t="s">
        <v>14</v>
      </c>
    </row>
    <row r="60" spans="1:9" x14ac:dyDescent="0.35">
      <c r="A60">
        <v>23</v>
      </c>
      <c r="B60">
        <v>1</v>
      </c>
      <c r="C60" t="s">
        <v>29</v>
      </c>
      <c r="D60" t="s">
        <v>30</v>
      </c>
      <c r="E60">
        <v>11</v>
      </c>
      <c r="F60">
        <v>19</v>
      </c>
      <c r="G60">
        <v>3</v>
      </c>
      <c r="H60">
        <v>46</v>
      </c>
      <c r="I60" t="s">
        <v>14</v>
      </c>
    </row>
    <row r="61" spans="1:9" x14ac:dyDescent="0.35">
      <c r="A61">
        <v>23</v>
      </c>
      <c r="B61">
        <v>1</v>
      </c>
      <c r="C61" t="s">
        <v>17</v>
      </c>
      <c r="D61" t="s">
        <v>18</v>
      </c>
      <c r="E61">
        <v>16</v>
      </c>
      <c r="F61">
        <v>27</v>
      </c>
      <c r="G61">
        <v>3</v>
      </c>
      <c r="H61">
        <v>17</v>
      </c>
      <c r="I61" t="s">
        <v>14</v>
      </c>
    </row>
    <row r="62" spans="1:9" x14ac:dyDescent="0.35">
      <c r="A62">
        <v>24</v>
      </c>
      <c r="B62">
        <v>5</v>
      </c>
      <c r="C62" t="s">
        <v>47</v>
      </c>
      <c r="D62" t="s">
        <v>48</v>
      </c>
      <c r="E62">
        <v>15</v>
      </c>
      <c r="F62">
        <v>26</v>
      </c>
      <c r="G62">
        <v>3</v>
      </c>
      <c r="H62">
        <v>45</v>
      </c>
      <c r="I62" t="s">
        <v>11</v>
      </c>
    </row>
    <row r="63" spans="1:9" x14ac:dyDescent="0.35">
      <c r="A63">
        <v>24</v>
      </c>
      <c r="B63">
        <v>5</v>
      </c>
      <c r="C63" t="s">
        <v>23</v>
      </c>
      <c r="D63" t="s">
        <v>24</v>
      </c>
      <c r="E63">
        <v>17</v>
      </c>
      <c r="F63">
        <v>29</v>
      </c>
      <c r="G63">
        <v>1</v>
      </c>
      <c r="H63">
        <v>46</v>
      </c>
      <c r="I63" t="s">
        <v>11</v>
      </c>
    </row>
    <row r="64" spans="1:9" x14ac:dyDescent="0.35">
      <c r="A64">
        <v>24</v>
      </c>
      <c r="B64">
        <v>5</v>
      </c>
      <c r="C64" t="s">
        <v>41</v>
      </c>
      <c r="D64" t="s">
        <v>42</v>
      </c>
      <c r="E64">
        <v>14</v>
      </c>
      <c r="F64">
        <v>23</v>
      </c>
      <c r="G64">
        <v>2</v>
      </c>
      <c r="H64">
        <v>42</v>
      </c>
      <c r="I64" t="s">
        <v>14</v>
      </c>
    </row>
    <row r="65" spans="1:9" x14ac:dyDescent="0.35">
      <c r="A65">
        <v>24</v>
      </c>
      <c r="B65">
        <v>5</v>
      </c>
      <c r="C65" t="s">
        <v>19</v>
      </c>
      <c r="D65" t="s">
        <v>20</v>
      </c>
      <c r="E65">
        <v>25</v>
      </c>
      <c r="F65">
        <v>40</v>
      </c>
      <c r="G65">
        <v>2</v>
      </c>
      <c r="H65">
        <v>47</v>
      </c>
      <c r="I65" t="s">
        <v>14</v>
      </c>
    </row>
    <row r="66" spans="1:9" x14ac:dyDescent="0.35">
      <c r="A66">
        <v>25</v>
      </c>
      <c r="B66">
        <v>12</v>
      </c>
      <c r="C66" t="s">
        <v>37</v>
      </c>
      <c r="D66" t="s">
        <v>38</v>
      </c>
      <c r="E66">
        <v>20</v>
      </c>
      <c r="F66">
        <v>34</v>
      </c>
      <c r="G66">
        <v>1</v>
      </c>
      <c r="H66">
        <v>35</v>
      </c>
      <c r="I66" t="s">
        <v>14</v>
      </c>
    </row>
    <row r="67" spans="1:9" x14ac:dyDescent="0.35">
      <c r="A67">
        <v>26</v>
      </c>
      <c r="B67">
        <v>18</v>
      </c>
      <c r="C67" t="s">
        <v>45</v>
      </c>
      <c r="D67" t="s">
        <v>46</v>
      </c>
      <c r="E67">
        <v>10</v>
      </c>
      <c r="F67">
        <v>18</v>
      </c>
      <c r="G67">
        <v>2</v>
      </c>
      <c r="H67">
        <v>13</v>
      </c>
      <c r="I67" t="s">
        <v>14</v>
      </c>
    </row>
    <row r="68" spans="1:9" x14ac:dyDescent="0.35">
      <c r="A68">
        <v>26</v>
      </c>
      <c r="B68">
        <v>18</v>
      </c>
      <c r="C68" t="s">
        <v>43</v>
      </c>
      <c r="D68" t="s">
        <v>44</v>
      </c>
      <c r="E68">
        <v>13</v>
      </c>
      <c r="F68">
        <v>21</v>
      </c>
      <c r="G68">
        <v>2</v>
      </c>
      <c r="H68">
        <v>54</v>
      </c>
      <c r="I68" t="s">
        <v>11</v>
      </c>
    </row>
    <row r="69" spans="1:9" x14ac:dyDescent="0.35">
      <c r="A69">
        <v>26</v>
      </c>
      <c r="B69">
        <v>18</v>
      </c>
      <c r="C69" t="s">
        <v>9</v>
      </c>
      <c r="D69" t="s">
        <v>10</v>
      </c>
      <c r="E69">
        <v>14</v>
      </c>
      <c r="F69">
        <v>24</v>
      </c>
      <c r="G69">
        <v>2</v>
      </c>
      <c r="H69">
        <v>42</v>
      </c>
      <c r="I69" t="s">
        <v>14</v>
      </c>
    </row>
    <row r="70" spans="1:9" x14ac:dyDescent="0.35">
      <c r="A70">
        <v>27</v>
      </c>
      <c r="B70">
        <v>4</v>
      </c>
      <c r="C70" t="s">
        <v>31</v>
      </c>
      <c r="D70" t="s">
        <v>32</v>
      </c>
      <c r="E70">
        <v>21</v>
      </c>
      <c r="F70">
        <v>35</v>
      </c>
      <c r="G70">
        <v>1</v>
      </c>
      <c r="H70">
        <v>17</v>
      </c>
      <c r="I70" t="s">
        <v>11</v>
      </c>
    </row>
    <row r="71" spans="1:9" x14ac:dyDescent="0.35">
      <c r="A71">
        <v>27</v>
      </c>
      <c r="B71">
        <v>4</v>
      </c>
      <c r="C71" t="s">
        <v>47</v>
      </c>
      <c r="D71" t="s">
        <v>48</v>
      </c>
      <c r="E71">
        <v>15</v>
      </c>
      <c r="F71">
        <v>26</v>
      </c>
      <c r="G71">
        <v>1</v>
      </c>
      <c r="H71">
        <v>38</v>
      </c>
      <c r="I71" t="s">
        <v>14</v>
      </c>
    </row>
    <row r="72" spans="1:9" x14ac:dyDescent="0.35">
      <c r="A72">
        <v>28</v>
      </c>
      <c r="B72">
        <v>2</v>
      </c>
      <c r="C72" t="s">
        <v>45</v>
      </c>
      <c r="D72" t="s">
        <v>46</v>
      </c>
      <c r="E72">
        <v>10</v>
      </c>
      <c r="F72">
        <v>18</v>
      </c>
      <c r="G72">
        <v>2</v>
      </c>
      <c r="H72">
        <v>17</v>
      </c>
      <c r="I72" t="s">
        <v>14</v>
      </c>
    </row>
    <row r="73" spans="1:9" x14ac:dyDescent="0.35">
      <c r="A73">
        <v>28</v>
      </c>
      <c r="B73">
        <v>2</v>
      </c>
      <c r="C73" t="s">
        <v>23</v>
      </c>
      <c r="D73" t="s">
        <v>24</v>
      </c>
      <c r="E73">
        <v>17</v>
      </c>
      <c r="F73">
        <v>29</v>
      </c>
      <c r="G73">
        <v>2</v>
      </c>
      <c r="H73">
        <v>39</v>
      </c>
      <c r="I73" t="s">
        <v>14</v>
      </c>
    </row>
    <row r="74" spans="1:9" x14ac:dyDescent="0.35">
      <c r="A74">
        <v>29</v>
      </c>
      <c r="B74">
        <v>20</v>
      </c>
      <c r="C74" t="s">
        <v>49</v>
      </c>
      <c r="D74" t="s">
        <v>50</v>
      </c>
      <c r="E74">
        <v>15</v>
      </c>
      <c r="F74">
        <v>25</v>
      </c>
      <c r="G74">
        <v>3</v>
      </c>
      <c r="H74">
        <v>22</v>
      </c>
      <c r="I74" t="s">
        <v>14</v>
      </c>
    </row>
    <row r="75" spans="1:9" x14ac:dyDescent="0.35">
      <c r="A75">
        <v>29</v>
      </c>
      <c r="B75">
        <v>20</v>
      </c>
      <c r="C75" t="s">
        <v>45</v>
      </c>
      <c r="D75" t="s">
        <v>46</v>
      </c>
      <c r="E75">
        <v>10</v>
      </c>
      <c r="F75">
        <v>18</v>
      </c>
      <c r="G75">
        <v>2</v>
      </c>
      <c r="H75">
        <v>18</v>
      </c>
      <c r="I75" t="s">
        <v>11</v>
      </c>
    </row>
    <row r="76" spans="1:9" x14ac:dyDescent="0.35">
      <c r="A76">
        <v>29</v>
      </c>
      <c r="B76">
        <v>20</v>
      </c>
      <c r="C76" t="s">
        <v>15</v>
      </c>
      <c r="D76" t="s">
        <v>16</v>
      </c>
      <c r="E76">
        <v>19</v>
      </c>
      <c r="F76">
        <v>31</v>
      </c>
      <c r="G76">
        <v>2</v>
      </c>
      <c r="H76">
        <v>31</v>
      </c>
      <c r="I76" t="s">
        <v>14</v>
      </c>
    </row>
    <row r="77" spans="1:9" x14ac:dyDescent="0.35">
      <c r="A77">
        <v>30</v>
      </c>
      <c r="B77">
        <v>14</v>
      </c>
      <c r="C77" t="s">
        <v>47</v>
      </c>
      <c r="D77" t="s">
        <v>48</v>
      </c>
      <c r="E77">
        <v>15</v>
      </c>
      <c r="F77">
        <v>26</v>
      </c>
      <c r="G77">
        <v>2</v>
      </c>
      <c r="H77">
        <v>14</v>
      </c>
      <c r="I77" t="s">
        <v>11</v>
      </c>
    </row>
    <row r="78" spans="1:9" x14ac:dyDescent="0.35">
      <c r="A78">
        <v>30</v>
      </c>
      <c r="B78">
        <v>14</v>
      </c>
      <c r="C78" t="s">
        <v>39</v>
      </c>
      <c r="D78" t="s">
        <v>40</v>
      </c>
      <c r="E78">
        <v>12</v>
      </c>
      <c r="F78">
        <v>20</v>
      </c>
      <c r="G78">
        <v>3</v>
      </c>
      <c r="H78">
        <v>55</v>
      </c>
      <c r="I78" t="s">
        <v>11</v>
      </c>
    </row>
    <row r="79" spans="1:9" x14ac:dyDescent="0.35">
      <c r="A79">
        <v>31</v>
      </c>
      <c r="B79">
        <v>13</v>
      </c>
      <c r="C79" t="s">
        <v>23</v>
      </c>
      <c r="D79" t="s">
        <v>24</v>
      </c>
      <c r="E79">
        <v>17</v>
      </c>
      <c r="F79">
        <v>29</v>
      </c>
      <c r="G79">
        <v>1</v>
      </c>
      <c r="H79">
        <v>59</v>
      </c>
      <c r="I79" t="s">
        <v>14</v>
      </c>
    </row>
    <row r="80" spans="1:9" x14ac:dyDescent="0.35">
      <c r="A80">
        <v>31</v>
      </c>
      <c r="B80">
        <v>13</v>
      </c>
      <c r="C80" t="s">
        <v>29</v>
      </c>
      <c r="D80" t="s">
        <v>30</v>
      </c>
      <c r="E80">
        <v>11</v>
      </c>
      <c r="F80">
        <v>19</v>
      </c>
      <c r="G80">
        <v>2</v>
      </c>
      <c r="H80">
        <v>46</v>
      </c>
      <c r="I80" t="s">
        <v>14</v>
      </c>
    </row>
    <row r="81" spans="1:9" x14ac:dyDescent="0.35">
      <c r="A81">
        <v>32</v>
      </c>
      <c r="B81">
        <v>5</v>
      </c>
      <c r="C81" t="s">
        <v>33</v>
      </c>
      <c r="D81" t="s">
        <v>34</v>
      </c>
      <c r="E81">
        <v>19</v>
      </c>
      <c r="F81">
        <v>32</v>
      </c>
      <c r="G81">
        <v>2</v>
      </c>
      <c r="H81">
        <v>50</v>
      </c>
      <c r="I81" t="s">
        <v>14</v>
      </c>
    </row>
    <row r="82" spans="1:9" x14ac:dyDescent="0.35">
      <c r="A82">
        <v>32</v>
      </c>
      <c r="B82">
        <v>5</v>
      </c>
      <c r="C82" t="s">
        <v>25</v>
      </c>
      <c r="D82" t="s">
        <v>26</v>
      </c>
      <c r="E82">
        <v>20</v>
      </c>
      <c r="F82">
        <v>33</v>
      </c>
      <c r="G82">
        <v>1</v>
      </c>
      <c r="H82">
        <v>20</v>
      </c>
      <c r="I82" t="s">
        <v>14</v>
      </c>
    </row>
    <row r="83" spans="1:9" x14ac:dyDescent="0.35">
      <c r="A83">
        <v>32</v>
      </c>
      <c r="B83">
        <v>5</v>
      </c>
      <c r="C83" t="s">
        <v>47</v>
      </c>
      <c r="D83" t="s">
        <v>48</v>
      </c>
      <c r="E83">
        <v>15</v>
      </c>
      <c r="F83">
        <v>26</v>
      </c>
      <c r="G83">
        <v>3</v>
      </c>
      <c r="H83">
        <v>35</v>
      </c>
      <c r="I83" t="s">
        <v>11</v>
      </c>
    </row>
    <row r="84" spans="1:9" x14ac:dyDescent="0.35">
      <c r="A84">
        <v>32</v>
      </c>
      <c r="B84">
        <v>5</v>
      </c>
      <c r="C84" t="s">
        <v>45</v>
      </c>
      <c r="D84" t="s">
        <v>46</v>
      </c>
      <c r="E84">
        <v>10</v>
      </c>
      <c r="F84">
        <v>18</v>
      </c>
      <c r="G84">
        <v>2</v>
      </c>
      <c r="H84">
        <v>23</v>
      </c>
      <c r="I84" t="s">
        <v>11</v>
      </c>
    </row>
    <row r="85" spans="1:9" x14ac:dyDescent="0.35">
      <c r="A85">
        <v>33</v>
      </c>
      <c r="B85">
        <v>4</v>
      </c>
      <c r="C85" t="s">
        <v>31</v>
      </c>
      <c r="D85" t="s">
        <v>32</v>
      </c>
      <c r="E85">
        <v>21</v>
      </c>
      <c r="F85">
        <v>35</v>
      </c>
      <c r="G85">
        <v>3</v>
      </c>
      <c r="H85">
        <v>6</v>
      </c>
      <c r="I85" t="s">
        <v>14</v>
      </c>
    </row>
    <row r="86" spans="1:9" x14ac:dyDescent="0.35">
      <c r="A86">
        <v>33</v>
      </c>
      <c r="B86">
        <v>4</v>
      </c>
      <c r="C86" t="s">
        <v>17</v>
      </c>
      <c r="D86" t="s">
        <v>18</v>
      </c>
      <c r="E86">
        <v>16</v>
      </c>
      <c r="F86">
        <v>27</v>
      </c>
      <c r="G86">
        <v>1</v>
      </c>
      <c r="H86">
        <v>59</v>
      </c>
      <c r="I86" t="s">
        <v>11</v>
      </c>
    </row>
    <row r="87" spans="1:9" x14ac:dyDescent="0.35">
      <c r="A87">
        <v>33</v>
      </c>
      <c r="B87">
        <v>4</v>
      </c>
      <c r="C87" t="s">
        <v>33</v>
      </c>
      <c r="D87" t="s">
        <v>34</v>
      </c>
      <c r="E87">
        <v>19</v>
      </c>
      <c r="F87">
        <v>32</v>
      </c>
      <c r="G87">
        <v>3</v>
      </c>
      <c r="H87">
        <v>55</v>
      </c>
      <c r="I87" t="s">
        <v>14</v>
      </c>
    </row>
    <row r="88" spans="1:9" x14ac:dyDescent="0.35">
      <c r="A88">
        <v>33</v>
      </c>
      <c r="B88">
        <v>4</v>
      </c>
      <c r="C88" t="s">
        <v>47</v>
      </c>
      <c r="D88" t="s">
        <v>48</v>
      </c>
      <c r="E88">
        <v>15</v>
      </c>
      <c r="F88">
        <v>26</v>
      </c>
      <c r="G88">
        <v>3</v>
      </c>
      <c r="H88">
        <v>10</v>
      </c>
      <c r="I88" t="s">
        <v>11</v>
      </c>
    </row>
    <row r="89" spans="1:9" x14ac:dyDescent="0.35">
      <c r="A89">
        <v>34</v>
      </c>
      <c r="B89">
        <v>15</v>
      </c>
      <c r="C89" t="s">
        <v>37</v>
      </c>
      <c r="D89" t="s">
        <v>38</v>
      </c>
      <c r="E89">
        <v>20</v>
      </c>
      <c r="F89">
        <v>34</v>
      </c>
      <c r="G89">
        <v>1</v>
      </c>
      <c r="H89">
        <v>46</v>
      </c>
      <c r="I89" t="s">
        <v>11</v>
      </c>
    </row>
    <row r="90" spans="1:9" x14ac:dyDescent="0.35">
      <c r="A90">
        <v>34</v>
      </c>
      <c r="B90">
        <v>15</v>
      </c>
      <c r="C90" t="s">
        <v>47</v>
      </c>
      <c r="D90" t="s">
        <v>48</v>
      </c>
      <c r="E90">
        <v>15</v>
      </c>
      <c r="F90">
        <v>26</v>
      </c>
      <c r="G90">
        <v>3</v>
      </c>
      <c r="H90">
        <v>19</v>
      </c>
      <c r="I90" t="s">
        <v>14</v>
      </c>
    </row>
    <row r="91" spans="1:9" x14ac:dyDescent="0.35">
      <c r="A91">
        <v>35</v>
      </c>
      <c r="B91">
        <v>13</v>
      </c>
      <c r="C91" t="s">
        <v>12</v>
      </c>
      <c r="D91" t="s">
        <v>13</v>
      </c>
      <c r="E91">
        <v>18</v>
      </c>
      <c r="F91">
        <v>30</v>
      </c>
      <c r="G91">
        <v>3</v>
      </c>
      <c r="H91">
        <v>5</v>
      </c>
      <c r="I91" t="s">
        <v>14</v>
      </c>
    </row>
    <row r="92" spans="1:9" x14ac:dyDescent="0.35">
      <c r="A92">
        <v>35</v>
      </c>
      <c r="B92">
        <v>13</v>
      </c>
      <c r="C92" t="s">
        <v>23</v>
      </c>
      <c r="D92" t="s">
        <v>24</v>
      </c>
      <c r="E92">
        <v>17</v>
      </c>
      <c r="F92">
        <v>29</v>
      </c>
      <c r="G92">
        <v>1</v>
      </c>
      <c r="H92">
        <v>8</v>
      </c>
      <c r="I92" t="s">
        <v>11</v>
      </c>
    </row>
    <row r="93" spans="1:9" x14ac:dyDescent="0.35">
      <c r="A93">
        <v>35</v>
      </c>
      <c r="B93">
        <v>13</v>
      </c>
      <c r="C93" t="s">
        <v>25</v>
      </c>
      <c r="D93" t="s">
        <v>26</v>
      </c>
      <c r="E93">
        <v>20</v>
      </c>
      <c r="F93">
        <v>33</v>
      </c>
      <c r="G93">
        <v>1</v>
      </c>
      <c r="H93">
        <v>21</v>
      </c>
      <c r="I93" t="s">
        <v>11</v>
      </c>
    </row>
    <row r="94" spans="1:9" x14ac:dyDescent="0.35">
      <c r="A94">
        <v>35</v>
      </c>
      <c r="B94">
        <v>13</v>
      </c>
      <c r="C94" t="s">
        <v>15</v>
      </c>
      <c r="D94" t="s">
        <v>16</v>
      </c>
      <c r="E94">
        <v>19</v>
      </c>
      <c r="F94">
        <v>31</v>
      </c>
      <c r="G94">
        <v>2</v>
      </c>
      <c r="H94">
        <v>31</v>
      </c>
      <c r="I94" t="s">
        <v>14</v>
      </c>
    </row>
    <row r="95" spans="1:9" x14ac:dyDescent="0.35">
      <c r="A95">
        <v>36</v>
      </c>
      <c r="B95">
        <v>5</v>
      </c>
      <c r="C95" t="s">
        <v>12</v>
      </c>
      <c r="D95" t="s">
        <v>13</v>
      </c>
      <c r="E95">
        <v>18</v>
      </c>
      <c r="F95">
        <v>30</v>
      </c>
      <c r="G95">
        <v>1</v>
      </c>
      <c r="H95">
        <v>38</v>
      </c>
      <c r="I95" t="s">
        <v>11</v>
      </c>
    </row>
    <row r="96" spans="1:9" x14ac:dyDescent="0.35">
      <c r="A96">
        <v>37</v>
      </c>
      <c r="B96">
        <v>20</v>
      </c>
      <c r="C96" t="s">
        <v>43</v>
      </c>
      <c r="D96" t="s">
        <v>44</v>
      </c>
      <c r="E96">
        <v>13</v>
      </c>
      <c r="F96">
        <v>21</v>
      </c>
      <c r="G96">
        <v>1</v>
      </c>
      <c r="H96">
        <v>47</v>
      </c>
      <c r="I96" t="s">
        <v>11</v>
      </c>
    </row>
    <row r="97" spans="1:9" x14ac:dyDescent="0.35">
      <c r="A97">
        <v>38</v>
      </c>
      <c r="B97">
        <v>10</v>
      </c>
      <c r="C97" t="s">
        <v>15</v>
      </c>
      <c r="D97" t="s">
        <v>16</v>
      </c>
      <c r="E97">
        <v>19</v>
      </c>
      <c r="F97">
        <v>31</v>
      </c>
      <c r="G97">
        <v>3</v>
      </c>
      <c r="H97">
        <v>21</v>
      </c>
      <c r="I97" t="s">
        <v>14</v>
      </c>
    </row>
    <row r="98" spans="1:9" x14ac:dyDescent="0.35">
      <c r="A98">
        <v>38</v>
      </c>
      <c r="B98">
        <v>10</v>
      </c>
      <c r="C98" t="s">
        <v>31</v>
      </c>
      <c r="D98" t="s">
        <v>32</v>
      </c>
      <c r="E98">
        <v>21</v>
      </c>
      <c r="F98">
        <v>35</v>
      </c>
      <c r="G98">
        <v>2</v>
      </c>
      <c r="H98">
        <v>34</v>
      </c>
      <c r="I98" t="s">
        <v>11</v>
      </c>
    </row>
    <row r="99" spans="1:9" x14ac:dyDescent="0.35">
      <c r="A99">
        <v>38</v>
      </c>
      <c r="B99">
        <v>10</v>
      </c>
      <c r="C99" t="s">
        <v>21</v>
      </c>
      <c r="D99" t="s">
        <v>22</v>
      </c>
      <c r="E99">
        <v>22</v>
      </c>
      <c r="F99">
        <v>36</v>
      </c>
      <c r="G99">
        <v>2</v>
      </c>
      <c r="H99">
        <v>43</v>
      </c>
      <c r="I99" t="s">
        <v>11</v>
      </c>
    </row>
    <row r="100" spans="1:9" x14ac:dyDescent="0.35">
      <c r="A100">
        <v>39</v>
      </c>
      <c r="B100">
        <v>15</v>
      </c>
      <c r="C100" t="s">
        <v>21</v>
      </c>
      <c r="D100" t="s">
        <v>22</v>
      </c>
      <c r="E100">
        <v>22</v>
      </c>
      <c r="F100">
        <v>36</v>
      </c>
      <c r="G100">
        <v>3</v>
      </c>
      <c r="H100">
        <v>57</v>
      </c>
      <c r="I100" t="s">
        <v>11</v>
      </c>
    </row>
    <row r="101" spans="1:9" x14ac:dyDescent="0.35">
      <c r="A101">
        <v>40</v>
      </c>
      <c r="B101">
        <v>1</v>
      </c>
      <c r="C101" t="s">
        <v>23</v>
      </c>
      <c r="D101" t="s">
        <v>24</v>
      </c>
      <c r="E101">
        <v>17</v>
      </c>
      <c r="F101">
        <v>29</v>
      </c>
      <c r="G101">
        <v>3</v>
      </c>
      <c r="H101">
        <v>15</v>
      </c>
      <c r="I101" t="s">
        <v>14</v>
      </c>
    </row>
    <row r="102" spans="1:9" x14ac:dyDescent="0.35">
      <c r="A102">
        <v>40</v>
      </c>
      <c r="B102">
        <v>1</v>
      </c>
      <c r="C102" t="s">
        <v>25</v>
      </c>
      <c r="D102" t="s">
        <v>26</v>
      </c>
      <c r="E102">
        <v>20</v>
      </c>
      <c r="F102">
        <v>33</v>
      </c>
      <c r="G102">
        <v>1</v>
      </c>
      <c r="H102">
        <v>50</v>
      </c>
      <c r="I102" t="s">
        <v>14</v>
      </c>
    </row>
    <row r="103" spans="1:9" x14ac:dyDescent="0.35">
      <c r="A103">
        <v>40</v>
      </c>
      <c r="B103">
        <v>1</v>
      </c>
      <c r="C103" t="s">
        <v>27</v>
      </c>
      <c r="D103" t="s">
        <v>28</v>
      </c>
      <c r="E103">
        <v>16</v>
      </c>
      <c r="F103">
        <v>28</v>
      </c>
      <c r="G103">
        <v>1</v>
      </c>
      <c r="H103">
        <v>13</v>
      </c>
      <c r="I103" t="s">
        <v>14</v>
      </c>
    </row>
    <row r="104" spans="1:9" x14ac:dyDescent="0.35">
      <c r="A104">
        <v>41</v>
      </c>
      <c r="B104">
        <v>7</v>
      </c>
      <c r="C104" t="s">
        <v>33</v>
      </c>
      <c r="D104" t="s">
        <v>34</v>
      </c>
      <c r="E104">
        <v>19</v>
      </c>
      <c r="F104">
        <v>32</v>
      </c>
      <c r="G104">
        <v>3</v>
      </c>
      <c r="H104">
        <v>23</v>
      </c>
      <c r="I104" t="s">
        <v>14</v>
      </c>
    </row>
    <row r="105" spans="1:9" x14ac:dyDescent="0.35">
      <c r="A105">
        <v>41</v>
      </c>
      <c r="B105">
        <v>7</v>
      </c>
      <c r="C105" t="s">
        <v>47</v>
      </c>
      <c r="D105" t="s">
        <v>48</v>
      </c>
      <c r="E105">
        <v>15</v>
      </c>
      <c r="F105">
        <v>26</v>
      </c>
      <c r="G105">
        <v>3</v>
      </c>
      <c r="H105">
        <v>47</v>
      </c>
      <c r="I105" t="s">
        <v>14</v>
      </c>
    </row>
    <row r="106" spans="1:9" x14ac:dyDescent="0.35">
      <c r="A106">
        <v>41</v>
      </c>
      <c r="B106">
        <v>7</v>
      </c>
      <c r="C106" t="s">
        <v>12</v>
      </c>
      <c r="D106" t="s">
        <v>13</v>
      </c>
      <c r="E106">
        <v>18</v>
      </c>
      <c r="F106">
        <v>30</v>
      </c>
      <c r="G106">
        <v>1</v>
      </c>
      <c r="H106">
        <v>19</v>
      </c>
      <c r="I106" t="s">
        <v>14</v>
      </c>
    </row>
    <row r="107" spans="1:9" x14ac:dyDescent="0.35">
      <c r="A107">
        <v>42</v>
      </c>
      <c r="B107">
        <v>14</v>
      </c>
      <c r="C107" t="s">
        <v>35</v>
      </c>
      <c r="D107" t="s">
        <v>36</v>
      </c>
      <c r="E107">
        <v>13</v>
      </c>
      <c r="F107">
        <v>22</v>
      </c>
      <c r="G107">
        <v>1</v>
      </c>
      <c r="H107">
        <v>57</v>
      </c>
      <c r="I107" t="s">
        <v>14</v>
      </c>
    </row>
    <row r="108" spans="1:9" x14ac:dyDescent="0.35">
      <c r="A108">
        <v>42</v>
      </c>
      <c r="B108">
        <v>14</v>
      </c>
      <c r="C108" t="s">
        <v>19</v>
      </c>
      <c r="D108" t="s">
        <v>20</v>
      </c>
      <c r="E108">
        <v>25</v>
      </c>
      <c r="F108">
        <v>40</v>
      </c>
      <c r="G108">
        <v>2</v>
      </c>
      <c r="H108">
        <v>12</v>
      </c>
      <c r="I108" t="s">
        <v>14</v>
      </c>
    </row>
    <row r="109" spans="1:9" x14ac:dyDescent="0.35">
      <c r="A109">
        <v>43</v>
      </c>
      <c r="B109">
        <v>8</v>
      </c>
      <c r="C109" t="s">
        <v>33</v>
      </c>
      <c r="D109" t="s">
        <v>34</v>
      </c>
      <c r="E109">
        <v>19</v>
      </c>
      <c r="F109">
        <v>32</v>
      </c>
      <c r="G109">
        <v>1</v>
      </c>
      <c r="H109">
        <v>6</v>
      </c>
      <c r="I109" t="s">
        <v>14</v>
      </c>
    </row>
    <row r="110" spans="1:9" x14ac:dyDescent="0.35">
      <c r="A110">
        <v>43</v>
      </c>
      <c r="B110">
        <v>8</v>
      </c>
      <c r="C110" t="s">
        <v>37</v>
      </c>
      <c r="D110" t="s">
        <v>38</v>
      </c>
      <c r="E110">
        <v>20</v>
      </c>
      <c r="F110">
        <v>34</v>
      </c>
      <c r="G110">
        <v>2</v>
      </c>
      <c r="H110">
        <v>59</v>
      </c>
      <c r="I110" t="s">
        <v>14</v>
      </c>
    </row>
    <row r="111" spans="1:9" x14ac:dyDescent="0.35">
      <c r="A111">
        <v>43</v>
      </c>
      <c r="B111">
        <v>8</v>
      </c>
      <c r="C111" t="s">
        <v>9</v>
      </c>
      <c r="D111" t="s">
        <v>10</v>
      </c>
      <c r="E111">
        <v>14</v>
      </c>
      <c r="F111">
        <v>24</v>
      </c>
      <c r="G111">
        <v>3</v>
      </c>
      <c r="H111">
        <v>57</v>
      </c>
      <c r="I111" t="s">
        <v>11</v>
      </c>
    </row>
    <row r="112" spans="1:9" x14ac:dyDescent="0.35">
      <c r="A112">
        <v>43</v>
      </c>
      <c r="B112">
        <v>8</v>
      </c>
      <c r="C112" t="s">
        <v>15</v>
      </c>
      <c r="D112" t="s">
        <v>16</v>
      </c>
      <c r="E112">
        <v>19</v>
      </c>
      <c r="F112">
        <v>31</v>
      </c>
      <c r="G112">
        <v>1</v>
      </c>
      <c r="H112">
        <v>24</v>
      </c>
      <c r="I112" t="s">
        <v>11</v>
      </c>
    </row>
    <row r="113" spans="1:9" x14ac:dyDescent="0.35">
      <c r="A113">
        <v>44</v>
      </c>
      <c r="B113">
        <v>18</v>
      </c>
      <c r="C113" t="s">
        <v>47</v>
      </c>
      <c r="D113" t="s">
        <v>48</v>
      </c>
      <c r="E113">
        <v>15</v>
      </c>
      <c r="F113">
        <v>26</v>
      </c>
      <c r="G113">
        <v>1</v>
      </c>
      <c r="H113">
        <v>34</v>
      </c>
      <c r="I113" t="s">
        <v>14</v>
      </c>
    </row>
    <row r="114" spans="1:9" x14ac:dyDescent="0.35">
      <c r="A114">
        <v>44</v>
      </c>
      <c r="B114">
        <v>18</v>
      </c>
      <c r="C114" t="s">
        <v>49</v>
      </c>
      <c r="D114" t="s">
        <v>50</v>
      </c>
      <c r="E114">
        <v>15</v>
      </c>
      <c r="F114">
        <v>25</v>
      </c>
      <c r="G114">
        <v>3</v>
      </c>
      <c r="H114">
        <v>8</v>
      </c>
      <c r="I114" t="s">
        <v>11</v>
      </c>
    </row>
    <row r="115" spans="1:9" x14ac:dyDescent="0.35">
      <c r="A115">
        <v>44</v>
      </c>
      <c r="B115">
        <v>18</v>
      </c>
      <c r="C115" t="s">
        <v>43</v>
      </c>
      <c r="D115" t="s">
        <v>44</v>
      </c>
      <c r="E115">
        <v>13</v>
      </c>
      <c r="F115">
        <v>21</v>
      </c>
      <c r="G115">
        <v>1</v>
      </c>
      <c r="H115">
        <v>43</v>
      </c>
      <c r="I115" t="s">
        <v>11</v>
      </c>
    </row>
    <row r="116" spans="1:9" x14ac:dyDescent="0.35">
      <c r="A116">
        <v>45</v>
      </c>
      <c r="B116">
        <v>17</v>
      </c>
      <c r="C116" t="s">
        <v>45</v>
      </c>
      <c r="D116" t="s">
        <v>46</v>
      </c>
      <c r="E116">
        <v>10</v>
      </c>
      <c r="F116">
        <v>18</v>
      </c>
      <c r="G116">
        <v>3</v>
      </c>
      <c r="H116">
        <v>47</v>
      </c>
      <c r="I116" t="s">
        <v>11</v>
      </c>
    </row>
    <row r="117" spans="1:9" x14ac:dyDescent="0.35">
      <c r="A117">
        <v>46</v>
      </c>
      <c r="B117">
        <v>10</v>
      </c>
      <c r="C117" t="s">
        <v>12</v>
      </c>
      <c r="D117" t="s">
        <v>13</v>
      </c>
      <c r="E117">
        <v>18</v>
      </c>
      <c r="F117">
        <v>30</v>
      </c>
      <c r="G117">
        <v>2</v>
      </c>
      <c r="H117">
        <v>23</v>
      </c>
      <c r="I117" t="s">
        <v>14</v>
      </c>
    </row>
    <row r="118" spans="1:9" x14ac:dyDescent="0.35">
      <c r="A118">
        <v>46</v>
      </c>
      <c r="B118">
        <v>10</v>
      </c>
      <c r="C118" t="s">
        <v>37</v>
      </c>
      <c r="D118" t="s">
        <v>38</v>
      </c>
      <c r="E118">
        <v>20</v>
      </c>
      <c r="F118">
        <v>34</v>
      </c>
      <c r="G118">
        <v>1</v>
      </c>
      <c r="H118">
        <v>48</v>
      </c>
      <c r="I118" t="s">
        <v>14</v>
      </c>
    </row>
    <row r="119" spans="1:9" x14ac:dyDescent="0.35">
      <c r="A119">
        <v>46</v>
      </c>
      <c r="B119">
        <v>10</v>
      </c>
      <c r="C119" t="s">
        <v>41</v>
      </c>
      <c r="D119" t="s">
        <v>42</v>
      </c>
      <c r="E119">
        <v>14</v>
      </c>
      <c r="F119">
        <v>23</v>
      </c>
      <c r="G119">
        <v>2</v>
      </c>
      <c r="H119">
        <v>15</v>
      </c>
      <c r="I119" t="s">
        <v>11</v>
      </c>
    </row>
    <row r="120" spans="1:9" x14ac:dyDescent="0.35">
      <c r="A120">
        <v>47</v>
      </c>
      <c r="B120">
        <v>18</v>
      </c>
      <c r="C120" t="s">
        <v>25</v>
      </c>
      <c r="D120" t="s">
        <v>26</v>
      </c>
      <c r="E120">
        <v>20</v>
      </c>
      <c r="F120">
        <v>33</v>
      </c>
      <c r="G120">
        <v>2</v>
      </c>
      <c r="H120">
        <v>56</v>
      </c>
      <c r="I120" t="s">
        <v>11</v>
      </c>
    </row>
    <row r="121" spans="1:9" x14ac:dyDescent="0.35">
      <c r="A121">
        <v>47</v>
      </c>
      <c r="B121">
        <v>18</v>
      </c>
      <c r="C121" t="s">
        <v>41</v>
      </c>
      <c r="D121" t="s">
        <v>42</v>
      </c>
      <c r="E121">
        <v>14</v>
      </c>
      <c r="F121">
        <v>23</v>
      </c>
      <c r="G121">
        <v>1</v>
      </c>
      <c r="H121">
        <v>17</v>
      </c>
      <c r="I121" t="s">
        <v>14</v>
      </c>
    </row>
    <row r="122" spans="1:9" x14ac:dyDescent="0.35">
      <c r="A122">
        <v>47</v>
      </c>
      <c r="B122">
        <v>18</v>
      </c>
      <c r="C122" t="s">
        <v>39</v>
      </c>
      <c r="D122" t="s">
        <v>40</v>
      </c>
      <c r="E122">
        <v>12</v>
      </c>
      <c r="F122">
        <v>20</v>
      </c>
      <c r="G122">
        <v>1</v>
      </c>
      <c r="H122">
        <v>14</v>
      </c>
      <c r="I122" t="s">
        <v>14</v>
      </c>
    </row>
    <row r="123" spans="1:9" x14ac:dyDescent="0.35">
      <c r="A123">
        <v>48</v>
      </c>
      <c r="B123">
        <v>17</v>
      </c>
      <c r="C123" t="s">
        <v>17</v>
      </c>
      <c r="D123" t="s">
        <v>18</v>
      </c>
      <c r="E123">
        <v>16</v>
      </c>
      <c r="F123">
        <v>27</v>
      </c>
      <c r="G123">
        <v>3</v>
      </c>
      <c r="H123">
        <v>37</v>
      </c>
      <c r="I123" t="s">
        <v>14</v>
      </c>
    </row>
    <row r="124" spans="1:9" x14ac:dyDescent="0.35">
      <c r="A124">
        <v>48</v>
      </c>
      <c r="B124">
        <v>17</v>
      </c>
      <c r="C124" t="s">
        <v>35</v>
      </c>
      <c r="D124" t="s">
        <v>36</v>
      </c>
      <c r="E124">
        <v>13</v>
      </c>
      <c r="F124">
        <v>22</v>
      </c>
      <c r="G124">
        <v>2</v>
      </c>
      <c r="H124">
        <v>55</v>
      </c>
      <c r="I124" t="s">
        <v>11</v>
      </c>
    </row>
    <row r="125" spans="1:9" x14ac:dyDescent="0.35">
      <c r="A125">
        <v>48</v>
      </c>
      <c r="B125">
        <v>17</v>
      </c>
      <c r="C125" t="s">
        <v>25</v>
      </c>
      <c r="D125" t="s">
        <v>26</v>
      </c>
      <c r="E125">
        <v>20</v>
      </c>
      <c r="F125">
        <v>33</v>
      </c>
      <c r="G125">
        <v>1</v>
      </c>
      <c r="H125">
        <v>32</v>
      </c>
      <c r="I125" t="s">
        <v>14</v>
      </c>
    </row>
    <row r="126" spans="1:9" x14ac:dyDescent="0.35">
      <c r="A126">
        <v>49</v>
      </c>
      <c r="B126">
        <v>8</v>
      </c>
      <c r="C126" t="s">
        <v>9</v>
      </c>
      <c r="D126" t="s">
        <v>10</v>
      </c>
      <c r="E126">
        <v>14</v>
      </c>
      <c r="F126">
        <v>24</v>
      </c>
      <c r="G126">
        <v>3</v>
      </c>
      <c r="H126">
        <v>9</v>
      </c>
      <c r="I126" t="s">
        <v>11</v>
      </c>
    </row>
    <row r="127" spans="1:9" x14ac:dyDescent="0.35">
      <c r="A127">
        <v>49</v>
      </c>
      <c r="B127">
        <v>8</v>
      </c>
      <c r="C127" t="s">
        <v>33</v>
      </c>
      <c r="D127" t="s">
        <v>34</v>
      </c>
      <c r="E127">
        <v>19</v>
      </c>
      <c r="F127">
        <v>32</v>
      </c>
      <c r="G127">
        <v>3</v>
      </c>
      <c r="H127">
        <v>27</v>
      </c>
      <c r="I127" t="s">
        <v>11</v>
      </c>
    </row>
    <row r="128" spans="1:9" x14ac:dyDescent="0.35">
      <c r="A128">
        <v>49</v>
      </c>
      <c r="B128">
        <v>8</v>
      </c>
      <c r="C128" t="s">
        <v>45</v>
      </c>
      <c r="D128" t="s">
        <v>46</v>
      </c>
      <c r="E128">
        <v>10</v>
      </c>
      <c r="F128">
        <v>18</v>
      </c>
      <c r="G128">
        <v>1</v>
      </c>
      <c r="H128">
        <v>45</v>
      </c>
      <c r="I128" t="s">
        <v>14</v>
      </c>
    </row>
    <row r="129" spans="1:9" x14ac:dyDescent="0.35">
      <c r="A129">
        <v>50</v>
      </c>
      <c r="B129">
        <v>19</v>
      </c>
      <c r="C129" t="s">
        <v>33</v>
      </c>
      <c r="D129" t="s">
        <v>34</v>
      </c>
      <c r="E129">
        <v>19</v>
      </c>
      <c r="F129">
        <v>32</v>
      </c>
      <c r="G129">
        <v>1</v>
      </c>
      <c r="H129">
        <v>6</v>
      </c>
      <c r="I129" t="s">
        <v>11</v>
      </c>
    </row>
    <row r="130" spans="1:9" x14ac:dyDescent="0.35">
      <c r="A130">
        <v>50</v>
      </c>
      <c r="B130">
        <v>19</v>
      </c>
      <c r="C130" t="s">
        <v>35</v>
      </c>
      <c r="D130" t="s">
        <v>36</v>
      </c>
      <c r="E130">
        <v>13</v>
      </c>
      <c r="F130">
        <v>22</v>
      </c>
      <c r="G130">
        <v>2</v>
      </c>
      <c r="H130">
        <v>15</v>
      </c>
      <c r="I130" t="s">
        <v>11</v>
      </c>
    </row>
    <row r="131" spans="1:9" x14ac:dyDescent="0.35">
      <c r="A131">
        <v>51</v>
      </c>
      <c r="B131">
        <v>12</v>
      </c>
      <c r="C131" t="s">
        <v>41</v>
      </c>
      <c r="D131" t="s">
        <v>42</v>
      </c>
      <c r="E131">
        <v>14</v>
      </c>
      <c r="F131">
        <v>23</v>
      </c>
      <c r="G131">
        <v>2</v>
      </c>
      <c r="H131">
        <v>33</v>
      </c>
      <c r="I131" t="s">
        <v>14</v>
      </c>
    </row>
    <row r="132" spans="1:9" x14ac:dyDescent="0.35">
      <c r="A132">
        <v>51</v>
      </c>
      <c r="B132">
        <v>12</v>
      </c>
      <c r="C132" t="s">
        <v>25</v>
      </c>
      <c r="D132" t="s">
        <v>26</v>
      </c>
      <c r="E132">
        <v>20</v>
      </c>
      <c r="F132">
        <v>33</v>
      </c>
      <c r="G132">
        <v>3</v>
      </c>
      <c r="H132">
        <v>56</v>
      </c>
      <c r="I132" t="s">
        <v>11</v>
      </c>
    </row>
    <row r="133" spans="1:9" x14ac:dyDescent="0.35">
      <c r="A133">
        <v>51</v>
      </c>
      <c r="B133">
        <v>12</v>
      </c>
      <c r="C133" t="s">
        <v>35</v>
      </c>
      <c r="D133" t="s">
        <v>36</v>
      </c>
      <c r="E133">
        <v>13</v>
      </c>
      <c r="F133">
        <v>22</v>
      </c>
      <c r="G133">
        <v>2</v>
      </c>
      <c r="H133">
        <v>53</v>
      </c>
      <c r="I133" t="s">
        <v>11</v>
      </c>
    </row>
    <row r="134" spans="1:9" x14ac:dyDescent="0.35">
      <c r="A134">
        <v>51</v>
      </c>
      <c r="B134">
        <v>12</v>
      </c>
      <c r="C134" t="s">
        <v>45</v>
      </c>
      <c r="D134" t="s">
        <v>46</v>
      </c>
      <c r="E134">
        <v>10</v>
      </c>
      <c r="F134">
        <v>18</v>
      </c>
      <c r="G134">
        <v>2</v>
      </c>
      <c r="H134">
        <v>22</v>
      </c>
      <c r="I134" t="s">
        <v>11</v>
      </c>
    </row>
    <row r="135" spans="1:9" x14ac:dyDescent="0.35">
      <c r="A135">
        <v>52</v>
      </c>
      <c r="B135">
        <v>7</v>
      </c>
      <c r="C135" t="s">
        <v>25</v>
      </c>
      <c r="D135" t="s">
        <v>26</v>
      </c>
      <c r="E135">
        <v>20</v>
      </c>
      <c r="F135">
        <v>33</v>
      </c>
      <c r="G135">
        <v>3</v>
      </c>
      <c r="H135">
        <v>13</v>
      </c>
      <c r="I135" t="s">
        <v>11</v>
      </c>
    </row>
    <row r="136" spans="1:9" x14ac:dyDescent="0.35">
      <c r="A136">
        <v>52</v>
      </c>
      <c r="B136">
        <v>7</v>
      </c>
      <c r="C136" t="s">
        <v>15</v>
      </c>
      <c r="D136" t="s">
        <v>16</v>
      </c>
      <c r="E136">
        <v>19</v>
      </c>
      <c r="F136">
        <v>31</v>
      </c>
      <c r="G136">
        <v>2</v>
      </c>
      <c r="H136">
        <v>17</v>
      </c>
      <c r="I136" t="s">
        <v>14</v>
      </c>
    </row>
    <row r="137" spans="1:9" x14ac:dyDescent="0.35">
      <c r="A137">
        <v>52</v>
      </c>
      <c r="B137">
        <v>7</v>
      </c>
      <c r="C137" t="s">
        <v>37</v>
      </c>
      <c r="D137" t="s">
        <v>38</v>
      </c>
      <c r="E137">
        <v>20</v>
      </c>
      <c r="F137">
        <v>34</v>
      </c>
      <c r="G137">
        <v>3</v>
      </c>
      <c r="H137">
        <v>32</v>
      </c>
      <c r="I137" t="s">
        <v>11</v>
      </c>
    </row>
    <row r="138" spans="1:9" x14ac:dyDescent="0.35">
      <c r="A138">
        <v>53</v>
      </c>
      <c r="B138">
        <v>16</v>
      </c>
      <c r="C138" t="s">
        <v>41</v>
      </c>
      <c r="D138" t="s">
        <v>42</v>
      </c>
      <c r="E138">
        <v>14</v>
      </c>
      <c r="F138">
        <v>23</v>
      </c>
      <c r="G138">
        <v>3</v>
      </c>
      <c r="H138">
        <v>47</v>
      </c>
      <c r="I138" t="s">
        <v>14</v>
      </c>
    </row>
    <row r="139" spans="1:9" x14ac:dyDescent="0.35">
      <c r="A139">
        <v>53</v>
      </c>
      <c r="B139">
        <v>16</v>
      </c>
      <c r="C139" t="s">
        <v>12</v>
      </c>
      <c r="D139" t="s">
        <v>13</v>
      </c>
      <c r="E139">
        <v>18</v>
      </c>
      <c r="F139">
        <v>30</v>
      </c>
      <c r="G139">
        <v>3</v>
      </c>
      <c r="H139">
        <v>39</v>
      </c>
      <c r="I139" t="s">
        <v>14</v>
      </c>
    </row>
    <row r="140" spans="1:9" x14ac:dyDescent="0.35">
      <c r="A140">
        <v>53</v>
      </c>
      <c r="B140">
        <v>16</v>
      </c>
      <c r="C140" t="s">
        <v>21</v>
      </c>
      <c r="D140" t="s">
        <v>22</v>
      </c>
      <c r="E140">
        <v>22</v>
      </c>
      <c r="F140">
        <v>36</v>
      </c>
      <c r="G140">
        <v>3</v>
      </c>
      <c r="H140">
        <v>26</v>
      </c>
      <c r="I140" t="s">
        <v>11</v>
      </c>
    </row>
    <row r="141" spans="1:9" x14ac:dyDescent="0.35">
      <c r="A141">
        <v>54</v>
      </c>
      <c r="B141">
        <v>6</v>
      </c>
      <c r="C141" t="s">
        <v>31</v>
      </c>
      <c r="D141" t="s">
        <v>32</v>
      </c>
      <c r="E141">
        <v>21</v>
      </c>
      <c r="F141">
        <v>35</v>
      </c>
      <c r="G141">
        <v>3</v>
      </c>
      <c r="H141">
        <v>47</v>
      </c>
      <c r="I141" t="s">
        <v>11</v>
      </c>
    </row>
    <row r="142" spans="1:9" x14ac:dyDescent="0.35">
      <c r="A142">
        <v>54</v>
      </c>
      <c r="B142">
        <v>6</v>
      </c>
      <c r="C142" t="s">
        <v>15</v>
      </c>
      <c r="D142" t="s">
        <v>16</v>
      </c>
      <c r="E142">
        <v>19</v>
      </c>
      <c r="F142">
        <v>31</v>
      </c>
      <c r="G142">
        <v>1</v>
      </c>
      <c r="H142">
        <v>55</v>
      </c>
      <c r="I142" t="s">
        <v>14</v>
      </c>
    </row>
    <row r="143" spans="1:9" x14ac:dyDescent="0.35">
      <c r="A143">
        <v>54</v>
      </c>
      <c r="B143">
        <v>6</v>
      </c>
      <c r="C143" t="s">
        <v>45</v>
      </c>
      <c r="D143" t="s">
        <v>46</v>
      </c>
      <c r="E143">
        <v>10</v>
      </c>
      <c r="F143">
        <v>18</v>
      </c>
      <c r="G143">
        <v>1</v>
      </c>
      <c r="H143">
        <v>55</v>
      </c>
      <c r="I143" t="s">
        <v>14</v>
      </c>
    </row>
    <row r="144" spans="1:9" x14ac:dyDescent="0.35">
      <c r="A144">
        <v>54</v>
      </c>
      <c r="B144">
        <v>6</v>
      </c>
      <c r="C144" t="s">
        <v>25</v>
      </c>
      <c r="D144" t="s">
        <v>26</v>
      </c>
      <c r="E144">
        <v>20</v>
      </c>
      <c r="F144">
        <v>33</v>
      </c>
      <c r="G144">
        <v>1</v>
      </c>
      <c r="H144">
        <v>46</v>
      </c>
      <c r="I144" t="s">
        <v>14</v>
      </c>
    </row>
    <row r="145" spans="1:9" x14ac:dyDescent="0.35">
      <c r="A145">
        <v>55</v>
      </c>
      <c r="B145">
        <v>20</v>
      </c>
      <c r="C145" t="s">
        <v>25</v>
      </c>
      <c r="D145" t="s">
        <v>26</v>
      </c>
      <c r="E145">
        <v>20</v>
      </c>
      <c r="F145">
        <v>33</v>
      </c>
      <c r="G145">
        <v>3</v>
      </c>
      <c r="H145">
        <v>27</v>
      </c>
      <c r="I145" t="s">
        <v>14</v>
      </c>
    </row>
    <row r="146" spans="1:9" x14ac:dyDescent="0.35">
      <c r="A146">
        <v>55</v>
      </c>
      <c r="B146">
        <v>20</v>
      </c>
      <c r="C146" t="s">
        <v>9</v>
      </c>
      <c r="D146" t="s">
        <v>10</v>
      </c>
      <c r="E146">
        <v>14</v>
      </c>
      <c r="F146">
        <v>24</v>
      </c>
      <c r="G146">
        <v>1</v>
      </c>
      <c r="H146">
        <v>5</v>
      </c>
      <c r="I146" t="s">
        <v>11</v>
      </c>
    </row>
    <row r="147" spans="1:9" x14ac:dyDescent="0.35">
      <c r="A147">
        <v>55</v>
      </c>
      <c r="B147">
        <v>20</v>
      </c>
      <c r="C147" t="s">
        <v>21</v>
      </c>
      <c r="D147" t="s">
        <v>22</v>
      </c>
      <c r="E147">
        <v>22</v>
      </c>
      <c r="F147">
        <v>36</v>
      </c>
      <c r="G147">
        <v>1</v>
      </c>
      <c r="H147">
        <v>51</v>
      </c>
      <c r="I147" t="s">
        <v>14</v>
      </c>
    </row>
    <row r="148" spans="1:9" x14ac:dyDescent="0.35">
      <c r="A148">
        <v>55</v>
      </c>
      <c r="B148">
        <v>20</v>
      </c>
      <c r="C148" t="s">
        <v>33</v>
      </c>
      <c r="D148" t="s">
        <v>34</v>
      </c>
      <c r="E148">
        <v>19</v>
      </c>
      <c r="F148">
        <v>32</v>
      </c>
      <c r="G148">
        <v>3</v>
      </c>
      <c r="H148">
        <v>13</v>
      </c>
      <c r="I148" t="s">
        <v>11</v>
      </c>
    </row>
    <row r="149" spans="1:9" x14ac:dyDescent="0.35">
      <c r="A149">
        <v>56</v>
      </c>
      <c r="B149">
        <v>1</v>
      </c>
      <c r="C149" t="s">
        <v>23</v>
      </c>
      <c r="D149" t="s">
        <v>24</v>
      </c>
      <c r="E149">
        <v>17</v>
      </c>
      <c r="F149">
        <v>29</v>
      </c>
      <c r="G149">
        <v>1</v>
      </c>
      <c r="H149">
        <v>38</v>
      </c>
      <c r="I149" t="s">
        <v>11</v>
      </c>
    </row>
    <row r="150" spans="1:9" x14ac:dyDescent="0.35">
      <c r="A150">
        <v>56</v>
      </c>
      <c r="B150">
        <v>1</v>
      </c>
      <c r="C150" t="s">
        <v>29</v>
      </c>
      <c r="D150" t="s">
        <v>30</v>
      </c>
      <c r="E150">
        <v>11</v>
      </c>
      <c r="F150">
        <v>19</v>
      </c>
      <c r="G150">
        <v>1</v>
      </c>
      <c r="H150">
        <v>40</v>
      </c>
      <c r="I150" t="s">
        <v>14</v>
      </c>
    </row>
    <row r="151" spans="1:9" x14ac:dyDescent="0.35">
      <c r="A151">
        <v>57</v>
      </c>
      <c r="B151">
        <v>18</v>
      </c>
      <c r="C151" t="s">
        <v>31</v>
      </c>
      <c r="D151" t="s">
        <v>32</v>
      </c>
      <c r="E151">
        <v>21</v>
      </c>
      <c r="F151">
        <v>35</v>
      </c>
      <c r="G151">
        <v>1</v>
      </c>
      <c r="H151">
        <v>21</v>
      </c>
      <c r="I151" t="s">
        <v>14</v>
      </c>
    </row>
    <row r="152" spans="1:9" x14ac:dyDescent="0.35">
      <c r="A152">
        <v>57</v>
      </c>
      <c r="B152">
        <v>18</v>
      </c>
      <c r="C152" t="s">
        <v>19</v>
      </c>
      <c r="D152" t="s">
        <v>20</v>
      </c>
      <c r="E152">
        <v>25</v>
      </c>
      <c r="F152">
        <v>40</v>
      </c>
      <c r="G152">
        <v>1</v>
      </c>
      <c r="H152">
        <v>30</v>
      </c>
      <c r="I152" t="s">
        <v>14</v>
      </c>
    </row>
    <row r="153" spans="1:9" x14ac:dyDescent="0.35">
      <c r="A153">
        <v>57</v>
      </c>
      <c r="B153">
        <v>18</v>
      </c>
      <c r="C153" t="s">
        <v>35</v>
      </c>
      <c r="D153" t="s">
        <v>36</v>
      </c>
      <c r="E153">
        <v>13</v>
      </c>
      <c r="F153">
        <v>22</v>
      </c>
      <c r="G153">
        <v>1</v>
      </c>
      <c r="H153">
        <v>10</v>
      </c>
      <c r="I153" t="s">
        <v>11</v>
      </c>
    </row>
    <row r="154" spans="1:9" x14ac:dyDescent="0.35">
      <c r="A154">
        <v>57</v>
      </c>
      <c r="B154">
        <v>18</v>
      </c>
      <c r="C154" t="s">
        <v>21</v>
      </c>
      <c r="D154" t="s">
        <v>22</v>
      </c>
      <c r="E154">
        <v>22</v>
      </c>
      <c r="F154">
        <v>36</v>
      </c>
      <c r="G154">
        <v>2</v>
      </c>
      <c r="H154">
        <v>7</v>
      </c>
      <c r="I154" t="s">
        <v>14</v>
      </c>
    </row>
    <row r="155" spans="1:9" x14ac:dyDescent="0.35">
      <c r="A155">
        <v>58</v>
      </c>
      <c r="B155">
        <v>8</v>
      </c>
      <c r="C155" t="s">
        <v>35</v>
      </c>
      <c r="D155" t="s">
        <v>36</v>
      </c>
      <c r="E155">
        <v>13</v>
      </c>
      <c r="F155">
        <v>22</v>
      </c>
      <c r="G155">
        <v>1</v>
      </c>
      <c r="H155">
        <v>17</v>
      </c>
      <c r="I155" t="s">
        <v>14</v>
      </c>
    </row>
    <row r="156" spans="1:9" x14ac:dyDescent="0.35">
      <c r="A156">
        <v>58</v>
      </c>
      <c r="B156">
        <v>8</v>
      </c>
      <c r="C156" t="s">
        <v>39</v>
      </c>
      <c r="D156" t="s">
        <v>40</v>
      </c>
      <c r="E156">
        <v>12</v>
      </c>
      <c r="F156">
        <v>20</v>
      </c>
      <c r="G156">
        <v>3</v>
      </c>
      <c r="H156">
        <v>56</v>
      </c>
      <c r="I156" t="s">
        <v>14</v>
      </c>
    </row>
    <row r="157" spans="1:9" x14ac:dyDescent="0.35">
      <c r="A157">
        <v>59</v>
      </c>
      <c r="B157">
        <v>8</v>
      </c>
      <c r="C157" t="s">
        <v>29</v>
      </c>
      <c r="D157" t="s">
        <v>30</v>
      </c>
      <c r="E157">
        <v>11</v>
      </c>
      <c r="F157">
        <v>19</v>
      </c>
      <c r="G157">
        <v>2</v>
      </c>
      <c r="H157">
        <v>13</v>
      </c>
      <c r="I157" t="s">
        <v>11</v>
      </c>
    </row>
    <row r="158" spans="1:9" x14ac:dyDescent="0.35">
      <c r="A158">
        <v>59</v>
      </c>
      <c r="B158">
        <v>8</v>
      </c>
      <c r="C158" t="s">
        <v>41</v>
      </c>
      <c r="D158" t="s">
        <v>42</v>
      </c>
      <c r="E158">
        <v>14</v>
      </c>
      <c r="F158">
        <v>23</v>
      </c>
      <c r="G158">
        <v>2</v>
      </c>
      <c r="H158">
        <v>9</v>
      </c>
      <c r="I158" t="s">
        <v>11</v>
      </c>
    </row>
    <row r="159" spans="1:9" x14ac:dyDescent="0.35">
      <c r="A159">
        <v>59</v>
      </c>
      <c r="B159">
        <v>8</v>
      </c>
      <c r="C159" t="s">
        <v>45</v>
      </c>
      <c r="D159" t="s">
        <v>46</v>
      </c>
      <c r="E159">
        <v>10</v>
      </c>
      <c r="F159">
        <v>18</v>
      </c>
      <c r="G159">
        <v>2</v>
      </c>
      <c r="H159">
        <v>13</v>
      </c>
      <c r="I159" t="s">
        <v>14</v>
      </c>
    </row>
    <row r="160" spans="1:9" x14ac:dyDescent="0.35">
      <c r="A160">
        <v>59</v>
      </c>
      <c r="B160">
        <v>8</v>
      </c>
      <c r="C160" t="s">
        <v>19</v>
      </c>
      <c r="D160" t="s">
        <v>20</v>
      </c>
      <c r="E160">
        <v>25</v>
      </c>
      <c r="F160">
        <v>40</v>
      </c>
      <c r="G160">
        <v>1</v>
      </c>
      <c r="H160">
        <v>13</v>
      </c>
      <c r="I160" t="s">
        <v>14</v>
      </c>
    </row>
    <row r="161" spans="1:9" x14ac:dyDescent="0.35">
      <c r="A161">
        <v>60</v>
      </c>
      <c r="B161">
        <v>6</v>
      </c>
      <c r="C161" t="s">
        <v>45</v>
      </c>
      <c r="D161" t="s">
        <v>46</v>
      </c>
      <c r="E161">
        <v>10</v>
      </c>
      <c r="F161">
        <v>18</v>
      </c>
      <c r="G161">
        <v>2</v>
      </c>
      <c r="H161">
        <v>23</v>
      </c>
      <c r="I161" t="s">
        <v>11</v>
      </c>
    </row>
    <row r="162" spans="1:9" x14ac:dyDescent="0.35">
      <c r="A162">
        <v>60</v>
      </c>
      <c r="B162">
        <v>6</v>
      </c>
      <c r="C162" t="s">
        <v>25</v>
      </c>
      <c r="D162" t="s">
        <v>26</v>
      </c>
      <c r="E162">
        <v>20</v>
      </c>
      <c r="F162">
        <v>33</v>
      </c>
      <c r="G162">
        <v>2</v>
      </c>
      <c r="H162">
        <v>20</v>
      </c>
      <c r="I162" t="s">
        <v>14</v>
      </c>
    </row>
    <row r="163" spans="1:9" x14ac:dyDescent="0.35">
      <c r="A163">
        <v>61</v>
      </c>
      <c r="B163">
        <v>10</v>
      </c>
      <c r="C163" t="s">
        <v>19</v>
      </c>
      <c r="D163" t="s">
        <v>20</v>
      </c>
      <c r="E163">
        <v>25</v>
      </c>
      <c r="F163">
        <v>40</v>
      </c>
      <c r="G163">
        <v>2</v>
      </c>
      <c r="H163">
        <v>56</v>
      </c>
      <c r="I163" t="s">
        <v>11</v>
      </c>
    </row>
    <row r="164" spans="1:9" x14ac:dyDescent="0.35">
      <c r="A164">
        <v>61</v>
      </c>
      <c r="B164">
        <v>10</v>
      </c>
      <c r="C164" t="s">
        <v>45</v>
      </c>
      <c r="D164" t="s">
        <v>46</v>
      </c>
      <c r="E164">
        <v>10</v>
      </c>
      <c r="F164">
        <v>18</v>
      </c>
      <c r="G164">
        <v>1</v>
      </c>
      <c r="H164">
        <v>39</v>
      </c>
      <c r="I164" t="s">
        <v>14</v>
      </c>
    </row>
    <row r="165" spans="1:9" x14ac:dyDescent="0.35">
      <c r="A165">
        <v>61</v>
      </c>
      <c r="B165">
        <v>10</v>
      </c>
      <c r="C165" t="s">
        <v>12</v>
      </c>
      <c r="D165" t="s">
        <v>13</v>
      </c>
      <c r="E165">
        <v>18</v>
      </c>
      <c r="F165">
        <v>30</v>
      </c>
      <c r="G165">
        <v>2</v>
      </c>
      <c r="H165">
        <v>13</v>
      </c>
      <c r="I165" t="s">
        <v>11</v>
      </c>
    </row>
    <row r="166" spans="1:9" x14ac:dyDescent="0.35">
      <c r="A166">
        <v>61</v>
      </c>
      <c r="B166">
        <v>10</v>
      </c>
      <c r="C166" t="s">
        <v>27</v>
      </c>
      <c r="D166" t="s">
        <v>28</v>
      </c>
      <c r="E166">
        <v>16</v>
      </c>
      <c r="F166">
        <v>28</v>
      </c>
      <c r="G166">
        <v>3</v>
      </c>
      <c r="H166">
        <v>51</v>
      </c>
      <c r="I166" t="s">
        <v>14</v>
      </c>
    </row>
    <row r="167" spans="1:9" x14ac:dyDescent="0.35">
      <c r="A167">
        <v>62</v>
      </c>
      <c r="B167">
        <v>2</v>
      </c>
      <c r="C167" t="s">
        <v>12</v>
      </c>
      <c r="D167" t="s">
        <v>13</v>
      </c>
      <c r="E167">
        <v>18</v>
      </c>
      <c r="F167">
        <v>30</v>
      </c>
      <c r="G167">
        <v>2</v>
      </c>
      <c r="H167">
        <v>59</v>
      </c>
      <c r="I167" t="s">
        <v>14</v>
      </c>
    </row>
    <row r="168" spans="1:9" x14ac:dyDescent="0.35">
      <c r="A168">
        <v>62</v>
      </c>
      <c r="B168">
        <v>2</v>
      </c>
      <c r="C168" t="s">
        <v>29</v>
      </c>
      <c r="D168" t="s">
        <v>30</v>
      </c>
      <c r="E168">
        <v>11</v>
      </c>
      <c r="F168">
        <v>19</v>
      </c>
      <c r="G168">
        <v>3</v>
      </c>
      <c r="H168">
        <v>46</v>
      </c>
      <c r="I168" t="s">
        <v>14</v>
      </c>
    </row>
    <row r="169" spans="1:9" x14ac:dyDescent="0.35">
      <c r="A169">
        <v>62</v>
      </c>
      <c r="B169">
        <v>2</v>
      </c>
      <c r="C169" t="s">
        <v>15</v>
      </c>
      <c r="D169" t="s">
        <v>16</v>
      </c>
      <c r="E169">
        <v>19</v>
      </c>
      <c r="F169">
        <v>31</v>
      </c>
      <c r="G169">
        <v>1</v>
      </c>
      <c r="H169">
        <v>50</v>
      </c>
      <c r="I169" t="s">
        <v>14</v>
      </c>
    </row>
    <row r="170" spans="1:9" x14ac:dyDescent="0.35">
      <c r="A170">
        <v>63</v>
      </c>
      <c r="B170">
        <v>17</v>
      </c>
      <c r="C170" t="s">
        <v>39</v>
      </c>
      <c r="D170" t="s">
        <v>40</v>
      </c>
      <c r="E170">
        <v>12</v>
      </c>
      <c r="F170">
        <v>20</v>
      </c>
      <c r="G170">
        <v>1</v>
      </c>
      <c r="H170">
        <v>10</v>
      </c>
      <c r="I170" t="s">
        <v>14</v>
      </c>
    </row>
    <row r="171" spans="1:9" x14ac:dyDescent="0.35">
      <c r="A171">
        <v>63</v>
      </c>
      <c r="B171">
        <v>17</v>
      </c>
      <c r="C171" t="s">
        <v>31</v>
      </c>
      <c r="D171" t="s">
        <v>32</v>
      </c>
      <c r="E171">
        <v>21</v>
      </c>
      <c r="F171">
        <v>35</v>
      </c>
      <c r="G171">
        <v>1</v>
      </c>
      <c r="H171">
        <v>20</v>
      </c>
      <c r="I171" t="s">
        <v>11</v>
      </c>
    </row>
    <row r="172" spans="1:9" x14ac:dyDescent="0.35">
      <c r="A172">
        <v>64</v>
      </c>
      <c r="B172">
        <v>3</v>
      </c>
      <c r="C172" t="s">
        <v>39</v>
      </c>
      <c r="D172" t="s">
        <v>40</v>
      </c>
      <c r="E172">
        <v>12</v>
      </c>
      <c r="F172">
        <v>20</v>
      </c>
      <c r="G172">
        <v>3</v>
      </c>
      <c r="H172">
        <v>25</v>
      </c>
      <c r="I172" t="s">
        <v>11</v>
      </c>
    </row>
    <row r="173" spans="1:9" x14ac:dyDescent="0.35">
      <c r="A173">
        <v>64</v>
      </c>
      <c r="B173">
        <v>3</v>
      </c>
      <c r="C173" t="s">
        <v>19</v>
      </c>
      <c r="D173" t="s">
        <v>20</v>
      </c>
      <c r="E173">
        <v>25</v>
      </c>
      <c r="F173">
        <v>40</v>
      </c>
      <c r="G173">
        <v>3</v>
      </c>
      <c r="H173">
        <v>47</v>
      </c>
      <c r="I173" t="s">
        <v>14</v>
      </c>
    </row>
    <row r="174" spans="1:9" x14ac:dyDescent="0.35">
      <c r="A174">
        <v>64</v>
      </c>
      <c r="B174">
        <v>3</v>
      </c>
      <c r="C174" t="s">
        <v>21</v>
      </c>
      <c r="D174" t="s">
        <v>22</v>
      </c>
      <c r="E174">
        <v>22</v>
      </c>
      <c r="F174">
        <v>36</v>
      </c>
      <c r="G174">
        <v>3</v>
      </c>
      <c r="H174">
        <v>10</v>
      </c>
      <c r="I174" t="s">
        <v>11</v>
      </c>
    </row>
    <row r="175" spans="1:9" x14ac:dyDescent="0.35">
      <c r="A175">
        <v>65</v>
      </c>
      <c r="B175">
        <v>5</v>
      </c>
      <c r="C175" t="s">
        <v>27</v>
      </c>
      <c r="D175" t="s">
        <v>28</v>
      </c>
      <c r="E175">
        <v>16</v>
      </c>
      <c r="F175">
        <v>28</v>
      </c>
      <c r="G175">
        <v>1</v>
      </c>
      <c r="H175">
        <v>32</v>
      </c>
      <c r="I175" t="s">
        <v>14</v>
      </c>
    </row>
    <row r="176" spans="1:9" x14ac:dyDescent="0.35">
      <c r="A176">
        <v>65</v>
      </c>
      <c r="B176">
        <v>5</v>
      </c>
      <c r="C176" t="s">
        <v>15</v>
      </c>
      <c r="D176" t="s">
        <v>16</v>
      </c>
      <c r="E176">
        <v>19</v>
      </c>
      <c r="F176">
        <v>31</v>
      </c>
      <c r="G176">
        <v>1</v>
      </c>
      <c r="H176">
        <v>55</v>
      </c>
      <c r="I176" t="s">
        <v>14</v>
      </c>
    </row>
    <row r="177" spans="1:9" x14ac:dyDescent="0.35">
      <c r="A177">
        <v>65</v>
      </c>
      <c r="B177">
        <v>5</v>
      </c>
      <c r="C177" t="s">
        <v>29</v>
      </c>
      <c r="D177" t="s">
        <v>30</v>
      </c>
      <c r="E177">
        <v>11</v>
      </c>
      <c r="F177">
        <v>19</v>
      </c>
      <c r="G177">
        <v>3</v>
      </c>
      <c r="H177">
        <v>51</v>
      </c>
      <c r="I177" t="s">
        <v>11</v>
      </c>
    </row>
    <row r="178" spans="1:9" x14ac:dyDescent="0.35">
      <c r="A178">
        <v>65</v>
      </c>
      <c r="B178">
        <v>5</v>
      </c>
      <c r="C178" t="s">
        <v>19</v>
      </c>
      <c r="D178" t="s">
        <v>20</v>
      </c>
      <c r="E178">
        <v>25</v>
      </c>
      <c r="F178">
        <v>40</v>
      </c>
      <c r="G178">
        <v>2</v>
      </c>
      <c r="H178">
        <v>17</v>
      </c>
      <c r="I178" t="s">
        <v>11</v>
      </c>
    </row>
    <row r="179" spans="1:9" x14ac:dyDescent="0.35">
      <c r="A179">
        <v>66</v>
      </c>
      <c r="B179">
        <v>18</v>
      </c>
      <c r="C179" t="s">
        <v>21</v>
      </c>
      <c r="D179" t="s">
        <v>22</v>
      </c>
      <c r="E179">
        <v>22</v>
      </c>
      <c r="F179">
        <v>36</v>
      </c>
      <c r="G179">
        <v>1</v>
      </c>
      <c r="H179">
        <v>29</v>
      </c>
      <c r="I179" t="s">
        <v>11</v>
      </c>
    </row>
    <row r="180" spans="1:9" x14ac:dyDescent="0.35">
      <c r="A180">
        <v>66</v>
      </c>
      <c r="B180">
        <v>18</v>
      </c>
      <c r="C180" t="s">
        <v>19</v>
      </c>
      <c r="D180" t="s">
        <v>20</v>
      </c>
      <c r="E180">
        <v>25</v>
      </c>
      <c r="F180">
        <v>40</v>
      </c>
      <c r="G180">
        <v>3</v>
      </c>
      <c r="H180">
        <v>30</v>
      </c>
      <c r="I180" t="s">
        <v>11</v>
      </c>
    </row>
    <row r="181" spans="1:9" x14ac:dyDescent="0.35">
      <c r="A181">
        <v>66</v>
      </c>
      <c r="B181">
        <v>18</v>
      </c>
      <c r="C181" t="s">
        <v>45</v>
      </c>
      <c r="D181" t="s">
        <v>46</v>
      </c>
      <c r="E181">
        <v>10</v>
      </c>
      <c r="F181">
        <v>18</v>
      </c>
      <c r="G181">
        <v>3</v>
      </c>
      <c r="H181">
        <v>55</v>
      </c>
      <c r="I181" t="s">
        <v>14</v>
      </c>
    </row>
    <row r="182" spans="1:9" x14ac:dyDescent="0.35">
      <c r="A182">
        <v>67</v>
      </c>
      <c r="B182">
        <v>2</v>
      </c>
      <c r="C182" t="s">
        <v>19</v>
      </c>
      <c r="D182" t="s">
        <v>20</v>
      </c>
      <c r="E182">
        <v>25</v>
      </c>
      <c r="F182">
        <v>40</v>
      </c>
      <c r="G182">
        <v>1</v>
      </c>
      <c r="H182">
        <v>22</v>
      </c>
      <c r="I182" t="s">
        <v>11</v>
      </c>
    </row>
    <row r="183" spans="1:9" x14ac:dyDescent="0.35">
      <c r="A183">
        <v>67</v>
      </c>
      <c r="B183">
        <v>2</v>
      </c>
      <c r="C183" t="s">
        <v>21</v>
      </c>
      <c r="D183" t="s">
        <v>22</v>
      </c>
      <c r="E183">
        <v>22</v>
      </c>
      <c r="F183">
        <v>36</v>
      </c>
      <c r="G183">
        <v>3</v>
      </c>
      <c r="H183">
        <v>59</v>
      </c>
      <c r="I183" t="s">
        <v>14</v>
      </c>
    </row>
    <row r="184" spans="1:9" x14ac:dyDescent="0.35">
      <c r="A184">
        <v>67</v>
      </c>
      <c r="B184">
        <v>2</v>
      </c>
      <c r="C184" t="s">
        <v>47</v>
      </c>
      <c r="D184" t="s">
        <v>48</v>
      </c>
      <c r="E184">
        <v>15</v>
      </c>
      <c r="F184">
        <v>26</v>
      </c>
      <c r="G184">
        <v>3</v>
      </c>
      <c r="H184">
        <v>15</v>
      </c>
      <c r="I184" t="s">
        <v>14</v>
      </c>
    </row>
    <row r="185" spans="1:9" x14ac:dyDescent="0.35">
      <c r="A185">
        <v>67</v>
      </c>
      <c r="B185">
        <v>2</v>
      </c>
      <c r="C185" t="s">
        <v>12</v>
      </c>
      <c r="D185" t="s">
        <v>13</v>
      </c>
      <c r="E185">
        <v>18</v>
      </c>
      <c r="F185">
        <v>30</v>
      </c>
      <c r="G185">
        <v>1</v>
      </c>
      <c r="H185">
        <v>35</v>
      </c>
      <c r="I185" t="s">
        <v>14</v>
      </c>
    </row>
    <row r="186" spans="1:9" x14ac:dyDescent="0.35">
      <c r="A186">
        <v>68</v>
      </c>
      <c r="B186">
        <v>8</v>
      </c>
      <c r="C186" t="s">
        <v>41</v>
      </c>
      <c r="D186" t="s">
        <v>42</v>
      </c>
      <c r="E186">
        <v>14</v>
      </c>
      <c r="F186">
        <v>23</v>
      </c>
      <c r="G186">
        <v>3</v>
      </c>
      <c r="H186">
        <v>43</v>
      </c>
      <c r="I186" t="s">
        <v>11</v>
      </c>
    </row>
    <row r="187" spans="1:9" x14ac:dyDescent="0.35">
      <c r="A187">
        <v>68</v>
      </c>
      <c r="B187">
        <v>8</v>
      </c>
      <c r="C187" t="s">
        <v>27</v>
      </c>
      <c r="D187" t="s">
        <v>28</v>
      </c>
      <c r="E187">
        <v>16</v>
      </c>
      <c r="F187">
        <v>28</v>
      </c>
      <c r="G187">
        <v>1</v>
      </c>
      <c r="H187">
        <v>19</v>
      </c>
      <c r="I187" t="s">
        <v>14</v>
      </c>
    </row>
    <row r="188" spans="1:9" x14ac:dyDescent="0.35">
      <c r="A188">
        <v>68</v>
      </c>
      <c r="B188">
        <v>8</v>
      </c>
      <c r="C188" t="s">
        <v>33</v>
      </c>
      <c r="D188" t="s">
        <v>34</v>
      </c>
      <c r="E188">
        <v>19</v>
      </c>
      <c r="F188">
        <v>32</v>
      </c>
      <c r="G188">
        <v>3</v>
      </c>
      <c r="H188">
        <v>57</v>
      </c>
      <c r="I188" t="s">
        <v>14</v>
      </c>
    </row>
    <row r="189" spans="1:9" x14ac:dyDescent="0.35">
      <c r="A189">
        <v>68</v>
      </c>
      <c r="B189">
        <v>8</v>
      </c>
      <c r="C189" t="s">
        <v>49</v>
      </c>
      <c r="D189" t="s">
        <v>50</v>
      </c>
      <c r="E189">
        <v>15</v>
      </c>
      <c r="F189">
        <v>25</v>
      </c>
      <c r="G189">
        <v>1</v>
      </c>
      <c r="H189">
        <v>26</v>
      </c>
      <c r="I189" t="s">
        <v>14</v>
      </c>
    </row>
    <row r="190" spans="1:9" x14ac:dyDescent="0.35">
      <c r="A190">
        <v>69</v>
      </c>
      <c r="B190">
        <v>5</v>
      </c>
      <c r="C190" t="s">
        <v>43</v>
      </c>
      <c r="D190" t="s">
        <v>44</v>
      </c>
      <c r="E190">
        <v>13</v>
      </c>
      <c r="F190">
        <v>21</v>
      </c>
      <c r="G190">
        <v>3</v>
      </c>
      <c r="H190">
        <v>20</v>
      </c>
      <c r="I190" t="s">
        <v>11</v>
      </c>
    </row>
    <row r="191" spans="1:9" x14ac:dyDescent="0.35">
      <c r="A191">
        <v>69</v>
      </c>
      <c r="B191">
        <v>5</v>
      </c>
      <c r="C191" t="s">
        <v>9</v>
      </c>
      <c r="D191" t="s">
        <v>10</v>
      </c>
      <c r="E191">
        <v>14</v>
      </c>
      <c r="F191">
        <v>24</v>
      </c>
      <c r="G191">
        <v>3</v>
      </c>
      <c r="H191">
        <v>48</v>
      </c>
      <c r="I191" t="s">
        <v>14</v>
      </c>
    </row>
    <row r="192" spans="1:9" x14ac:dyDescent="0.35">
      <c r="A192">
        <v>69</v>
      </c>
      <c r="B192">
        <v>5</v>
      </c>
      <c r="C192" t="s">
        <v>25</v>
      </c>
      <c r="D192" t="s">
        <v>26</v>
      </c>
      <c r="E192">
        <v>20</v>
      </c>
      <c r="F192">
        <v>33</v>
      </c>
      <c r="G192">
        <v>3</v>
      </c>
      <c r="H192">
        <v>24</v>
      </c>
      <c r="I192" t="s">
        <v>14</v>
      </c>
    </row>
    <row r="193" spans="1:9" x14ac:dyDescent="0.35">
      <c r="A193">
        <v>70</v>
      </c>
      <c r="B193">
        <v>17</v>
      </c>
      <c r="C193" t="s">
        <v>49</v>
      </c>
      <c r="D193" t="s">
        <v>50</v>
      </c>
      <c r="E193">
        <v>15</v>
      </c>
      <c r="F193">
        <v>25</v>
      </c>
      <c r="G193">
        <v>2</v>
      </c>
      <c r="H193">
        <v>19</v>
      </c>
      <c r="I193" t="s">
        <v>14</v>
      </c>
    </row>
    <row r="194" spans="1:9" x14ac:dyDescent="0.35">
      <c r="A194">
        <v>70</v>
      </c>
      <c r="B194">
        <v>17</v>
      </c>
      <c r="C194" t="s">
        <v>37</v>
      </c>
      <c r="D194" t="s">
        <v>38</v>
      </c>
      <c r="E194">
        <v>20</v>
      </c>
      <c r="F194">
        <v>34</v>
      </c>
      <c r="G194">
        <v>2</v>
      </c>
      <c r="H194">
        <v>21</v>
      </c>
      <c r="I194" t="s">
        <v>14</v>
      </c>
    </row>
    <row r="195" spans="1:9" x14ac:dyDescent="0.35">
      <c r="A195">
        <v>71</v>
      </c>
      <c r="B195">
        <v>18</v>
      </c>
      <c r="C195" t="s">
        <v>12</v>
      </c>
      <c r="D195" t="s">
        <v>13</v>
      </c>
      <c r="E195">
        <v>18</v>
      </c>
      <c r="F195">
        <v>30</v>
      </c>
      <c r="G195">
        <v>3</v>
      </c>
      <c r="H195">
        <v>20</v>
      </c>
      <c r="I195" t="s">
        <v>14</v>
      </c>
    </row>
    <row r="196" spans="1:9" x14ac:dyDescent="0.35">
      <c r="A196">
        <v>71</v>
      </c>
      <c r="B196">
        <v>18</v>
      </c>
      <c r="C196" t="s">
        <v>41</v>
      </c>
      <c r="D196" t="s">
        <v>42</v>
      </c>
      <c r="E196">
        <v>14</v>
      </c>
      <c r="F196">
        <v>23</v>
      </c>
      <c r="G196">
        <v>2</v>
      </c>
      <c r="H196">
        <v>29</v>
      </c>
      <c r="I196" t="s">
        <v>14</v>
      </c>
    </row>
    <row r="197" spans="1:9" x14ac:dyDescent="0.35">
      <c r="A197">
        <v>72</v>
      </c>
      <c r="B197">
        <v>17</v>
      </c>
      <c r="C197" t="s">
        <v>43</v>
      </c>
      <c r="D197" t="s">
        <v>44</v>
      </c>
      <c r="E197">
        <v>13</v>
      </c>
      <c r="F197">
        <v>21</v>
      </c>
      <c r="G197">
        <v>1</v>
      </c>
      <c r="H197">
        <v>17</v>
      </c>
      <c r="I197" t="s">
        <v>14</v>
      </c>
    </row>
    <row r="198" spans="1:9" x14ac:dyDescent="0.35">
      <c r="A198">
        <v>72</v>
      </c>
      <c r="B198">
        <v>17</v>
      </c>
      <c r="C198" t="s">
        <v>45</v>
      </c>
      <c r="D198" t="s">
        <v>46</v>
      </c>
      <c r="E198">
        <v>10</v>
      </c>
      <c r="F198">
        <v>18</v>
      </c>
      <c r="G198">
        <v>3</v>
      </c>
      <c r="H198">
        <v>37</v>
      </c>
      <c r="I198" t="s">
        <v>14</v>
      </c>
    </row>
    <row r="199" spans="1:9" x14ac:dyDescent="0.35">
      <c r="A199">
        <v>73</v>
      </c>
      <c r="B199">
        <v>1</v>
      </c>
      <c r="C199" t="s">
        <v>17</v>
      </c>
      <c r="D199" t="s">
        <v>18</v>
      </c>
      <c r="E199">
        <v>16</v>
      </c>
      <c r="F199">
        <v>27</v>
      </c>
      <c r="G199">
        <v>3</v>
      </c>
      <c r="H199">
        <v>20</v>
      </c>
      <c r="I199" t="s">
        <v>11</v>
      </c>
    </row>
    <row r="200" spans="1:9" x14ac:dyDescent="0.35">
      <c r="A200">
        <v>74</v>
      </c>
      <c r="B200">
        <v>19</v>
      </c>
      <c r="C200" t="s">
        <v>47</v>
      </c>
      <c r="D200" t="s">
        <v>48</v>
      </c>
      <c r="E200">
        <v>15</v>
      </c>
      <c r="F200">
        <v>26</v>
      </c>
      <c r="G200">
        <v>2</v>
      </c>
      <c r="H200">
        <v>39</v>
      </c>
      <c r="I200" t="s">
        <v>14</v>
      </c>
    </row>
    <row r="201" spans="1:9" x14ac:dyDescent="0.35">
      <c r="A201">
        <v>74</v>
      </c>
      <c r="B201">
        <v>19</v>
      </c>
      <c r="C201" t="s">
        <v>37</v>
      </c>
      <c r="D201" t="s">
        <v>38</v>
      </c>
      <c r="E201">
        <v>20</v>
      </c>
      <c r="F201">
        <v>34</v>
      </c>
      <c r="G201">
        <v>3</v>
      </c>
      <c r="H201">
        <v>37</v>
      </c>
      <c r="I201" t="s">
        <v>11</v>
      </c>
    </row>
    <row r="202" spans="1:9" x14ac:dyDescent="0.35">
      <c r="A202">
        <v>74</v>
      </c>
      <c r="B202">
        <v>19</v>
      </c>
      <c r="C202" t="s">
        <v>33</v>
      </c>
      <c r="D202" t="s">
        <v>34</v>
      </c>
      <c r="E202">
        <v>19</v>
      </c>
      <c r="F202">
        <v>32</v>
      </c>
      <c r="G202">
        <v>2</v>
      </c>
      <c r="H202">
        <v>24</v>
      </c>
      <c r="I202" t="s">
        <v>14</v>
      </c>
    </row>
    <row r="203" spans="1:9" x14ac:dyDescent="0.35">
      <c r="A203">
        <v>75</v>
      </c>
      <c r="B203">
        <v>19</v>
      </c>
      <c r="C203" t="s">
        <v>19</v>
      </c>
      <c r="D203" t="s">
        <v>20</v>
      </c>
      <c r="E203">
        <v>25</v>
      </c>
      <c r="F203">
        <v>40</v>
      </c>
      <c r="G203">
        <v>1</v>
      </c>
      <c r="H203">
        <v>35</v>
      </c>
      <c r="I203" t="s">
        <v>11</v>
      </c>
    </row>
    <row r="204" spans="1:9" x14ac:dyDescent="0.35">
      <c r="A204">
        <v>75</v>
      </c>
      <c r="B204">
        <v>19</v>
      </c>
      <c r="C204" t="s">
        <v>41</v>
      </c>
      <c r="D204" t="s">
        <v>42</v>
      </c>
      <c r="E204">
        <v>14</v>
      </c>
      <c r="F204">
        <v>23</v>
      </c>
      <c r="G204">
        <v>3</v>
      </c>
      <c r="H204">
        <v>16</v>
      </c>
      <c r="I204" t="s">
        <v>14</v>
      </c>
    </row>
    <row r="205" spans="1:9" x14ac:dyDescent="0.35">
      <c r="A205">
        <v>76</v>
      </c>
      <c r="B205">
        <v>17</v>
      </c>
      <c r="C205" t="s">
        <v>12</v>
      </c>
      <c r="D205" t="s">
        <v>13</v>
      </c>
      <c r="E205">
        <v>18</v>
      </c>
      <c r="F205">
        <v>30</v>
      </c>
      <c r="G205">
        <v>3</v>
      </c>
      <c r="H205">
        <v>13</v>
      </c>
      <c r="I205" t="s">
        <v>14</v>
      </c>
    </row>
    <row r="206" spans="1:9" x14ac:dyDescent="0.35">
      <c r="A206">
        <v>76</v>
      </c>
      <c r="B206">
        <v>17</v>
      </c>
      <c r="C206" t="s">
        <v>45</v>
      </c>
      <c r="D206" t="s">
        <v>46</v>
      </c>
      <c r="E206">
        <v>10</v>
      </c>
      <c r="F206">
        <v>18</v>
      </c>
      <c r="G206">
        <v>1</v>
      </c>
      <c r="H206">
        <v>34</v>
      </c>
      <c r="I206" t="s">
        <v>14</v>
      </c>
    </row>
    <row r="207" spans="1:9" x14ac:dyDescent="0.35">
      <c r="A207">
        <v>76</v>
      </c>
      <c r="B207">
        <v>17</v>
      </c>
      <c r="C207" t="s">
        <v>9</v>
      </c>
      <c r="D207" t="s">
        <v>10</v>
      </c>
      <c r="E207">
        <v>14</v>
      </c>
      <c r="F207">
        <v>24</v>
      </c>
      <c r="G207">
        <v>1</v>
      </c>
      <c r="H207">
        <v>20</v>
      </c>
      <c r="I207" t="s">
        <v>11</v>
      </c>
    </row>
    <row r="208" spans="1:9" x14ac:dyDescent="0.35">
      <c r="A208">
        <v>76</v>
      </c>
      <c r="B208">
        <v>17</v>
      </c>
      <c r="C208" t="s">
        <v>47</v>
      </c>
      <c r="D208" t="s">
        <v>48</v>
      </c>
      <c r="E208">
        <v>15</v>
      </c>
      <c r="F208">
        <v>26</v>
      </c>
      <c r="G208">
        <v>1</v>
      </c>
      <c r="H208">
        <v>30</v>
      </c>
      <c r="I208" t="s">
        <v>11</v>
      </c>
    </row>
    <row r="209" spans="1:9" x14ac:dyDescent="0.35">
      <c r="A209">
        <v>77</v>
      </c>
      <c r="B209">
        <v>3</v>
      </c>
      <c r="C209" t="s">
        <v>45</v>
      </c>
      <c r="D209" t="s">
        <v>46</v>
      </c>
      <c r="E209">
        <v>10</v>
      </c>
      <c r="F209">
        <v>18</v>
      </c>
      <c r="G209">
        <v>1</v>
      </c>
      <c r="H209">
        <v>34</v>
      </c>
      <c r="I209" t="s">
        <v>14</v>
      </c>
    </row>
    <row r="210" spans="1:9" x14ac:dyDescent="0.35">
      <c r="A210">
        <v>77</v>
      </c>
      <c r="B210">
        <v>3</v>
      </c>
      <c r="C210" t="s">
        <v>9</v>
      </c>
      <c r="D210" t="s">
        <v>10</v>
      </c>
      <c r="E210">
        <v>14</v>
      </c>
      <c r="F210">
        <v>24</v>
      </c>
      <c r="G210">
        <v>2</v>
      </c>
      <c r="H210">
        <v>55</v>
      </c>
      <c r="I210" t="s">
        <v>11</v>
      </c>
    </row>
    <row r="211" spans="1:9" x14ac:dyDescent="0.35">
      <c r="A211">
        <v>77</v>
      </c>
      <c r="B211">
        <v>3</v>
      </c>
      <c r="C211" t="s">
        <v>25</v>
      </c>
      <c r="D211" t="s">
        <v>26</v>
      </c>
      <c r="E211">
        <v>20</v>
      </c>
      <c r="F211">
        <v>33</v>
      </c>
      <c r="G211">
        <v>1</v>
      </c>
      <c r="H211">
        <v>8</v>
      </c>
      <c r="I211" t="s">
        <v>14</v>
      </c>
    </row>
    <row r="212" spans="1:9" x14ac:dyDescent="0.35">
      <c r="A212">
        <v>78</v>
      </c>
      <c r="B212">
        <v>7</v>
      </c>
      <c r="C212" t="s">
        <v>29</v>
      </c>
      <c r="D212" t="s">
        <v>30</v>
      </c>
      <c r="E212">
        <v>11</v>
      </c>
      <c r="F212">
        <v>19</v>
      </c>
      <c r="G212">
        <v>3</v>
      </c>
      <c r="H212">
        <v>54</v>
      </c>
      <c r="I212" t="s">
        <v>14</v>
      </c>
    </row>
    <row r="213" spans="1:9" x14ac:dyDescent="0.35">
      <c r="A213">
        <v>79</v>
      </c>
      <c r="B213">
        <v>16</v>
      </c>
      <c r="C213" t="s">
        <v>23</v>
      </c>
      <c r="D213" t="s">
        <v>24</v>
      </c>
      <c r="E213">
        <v>17</v>
      </c>
      <c r="F213">
        <v>29</v>
      </c>
      <c r="G213">
        <v>3</v>
      </c>
      <c r="H213">
        <v>14</v>
      </c>
      <c r="I213" t="s">
        <v>11</v>
      </c>
    </row>
    <row r="214" spans="1:9" x14ac:dyDescent="0.35">
      <c r="A214">
        <v>79</v>
      </c>
      <c r="B214">
        <v>16</v>
      </c>
      <c r="C214" t="s">
        <v>25</v>
      </c>
      <c r="D214" t="s">
        <v>26</v>
      </c>
      <c r="E214">
        <v>20</v>
      </c>
      <c r="F214">
        <v>33</v>
      </c>
      <c r="G214">
        <v>3</v>
      </c>
      <c r="H214">
        <v>14</v>
      </c>
      <c r="I214" t="s">
        <v>14</v>
      </c>
    </row>
    <row r="215" spans="1:9" x14ac:dyDescent="0.35">
      <c r="A215">
        <v>79</v>
      </c>
      <c r="B215">
        <v>16</v>
      </c>
      <c r="C215" t="s">
        <v>39</v>
      </c>
      <c r="D215" t="s">
        <v>40</v>
      </c>
      <c r="E215">
        <v>12</v>
      </c>
      <c r="F215">
        <v>20</v>
      </c>
      <c r="G215">
        <v>3</v>
      </c>
      <c r="H215">
        <v>25</v>
      </c>
      <c r="I215" t="s">
        <v>11</v>
      </c>
    </row>
    <row r="216" spans="1:9" x14ac:dyDescent="0.35">
      <c r="A216">
        <v>79</v>
      </c>
      <c r="B216">
        <v>16</v>
      </c>
      <c r="C216" t="s">
        <v>43</v>
      </c>
      <c r="D216" t="s">
        <v>44</v>
      </c>
      <c r="E216">
        <v>13</v>
      </c>
      <c r="F216">
        <v>21</v>
      </c>
      <c r="G216">
        <v>3</v>
      </c>
      <c r="H216">
        <v>43</v>
      </c>
      <c r="I216" t="s">
        <v>11</v>
      </c>
    </row>
    <row r="217" spans="1:9" x14ac:dyDescent="0.35">
      <c r="A217">
        <v>80</v>
      </c>
      <c r="B217">
        <v>18</v>
      </c>
      <c r="C217" t="s">
        <v>35</v>
      </c>
      <c r="D217" t="s">
        <v>36</v>
      </c>
      <c r="E217">
        <v>13</v>
      </c>
      <c r="F217">
        <v>22</v>
      </c>
      <c r="G217">
        <v>2</v>
      </c>
      <c r="H217">
        <v>5</v>
      </c>
      <c r="I217" t="s">
        <v>11</v>
      </c>
    </row>
    <row r="218" spans="1:9" x14ac:dyDescent="0.35">
      <c r="A218">
        <v>80</v>
      </c>
      <c r="B218">
        <v>18</v>
      </c>
      <c r="C218" t="s">
        <v>23</v>
      </c>
      <c r="D218" t="s">
        <v>24</v>
      </c>
      <c r="E218">
        <v>17</v>
      </c>
      <c r="F218">
        <v>29</v>
      </c>
      <c r="G218">
        <v>1</v>
      </c>
      <c r="H218">
        <v>34</v>
      </c>
      <c r="I218" t="s">
        <v>14</v>
      </c>
    </row>
    <row r="219" spans="1:9" x14ac:dyDescent="0.35">
      <c r="A219">
        <v>80</v>
      </c>
      <c r="B219">
        <v>18</v>
      </c>
      <c r="C219" t="s">
        <v>9</v>
      </c>
      <c r="D219" t="s">
        <v>10</v>
      </c>
      <c r="E219">
        <v>14</v>
      </c>
      <c r="F219">
        <v>24</v>
      </c>
      <c r="G219">
        <v>2</v>
      </c>
      <c r="H219">
        <v>28</v>
      </c>
      <c r="I219" t="s">
        <v>11</v>
      </c>
    </row>
    <row r="220" spans="1:9" x14ac:dyDescent="0.35">
      <c r="A220">
        <v>81</v>
      </c>
      <c r="B220">
        <v>17</v>
      </c>
      <c r="C220" t="s">
        <v>15</v>
      </c>
      <c r="D220" t="s">
        <v>16</v>
      </c>
      <c r="E220">
        <v>19</v>
      </c>
      <c r="F220">
        <v>31</v>
      </c>
      <c r="G220">
        <v>2</v>
      </c>
      <c r="H220">
        <v>59</v>
      </c>
      <c r="I220" t="s">
        <v>14</v>
      </c>
    </row>
    <row r="221" spans="1:9" x14ac:dyDescent="0.35">
      <c r="A221">
        <v>82</v>
      </c>
      <c r="B221">
        <v>16</v>
      </c>
      <c r="C221" t="s">
        <v>49</v>
      </c>
      <c r="D221" t="s">
        <v>50</v>
      </c>
      <c r="E221">
        <v>15</v>
      </c>
      <c r="F221">
        <v>25</v>
      </c>
      <c r="G221">
        <v>2</v>
      </c>
      <c r="H221">
        <v>11</v>
      </c>
      <c r="I221" t="s">
        <v>14</v>
      </c>
    </row>
    <row r="222" spans="1:9" x14ac:dyDescent="0.35">
      <c r="A222">
        <v>82</v>
      </c>
      <c r="B222">
        <v>16</v>
      </c>
      <c r="C222" t="s">
        <v>12</v>
      </c>
      <c r="D222" t="s">
        <v>13</v>
      </c>
      <c r="E222">
        <v>18</v>
      </c>
      <c r="F222">
        <v>30</v>
      </c>
      <c r="G222">
        <v>1</v>
      </c>
      <c r="H222">
        <v>8</v>
      </c>
      <c r="I222" t="s">
        <v>14</v>
      </c>
    </row>
    <row r="223" spans="1:9" x14ac:dyDescent="0.35">
      <c r="A223">
        <v>83</v>
      </c>
      <c r="B223">
        <v>15</v>
      </c>
      <c r="C223" t="s">
        <v>17</v>
      </c>
      <c r="D223" t="s">
        <v>18</v>
      </c>
      <c r="E223">
        <v>16</v>
      </c>
      <c r="F223">
        <v>27</v>
      </c>
      <c r="G223">
        <v>2</v>
      </c>
      <c r="H223">
        <v>14</v>
      </c>
      <c r="I223" t="s">
        <v>11</v>
      </c>
    </row>
    <row r="224" spans="1:9" x14ac:dyDescent="0.35">
      <c r="A224">
        <v>83</v>
      </c>
      <c r="B224">
        <v>15</v>
      </c>
      <c r="C224" t="s">
        <v>39</v>
      </c>
      <c r="D224" t="s">
        <v>40</v>
      </c>
      <c r="E224">
        <v>12</v>
      </c>
      <c r="F224">
        <v>20</v>
      </c>
      <c r="G224">
        <v>1</v>
      </c>
      <c r="H224">
        <v>30</v>
      </c>
      <c r="I224" t="s">
        <v>14</v>
      </c>
    </row>
    <row r="225" spans="1:9" x14ac:dyDescent="0.35">
      <c r="A225">
        <v>83</v>
      </c>
      <c r="B225">
        <v>15</v>
      </c>
      <c r="C225" t="s">
        <v>33</v>
      </c>
      <c r="D225" t="s">
        <v>34</v>
      </c>
      <c r="E225">
        <v>19</v>
      </c>
      <c r="F225">
        <v>32</v>
      </c>
      <c r="G225">
        <v>3</v>
      </c>
      <c r="H225">
        <v>50</v>
      </c>
      <c r="I225" t="s">
        <v>11</v>
      </c>
    </row>
    <row r="226" spans="1:9" x14ac:dyDescent="0.35">
      <c r="A226">
        <v>84</v>
      </c>
      <c r="B226">
        <v>19</v>
      </c>
      <c r="C226" t="s">
        <v>12</v>
      </c>
      <c r="D226" t="s">
        <v>13</v>
      </c>
      <c r="E226">
        <v>18</v>
      </c>
      <c r="F226">
        <v>30</v>
      </c>
      <c r="G226">
        <v>2</v>
      </c>
      <c r="H226">
        <v>10</v>
      </c>
      <c r="I226" t="s">
        <v>14</v>
      </c>
    </row>
    <row r="227" spans="1:9" x14ac:dyDescent="0.35">
      <c r="A227">
        <v>85</v>
      </c>
      <c r="B227">
        <v>8</v>
      </c>
      <c r="C227" t="s">
        <v>27</v>
      </c>
      <c r="D227" t="s">
        <v>28</v>
      </c>
      <c r="E227">
        <v>16</v>
      </c>
      <c r="F227">
        <v>28</v>
      </c>
      <c r="G227">
        <v>3</v>
      </c>
      <c r="H227">
        <v>26</v>
      </c>
      <c r="I227" t="s">
        <v>14</v>
      </c>
    </row>
    <row r="228" spans="1:9" x14ac:dyDescent="0.35">
      <c r="A228">
        <v>85</v>
      </c>
      <c r="B228">
        <v>8</v>
      </c>
      <c r="C228" t="s">
        <v>21</v>
      </c>
      <c r="D228" t="s">
        <v>22</v>
      </c>
      <c r="E228">
        <v>22</v>
      </c>
      <c r="F228">
        <v>36</v>
      </c>
      <c r="G228">
        <v>2</v>
      </c>
      <c r="H228">
        <v>33</v>
      </c>
      <c r="I228" t="s">
        <v>14</v>
      </c>
    </row>
    <row r="229" spans="1:9" x14ac:dyDescent="0.35">
      <c r="A229">
        <v>85</v>
      </c>
      <c r="B229">
        <v>8</v>
      </c>
      <c r="C229" t="s">
        <v>39</v>
      </c>
      <c r="D229" t="s">
        <v>40</v>
      </c>
      <c r="E229">
        <v>12</v>
      </c>
      <c r="F229">
        <v>20</v>
      </c>
      <c r="G229">
        <v>1</v>
      </c>
      <c r="H229">
        <v>54</v>
      </c>
      <c r="I229" t="s">
        <v>14</v>
      </c>
    </row>
    <row r="230" spans="1:9" x14ac:dyDescent="0.35">
      <c r="A230">
        <v>85</v>
      </c>
      <c r="B230">
        <v>8</v>
      </c>
      <c r="C230" t="s">
        <v>33</v>
      </c>
      <c r="D230" t="s">
        <v>34</v>
      </c>
      <c r="E230">
        <v>19</v>
      </c>
      <c r="F230">
        <v>32</v>
      </c>
      <c r="G230">
        <v>1</v>
      </c>
      <c r="H230">
        <v>29</v>
      </c>
      <c r="I230" t="s">
        <v>14</v>
      </c>
    </row>
    <row r="231" spans="1:9" x14ac:dyDescent="0.35">
      <c r="A231">
        <v>86</v>
      </c>
      <c r="B231">
        <v>20</v>
      </c>
      <c r="C231" t="s">
        <v>49</v>
      </c>
      <c r="D231" t="s">
        <v>50</v>
      </c>
      <c r="E231">
        <v>15</v>
      </c>
      <c r="F231">
        <v>25</v>
      </c>
      <c r="G231">
        <v>2</v>
      </c>
      <c r="H231">
        <v>8</v>
      </c>
      <c r="I231" t="s">
        <v>14</v>
      </c>
    </row>
    <row r="232" spans="1:9" x14ac:dyDescent="0.35">
      <c r="A232">
        <v>87</v>
      </c>
      <c r="B232">
        <v>3</v>
      </c>
      <c r="C232" t="s">
        <v>45</v>
      </c>
      <c r="D232" t="s">
        <v>46</v>
      </c>
      <c r="E232">
        <v>10</v>
      </c>
      <c r="F232">
        <v>18</v>
      </c>
      <c r="G232">
        <v>2</v>
      </c>
      <c r="H232">
        <v>55</v>
      </c>
      <c r="I232" t="s">
        <v>11</v>
      </c>
    </row>
    <row r="233" spans="1:9" x14ac:dyDescent="0.35">
      <c r="A233">
        <v>87</v>
      </c>
      <c r="B233">
        <v>3</v>
      </c>
      <c r="C233" t="s">
        <v>33</v>
      </c>
      <c r="D233" t="s">
        <v>34</v>
      </c>
      <c r="E233">
        <v>19</v>
      </c>
      <c r="F233">
        <v>32</v>
      </c>
      <c r="G233">
        <v>1</v>
      </c>
      <c r="H233">
        <v>5</v>
      </c>
      <c r="I233" t="s">
        <v>14</v>
      </c>
    </row>
    <row r="234" spans="1:9" x14ac:dyDescent="0.35">
      <c r="A234">
        <v>87</v>
      </c>
      <c r="B234">
        <v>3</v>
      </c>
      <c r="C234" t="s">
        <v>15</v>
      </c>
      <c r="D234" t="s">
        <v>16</v>
      </c>
      <c r="E234">
        <v>19</v>
      </c>
      <c r="F234">
        <v>31</v>
      </c>
      <c r="G234">
        <v>1</v>
      </c>
      <c r="H234">
        <v>11</v>
      </c>
      <c r="I234" t="s">
        <v>11</v>
      </c>
    </row>
    <row r="235" spans="1:9" x14ac:dyDescent="0.35">
      <c r="A235">
        <v>88</v>
      </c>
      <c r="B235">
        <v>18</v>
      </c>
      <c r="C235" t="s">
        <v>19</v>
      </c>
      <c r="D235" t="s">
        <v>20</v>
      </c>
      <c r="E235">
        <v>25</v>
      </c>
      <c r="F235">
        <v>40</v>
      </c>
      <c r="G235">
        <v>1</v>
      </c>
      <c r="H235">
        <v>12</v>
      </c>
      <c r="I235" t="s">
        <v>11</v>
      </c>
    </row>
    <row r="236" spans="1:9" x14ac:dyDescent="0.35">
      <c r="A236">
        <v>88</v>
      </c>
      <c r="B236">
        <v>18</v>
      </c>
      <c r="C236" t="s">
        <v>29</v>
      </c>
      <c r="D236" t="s">
        <v>30</v>
      </c>
      <c r="E236">
        <v>11</v>
      </c>
      <c r="F236">
        <v>19</v>
      </c>
      <c r="G236">
        <v>3</v>
      </c>
      <c r="H236">
        <v>46</v>
      </c>
      <c r="I236" t="s">
        <v>14</v>
      </c>
    </row>
    <row r="237" spans="1:9" x14ac:dyDescent="0.35">
      <c r="A237">
        <v>88</v>
      </c>
      <c r="B237">
        <v>18</v>
      </c>
      <c r="C237" t="s">
        <v>47</v>
      </c>
      <c r="D237" t="s">
        <v>48</v>
      </c>
      <c r="E237">
        <v>15</v>
      </c>
      <c r="F237">
        <v>26</v>
      </c>
      <c r="G237">
        <v>1</v>
      </c>
      <c r="H237">
        <v>59</v>
      </c>
      <c r="I237" t="s">
        <v>11</v>
      </c>
    </row>
    <row r="238" spans="1:9" x14ac:dyDescent="0.35">
      <c r="A238">
        <v>89</v>
      </c>
      <c r="B238">
        <v>11</v>
      </c>
      <c r="C238" t="s">
        <v>41</v>
      </c>
      <c r="D238" t="s">
        <v>42</v>
      </c>
      <c r="E238">
        <v>14</v>
      </c>
      <c r="F238">
        <v>23</v>
      </c>
      <c r="G238">
        <v>3</v>
      </c>
      <c r="H238">
        <v>44</v>
      </c>
      <c r="I238" t="s">
        <v>14</v>
      </c>
    </row>
    <row r="239" spans="1:9" x14ac:dyDescent="0.35">
      <c r="A239">
        <v>89</v>
      </c>
      <c r="B239">
        <v>11</v>
      </c>
      <c r="C239" t="s">
        <v>37</v>
      </c>
      <c r="D239" t="s">
        <v>38</v>
      </c>
      <c r="E239">
        <v>20</v>
      </c>
      <c r="F239">
        <v>34</v>
      </c>
      <c r="G239">
        <v>2</v>
      </c>
      <c r="H239">
        <v>58</v>
      </c>
      <c r="I239" t="s">
        <v>11</v>
      </c>
    </row>
    <row r="240" spans="1:9" x14ac:dyDescent="0.35">
      <c r="A240">
        <v>89</v>
      </c>
      <c r="B240">
        <v>11</v>
      </c>
      <c r="C240" t="s">
        <v>35</v>
      </c>
      <c r="D240" t="s">
        <v>36</v>
      </c>
      <c r="E240">
        <v>13</v>
      </c>
      <c r="F240">
        <v>22</v>
      </c>
      <c r="G240">
        <v>1</v>
      </c>
      <c r="H240">
        <v>40</v>
      </c>
      <c r="I240" t="s">
        <v>14</v>
      </c>
    </row>
    <row r="241" spans="1:9" x14ac:dyDescent="0.35">
      <c r="A241">
        <v>90</v>
      </c>
      <c r="B241">
        <v>6</v>
      </c>
      <c r="C241" t="s">
        <v>37</v>
      </c>
      <c r="D241" t="s">
        <v>38</v>
      </c>
      <c r="E241">
        <v>20</v>
      </c>
      <c r="F241">
        <v>34</v>
      </c>
      <c r="G241">
        <v>1</v>
      </c>
      <c r="H241">
        <v>48</v>
      </c>
      <c r="I241" t="s">
        <v>14</v>
      </c>
    </row>
    <row r="242" spans="1:9" x14ac:dyDescent="0.35">
      <c r="A242">
        <v>91</v>
      </c>
      <c r="B242">
        <v>1</v>
      </c>
      <c r="C242" t="s">
        <v>31</v>
      </c>
      <c r="D242" t="s">
        <v>32</v>
      </c>
      <c r="E242">
        <v>21</v>
      </c>
      <c r="F242">
        <v>35</v>
      </c>
      <c r="G242">
        <v>3</v>
      </c>
      <c r="H242">
        <v>21</v>
      </c>
      <c r="I242" t="s">
        <v>14</v>
      </c>
    </row>
    <row r="243" spans="1:9" x14ac:dyDescent="0.35">
      <c r="A243">
        <v>91</v>
      </c>
      <c r="B243">
        <v>1</v>
      </c>
      <c r="C243" t="s">
        <v>43</v>
      </c>
      <c r="D243" t="s">
        <v>44</v>
      </c>
      <c r="E243">
        <v>13</v>
      </c>
      <c r="F243">
        <v>21</v>
      </c>
      <c r="G243">
        <v>3</v>
      </c>
      <c r="H243">
        <v>52</v>
      </c>
      <c r="I243" t="s">
        <v>11</v>
      </c>
    </row>
    <row r="244" spans="1:9" x14ac:dyDescent="0.35">
      <c r="A244">
        <v>91</v>
      </c>
      <c r="B244">
        <v>1</v>
      </c>
      <c r="C244" t="s">
        <v>35</v>
      </c>
      <c r="D244" t="s">
        <v>36</v>
      </c>
      <c r="E244">
        <v>13</v>
      </c>
      <c r="F244">
        <v>22</v>
      </c>
      <c r="G244">
        <v>2</v>
      </c>
      <c r="H244">
        <v>11</v>
      </c>
      <c r="I244" t="s">
        <v>11</v>
      </c>
    </row>
    <row r="245" spans="1:9" x14ac:dyDescent="0.35">
      <c r="A245">
        <v>91</v>
      </c>
      <c r="B245">
        <v>1</v>
      </c>
      <c r="C245" t="s">
        <v>17</v>
      </c>
      <c r="D245" t="s">
        <v>18</v>
      </c>
      <c r="E245">
        <v>16</v>
      </c>
      <c r="F245">
        <v>27</v>
      </c>
      <c r="G245">
        <v>3</v>
      </c>
      <c r="H245">
        <v>48</v>
      </c>
      <c r="I245" t="s">
        <v>11</v>
      </c>
    </row>
    <row r="246" spans="1:9" x14ac:dyDescent="0.35">
      <c r="A246">
        <v>92</v>
      </c>
      <c r="B246">
        <v>6</v>
      </c>
      <c r="C246" t="s">
        <v>23</v>
      </c>
      <c r="D246" t="s">
        <v>24</v>
      </c>
      <c r="E246">
        <v>17</v>
      </c>
      <c r="F246">
        <v>29</v>
      </c>
      <c r="G246">
        <v>2</v>
      </c>
      <c r="H246">
        <v>36</v>
      </c>
      <c r="I246" t="s">
        <v>11</v>
      </c>
    </row>
    <row r="247" spans="1:9" x14ac:dyDescent="0.35">
      <c r="A247">
        <v>92</v>
      </c>
      <c r="B247">
        <v>6</v>
      </c>
      <c r="C247" t="s">
        <v>9</v>
      </c>
      <c r="D247" t="s">
        <v>10</v>
      </c>
      <c r="E247">
        <v>14</v>
      </c>
      <c r="F247">
        <v>24</v>
      </c>
      <c r="G247">
        <v>1</v>
      </c>
      <c r="H247">
        <v>6</v>
      </c>
      <c r="I247" t="s">
        <v>14</v>
      </c>
    </row>
    <row r="248" spans="1:9" x14ac:dyDescent="0.35">
      <c r="A248">
        <v>93</v>
      </c>
      <c r="B248">
        <v>2</v>
      </c>
      <c r="C248" t="s">
        <v>23</v>
      </c>
      <c r="D248" t="s">
        <v>24</v>
      </c>
      <c r="E248">
        <v>17</v>
      </c>
      <c r="F248">
        <v>29</v>
      </c>
      <c r="G248">
        <v>1</v>
      </c>
      <c r="H248">
        <v>18</v>
      </c>
      <c r="I248" t="s">
        <v>14</v>
      </c>
    </row>
    <row r="249" spans="1:9" x14ac:dyDescent="0.35">
      <c r="A249">
        <v>94</v>
      </c>
      <c r="B249">
        <v>12</v>
      </c>
      <c r="C249" t="s">
        <v>12</v>
      </c>
      <c r="D249" t="s">
        <v>13</v>
      </c>
      <c r="E249">
        <v>18</v>
      </c>
      <c r="F249">
        <v>30</v>
      </c>
      <c r="G249">
        <v>3</v>
      </c>
      <c r="H249">
        <v>19</v>
      </c>
      <c r="I249" t="s">
        <v>14</v>
      </c>
    </row>
    <row r="250" spans="1:9" x14ac:dyDescent="0.35">
      <c r="A250">
        <v>94</v>
      </c>
      <c r="B250">
        <v>12</v>
      </c>
      <c r="C250" t="s">
        <v>33</v>
      </c>
      <c r="D250" t="s">
        <v>34</v>
      </c>
      <c r="E250">
        <v>19</v>
      </c>
      <c r="F250">
        <v>32</v>
      </c>
      <c r="G250">
        <v>2</v>
      </c>
      <c r="H250">
        <v>56</v>
      </c>
      <c r="I250" t="s">
        <v>14</v>
      </c>
    </row>
    <row r="251" spans="1:9" x14ac:dyDescent="0.35">
      <c r="A251">
        <v>94</v>
      </c>
      <c r="B251">
        <v>12</v>
      </c>
      <c r="C251" t="s">
        <v>25</v>
      </c>
      <c r="D251" t="s">
        <v>26</v>
      </c>
      <c r="E251">
        <v>20</v>
      </c>
      <c r="F251">
        <v>33</v>
      </c>
      <c r="G251">
        <v>3</v>
      </c>
      <c r="H251">
        <v>54</v>
      </c>
      <c r="I251" t="s">
        <v>14</v>
      </c>
    </row>
    <row r="252" spans="1:9" x14ac:dyDescent="0.35">
      <c r="A252">
        <v>95</v>
      </c>
      <c r="B252">
        <v>12</v>
      </c>
      <c r="C252" t="s">
        <v>29</v>
      </c>
      <c r="D252" t="s">
        <v>30</v>
      </c>
      <c r="E252">
        <v>11</v>
      </c>
      <c r="F252">
        <v>19</v>
      </c>
      <c r="G252">
        <v>3</v>
      </c>
      <c r="H252">
        <v>19</v>
      </c>
      <c r="I252" t="s">
        <v>14</v>
      </c>
    </row>
    <row r="253" spans="1:9" x14ac:dyDescent="0.35">
      <c r="A253">
        <v>95</v>
      </c>
      <c r="B253">
        <v>12</v>
      </c>
      <c r="C253" t="s">
        <v>33</v>
      </c>
      <c r="D253" t="s">
        <v>34</v>
      </c>
      <c r="E253">
        <v>19</v>
      </c>
      <c r="F253">
        <v>32</v>
      </c>
      <c r="G253">
        <v>3</v>
      </c>
      <c r="H253">
        <v>22</v>
      </c>
      <c r="I253" t="s">
        <v>14</v>
      </c>
    </row>
    <row r="254" spans="1:9" x14ac:dyDescent="0.35">
      <c r="A254">
        <v>96</v>
      </c>
      <c r="B254">
        <v>16</v>
      </c>
      <c r="C254" t="s">
        <v>25</v>
      </c>
      <c r="D254" t="s">
        <v>26</v>
      </c>
      <c r="E254">
        <v>20</v>
      </c>
      <c r="F254">
        <v>33</v>
      </c>
      <c r="G254">
        <v>2</v>
      </c>
      <c r="H254">
        <v>47</v>
      </c>
      <c r="I254" t="s">
        <v>11</v>
      </c>
    </row>
    <row r="255" spans="1:9" x14ac:dyDescent="0.35">
      <c r="A255">
        <v>96</v>
      </c>
      <c r="B255">
        <v>16</v>
      </c>
      <c r="C255" t="s">
        <v>29</v>
      </c>
      <c r="D255" t="s">
        <v>30</v>
      </c>
      <c r="E255">
        <v>11</v>
      </c>
      <c r="F255">
        <v>19</v>
      </c>
      <c r="G255">
        <v>2</v>
      </c>
      <c r="H255">
        <v>10</v>
      </c>
      <c r="I255" t="s">
        <v>11</v>
      </c>
    </row>
    <row r="256" spans="1:9" x14ac:dyDescent="0.35">
      <c r="A256">
        <v>96</v>
      </c>
      <c r="B256">
        <v>16</v>
      </c>
      <c r="C256" t="s">
        <v>9</v>
      </c>
      <c r="D256" t="s">
        <v>10</v>
      </c>
      <c r="E256">
        <v>14</v>
      </c>
      <c r="F256">
        <v>24</v>
      </c>
      <c r="G256">
        <v>3</v>
      </c>
      <c r="H256">
        <v>19</v>
      </c>
      <c r="I256" t="s">
        <v>14</v>
      </c>
    </row>
    <row r="257" spans="1:9" x14ac:dyDescent="0.35">
      <c r="A257">
        <v>97</v>
      </c>
      <c r="B257">
        <v>14</v>
      </c>
      <c r="C257" t="s">
        <v>47</v>
      </c>
      <c r="D257" t="s">
        <v>48</v>
      </c>
      <c r="E257">
        <v>15</v>
      </c>
      <c r="F257">
        <v>26</v>
      </c>
      <c r="G257">
        <v>1</v>
      </c>
      <c r="H257">
        <v>17</v>
      </c>
      <c r="I257" t="s">
        <v>14</v>
      </c>
    </row>
    <row r="258" spans="1:9" x14ac:dyDescent="0.35">
      <c r="A258">
        <v>97</v>
      </c>
      <c r="B258">
        <v>14</v>
      </c>
      <c r="C258" t="s">
        <v>39</v>
      </c>
      <c r="D258" t="s">
        <v>40</v>
      </c>
      <c r="E258">
        <v>12</v>
      </c>
      <c r="F258">
        <v>20</v>
      </c>
      <c r="G258">
        <v>3</v>
      </c>
      <c r="H258">
        <v>5</v>
      </c>
      <c r="I258" t="s">
        <v>11</v>
      </c>
    </row>
    <row r="259" spans="1:9" x14ac:dyDescent="0.35">
      <c r="A259">
        <v>97</v>
      </c>
      <c r="B259">
        <v>14</v>
      </c>
      <c r="C259" t="s">
        <v>37</v>
      </c>
      <c r="D259" t="s">
        <v>38</v>
      </c>
      <c r="E259">
        <v>20</v>
      </c>
      <c r="F259">
        <v>34</v>
      </c>
      <c r="G259">
        <v>3</v>
      </c>
      <c r="H259">
        <v>57</v>
      </c>
      <c r="I259" t="s">
        <v>11</v>
      </c>
    </row>
    <row r="260" spans="1:9" x14ac:dyDescent="0.35">
      <c r="A260">
        <v>98</v>
      </c>
      <c r="B260">
        <v>7</v>
      </c>
      <c r="C260" t="s">
        <v>39</v>
      </c>
      <c r="D260" t="s">
        <v>40</v>
      </c>
      <c r="E260">
        <v>12</v>
      </c>
      <c r="F260">
        <v>20</v>
      </c>
      <c r="G260">
        <v>3</v>
      </c>
      <c r="H260">
        <v>56</v>
      </c>
      <c r="I260" t="s">
        <v>14</v>
      </c>
    </row>
    <row r="261" spans="1:9" x14ac:dyDescent="0.35">
      <c r="A261">
        <v>98</v>
      </c>
      <c r="B261">
        <v>7</v>
      </c>
      <c r="C261" t="s">
        <v>23</v>
      </c>
      <c r="D261" t="s">
        <v>24</v>
      </c>
      <c r="E261">
        <v>17</v>
      </c>
      <c r="F261">
        <v>29</v>
      </c>
      <c r="G261">
        <v>3</v>
      </c>
      <c r="H261">
        <v>33</v>
      </c>
      <c r="I261" t="s">
        <v>14</v>
      </c>
    </row>
    <row r="262" spans="1:9" x14ac:dyDescent="0.35">
      <c r="A262">
        <v>98</v>
      </c>
      <c r="B262">
        <v>7</v>
      </c>
      <c r="C262" t="s">
        <v>29</v>
      </c>
      <c r="D262" t="s">
        <v>30</v>
      </c>
      <c r="E262">
        <v>11</v>
      </c>
      <c r="F262">
        <v>19</v>
      </c>
      <c r="G262">
        <v>1</v>
      </c>
      <c r="H262">
        <v>51</v>
      </c>
      <c r="I262" t="s">
        <v>14</v>
      </c>
    </row>
    <row r="263" spans="1:9" x14ac:dyDescent="0.35">
      <c r="A263">
        <v>99</v>
      </c>
      <c r="B263">
        <v>2</v>
      </c>
      <c r="C263" t="s">
        <v>12</v>
      </c>
      <c r="D263" t="s">
        <v>13</v>
      </c>
      <c r="E263">
        <v>18</v>
      </c>
      <c r="F263">
        <v>30</v>
      </c>
      <c r="G263">
        <v>2</v>
      </c>
      <c r="H263">
        <v>27</v>
      </c>
      <c r="I263" t="s">
        <v>14</v>
      </c>
    </row>
    <row r="264" spans="1:9" x14ac:dyDescent="0.35">
      <c r="A264">
        <v>99</v>
      </c>
      <c r="B264">
        <v>2</v>
      </c>
      <c r="C264" t="s">
        <v>15</v>
      </c>
      <c r="D264" t="s">
        <v>16</v>
      </c>
      <c r="E264">
        <v>19</v>
      </c>
      <c r="F264">
        <v>31</v>
      </c>
      <c r="G264">
        <v>1</v>
      </c>
      <c r="H264">
        <v>5</v>
      </c>
      <c r="I264" t="s">
        <v>14</v>
      </c>
    </row>
    <row r="265" spans="1:9" x14ac:dyDescent="0.35">
      <c r="A265">
        <v>99</v>
      </c>
      <c r="B265">
        <v>2</v>
      </c>
      <c r="C265" t="s">
        <v>29</v>
      </c>
      <c r="D265" t="s">
        <v>30</v>
      </c>
      <c r="E265">
        <v>11</v>
      </c>
      <c r="F265">
        <v>19</v>
      </c>
      <c r="G265">
        <v>1</v>
      </c>
      <c r="H265">
        <v>9</v>
      </c>
      <c r="I265" t="s">
        <v>11</v>
      </c>
    </row>
    <row r="266" spans="1:9" x14ac:dyDescent="0.35">
      <c r="A266">
        <v>99</v>
      </c>
      <c r="B266">
        <v>2</v>
      </c>
      <c r="C266" t="s">
        <v>23</v>
      </c>
      <c r="D266" t="s">
        <v>24</v>
      </c>
      <c r="E266">
        <v>17</v>
      </c>
      <c r="F266">
        <v>29</v>
      </c>
      <c r="G266">
        <v>1</v>
      </c>
      <c r="H266">
        <v>45</v>
      </c>
      <c r="I266" t="s">
        <v>11</v>
      </c>
    </row>
    <row r="267" spans="1:9" x14ac:dyDescent="0.35">
      <c r="A267">
        <v>100</v>
      </c>
      <c r="B267">
        <v>18</v>
      </c>
      <c r="C267" t="s">
        <v>9</v>
      </c>
      <c r="D267" t="s">
        <v>10</v>
      </c>
      <c r="E267">
        <v>14</v>
      </c>
      <c r="F267">
        <v>24</v>
      </c>
      <c r="G267">
        <v>3</v>
      </c>
      <c r="H267">
        <v>48</v>
      </c>
      <c r="I267" t="s">
        <v>14</v>
      </c>
    </row>
    <row r="268" spans="1:9" x14ac:dyDescent="0.35">
      <c r="A268">
        <v>100</v>
      </c>
      <c r="B268">
        <v>18</v>
      </c>
      <c r="C268" t="s">
        <v>35</v>
      </c>
      <c r="D268" t="s">
        <v>36</v>
      </c>
      <c r="E268">
        <v>13</v>
      </c>
      <c r="F268">
        <v>22</v>
      </c>
      <c r="G268">
        <v>2</v>
      </c>
      <c r="H268">
        <v>33</v>
      </c>
      <c r="I268" t="s">
        <v>11</v>
      </c>
    </row>
    <row r="269" spans="1:9" x14ac:dyDescent="0.35">
      <c r="A269">
        <v>100</v>
      </c>
      <c r="B269">
        <v>18</v>
      </c>
      <c r="C269" t="s">
        <v>49</v>
      </c>
      <c r="D269" t="s">
        <v>50</v>
      </c>
      <c r="E269">
        <v>15</v>
      </c>
      <c r="F269">
        <v>25</v>
      </c>
      <c r="G269">
        <v>2</v>
      </c>
      <c r="H269">
        <v>22</v>
      </c>
      <c r="I269" t="s">
        <v>14</v>
      </c>
    </row>
    <row r="270" spans="1:9" x14ac:dyDescent="0.35">
      <c r="A270">
        <v>101</v>
      </c>
      <c r="B270">
        <v>1</v>
      </c>
      <c r="C270" t="s">
        <v>15</v>
      </c>
      <c r="D270" t="s">
        <v>16</v>
      </c>
      <c r="E270">
        <v>19</v>
      </c>
      <c r="F270">
        <v>31</v>
      </c>
      <c r="G270">
        <v>1</v>
      </c>
      <c r="H270">
        <v>24</v>
      </c>
      <c r="I270" t="s">
        <v>14</v>
      </c>
    </row>
    <row r="271" spans="1:9" x14ac:dyDescent="0.35">
      <c r="A271">
        <v>101</v>
      </c>
      <c r="B271">
        <v>1</v>
      </c>
      <c r="C271" t="s">
        <v>49</v>
      </c>
      <c r="D271" t="s">
        <v>50</v>
      </c>
      <c r="E271">
        <v>15</v>
      </c>
      <c r="F271">
        <v>25</v>
      </c>
      <c r="G271">
        <v>2</v>
      </c>
      <c r="H271">
        <v>41</v>
      </c>
      <c r="I271" t="s">
        <v>14</v>
      </c>
    </row>
    <row r="272" spans="1:9" x14ac:dyDescent="0.35">
      <c r="A272">
        <v>101</v>
      </c>
      <c r="B272">
        <v>1</v>
      </c>
      <c r="C272" t="s">
        <v>35</v>
      </c>
      <c r="D272" t="s">
        <v>36</v>
      </c>
      <c r="E272">
        <v>13</v>
      </c>
      <c r="F272">
        <v>22</v>
      </c>
      <c r="G272">
        <v>1</v>
      </c>
      <c r="H272">
        <v>35</v>
      </c>
      <c r="I272" t="s">
        <v>14</v>
      </c>
    </row>
    <row r="273" spans="1:9" x14ac:dyDescent="0.35">
      <c r="A273">
        <v>101</v>
      </c>
      <c r="B273">
        <v>1</v>
      </c>
      <c r="C273" t="s">
        <v>31</v>
      </c>
      <c r="D273" t="s">
        <v>32</v>
      </c>
      <c r="E273">
        <v>21</v>
      </c>
      <c r="F273">
        <v>35</v>
      </c>
      <c r="G273">
        <v>1</v>
      </c>
      <c r="H273">
        <v>34</v>
      </c>
      <c r="I273" t="s">
        <v>14</v>
      </c>
    </row>
    <row r="274" spans="1:9" x14ac:dyDescent="0.35">
      <c r="A274">
        <v>102</v>
      </c>
      <c r="B274">
        <v>19</v>
      </c>
      <c r="C274" t="s">
        <v>27</v>
      </c>
      <c r="D274" t="s">
        <v>28</v>
      </c>
      <c r="E274">
        <v>16</v>
      </c>
      <c r="F274">
        <v>28</v>
      </c>
      <c r="G274">
        <v>3</v>
      </c>
      <c r="H274">
        <v>17</v>
      </c>
      <c r="I274" t="s">
        <v>14</v>
      </c>
    </row>
    <row r="275" spans="1:9" x14ac:dyDescent="0.35">
      <c r="A275">
        <v>102</v>
      </c>
      <c r="B275">
        <v>19</v>
      </c>
      <c r="C275" t="s">
        <v>23</v>
      </c>
      <c r="D275" t="s">
        <v>24</v>
      </c>
      <c r="E275">
        <v>17</v>
      </c>
      <c r="F275">
        <v>29</v>
      </c>
      <c r="G275">
        <v>3</v>
      </c>
      <c r="H275">
        <v>29</v>
      </c>
      <c r="I275" t="s">
        <v>11</v>
      </c>
    </row>
    <row r="276" spans="1:9" x14ac:dyDescent="0.35">
      <c r="A276">
        <v>103</v>
      </c>
      <c r="B276">
        <v>13</v>
      </c>
      <c r="C276" t="s">
        <v>43</v>
      </c>
      <c r="D276" t="s">
        <v>44</v>
      </c>
      <c r="E276">
        <v>13</v>
      </c>
      <c r="F276">
        <v>21</v>
      </c>
      <c r="G276">
        <v>1</v>
      </c>
      <c r="H276">
        <v>57</v>
      </c>
      <c r="I276" t="s">
        <v>14</v>
      </c>
    </row>
    <row r="277" spans="1:9" x14ac:dyDescent="0.35">
      <c r="A277">
        <v>103</v>
      </c>
      <c r="B277">
        <v>13</v>
      </c>
      <c r="C277" t="s">
        <v>37</v>
      </c>
      <c r="D277" t="s">
        <v>38</v>
      </c>
      <c r="E277">
        <v>20</v>
      </c>
      <c r="F277">
        <v>34</v>
      </c>
      <c r="G277">
        <v>1</v>
      </c>
      <c r="H277">
        <v>9</v>
      </c>
      <c r="I277" t="s">
        <v>11</v>
      </c>
    </row>
    <row r="278" spans="1:9" x14ac:dyDescent="0.35">
      <c r="A278">
        <v>103</v>
      </c>
      <c r="B278">
        <v>13</v>
      </c>
      <c r="C278" t="s">
        <v>45</v>
      </c>
      <c r="D278" t="s">
        <v>46</v>
      </c>
      <c r="E278">
        <v>10</v>
      </c>
      <c r="F278">
        <v>18</v>
      </c>
      <c r="G278">
        <v>1</v>
      </c>
      <c r="H278">
        <v>33</v>
      </c>
      <c r="I278" t="s">
        <v>14</v>
      </c>
    </row>
    <row r="279" spans="1:9" x14ac:dyDescent="0.35">
      <c r="A279">
        <v>104</v>
      </c>
      <c r="B279">
        <v>14</v>
      </c>
      <c r="C279" t="s">
        <v>41</v>
      </c>
      <c r="D279" t="s">
        <v>42</v>
      </c>
      <c r="E279">
        <v>14</v>
      </c>
      <c r="F279">
        <v>23</v>
      </c>
      <c r="G279">
        <v>2</v>
      </c>
      <c r="H279">
        <v>43</v>
      </c>
      <c r="I279" t="s">
        <v>14</v>
      </c>
    </row>
    <row r="280" spans="1:9" x14ac:dyDescent="0.35">
      <c r="A280">
        <v>104</v>
      </c>
      <c r="B280">
        <v>14</v>
      </c>
      <c r="C280" t="s">
        <v>15</v>
      </c>
      <c r="D280" t="s">
        <v>16</v>
      </c>
      <c r="E280">
        <v>19</v>
      </c>
      <c r="F280">
        <v>31</v>
      </c>
      <c r="G280">
        <v>1</v>
      </c>
      <c r="H280">
        <v>12</v>
      </c>
      <c r="I280" t="s">
        <v>11</v>
      </c>
    </row>
    <row r="281" spans="1:9" x14ac:dyDescent="0.35">
      <c r="A281">
        <v>105</v>
      </c>
      <c r="B281">
        <v>14</v>
      </c>
      <c r="C281" t="s">
        <v>39</v>
      </c>
      <c r="D281" t="s">
        <v>40</v>
      </c>
      <c r="E281">
        <v>12</v>
      </c>
      <c r="F281">
        <v>20</v>
      </c>
      <c r="G281">
        <v>3</v>
      </c>
      <c r="H281">
        <v>9</v>
      </c>
      <c r="I281" t="s">
        <v>11</v>
      </c>
    </row>
    <row r="282" spans="1:9" x14ac:dyDescent="0.35">
      <c r="A282">
        <v>105</v>
      </c>
      <c r="B282">
        <v>14</v>
      </c>
      <c r="C282" t="s">
        <v>17</v>
      </c>
      <c r="D282" t="s">
        <v>18</v>
      </c>
      <c r="E282">
        <v>16</v>
      </c>
      <c r="F282">
        <v>27</v>
      </c>
      <c r="G282">
        <v>3</v>
      </c>
      <c r="H282">
        <v>34</v>
      </c>
      <c r="I282" t="s">
        <v>11</v>
      </c>
    </row>
    <row r="283" spans="1:9" x14ac:dyDescent="0.35">
      <c r="A283">
        <v>106</v>
      </c>
      <c r="B283">
        <v>15</v>
      </c>
      <c r="C283" t="s">
        <v>37</v>
      </c>
      <c r="D283" t="s">
        <v>38</v>
      </c>
      <c r="E283">
        <v>20</v>
      </c>
      <c r="F283">
        <v>34</v>
      </c>
      <c r="G283">
        <v>2</v>
      </c>
      <c r="H283">
        <v>29</v>
      </c>
      <c r="I283" t="s">
        <v>11</v>
      </c>
    </row>
    <row r="284" spans="1:9" x14ac:dyDescent="0.35">
      <c r="A284">
        <v>107</v>
      </c>
      <c r="B284">
        <v>11</v>
      </c>
      <c r="C284" t="s">
        <v>33</v>
      </c>
      <c r="D284" t="s">
        <v>34</v>
      </c>
      <c r="E284">
        <v>19</v>
      </c>
      <c r="F284">
        <v>32</v>
      </c>
      <c r="G284">
        <v>2</v>
      </c>
      <c r="H284">
        <v>48</v>
      </c>
      <c r="I284" t="s">
        <v>11</v>
      </c>
    </row>
    <row r="285" spans="1:9" x14ac:dyDescent="0.35">
      <c r="A285">
        <v>107</v>
      </c>
      <c r="B285">
        <v>11</v>
      </c>
      <c r="C285" t="s">
        <v>23</v>
      </c>
      <c r="D285" t="s">
        <v>24</v>
      </c>
      <c r="E285">
        <v>17</v>
      </c>
      <c r="F285">
        <v>29</v>
      </c>
      <c r="G285">
        <v>3</v>
      </c>
      <c r="H285">
        <v>51</v>
      </c>
      <c r="I285" t="s">
        <v>14</v>
      </c>
    </row>
    <row r="286" spans="1:9" x14ac:dyDescent="0.35">
      <c r="A286">
        <v>107</v>
      </c>
      <c r="B286">
        <v>11</v>
      </c>
      <c r="C286" t="s">
        <v>37</v>
      </c>
      <c r="D286" t="s">
        <v>38</v>
      </c>
      <c r="E286">
        <v>20</v>
      </c>
      <c r="F286">
        <v>34</v>
      </c>
      <c r="G286">
        <v>3</v>
      </c>
      <c r="H286">
        <v>42</v>
      </c>
      <c r="I286" t="s">
        <v>14</v>
      </c>
    </row>
    <row r="287" spans="1:9" x14ac:dyDescent="0.35">
      <c r="A287">
        <v>108</v>
      </c>
      <c r="B287">
        <v>3</v>
      </c>
      <c r="C287" t="s">
        <v>23</v>
      </c>
      <c r="D287" t="s">
        <v>24</v>
      </c>
      <c r="E287">
        <v>17</v>
      </c>
      <c r="F287">
        <v>29</v>
      </c>
      <c r="G287">
        <v>2</v>
      </c>
      <c r="H287">
        <v>23</v>
      </c>
      <c r="I287" t="s">
        <v>11</v>
      </c>
    </row>
    <row r="288" spans="1:9" x14ac:dyDescent="0.35">
      <c r="A288">
        <v>108</v>
      </c>
      <c r="B288">
        <v>3</v>
      </c>
      <c r="C288" t="s">
        <v>45</v>
      </c>
      <c r="D288" t="s">
        <v>46</v>
      </c>
      <c r="E288">
        <v>10</v>
      </c>
      <c r="F288">
        <v>18</v>
      </c>
      <c r="G288">
        <v>1</v>
      </c>
      <c r="H288">
        <v>10</v>
      </c>
      <c r="I288" t="s">
        <v>14</v>
      </c>
    </row>
    <row r="289" spans="1:9" x14ac:dyDescent="0.35">
      <c r="A289">
        <v>108</v>
      </c>
      <c r="B289">
        <v>3</v>
      </c>
      <c r="C289" t="s">
        <v>39</v>
      </c>
      <c r="D289" t="s">
        <v>40</v>
      </c>
      <c r="E289">
        <v>12</v>
      </c>
      <c r="F289">
        <v>20</v>
      </c>
      <c r="G289">
        <v>1</v>
      </c>
      <c r="H289">
        <v>26</v>
      </c>
      <c r="I289" t="s">
        <v>14</v>
      </c>
    </row>
    <row r="290" spans="1:9" x14ac:dyDescent="0.35">
      <c r="A290">
        <v>108</v>
      </c>
      <c r="B290">
        <v>3</v>
      </c>
      <c r="C290" t="s">
        <v>27</v>
      </c>
      <c r="D290" t="s">
        <v>28</v>
      </c>
      <c r="E290">
        <v>16</v>
      </c>
      <c r="F290">
        <v>28</v>
      </c>
      <c r="G290">
        <v>1</v>
      </c>
      <c r="H290">
        <v>56</v>
      </c>
      <c r="I290" t="s">
        <v>11</v>
      </c>
    </row>
    <row r="291" spans="1:9" x14ac:dyDescent="0.35">
      <c r="A291">
        <v>109</v>
      </c>
      <c r="B291">
        <v>10</v>
      </c>
      <c r="C291" t="s">
        <v>37</v>
      </c>
      <c r="D291" t="s">
        <v>38</v>
      </c>
      <c r="E291">
        <v>20</v>
      </c>
      <c r="F291">
        <v>34</v>
      </c>
      <c r="G291">
        <v>3</v>
      </c>
      <c r="H291">
        <v>54</v>
      </c>
      <c r="I291" t="s">
        <v>14</v>
      </c>
    </row>
    <row r="292" spans="1:9" x14ac:dyDescent="0.35">
      <c r="A292">
        <v>109</v>
      </c>
      <c r="B292">
        <v>10</v>
      </c>
      <c r="C292" t="s">
        <v>41</v>
      </c>
      <c r="D292" t="s">
        <v>42</v>
      </c>
      <c r="E292">
        <v>14</v>
      </c>
      <c r="F292">
        <v>23</v>
      </c>
      <c r="G292">
        <v>1</v>
      </c>
      <c r="H292">
        <v>26</v>
      </c>
      <c r="I292" t="s">
        <v>14</v>
      </c>
    </row>
    <row r="293" spans="1:9" x14ac:dyDescent="0.35">
      <c r="A293">
        <v>109</v>
      </c>
      <c r="B293">
        <v>10</v>
      </c>
      <c r="C293" t="s">
        <v>35</v>
      </c>
      <c r="D293" t="s">
        <v>36</v>
      </c>
      <c r="E293">
        <v>13</v>
      </c>
      <c r="F293">
        <v>22</v>
      </c>
      <c r="G293">
        <v>2</v>
      </c>
      <c r="H293">
        <v>38</v>
      </c>
      <c r="I293" t="s">
        <v>11</v>
      </c>
    </row>
    <row r="294" spans="1:9" x14ac:dyDescent="0.35">
      <c r="A294">
        <v>110</v>
      </c>
      <c r="B294">
        <v>5</v>
      </c>
      <c r="C294" t="s">
        <v>23</v>
      </c>
      <c r="D294" t="s">
        <v>24</v>
      </c>
      <c r="E294">
        <v>17</v>
      </c>
      <c r="F294">
        <v>29</v>
      </c>
      <c r="G294">
        <v>2</v>
      </c>
      <c r="H294">
        <v>38</v>
      </c>
      <c r="I294" t="s">
        <v>11</v>
      </c>
    </row>
    <row r="295" spans="1:9" x14ac:dyDescent="0.35">
      <c r="A295">
        <v>110</v>
      </c>
      <c r="B295">
        <v>5</v>
      </c>
      <c r="C295" t="s">
        <v>47</v>
      </c>
      <c r="D295" t="s">
        <v>48</v>
      </c>
      <c r="E295">
        <v>15</v>
      </c>
      <c r="F295">
        <v>26</v>
      </c>
      <c r="G295">
        <v>3</v>
      </c>
      <c r="H295">
        <v>27</v>
      </c>
      <c r="I295" t="s">
        <v>11</v>
      </c>
    </row>
    <row r="296" spans="1:9" x14ac:dyDescent="0.35">
      <c r="A296">
        <v>110</v>
      </c>
      <c r="B296">
        <v>5</v>
      </c>
      <c r="C296" t="s">
        <v>17</v>
      </c>
      <c r="D296" t="s">
        <v>18</v>
      </c>
      <c r="E296">
        <v>16</v>
      </c>
      <c r="F296">
        <v>27</v>
      </c>
      <c r="G296">
        <v>1</v>
      </c>
      <c r="H296">
        <v>56</v>
      </c>
      <c r="I296" t="s">
        <v>14</v>
      </c>
    </row>
    <row r="297" spans="1:9" x14ac:dyDescent="0.35">
      <c r="A297">
        <v>111</v>
      </c>
      <c r="B297">
        <v>3</v>
      </c>
      <c r="C297" t="s">
        <v>33</v>
      </c>
      <c r="D297" t="s">
        <v>34</v>
      </c>
      <c r="E297">
        <v>19</v>
      </c>
      <c r="F297">
        <v>32</v>
      </c>
      <c r="G297">
        <v>1</v>
      </c>
      <c r="H297">
        <v>47</v>
      </c>
      <c r="I297" t="s">
        <v>14</v>
      </c>
    </row>
    <row r="298" spans="1:9" x14ac:dyDescent="0.35">
      <c r="A298">
        <v>111</v>
      </c>
      <c r="B298">
        <v>3</v>
      </c>
      <c r="C298" t="s">
        <v>35</v>
      </c>
      <c r="D298" t="s">
        <v>36</v>
      </c>
      <c r="E298">
        <v>13</v>
      </c>
      <c r="F298">
        <v>22</v>
      </c>
      <c r="G298">
        <v>3</v>
      </c>
      <c r="H298">
        <v>5</v>
      </c>
      <c r="I298" t="s">
        <v>11</v>
      </c>
    </row>
    <row r="299" spans="1:9" x14ac:dyDescent="0.35">
      <c r="A299">
        <v>111</v>
      </c>
      <c r="B299">
        <v>3</v>
      </c>
      <c r="C299" t="s">
        <v>9</v>
      </c>
      <c r="D299" t="s">
        <v>10</v>
      </c>
      <c r="E299">
        <v>14</v>
      </c>
      <c r="F299">
        <v>24</v>
      </c>
      <c r="G299">
        <v>2</v>
      </c>
      <c r="H299">
        <v>48</v>
      </c>
      <c r="I299" t="s">
        <v>11</v>
      </c>
    </row>
    <row r="300" spans="1:9" x14ac:dyDescent="0.35">
      <c r="A300">
        <v>111</v>
      </c>
      <c r="B300">
        <v>3</v>
      </c>
      <c r="C300" t="s">
        <v>23</v>
      </c>
      <c r="D300" t="s">
        <v>24</v>
      </c>
      <c r="E300">
        <v>17</v>
      </c>
      <c r="F300">
        <v>29</v>
      </c>
      <c r="G300">
        <v>2</v>
      </c>
      <c r="H300">
        <v>37</v>
      </c>
      <c r="I300" t="s">
        <v>14</v>
      </c>
    </row>
    <row r="301" spans="1:9" x14ac:dyDescent="0.35">
      <c r="A301">
        <v>112</v>
      </c>
      <c r="B301">
        <v>6</v>
      </c>
      <c r="C301" t="s">
        <v>39</v>
      </c>
      <c r="D301" t="s">
        <v>40</v>
      </c>
      <c r="E301">
        <v>12</v>
      </c>
      <c r="F301">
        <v>20</v>
      </c>
      <c r="G301">
        <v>1</v>
      </c>
      <c r="H301">
        <v>16</v>
      </c>
      <c r="I301" t="s">
        <v>14</v>
      </c>
    </row>
    <row r="302" spans="1:9" x14ac:dyDescent="0.35">
      <c r="A302">
        <v>113</v>
      </c>
      <c r="B302">
        <v>4</v>
      </c>
      <c r="C302" t="s">
        <v>37</v>
      </c>
      <c r="D302" t="s">
        <v>38</v>
      </c>
      <c r="E302">
        <v>20</v>
      </c>
      <c r="F302">
        <v>34</v>
      </c>
      <c r="G302">
        <v>2</v>
      </c>
      <c r="H302">
        <v>51</v>
      </c>
      <c r="I302" t="s">
        <v>11</v>
      </c>
    </row>
    <row r="303" spans="1:9" x14ac:dyDescent="0.35">
      <c r="A303">
        <v>114</v>
      </c>
      <c r="B303">
        <v>7</v>
      </c>
      <c r="C303" t="s">
        <v>12</v>
      </c>
      <c r="D303" t="s">
        <v>13</v>
      </c>
      <c r="E303">
        <v>18</v>
      </c>
      <c r="F303">
        <v>30</v>
      </c>
      <c r="G303">
        <v>3</v>
      </c>
      <c r="H303">
        <v>36</v>
      </c>
      <c r="I303" t="s">
        <v>11</v>
      </c>
    </row>
    <row r="304" spans="1:9" x14ac:dyDescent="0.35">
      <c r="A304">
        <v>114</v>
      </c>
      <c r="B304">
        <v>7</v>
      </c>
      <c r="C304" t="s">
        <v>23</v>
      </c>
      <c r="D304" t="s">
        <v>24</v>
      </c>
      <c r="E304">
        <v>17</v>
      </c>
      <c r="F304">
        <v>29</v>
      </c>
      <c r="G304">
        <v>3</v>
      </c>
      <c r="H304">
        <v>22</v>
      </c>
      <c r="I304" t="s">
        <v>11</v>
      </c>
    </row>
    <row r="305" spans="1:9" x14ac:dyDescent="0.35">
      <c r="A305">
        <v>114</v>
      </c>
      <c r="B305">
        <v>7</v>
      </c>
      <c r="C305" t="s">
        <v>45</v>
      </c>
      <c r="D305" t="s">
        <v>46</v>
      </c>
      <c r="E305">
        <v>10</v>
      </c>
      <c r="F305">
        <v>18</v>
      </c>
      <c r="G305">
        <v>3</v>
      </c>
      <c r="H305">
        <v>31</v>
      </c>
      <c r="I305" t="s">
        <v>14</v>
      </c>
    </row>
    <row r="306" spans="1:9" x14ac:dyDescent="0.35">
      <c r="A306">
        <v>114</v>
      </c>
      <c r="B306">
        <v>7</v>
      </c>
      <c r="C306" t="s">
        <v>35</v>
      </c>
      <c r="D306" t="s">
        <v>36</v>
      </c>
      <c r="E306">
        <v>13</v>
      </c>
      <c r="F306">
        <v>22</v>
      </c>
      <c r="G306">
        <v>1</v>
      </c>
      <c r="H306">
        <v>42</v>
      </c>
      <c r="I306" t="s">
        <v>14</v>
      </c>
    </row>
    <row r="307" spans="1:9" x14ac:dyDescent="0.35">
      <c r="A307">
        <v>115</v>
      </c>
      <c r="B307">
        <v>12</v>
      </c>
      <c r="C307" t="s">
        <v>17</v>
      </c>
      <c r="D307" t="s">
        <v>18</v>
      </c>
      <c r="E307">
        <v>16</v>
      </c>
      <c r="F307">
        <v>27</v>
      </c>
      <c r="G307">
        <v>3</v>
      </c>
      <c r="H307">
        <v>23</v>
      </c>
      <c r="I307" t="s">
        <v>14</v>
      </c>
    </row>
    <row r="308" spans="1:9" x14ac:dyDescent="0.35">
      <c r="A308">
        <v>115</v>
      </c>
      <c r="B308">
        <v>12</v>
      </c>
      <c r="C308" t="s">
        <v>12</v>
      </c>
      <c r="D308" t="s">
        <v>13</v>
      </c>
      <c r="E308">
        <v>18</v>
      </c>
      <c r="F308">
        <v>30</v>
      </c>
      <c r="G308">
        <v>2</v>
      </c>
      <c r="H308">
        <v>32</v>
      </c>
      <c r="I308" t="s">
        <v>14</v>
      </c>
    </row>
    <row r="309" spans="1:9" x14ac:dyDescent="0.35">
      <c r="A309">
        <v>115</v>
      </c>
      <c r="B309">
        <v>12</v>
      </c>
      <c r="C309" t="s">
        <v>33</v>
      </c>
      <c r="D309" t="s">
        <v>34</v>
      </c>
      <c r="E309">
        <v>19</v>
      </c>
      <c r="F309">
        <v>32</v>
      </c>
      <c r="G309">
        <v>3</v>
      </c>
      <c r="H309">
        <v>43</v>
      </c>
      <c r="I309" t="s">
        <v>14</v>
      </c>
    </row>
    <row r="310" spans="1:9" x14ac:dyDescent="0.35">
      <c r="A310">
        <v>116</v>
      </c>
      <c r="B310">
        <v>8</v>
      </c>
      <c r="C310" t="s">
        <v>33</v>
      </c>
      <c r="D310" t="s">
        <v>34</v>
      </c>
      <c r="E310">
        <v>19</v>
      </c>
      <c r="F310">
        <v>32</v>
      </c>
      <c r="G310">
        <v>3</v>
      </c>
      <c r="H310">
        <v>54</v>
      </c>
      <c r="I310" t="s">
        <v>14</v>
      </c>
    </row>
    <row r="311" spans="1:9" x14ac:dyDescent="0.35">
      <c r="A311">
        <v>116</v>
      </c>
      <c r="B311">
        <v>8</v>
      </c>
      <c r="C311" t="s">
        <v>31</v>
      </c>
      <c r="D311" t="s">
        <v>32</v>
      </c>
      <c r="E311">
        <v>21</v>
      </c>
      <c r="F311">
        <v>35</v>
      </c>
      <c r="G311">
        <v>1</v>
      </c>
      <c r="H311">
        <v>21</v>
      </c>
      <c r="I311" t="s">
        <v>11</v>
      </c>
    </row>
    <row r="312" spans="1:9" x14ac:dyDescent="0.35">
      <c r="A312">
        <v>116</v>
      </c>
      <c r="B312">
        <v>8</v>
      </c>
      <c r="C312" t="s">
        <v>21</v>
      </c>
      <c r="D312" t="s">
        <v>22</v>
      </c>
      <c r="E312">
        <v>22</v>
      </c>
      <c r="F312">
        <v>36</v>
      </c>
      <c r="G312">
        <v>1</v>
      </c>
      <c r="H312">
        <v>26</v>
      </c>
      <c r="I312" t="s">
        <v>14</v>
      </c>
    </row>
    <row r="313" spans="1:9" x14ac:dyDescent="0.35">
      <c r="A313">
        <v>116</v>
      </c>
      <c r="B313">
        <v>8</v>
      </c>
      <c r="C313" t="s">
        <v>37</v>
      </c>
      <c r="D313" t="s">
        <v>38</v>
      </c>
      <c r="E313">
        <v>20</v>
      </c>
      <c r="F313">
        <v>34</v>
      </c>
      <c r="G313">
        <v>3</v>
      </c>
      <c r="H313">
        <v>28</v>
      </c>
      <c r="I313" t="s">
        <v>14</v>
      </c>
    </row>
    <row r="314" spans="1:9" x14ac:dyDescent="0.35">
      <c r="A314">
        <v>117</v>
      </c>
      <c r="B314">
        <v>8</v>
      </c>
      <c r="C314" t="s">
        <v>31</v>
      </c>
      <c r="D314" t="s">
        <v>32</v>
      </c>
      <c r="E314">
        <v>21</v>
      </c>
      <c r="F314">
        <v>35</v>
      </c>
      <c r="G314">
        <v>2</v>
      </c>
      <c r="H314">
        <v>8</v>
      </c>
      <c r="I314" t="s">
        <v>14</v>
      </c>
    </row>
    <row r="315" spans="1:9" x14ac:dyDescent="0.35">
      <c r="A315">
        <v>118</v>
      </c>
      <c r="B315">
        <v>13</v>
      </c>
      <c r="C315" t="s">
        <v>45</v>
      </c>
      <c r="D315" t="s">
        <v>46</v>
      </c>
      <c r="E315">
        <v>10</v>
      </c>
      <c r="F315">
        <v>18</v>
      </c>
      <c r="G315">
        <v>3</v>
      </c>
      <c r="H315">
        <v>39</v>
      </c>
      <c r="I315" t="s">
        <v>11</v>
      </c>
    </row>
    <row r="316" spans="1:9" x14ac:dyDescent="0.35">
      <c r="A316">
        <v>118</v>
      </c>
      <c r="B316">
        <v>13</v>
      </c>
      <c r="C316" t="s">
        <v>41</v>
      </c>
      <c r="D316" t="s">
        <v>42</v>
      </c>
      <c r="E316">
        <v>14</v>
      </c>
      <c r="F316">
        <v>23</v>
      </c>
      <c r="G316">
        <v>3</v>
      </c>
      <c r="H316">
        <v>22</v>
      </c>
      <c r="I316" t="s">
        <v>14</v>
      </c>
    </row>
    <row r="317" spans="1:9" x14ac:dyDescent="0.35">
      <c r="A317">
        <v>118</v>
      </c>
      <c r="B317">
        <v>13</v>
      </c>
      <c r="C317" t="s">
        <v>17</v>
      </c>
      <c r="D317" t="s">
        <v>18</v>
      </c>
      <c r="E317">
        <v>16</v>
      </c>
      <c r="F317">
        <v>27</v>
      </c>
      <c r="G317">
        <v>2</v>
      </c>
      <c r="H317">
        <v>52</v>
      </c>
      <c r="I317" t="s">
        <v>14</v>
      </c>
    </row>
    <row r="318" spans="1:9" x14ac:dyDescent="0.35">
      <c r="A318">
        <v>118</v>
      </c>
      <c r="B318">
        <v>13</v>
      </c>
      <c r="C318" t="s">
        <v>33</v>
      </c>
      <c r="D318" t="s">
        <v>34</v>
      </c>
      <c r="E318">
        <v>19</v>
      </c>
      <c r="F318">
        <v>32</v>
      </c>
      <c r="G318">
        <v>1</v>
      </c>
      <c r="H318">
        <v>23</v>
      </c>
      <c r="I318" t="s">
        <v>14</v>
      </c>
    </row>
    <row r="319" spans="1:9" x14ac:dyDescent="0.35">
      <c r="A319">
        <v>119</v>
      </c>
      <c r="B319">
        <v>17</v>
      </c>
      <c r="C319" t="s">
        <v>47</v>
      </c>
      <c r="D319" t="s">
        <v>48</v>
      </c>
      <c r="E319">
        <v>15</v>
      </c>
      <c r="F319">
        <v>26</v>
      </c>
      <c r="G319">
        <v>1</v>
      </c>
      <c r="H319">
        <v>7</v>
      </c>
      <c r="I319" t="s">
        <v>11</v>
      </c>
    </row>
    <row r="320" spans="1:9" x14ac:dyDescent="0.35">
      <c r="A320">
        <v>119</v>
      </c>
      <c r="B320">
        <v>17</v>
      </c>
      <c r="C320" t="s">
        <v>21</v>
      </c>
      <c r="D320" t="s">
        <v>22</v>
      </c>
      <c r="E320">
        <v>22</v>
      </c>
      <c r="F320">
        <v>36</v>
      </c>
      <c r="G320">
        <v>2</v>
      </c>
      <c r="H320">
        <v>13</v>
      </c>
      <c r="I320" t="s">
        <v>14</v>
      </c>
    </row>
    <row r="321" spans="1:9" x14ac:dyDescent="0.35">
      <c r="A321">
        <v>119</v>
      </c>
      <c r="B321">
        <v>17</v>
      </c>
      <c r="C321" t="s">
        <v>45</v>
      </c>
      <c r="D321" t="s">
        <v>46</v>
      </c>
      <c r="E321">
        <v>10</v>
      </c>
      <c r="F321">
        <v>18</v>
      </c>
      <c r="G321">
        <v>2</v>
      </c>
      <c r="H321">
        <v>34</v>
      </c>
      <c r="I321" t="s">
        <v>14</v>
      </c>
    </row>
    <row r="322" spans="1:9" x14ac:dyDescent="0.35">
      <c r="A322">
        <v>120</v>
      </c>
      <c r="B322">
        <v>4</v>
      </c>
      <c r="C322" t="s">
        <v>15</v>
      </c>
      <c r="D322" t="s">
        <v>16</v>
      </c>
      <c r="E322">
        <v>19</v>
      </c>
      <c r="F322">
        <v>31</v>
      </c>
      <c r="G322">
        <v>3</v>
      </c>
      <c r="H322">
        <v>56</v>
      </c>
      <c r="I322" t="s">
        <v>14</v>
      </c>
    </row>
    <row r="323" spans="1:9" x14ac:dyDescent="0.35">
      <c r="A323">
        <v>120</v>
      </c>
      <c r="B323">
        <v>4</v>
      </c>
      <c r="C323" t="s">
        <v>47</v>
      </c>
      <c r="D323" t="s">
        <v>48</v>
      </c>
      <c r="E323">
        <v>15</v>
      </c>
      <c r="F323">
        <v>26</v>
      </c>
      <c r="G323">
        <v>2</v>
      </c>
      <c r="H323">
        <v>41</v>
      </c>
      <c r="I323" t="s">
        <v>14</v>
      </c>
    </row>
    <row r="324" spans="1:9" x14ac:dyDescent="0.35">
      <c r="A324">
        <v>121</v>
      </c>
      <c r="B324">
        <v>5</v>
      </c>
      <c r="C324" t="s">
        <v>47</v>
      </c>
      <c r="D324" t="s">
        <v>48</v>
      </c>
      <c r="E324">
        <v>15</v>
      </c>
      <c r="F324">
        <v>26</v>
      </c>
      <c r="G324">
        <v>2</v>
      </c>
      <c r="H324">
        <v>38</v>
      </c>
      <c r="I324" t="s">
        <v>11</v>
      </c>
    </row>
    <row r="325" spans="1:9" x14ac:dyDescent="0.35">
      <c r="A325">
        <v>122</v>
      </c>
      <c r="B325">
        <v>6</v>
      </c>
      <c r="C325" t="s">
        <v>31</v>
      </c>
      <c r="D325" t="s">
        <v>32</v>
      </c>
      <c r="E325">
        <v>21</v>
      </c>
      <c r="F325">
        <v>35</v>
      </c>
      <c r="G325">
        <v>3</v>
      </c>
      <c r="H325">
        <v>32</v>
      </c>
      <c r="I325" t="s">
        <v>11</v>
      </c>
    </row>
    <row r="326" spans="1:9" x14ac:dyDescent="0.35">
      <c r="A326">
        <v>123</v>
      </c>
      <c r="B326">
        <v>16</v>
      </c>
      <c r="C326" t="s">
        <v>9</v>
      </c>
      <c r="D326" t="s">
        <v>10</v>
      </c>
      <c r="E326">
        <v>14</v>
      </c>
      <c r="F326">
        <v>24</v>
      </c>
      <c r="G326">
        <v>1</v>
      </c>
      <c r="H326">
        <v>33</v>
      </c>
      <c r="I326" t="s">
        <v>14</v>
      </c>
    </row>
    <row r="327" spans="1:9" x14ac:dyDescent="0.35">
      <c r="A327">
        <v>124</v>
      </c>
      <c r="B327">
        <v>16</v>
      </c>
      <c r="C327" t="s">
        <v>39</v>
      </c>
      <c r="D327" t="s">
        <v>40</v>
      </c>
      <c r="E327">
        <v>12</v>
      </c>
      <c r="F327">
        <v>20</v>
      </c>
      <c r="G327">
        <v>2</v>
      </c>
      <c r="H327">
        <v>43</v>
      </c>
      <c r="I327" t="s">
        <v>11</v>
      </c>
    </row>
    <row r="328" spans="1:9" x14ac:dyDescent="0.35">
      <c r="A328">
        <v>124</v>
      </c>
      <c r="B328">
        <v>16</v>
      </c>
      <c r="C328" t="s">
        <v>49</v>
      </c>
      <c r="D328" t="s">
        <v>50</v>
      </c>
      <c r="E328">
        <v>15</v>
      </c>
      <c r="F328">
        <v>25</v>
      </c>
      <c r="G328">
        <v>1</v>
      </c>
      <c r="H328">
        <v>27</v>
      </c>
      <c r="I328" t="s">
        <v>14</v>
      </c>
    </row>
    <row r="329" spans="1:9" x14ac:dyDescent="0.35">
      <c r="A329">
        <v>124</v>
      </c>
      <c r="B329">
        <v>16</v>
      </c>
      <c r="C329" t="s">
        <v>25</v>
      </c>
      <c r="D329" t="s">
        <v>26</v>
      </c>
      <c r="E329">
        <v>20</v>
      </c>
      <c r="F329">
        <v>33</v>
      </c>
      <c r="G329">
        <v>3</v>
      </c>
      <c r="H329">
        <v>9</v>
      </c>
      <c r="I329" t="s">
        <v>14</v>
      </c>
    </row>
    <row r="330" spans="1:9" x14ac:dyDescent="0.35">
      <c r="A330">
        <v>124</v>
      </c>
      <c r="B330">
        <v>16</v>
      </c>
      <c r="C330" t="s">
        <v>23</v>
      </c>
      <c r="D330" t="s">
        <v>24</v>
      </c>
      <c r="E330">
        <v>17</v>
      </c>
      <c r="F330">
        <v>29</v>
      </c>
      <c r="G330">
        <v>2</v>
      </c>
      <c r="H330">
        <v>59</v>
      </c>
      <c r="I330" t="s">
        <v>14</v>
      </c>
    </row>
    <row r="331" spans="1:9" x14ac:dyDescent="0.35">
      <c r="A331">
        <v>125</v>
      </c>
      <c r="B331">
        <v>14</v>
      </c>
      <c r="C331" t="s">
        <v>27</v>
      </c>
      <c r="D331" t="s">
        <v>28</v>
      </c>
      <c r="E331">
        <v>16</v>
      </c>
      <c r="F331">
        <v>28</v>
      </c>
      <c r="G331">
        <v>2</v>
      </c>
      <c r="H331">
        <v>38</v>
      </c>
      <c r="I331" t="s">
        <v>14</v>
      </c>
    </row>
    <row r="332" spans="1:9" x14ac:dyDescent="0.35">
      <c r="A332">
        <v>125</v>
      </c>
      <c r="B332">
        <v>14</v>
      </c>
      <c r="C332" t="s">
        <v>37</v>
      </c>
      <c r="D332" t="s">
        <v>38</v>
      </c>
      <c r="E332">
        <v>20</v>
      </c>
      <c r="F332">
        <v>34</v>
      </c>
      <c r="G332">
        <v>2</v>
      </c>
      <c r="H332">
        <v>15</v>
      </c>
      <c r="I332" t="s">
        <v>11</v>
      </c>
    </row>
    <row r="333" spans="1:9" x14ac:dyDescent="0.35">
      <c r="A333">
        <v>125</v>
      </c>
      <c r="B333">
        <v>14</v>
      </c>
      <c r="C333" t="s">
        <v>39</v>
      </c>
      <c r="D333" t="s">
        <v>40</v>
      </c>
      <c r="E333">
        <v>12</v>
      </c>
      <c r="F333">
        <v>20</v>
      </c>
      <c r="G333">
        <v>3</v>
      </c>
      <c r="H333">
        <v>31</v>
      </c>
      <c r="I333" t="s">
        <v>11</v>
      </c>
    </row>
    <row r="334" spans="1:9" x14ac:dyDescent="0.35">
      <c r="A334">
        <v>126</v>
      </c>
      <c r="B334">
        <v>18</v>
      </c>
      <c r="C334" t="s">
        <v>27</v>
      </c>
      <c r="D334" t="s">
        <v>28</v>
      </c>
      <c r="E334">
        <v>16</v>
      </c>
      <c r="F334">
        <v>28</v>
      </c>
      <c r="G334">
        <v>1</v>
      </c>
      <c r="H334">
        <v>19</v>
      </c>
      <c r="I334" t="s">
        <v>14</v>
      </c>
    </row>
    <row r="335" spans="1:9" x14ac:dyDescent="0.35">
      <c r="A335">
        <v>126</v>
      </c>
      <c r="B335">
        <v>18</v>
      </c>
      <c r="C335" t="s">
        <v>31</v>
      </c>
      <c r="D335" t="s">
        <v>32</v>
      </c>
      <c r="E335">
        <v>21</v>
      </c>
      <c r="F335">
        <v>35</v>
      </c>
      <c r="G335">
        <v>1</v>
      </c>
      <c r="H335">
        <v>40</v>
      </c>
      <c r="I335" t="s">
        <v>14</v>
      </c>
    </row>
    <row r="336" spans="1:9" x14ac:dyDescent="0.35">
      <c r="A336">
        <v>126</v>
      </c>
      <c r="B336">
        <v>18</v>
      </c>
      <c r="C336" t="s">
        <v>9</v>
      </c>
      <c r="D336" t="s">
        <v>10</v>
      </c>
      <c r="E336">
        <v>14</v>
      </c>
      <c r="F336">
        <v>24</v>
      </c>
      <c r="G336">
        <v>3</v>
      </c>
      <c r="H336">
        <v>27</v>
      </c>
      <c r="I336" t="s">
        <v>11</v>
      </c>
    </row>
    <row r="337" spans="1:9" x14ac:dyDescent="0.35">
      <c r="A337">
        <v>126</v>
      </c>
      <c r="B337">
        <v>18</v>
      </c>
      <c r="C337" t="s">
        <v>12</v>
      </c>
      <c r="D337" t="s">
        <v>13</v>
      </c>
      <c r="E337">
        <v>18</v>
      </c>
      <c r="F337">
        <v>30</v>
      </c>
      <c r="G337">
        <v>1</v>
      </c>
      <c r="H337">
        <v>53</v>
      </c>
      <c r="I337" t="s">
        <v>11</v>
      </c>
    </row>
    <row r="338" spans="1:9" x14ac:dyDescent="0.35">
      <c r="A338">
        <v>127</v>
      </c>
      <c r="B338">
        <v>6</v>
      </c>
      <c r="C338" t="s">
        <v>21</v>
      </c>
      <c r="D338" t="s">
        <v>22</v>
      </c>
      <c r="E338">
        <v>22</v>
      </c>
      <c r="F338">
        <v>36</v>
      </c>
      <c r="G338">
        <v>2</v>
      </c>
      <c r="H338">
        <v>30</v>
      </c>
      <c r="I338" t="s">
        <v>14</v>
      </c>
    </row>
    <row r="339" spans="1:9" x14ac:dyDescent="0.35">
      <c r="A339">
        <v>128</v>
      </c>
      <c r="B339">
        <v>2</v>
      </c>
      <c r="C339" t="s">
        <v>49</v>
      </c>
      <c r="D339" t="s">
        <v>50</v>
      </c>
      <c r="E339">
        <v>15</v>
      </c>
      <c r="F339">
        <v>25</v>
      </c>
      <c r="G339">
        <v>3</v>
      </c>
      <c r="H339">
        <v>53</v>
      </c>
      <c r="I339" t="s">
        <v>11</v>
      </c>
    </row>
    <row r="340" spans="1:9" x14ac:dyDescent="0.35">
      <c r="A340">
        <v>128</v>
      </c>
      <c r="B340">
        <v>2</v>
      </c>
      <c r="C340" t="s">
        <v>45</v>
      </c>
      <c r="D340" t="s">
        <v>46</v>
      </c>
      <c r="E340">
        <v>10</v>
      </c>
      <c r="F340">
        <v>18</v>
      </c>
      <c r="G340">
        <v>3</v>
      </c>
      <c r="H340">
        <v>50</v>
      </c>
      <c r="I340" t="s">
        <v>14</v>
      </c>
    </row>
    <row r="341" spans="1:9" x14ac:dyDescent="0.35">
      <c r="A341">
        <v>128</v>
      </c>
      <c r="B341">
        <v>2</v>
      </c>
      <c r="C341" t="s">
        <v>9</v>
      </c>
      <c r="D341" t="s">
        <v>10</v>
      </c>
      <c r="E341">
        <v>14</v>
      </c>
      <c r="F341">
        <v>24</v>
      </c>
      <c r="G341">
        <v>2</v>
      </c>
      <c r="H341">
        <v>35</v>
      </c>
      <c r="I341" t="s">
        <v>14</v>
      </c>
    </row>
    <row r="342" spans="1:9" x14ac:dyDescent="0.35">
      <c r="A342">
        <v>128</v>
      </c>
      <c r="B342">
        <v>2</v>
      </c>
      <c r="C342" t="s">
        <v>15</v>
      </c>
      <c r="D342" t="s">
        <v>16</v>
      </c>
      <c r="E342">
        <v>19</v>
      </c>
      <c r="F342">
        <v>31</v>
      </c>
      <c r="G342">
        <v>2</v>
      </c>
      <c r="H342">
        <v>34</v>
      </c>
      <c r="I342" t="s">
        <v>14</v>
      </c>
    </row>
    <row r="343" spans="1:9" x14ac:dyDescent="0.35">
      <c r="A343">
        <v>129</v>
      </c>
      <c r="B343">
        <v>16</v>
      </c>
      <c r="C343" t="s">
        <v>29</v>
      </c>
      <c r="D343" t="s">
        <v>30</v>
      </c>
      <c r="E343">
        <v>11</v>
      </c>
      <c r="F343">
        <v>19</v>
      </c>
      <c r="G343">
        <v>3</v>
      </c>
      <c r="H343">
        <v>6</v>
      </c>
      <c r="I343" t="s">
        <v>14</v>
      </c>
    </row>
    <row r="344" spans="1:9" x14ac:dyDescent="0.35">
      <c r="A344">
        <v>129</v>
      </c>
      <c r="B344">
        <v>16</v>
      </c>
      <c r="C344" t="s">
        <v>39</v>
      </c>
      <c r="D344" t="s">
        <v>40</v>
      </c>
      <c r="E344">
        <v>12</v>
      </c>
      <c r="F344">
        <v>20</v>
      </c>
      <c r="G344">
        <v>1</v>
      </c>
      <c r="H344">
        <v>24</v>
      </c>
      <c r="I344" t="s">
        <v>11</v>
      </c>
    </row>
    <row r="345" spans="1:9" x14ac:dyDescent="0.35">
      <c r="A345">
        <v>129</v>
      </c>
      <c r="B345">
        <v>16</v>
      </c>
      <c r="C345" t="s">
        <v>23</v>
      </c>
      <c r="D345" t="s">
        <v>24</v>
      </c>
      <c r="E345">
        <v>17</v>
      </c>
      <c r="F345">
        <v>29</v>
      </c>
      <c r="G345">
        <v>1</v>
      </c>
      <c r="H345">
        <v>50</v>
      </c>
      <c r="I345" t="s">
        <v>11</v>
      </c>
    </row>
    <row r="346" spans="1:9" x14ac:dyDescent="0.35">
      <c r="A346">
        <v>130</v>
      </c>
      <c r="B346">
        <v>10</v>
      </c>
      <c r="C346" t="s">
        <v>31</v>
      </c>
      <c r="D346" t="s">
        <v>32</v>
      </c>
      <c r="E346">
        <v>21</v>
      </c>
      <c r="F346">
        <v>35</v>
      </c>
      <c r="G346">
        <v>1</v>
      </c>
      <c r="H346">
        <v>25</v>
      </c>
      <c r="I346" t="s">
        <v>14</v>
      </c>
    </row>
    <row r="347" spans="1:9" x14ac:dyDescent="0.35">
      <c r="A347">
        <v>131</v>
      </c>
      <c r="B347">
        <v>7</v>
      </c>
      <c r="C347" t="s">
        <v>19</v>
      </c>
      <c r="D347" t="s">
        <v>20</v>
      </c>
      <c r="E347">
        <v>25</v>
      </c>
      <c r="F347">
        <v>40</v>
      </c>
      <c r="G347">
        <v>1</v>
      </c>
      <c r="H347">
        <v>43</v>
      </c>
      <c r="I347" t="s">
        <v>14</v>
      </c>
    </row>
    <row r="348" spans="1:9" x14ac:dyDescent="0.35">
      <c r="A348">
        <v>131</v>
      </c>
      <c r="B348">
        <v>7</v>
      </c>
      <c r="C348" t="s">
        <v>45</v>
      </c>
      <c r="D348" t="s">
        <v>46</v>
      </c>
      <c r="E348">
        <v>10</v>
      </c>
      <c r="F348">
        <v>18</v>
      </c>
      <c r="G348">
        <v>3</v>
      </c>
      <c r="H348">
        <v>20</v>
      </c>
      <c r="I348" t="s">
        <v>11</v>
      </c>
    </row>
    <row r="349" spans="1:9" x14ac:dyDescent="0.35">
      <c r="A349">
        <v>131</v>
      </c>
      <c r="B349">
        <v>7</v>
      </c>
      <c r="C349" t="s">
        <v>43</v>
      </c>
      <c r="D349" t="s">
        <v>44</v>
      </c>
      <c r="E349">
        <v>13</v>
      </c>
      <c r="F349">
        <v>21</v>
      </c>
      <c r="G349">
        <v>3</v>
      </c>
      <c r="H349">
        <v>57</v>
      </c>
      <c r="I349" t="s">
        <v>14</v>
      </c>
    </row>
    <row r="350" spans="1:9" x14ac:dyDescent="0.35">
      <c r="A350">
        <v>132</v>
      </c>
      <c r="B350">
        <v>9</v>
      </c>
      <c r="C350" t="s">
        <v>41</v>
      </c>
      <c r="D350" t="s">
        <v>42</v>
      </c>
      <c r="E350">
        <v>14</v>
      </c>
      <c r="F350">
        <v>23</v>
      </c>
      <c r="G350">
        <v>1</v>
      </c>
      <c r="H350">
        <v>6</v>
      </c>
      <c r="I350" t="s">
        <v>14</v>
      </c>
    </row>
    <row r="351" spans="1:9" x14ac:dyDescent="0.35">
      <c r="A351">
        <v>132</v>
      </c>
      <c r="B351">
        <v>9</v>
      </c>
      <c r="C351" t="s">
        <v>21</v>
      </c>
      <c r="D351" t="s">
        <v>22</v>
      </c>
      <c r="E351">
        <v>22</v>
      </c>
      <c r="F351">
        <v>36</v>
      </c>
      <c r="G351">
        <v>1</v>
      </c>
      <c r="H351">
        <v>18</v>
      </c>
      <c r="I351" t="s">
        <v>11</v>
      </c>
    </row>
    <row r="352" spans="1:9" x14ac:dyDescent="0.35">
      <c r="A352">
        <v>132</v>
      </c>
      <c r="B352">
        <v>9</v>
      </c>
      <c r="C352" t="s">
        <v>43</v>
      </c>
      <c r="D352" t="s">
        <v>44</v>
      </c>
      <c r="E352">
        <v>13</v>
      </c>
      <c r="F352">
        <v>21</v>
      </c>
      <c r="G352">
        <v>2</v>
      </c>
      <c r="H352">
        <v>53</v>
      </c>
      <c r="I352" t="s">
        <v>11</v>
      </c>
    </row>
    <row r="353" spans="1:9" x14ac:dyDescent="0.35">
      <c r="A353">
        <v>132</v>
      </c>
      <c r="B353">
        <v>9</v>
      </c>
      <c r="C353" t="s">
        <v>31</v>
      </c>
      <c r="D353" t="s">
        <v>32</v>
      </c>
      <c r="E353">
        <v>21</v>
      </c>
      <c r="F353">
        <v>35</v>
      </c>
      <c r="G353">
        <v>3</v>
      </c>
      <c r="H353">
        <v>25</v>
      </c>
      <c r="I353" t="s">
        <v>14</v>
      </c>
    </row>
    <row r="354" spans="1:9" x14ac:dyDescent="0.35">
      <c r="A354">
        <v>133</v>
      </c>
      <c r="B354">
        <v>20</v>
      </c>
      <c r="C354" t="s">
        <v>33</v>
      </c>
      <c r="D354" t="s">
        <v>34</v>
      </c>
      <c r="E354">
        <v>19</v>
      </c>
      <c r="F354">
        <v>32</v>
      </c>
      <c r="G354">
        <v>1</v>
      </c>
      <c r="H354">
        <v>5</v>
      </c>
      <c r="I354" t="s">
        <v>11</v>
      </c>
    </row>
    <row r="355" spans="1:9" x14ac:dyDescent="0.35">
      <c r="A355">
        <v>133</v>
      </c>
      <c r="B355">
        <v>20</v>
      </c>
      <c r="C355" t="s">
        <v>37</v>
      </c>
      <c r="D355" t="s">
        <v>38</v>
      </c>
      <c r="E355">
        <v>20</v>
      </c>
      <c r="F355">
        <v>34</v>
      </c>
      <c r="G355">
        <v>1</v>
      </c>
      <c r="H355">
        <v>45</v>
      </c>
      <c r="I355" t="s">
        <v>14</v>
      </c>
    </row>
    <row r="356" spans="1:9" x14ac:dyDescent="0.35">
      <c r="A356">
        <v>133</v>
      </c>
      <c r="B356">
        <v>20</v>
      </c>
      <c r="C356" t="s">
        <v>15</v>
      </c>
      <c r="D356" t="s">
        <v>16</v>
      </c>
      <c r="E356">
        <v>19</v>
      </c>
      <c r="F356">
        <v>31</v>
      </c>
      <c r="G356">
        <v>2</v>
      </c>
      <c r="H356">
        <v>46</v>
      </c>
      <c r="I356" t="s">
        <v>11</v>
      </c>
    </row>
    <row r="357" spans="1:9" x14ac:dyDescent="0.35">
      <c r="A357">
        <v>133</v>
      </c>
      <c r="B357">
        <v>20</v>
      </c>
      <c r="C357" t="s">
        <v>45</v>
      </c>
      <c r="D357" t="s">
        <v>46</v>
      </c>
      <c r="E357">
        <v>10</v>
      </c>
      <c r="F357">
        <v>18</v>
      </c>
      <c r="G357">
        <v>3</v>
      </c>
      <c r="H357">
        <v>11</v>
      </c>
      <c r="I357" t="s">
        <v>11</v>
      </c>
    </row>
    <row r="358" spans="1:9" x14ac:dyDescent="0.35">
      <c r="A358">
        <v>134</v>
      </c>
      <c r="B358">
        <v>3</v>
      </c>
      <c r="C358" t="s">
        <v>9</v>
      </c>
      <c r="D358" t="s">
        <v>10</v>
      </c>
      <c r="E358">
        <v>14</v>
      </c>
      <c r="F358">
        <v>24</v>
      </c>
      <c r="G358">
        <v>1</v>
      </c>
      <c r="H358">
        <v>19</v>
      </c>
      <c r="I358" t="s">
        <v>11</v>
      </c>
    </row>
    <row r="359" spans="1:9" x14ac:dyDescent="0.35">
      <c r="A359">
        <v>134</v>
      </c>
      <c r="B359">
        <v>3</v>
      </c>
      <c r="C359" t="s">
        <v>33</v>
      </c>
      <c r="D359" t="s">
        <v>34</v>
      </c>
      <c r="E359">
        <v>19</v>
      </c>
      <c r="F359">
        <v>32</v>
      </c>
      <c r="G359">
        <v>3</v>
      </c>
      <c r="H359">
        <v>29</v>
      </c>
      <c r="I359" t="s">
        <v>11</v>
      </c>
    </row>
    <row r="360" spans="1:9" x14ac:dyDescent="0.35">
      <c r="A360">
        <v>135</v>
      </c>
      <c r="B360">
        <v>11</v>
      </c>
      <c r="C360" t="s">
        <v>15</v>
      </c>
      <c r="D360" t="s">
        <v>16</v>
      </c>
      <c r="E360">
        <v>19</v>
      </c>
      <c r="F360">
        <v>31</v>
      </c>
      <c r="G360">
        <v>3</v>
      </c>
      <c r="H360">
        <v>17</v>
      </c>
      <c r="I360" t="s">
        <v>11</v>
      </c>
    </row>
    <row r="361" spans="1:9" x14ac:dyDescent="0.35">
      <c r="A361">
        <v>135</v>
      </c>
      <c r="B361">
        <v>11</v>
      </c>
      <c r="C361" t="s">
        <v>19</v>
      </c>
      <c r="D361" t="s">
        <v>20</v>
      </c>
      <c r="E361">
        <v>25</v>
      </c>
      <c r="F361">
        <v>40</v>
      </c>
      <c r="G361">
        <v>2</v>
      </c>
      <c r="H361">
        <v>42</v>
      </c>
      <c r="I361" t="s">
        <v>11</v>
      </c>
    </row>
    <row r="362" spans="1:9" x14ac:dyDescent="0.35">
      <c r="A362">
        <v>135</v>
      </c>
      <c r="B362">
        <v>11</v>
      </c>
      <c r="C362" t="s">
        <v>23</v>
      </c>
      <c r="D362" t="s">
        <v>24</v>
      </c>
      <c r="E362">
        <v>17</v>
      </c>
      <c r="F362">
        <v>29</v>
      </c>
      <c r="G362">
        <v>3</v>
      </c>
      <c r="H362">
        <v>29</v>
      </c>
      <c r="I362" t="s">
        <v>14</v>
      </c>
    </row>
    <row r="363" spans="1:9" x14ac:dyDescent="0.35">
      <c r="A363">
        <v>136</v>
      </c>
      <c r="B363">
        <v>6</v>
      </c>
      <c r="C363" t="s">
        <v>19</v>
      </c>
      <c r="D363" t="s">
        <v>20</v>
      </c>
      <c r="E363">
        <v>25</v>
      </c>
      <c r="F363">
        <v>40</v>
      </c>
      <c r="G363">
        <v>2</v>
      </c>
      <c r="H363">
        <v>13</v>
      </c>
      <c r="I363" t="s">
        <v>14</v>
      </c>
    </row>
    <row r="364" spans="1:9" x14ac:dyDescent="0.35">
      <c r="A364">
        <v>137</v>
      </c>
      <c r="B364">
        <v>13</v>
      </c>
      <c r="C364" t="s">
        <v>43</v>
      </c>
      <c r="D364" t="s">
        <v>44</v>
      </c>
      <c r="E364">
        <v>13</v>
      </c>
      <c r="F364">
        <v>21</v>
      </c>
      <c r="G364">
        <v>3</v>
      </c>
      <c r="H364">
        <v>41</v>
      </c>
      <c r="I364" t="s">
        <v>14</v>
      </c>
    </row>
    <row r="365" spans="1:9" x14ac:dyDescent="0.35">
      <c r="A365">
        <v>138</v>
      </c>
      <c r="B365">
        <v>6</v>
      </c>
      <c r="C365" t="s">
        <v>15</v>
      </c>
      <c r="D365" t="s">
        <v>16</v>
      </c>
      <c r="E365">
        <v>19</v>
      </c>
      <c r="F365">
        <v>31</v>
      </c>
      <c r="G365">
        <v>2</v>
      </c>
      <c r="H365">
        <v>40</v>
      </c>
      <c r="I365" t="s">
        <v>11</v>
      </c>
    </row>
    <row r="366" spans="1:9" x14ac:dyDescent="0.35">
      <c r="A366">
        <v>138</v>
      </c>
      <c r="B366">
        <v>6</v>
      </c>
      <c r="C366" t="s">
        <v>29</v>
      </c>
      <c r="D366" t="s">
        <v>30</v>
      </c>
      <c r="E366">
        <v>11</v>
      </c>
      <c r="F366">
        <v>19</v>
      </c>
      <c r="G366">
        <v>2</v>
      </c>
      <c r="H366">
        <v>6</v>
      </c>
      <c r="I366" t="s">
        <v>11</v>
      </c>
    </row>
    <row r="367" spans="1:9" x14ac:dyDescent="0.35">
      <c r="A367">
        <v>138</v>
      </c>
      <c r="B367">
        <v>6</v>
      </c>
      <c r="C367" t="s">
        <v>47</v>
      </c>
      <c r="D367" t="s">
        <v>48</v>
      </c>
      <c r="E367">
        <v>15</v>
      </c>
      <c r="F367">
        <v>26</v>
      </c>
      <c r="G367">
        <v>3</v>
      </c>
      <c r="H367">
        <v>7</v>
      </c>
      <c r="I367" t="s">
        <v>14</v>
      </c>
    </row>
    <row r="368" spans="1:9" x14ac:dyDescent="0.35">
      <c r="A368">
        <v>138</v>
      </c>
      <c r="B368">
        <v>6</v>
      </c>
      <c r="C368" t="s">
        <v>12</v>
      </c>
      <c r="D368" t="s">
        <v>13</v>
      </c>
      <c r="E368">
        <v>18</v>
      </c>
      <c r="F368">
        <v>30</v>
      </c>
      <c r="G368">
        <v>2</v>
      </c>
      <c r="H368">
        <v>44</v>
      </c>
      <c r="I368" t="s">
        <v>14</v>
      </c>
    </row>
    <row r="369" spans="1:9" x14ac:dyDescent="0.35">
      <c r="A369">
        <v>139</v>
      </c>
      <c r="B369">
        <v>16</v>
      </c>
      <c r="C369" t="s">
        <v>31</v>
      </c>
      <c r="D369" t="s">
        <v>32</v>
      </c>
      <c r="E369">
        <v>21</v>
      </c>
      <c r="F369">
        <v>35</v>
      </c>
      <c r="G369">
        <v>1</v>
      </c>
      <c r="H369">
        <v>26</v>
      </c>
      <c r="I369" t="s">
        <v>11</v>
      </c>
    </row>
    <row r="370" spans="1:9" x14ac:dyDescent="0.35">
      <c r="A370">
        <v>140</v>
      </c>
      <c r="B370">
        <v>11</v>
      </c>
      <c r="C370" t="s">
        <v>49</v>
      </c>
      <c r="D370" t="s">
        <v>50</v>
      </c>
      <c r="E370">
        <v>15</v>
      </c>
      <c r="F370">
        <v>25</v>
      </c>
      <c r="G370">
        <v>2</v>
      </c>
      <c r="H370">
        <v>35</v>
      </c>
      <c r="I370" t="s">
        <v>11</v>
      </c>
    </row>
    <row r="371" spans="1:9" x14ac:dyDescent="0.35">
      <c r="A371">
        <v>140</v>
      </c>
      <c r="B371">
        <v>11</v>
      </c>
      <c r="C371" t="s">
        <v>31</v>
      </c>
      <c r="D371" t="s">
        <v>32</v>
      </c>
      <c r="E371">
        <v>21</v>
      </c>
      <c r="F371">
        <v>35</v>
      </c>
      <c r="G371">
        <v>3</v>
      </c>
      <c r="H371">
        <v>35</v>
      </c>
      <c r="I371" t="s">
        <v>14</v>
      </c>
    </row>
    <row r="372" spans="1:9" x14ac:dyDescent="0.35">
      <c r="A372">
        <v>140</v>
      </c>
      <c r="B372">
        <v>11</v>
      </c>
      <c r="C372" t="s">
        <v>45</v>
      </c>
      <c r="D372" t="s">
        <v>46</v>
      </c>
      <c r="E372">
        <v>10</v>
      </c>
      <c r="F372">
        <v>18</v>
      </c>
      <c r="G372">
        <v>2</v>
      </c>
      <c r="H372">
        <v>48</v>
      </c>
      <c r="I372" t="s">
        <v>14</v>
      </c>
    </row>
    <row r="373" spans="1:9" x14ac:dyDescent="0.35">
      <c r="A373">
        <v>141</v>
      </c>
      <c r="B373">
        <v>4</v>
      </c>
      <c r="C373" t="s">
        <v>43</v>
      </c>
      <c r="D373" t="s">
        <v>44</v>
      </c>
      <c r="E373">
        <v>13</v>
      </c>
      <c r="F373">
        <v>21</v>
      </c>
      <c r="G373">
        <v>1</v>
      </c>
      <c r="H373">
        <v>28</v>
      </c>
      <c r="I373" t="s">
        <v>14</v>
      </c>
    </row>
    <row r="374" spans="1:9" x14ac:dyDescent="0.35">
      <c r="A374">
        <v>142</v>
      </c>
      <c r="B374">
        <v>14</v>
      </c>
      <c r="C374" t="s">
        <v>9</v>
      </c>
      <c r="D374" t="s">
        <v>10</v>
      </c>
      <c r="E374">
        <v>14</v>
      </c>
      <c r="F374">
        <v>24</v>
      </c>
      <c r="G374">
        <v>3</v>
      </c>
      <c r="H374">
        <v>37</v>
      </c>
      <c r="I374" t="s">
        <v>11</v>
      </c>
    </row>
    <row r="375" spans="1:9" x14ac:dyDescent="0.35">
      <c r="A375">
        <v>142</v>
      </c>
      <c r="B375">
        <v>14</v>
      </c>
      <c r="C375" t="s">
        <v>41</v>
      </c>
      <c r="D375" t="s">
        <v>42</v>
      </c>
      <c r="E375">
        <v>14</v>
      </c>
      <c r="F375">
        <v>23</v>
      </c>
      <c r="G375">
        <v>3</v>
      </c>
      <c r="H375">
        <v>11</v>
      </c>
      <c r="I375" t="s">
        <v>14</v>
      </c>
    </row>
    <row r="376" spans="1:9" x14ac:dyDescent="0.35">
      <c r="A376">
        <v>142</v>
      </c>
      <c r="B376">
        <v>14</v>
      </c>
      <c r="C376" t="s">
        <v>19</v>
      </c>
      <c r="D376" t="s">
        <v>20</v>
      </c>
      <c r="E376">
        <v>25</v>
      </c>
      <c r="F376">
        <v>40</v>
      </c>
      <c r="G376">
        <v>1</v>
      </c>
      <c r="H376">
        <v>22</v>
      </c>
      <c r="I376" t="s">
        <v>11</v>
      </c>
    </row>
    <row r="377" spans="1:9" x14ac:dyDescent="0.35">
      <c r="A377">
        <v>143</v>
      </c>
      <c r="B377">
        <v>9</v>
      </c>
      <c r="C377" t="s">
        <v>49</v>
      </c>
      <c r="D377" t="s">
        <v>50</v>
      </c>
      <c r="E377">
        <v>15</v>
      </c>
      <c r="F377">
        <v>25</v>
      </c>
      <c r="G377">
        <v>2</v>
      </c>
      <c r="H377">
        <v>16</v>
      </c>
      <c r="I377" t="s">
        <v>14</v>
      </c>
    </row>
    <row r="378" spans="1:9" x14ac:dyDescent="0.35">
      <c r="A378">
        <v>144</v>
      </c>
      <c r="B378">
        <v>18</v>
      </c>
      <c r="C378" t="s">
        <v>21</v>
      </c>
      <c r="D378" t="s">
        <v>22</v>
      </c>
      <c r="E378">
        <v>22</v>
      </c>
      <c r="F378">
        <v>36</v>
      </c>
      <c r="G378">
        <v>1</v>
      </c>
      <c r="H378">
        <v>27</v>
      </c>
      <c r="I378" t="s">
        <v>14</v>
      </c>
    </row>
    <row r="379" spans="1:9" x14ac:dyDescent="0.35">
      <c r="A379">
        <v>144</v>
      </c>
      <c r="B379">
        <v>18</v>
      </c>
      <c r="C379" t="s">
        <v>29</v>
      </c>
      <c r="D379" t="s">
        <v>30</v>
      </c>
      <c r="E379">
        <v>11</v>
      </c>
      <c r="F379">
        <v>19</v>
      </c>
      <c r="G379">
        <v>3</v>
      </c>
      <c r="H379">
        <v>51</v>
      </c>
      <c r="I379" t="s">
        <v>11</v>
      </c>
    </row>
    <row r="380" spans="1:9" x14ac:dyDescent="0.35">
      <c r="A380">
        <v>144</v>
      </c>
      <c r="B380">
        <v>18</v>
      </c>
      <c r="C380" t="s">
        <v>23</v>
      </c>
      <c r="D380" t="s">
        <v>24</v>
      </c>
      <c r="E380">
        <v>17</v>
      </c>
      <c r="F380">
        <v>29</v>
      </c>
      <c r="G380">
        <v>2</v>
      </c>
      <c r="H380">
        <v>38</v>
      </c>
      <c r="I380" t="s">
        <v>11</v>
      </c>
    </row>
    <row r="381" spans="1:9" x14ac:dyDescent="0.35">
      <c r="A381">
        <v>144</v>
      </c>
      <c r="B381">
        <v>18</v>
      </c>
      <c r="C381" t="s">
        <v>37</v>
      </c>
      <c r="D381" t="s">
        <v>38</v>
      </c>
      <c r="E381">
        <v>20</v>
      </c>
      <c r="F381">
        <v>34</v>
      </c>
      <c r="G381">
        <v>1</v>
      </c>
      <c r="H381">
        <v>34</v>
      </c>
      <c r="I381" t="s">
        <v>14</v>
      </c>
    </row>
    <row r="382" spans="1:9" x14ac:dyDescent="0.35">
      <c r="A382">
        <v>145</v>
      </c>
      <c r="B382">
        <v>2</v>
      </c>
      <c r="C382" t="s">
        <v>35</v>
      </c>
      <c r="D382" t="s">
        <v>36</v>
      </c>
      <c r="E382">
        <v>13</v>
      </c>
      <c r="F382">
        <v>22</v>
      </c>
      <c r="G382">
        <v>3</v>
      </c>
      <c r="H382">
        <v>59</v>
      </c>
      <c r="I382" t="s">
        <v>11</v>
      </c>
    </row>
    <row r="383" spans="1:9" x14ac:dyDescent="0.35">
      <c r="A383">
        <v>145</v>
      </c>
      <c r="B383">
        <v>2</v>
      </c>
      <c r="C383" t="s">
        <v>12</v>
      </c>
      <c r="D383" t="s">
        <v>13</v>
      </c>
      <c r="E383">
        <v>18</v>
      </c>
      <c r="F383">
        <v>30</v>
      </c>
      <c r="G383">
        <v>2</v>
      </c>
      <c r="H383">
        <v>47</v>
      </c>
      <c r="I383" t="s">
        <v>14</v>
      </c>
    </row>
    <row r="384" spans="1:9" x14ac:dyDescent="0.35">
      <c r="A384">
        <v>146</v>
      </c>
      <c r="B384">
        <v>8</v>
      </c>
      <c r="C384" t="s">
        <v>15</v>
      </c>
      <c r="D384" t="s">
        <v>16</v>
      </c>
      <c r="E384">
        <v>19</v>
      </c>
      <c r="F384">
        <v>31</v>
      </c>
      <c r="G384">
        <v>2</v>
      </c>
      <c r="H384">
        <v>47</v>
      </c>
      <c r="I384" t="s">
        <v>14</v>
      </c>
    </row>
    <row r="385" spans="1:9" x14ac:dyDescent="0.35">
      <c r="A385">
        <v>147</v>
      </c>
      <c r="B385">
        <v>5</v>
      </c>
      <c r="C385" t="s">
        <v>19</v>
      </c>
      <c r="D385" t="s">
        <v>20</v>
      </c>
      <c r="E385">
        <v>25</v>
      </c>
      <c r="F385">
        <v>40</v>
      </c>
      <c r="G385">
        <v>1</v>
      </c>
      <c r="H385">
        <v>13</v>
      </c>
      <c r="I385" t="s">
        <v>14</v>
      </c>
    </row>
    <row r="386" spans="1:9" x14ac:dyDescent="0.35">
      <c r="A386">
        <v>147</v>
      </c>
      <c r="B386">
        <v>5</v>
      </c>
      <c r="C386" t="s">
        <v>35</v>
      </c>
      <c r="D386" t="s">
        <v>36</v>
      </c>
      <c r="E386">
        <v>13</v>
      </c>
      <c r="F386">
        <v>22</v>
      </c>
      <c r="G386">
        <v>2</v>
      </c>
      <c r="H386">
        <v>20</v>
      </c>
      <c r="I386" t="s">
        <v>11</v>
      </c>
    </row>
    <row r="387" spans="1:9" x14ac:dyDescent="0.35">
      <c r="A387">
        <v>148</v>
      </c>
      <c r="B387">
        <v>10</v>
      </c>
      <c r="C387" t="s">
        <v>23</v>
      </c>
      <c r="D387" t="s">
        <v>24</v>
      </c>
      <c r="E387">
        <v>17</v>
      </c>
      <c r="F387">
        <v>29</v>
      </c>
      <c r="G387">
        <v>2</v>
      </c>
      <c r="H387">
        <v>31</v>
      </c>
      <c r="I387" t="s">
        <v>11</v>
      </c>
    </row>
    <row r="388" spans="1:9" x14ac:dyDescent="0.35">
      <c r="A388">
        <v>148</v>
      </c>
      <c r="B388">
        <v>10</v>
      </c>
      <c r="C388" t="s">
        <v>37</v>
      </c>
      <c r="D388" t="s">
        <v>38</v>
      </c>
      <c r="E388">
        <v>20</v>
      </c>
      <c r="F388">
        <v>34</v>
      </c>
      <c r="G388">
        <v>2</v>
      </c>
      <c r="H388">
        <v>57</v>
      </c>
      <c r="I388" t="s">
        <v>11</v>
      </c>
    </row>
    <row r="389" spans="1:9" x14ac:dyDescent="0.35">
      <c r="A389">
        <v>148</v>
      </c>
      <c r="B389">
        <v>10</v>
      </c>
      <c r="C389" t="s">
        <v>39</v>
      </c>
      <c r="D389" t="s">
        <v>40</v>
      </c>
      <c r="E389">
        <v>12</v>
      </c>
      <c r="F389">
        <v>20</v>
      </c>
      <c r="G389">
        <v>3</v>
      </c>
      <c r="H389">
        <v>46</v>
      </c>
      <c r="I389" t="s">
        <v>11</v>
      </c>
    </row>
    <row r="390" spans="1:9" x14ac:dyDescent="0.35">
      <c r="A390">
        <v>148</v>
      </c>
      <c r="B390">
        <v>10</v>
      </c>
      <c r="C390" t="s">
        <v>47</v>
      </c>
      <c r="D390" t="s">
        <v>48</v>
      </c>
      <c r="E390">
        <v>15</v>
      </c>
      <c r="F390">
        <v>26</v>
      </c>
      <c r="G390">
        <v>1</v>
      </c>
      <c r="H390">
        <v>25</v>
      </c>
      <c r="I390" t="s">
        <v>11</v>
      </c>
    </row>
    <row r="391" spans="1:9" x14ac:dyDescent="0.35">
      <c r="A391">
        <v>149</v>
      </c>
      <c r="B391">
        <v>18</v>
      </c>
      <c r="C391" t="s">
        <v>37</v>
      </c>
      <c r="D391" t="s">
        <v>38</v>
      </c>
      <c r="E391">
        <v>20</v>
      </c>
      <c r="F391">
        <v>34</v>
      </c>
      <c r="G391">
        <v>3</v>
      </c>
      <c r="H391">
        <v>28</v>
      </c>
      <c r="I391" t="s">
        <v>14</v>
      </c>
    </row>
    <row r="392" spans="1:9" x14ac:dyDescent="0.35">
      <c r="A392">
        <v>149</v>
      </c>
      <c r="B392">
        <v>18</v>
      </c>
      <c r="C392" t="s">
        <v>12</v>
      </c>
      <c r="D392" t="s">
        <v>13</v>
      </c>
      <c r="E392">
        <v>18</v>
      </c>
      <c r="F392">
        <v>30</v>
      </c>
      <c r="G392">
        <v>1</v>
      </c>
      <c r="H392">
        <v>38</v>
      </c>
      <c r="I392" t="s">
        <v>14</v>
      </c>
    </row>
    <row r="393" spans="1:9" x14ac:dyDescent="0.35">
      <c r="A393">
        <v>149</v>
      </c>
      <c r="B393">
        <v>18</v>
      </c>
      <c r="C393" t="s">
        <v>45</v>
      </c>
      <c r="D393" t="s">
        <v>46</v>
      </c>
      <c r="E393">
        <v>10</v>
      </c>
      <c r="F393">
        <v>18</v>
      </c>
      <c r="G393">
        <v>2</v>
      </c>
      <c r="H393">
        <v>25</v>
      </c>
      <c r="I393" t="s">
        <v>11</v>
      </c>
    </row>
    <row r="394" spans="1:9" x14ac:dyDescent="0.35">
      <c r="A394">
        <v>149</v>
      </c>
      <c r="B394">
        <v>18</v>
      </c>
      <c r="C394" t="s">
        <v>23</v>
      </c>
      <c r="D394" t="s">
        <v>24</v>
      </c>
      <c r="E394">
        <v>17</v>
      </c>
      <c r="F394">
        <v>29</v>
      </c>
      <c r="G394">
        <v>2</v>
      </c>
      <c r="H394">
        <v>48</v>
      </c>
      <c r="I394" t="s">
        <v>14</v>
      </c>
    </row>
    <row r="395" spans="1:9" x14ac:dyDescent="0.35">
      <c r="A395">
        <v>150</v>
      </c>
      <c r="B395">
        <v>18</v>
      </c>
      <c r="C395" t="s">
        <v>35</v>
      </c>
      <c r="D395" t="s">
        <v>36</v>
      </c>
      <c r="E395">
        <v>13</v>
      </c>
      <c r="F395">
        <v>22</v>
      </c>
      <c r="G395">
        <v>2</v>
      </c>
      <c r="H395">
        <v>19</v>
      </c>
      <c r="I395" t="s">
        <v>11</v>
      </c>
    </row>
    <row r="396" spans="1:9" x14ac:dyDescent="0.35">
      <c r="A396">
        <v>150</v>
      </c>
      <c r="B396">
        <v>18</v>
      </c>
      <c r="C396" t="s">
        <v>25</v>
      </c>
      <c r="D396" t="s">
        <v>26</v>
      </c>
      <c r="E396">
        <v>20</v>
      </c>
      <c r="F396">
        <v>33</v>
      </c>
      <c r="G396">
        <v>2</v>
      </c>
      <c r="H396">
        <v>57</v>
      </c>
      <c r="I396" t="s">
        <v>14</v>
      </c>
    </row>
    <row r="397" spans="1:9" x14ac:dyDescent="0.35">
      <c r="A397">
        <v>150</v>
      </c>
      <c r="B397">
        <v>18</v>
      </c>
      <c r="C397" t="s">
        <v>39</v>
      </c>
      <c r="D397" t="s">
        <v>40</v>
      </c>
      <c r="E397">
        <v>12</v>
      </c>
      <c r="F397">
        <v>20</v>
      </c>
      <c r="G397">
        <v>2</v>
      </c>
      <c r="H397">
        <v>30</v>
      </c>
      <c r="I397" t="s">
        <v>14</v>
      </c>
    </row>
    <row r="398" spans="1:9" x14ac:dyDescent="0.35">
      <c r="A398">
        <v>151</v>
      </c>
      <c r="B398">
        <v>6</v>
      </c>
      <c r="C398" t="s">
        <v>41</v>
      </c>
      <c r="D398" t="s">
        <v>42</v>
      </c>
      <c r="E398">
        <v>14</v>
      </c>
      <c r="F398">
        <v>23</v>
      </c>
      <c r="G398">
        <v>3</v>
      </c>
      <c r="H398">
        <v>13</v>
      </c>
      <c r="I398" t="s">
        <v>11</v>
      </c>
    </row>
    <row r="399" spans="1:9" x14ac:dyDescent="0.35">
      <c r="A399">
        <v>151</v>
      </c>
      <c r="B399">
        <v>6</v>
      </c>
      <c r="C399" t="s">
        <v>43</v>
      </c>
      <c r="D399" t="s">
        <v>44</v>
      </c>
      <c r="E399">
        <v>13</v>
      </c>
      <c r="F399">
        <v>21</v>
      </c>
      <c r="G399">
        <v>3</v>
      </c>
      <c r="H399">
        <v>6</v>
      </c>
      <c r="I399" t="s">
        <v>11</v>
      </c>
    </row>
    <row r="400" spans="1:9" x14ac:dyDescent="0.35">
      <c r="A400">
        <v>152</v>
      </c>
      <c r="B400">
        <v>5</v>
      </c>
      <c r="C400" t="s">
        <v>27</v>
      </c>
      <c r="D400" t="s">
        <v>28</v>
      </c>
      <c r="E400">
        <v>16</v>
      </c>
      <c r="F400">
        <v>28</v>
      </c>
      <c r="G400">
        <v>2</v>
      </c>
      <c r="H400">
        <v>12</v>
      </c>
      <c r="I400" t="s">
        <v>11</v>
      </c>
    </row>
    <row r="401" spans="1:9" x14ac:dyDescent="0.35">
      <c r="A401">
        <v>153</v>
      </c>
      <c r="B401">
        <v>10</v>
      </c>
      <c r="C401" t="s">
        <v>25</v>
      </c>
      <c r="D401" t="s">
        <v>26</v>
      </c>
      <c r="E401">
        <v>20</v>
      </c>
      <c r="F401">
        <v>33</v>
      </c>
      <c r="G401">
        <v>3</v>
      </c>
      <c r="H401">
        <v>10</v>
      </c>
      <c r="I401" t="s">
        <v>14</v>
      </c>
    </row>
    <row r="402" spans="1:9" x14ac:dyDescent="0.35">
      <c r="A402">
        <v>153</v>
      </c>
      <c r="B402">
        <v>10</v>
      </c>
      <c r="C402" t="s">
        <v>9</v>
      </c>
      <c r="D402" t="s">
        <v>10</v>
      </c>
      <c r="E402">
        <v>14</v>
      </c>
      <c r="F402">
        <v>24</v>
      </c>
      <c r="G402">
        <v>1</v>
      </c>
      <c r="H402">
        <v>53</v>
      </c>
      <c r="I402" t="s">
        <v>14</v>
      </c>
    </row>
    <row r="403" spans="1:9" x14ac:dyDescent="0.35">
      <c r="A403">
        <v>153</v>
      </c>
      <c r="B403">
        <v>10</v>
      </c>
      <c r="C403" t="s">
        <v>19</v>
      </c>
      <c r="D403" t="s">
        <v>20</v>
      </c>
      <c r="E403">
        <v>25</v>
      </c>
      <c r="F403">
        <v>40</v>
      </c>
      <c r="G403">
        <v>2</v>
      </c>
      <c r="H403">
        <v>26</v>
      </c>
      <c r="I403" t="s">
        <v>11</v>
      </c>
    </row>
    <row r="404" spans="1:9" x14ac:dyDescent="0.35">
      <c r="A404">
        <v>154</v>
      </c>
      <c r="B404">
        <v>11</v>
      </c>
      <c r="C404" t="s">
        <v>21</v>
      </c>
      <c r="D404" t="s">
        <v>22</v>
      </c>
      <c r="E404">
        <v>22</v>
      </c>
      <c r="F404">
        <v>36</v>
      </c>
      <c r="G404">
        <v>3</v>
      </c>
      <c r="H404">
        <v>52</v>
      </c>
      <c r="I404" t="s">
        <v>11</v>
      </c>
    </row>
    <row r="405" spans="1:9" x14ac:dyDescent="0.35">
      <c r="A405">
        <v>154</v>
      </c>
      <c r="B405">
        <v>11</v>
      </c>
      <c r="C405" t="s">
        <v>45</v>
      </c>
      <c r="D405" t="s">
        <v>46</v>
      </c>
      <c r="E405">
        <v>10</v>
      </c>
      <c r="F405">
        <v>18</v>
      </c>
      <c r="G405">
        <v>2</v>
      </c>
      <c r="H405">
        <v>30</v>
      </c>
      <c r="I405" t="s">
        <v>11</v>
      </c>
    </row>
    <row r="406" spans="1:9" x14ac:dyDescent="0.35">
      <c r="A406">
        <v>155</v>
      </c>
      <c r="B406">
        <v>7</v>
      </c>
      <c r="C406" t="s">
        <v>17</v>
      </c>
      <c r="D406" t="s">
        <v>18</v>
      </c>
      <c r="E406">
        <v>16</v>
      </c>
      <c r="F406">
        <v>27</v>
      </c>
      <c r="G406">
        <v>2</v>
      </c>
      <c r="H406">
        <v>24</v>
      </c>
      <c r="I406" t="s">
        <v>14</v>
      </c>
    </row>
    <row r="407" spans="1:9" x14ac:dyDescent="0.35">
      <c r="A407">
        <v>155</v>
      </c>
      <c r="B407">
        <v>7</v>
      </c>
      <c r="C407" t="s">
        <v>15</v>
      </c>
      <c r="D407" t="s">
        <v>16</v>
      </c>
      <c r="E407">
        <v>19</v>
      </c>
      <c r="F407">
        <v>31</v>
      </c>
      <c r="G407">
        <v>2</v>
      </c>
      <c r="H407">
        <v>43</v>
      </c>
      <c r="I407" t="s">
        <v>11</v>
      </c>
    </row>
    <row r="408" spans="1:9" x14ac:dyDescent="0.35">
      <c r="A408">
        <v>155</v>
      </c>
      <c r="B408">
        <v>7</v>
      </c>
      <c r="C408" t="s">
        <v>39</v>
      </c>
      <c r="D408" t="s">
        <v>40</v>
      </c>
      <c r="E408">
        <v>12</v>
      </c>
      <c r="F408">
        <v>20</v>
      </c>
      <c r="G408">
        <v>1</v>
      </c>
      <c r="H408">
        <v>33</v>
      </c>
      <c r="I408" t="s">
        <v>14</v>
      </c>
    </row>
    <row r="409" spans="1:9" x14ac:dyDescent="0.35">
      <c r="A409">
        <v>156</v>
      </c>
      <c r="B409">
        <v>6</v>
      </c>
      <c r="C409" t="s">
        <v>27</v>
      </c>
      <c r="D409" t="s">
        <v>28</v>
      </c>
      <c r="E409">
        <v>16</v>
      </c>
      <c r="F409">
        <v>28</v>
      </c>
      <c r="G409">
        <v>2</v>
      </c>
      <c r="H409">
        <v>6</v>
      </c>
      <c r="I409" t="s">
        <v>11</v>
      </c>
    </row>
    <row r="410" spans="1:9" x14ac:dyDescent="0.35">
      <c r="A410">
        <v>157</v>
      </c>
      <c r="B410">
        <v>13</v>
      </c>
      <c r="C410" t="s">
        <v>49</v>
      </c>
      <c r="D410" t="s">
        <v>50</v>
      </c>
      <c r="E410">
        <v>15</v>
      </c>
      <c r="F410">
        <v>25</v>
      </c>
      <c r="G410">
        <v>3</v>
      </c>
      <c r="H410">
        <v>48</v>
      </c>
      <c r="I410" t="s">
        <v>14</v>
      </c>
    </row>
    <row r="411" spans="1:9" x14ac:dyDescent="0.35">
      <c r="A411">
        <v>157</v>
      </c>
      <c r="B411">
        <v>13</v>
      </c>
      <c r="C411" t="s">
        <v>27</v>
      </c>
      <c r="D411" t="s">
        <v>28</v>
      </c>
      <c r="E411">
        <v>16</v>
      </c>
      <c r="F411">
        <v>28</v>
      </c>
      <c r="G411">
        <v>1</v>
      </c>
      <c r="H411">
        <v>54</v>
      </c>
      <c r="I411" t="s">
        <v>14</v>
      </c>
    </row>
    <row r="412" spans="1:9" x14ac:dyDescent="0.35">
      <c r="A412">
        <v>157</v>
      </c>
      <c r="B412">
        <v>13</v>
      </c>
      <c r="C412" t="s">
        <v>12</v>
      </c>
      <c r="D412" t="s">
        <v>13</v>
      </c>
      <c r="E412">
        <v>18</v>
      </c>
      <c r="F412">
        <v>30</v>
      </c>
      <c r="G412">
        <v>2</v>
      </c>
      <c r="H412">
        <v>27</v>
      </c>
      <c r="I412" t="s">
        <v>11</v>
      </c>
    </row>
    <row r="413" spans="1:9" x14ac:dyDescent="0.35">
      <c r="A413">
        <v>157</v>
      </c>
      <c r="B413">
        <v>13</v>
      </c>
      <c r="C413" t="s">
        <v>21</v>
      </c>
      <c r="D413" t="s">
        <v>22</v>
      </c>
      <c r="E413">
        <v>22</v>
      </c>
      <c r="F413">
        <v>36</v>
      </c>
      <c r="G413">
        <v>3</v>
      </c>
      <c r="H413">
        <v>21</v>
      </c>
      <c r="I413" t="s">
        <v>11</v>
      </c>
    </row>
    <row r="414" spans="1:9" x14ac:dyDescent="0.35">
      <c r="A414">
        <v>158</v>
      </c>
      <c r="B414">
        <v>5</v>
      </c>
      <c r="C414" t="s">
        <v>29</v>
      </c>
      <c r="D414" t="s">
        <v>30</v>
      </c>
      <c r="E414">
        <v>11</v>
      </c>
      <c r="F414">
        <v>19</v>
      </c>
      <c r="G414">
        <v>1</v>
      </c>
      <c r="H414">
        <v>57</v>
      </c>
      <c r="I414" t="s">
        <v>11</v>
      </c>
    </row>
    <row r="415" spans="1:9" x14ac:dyDescent="0.35">
      <c r="A415">
        <v>158</v>
      </c>
      <c r="B415">
        <v>5</v>
      </c>
      <c r="C415" t="s">
        <v>47</v>
      </c>
      <c r="D415" t="s">
        <v>48</v>
      </c>
      <c r="E415">
        <v>15</v>
      </c>
      <c r="F415">
        <v>26</v>
      </c>
      <c r="G415">
        <v>3</v>
      </c>
      <c r="H415">
        <v>55</v>
      </c>
      <c r="I415" t="s">
        <v>11</v>
      </c>
    </row>
    <row r="416" spans="1:9" x14ac:dyDescent="0.35">
      <c r="A416">
        <v>158</v>
      </c>
      <c r="B416">
        <v>5</v>
      </c>
      <c r="C416" t="s">
        <v>21</v>
      </c>
      <c r="D416" t="s">
        <v>22</v>
      </c>
      <c r="E416">
        <v>22</v>
      </c>
      <c r="F416">
        <v>36</v>
      </c>
      <c r="G416">
        <v>3</v>
      </c>
      <c r="H416">
        <v>7</v>
      </c>
      <c r="I416" t="s">
        <v>11</v>
      </c>
    </row>
    <row r="417" spans="1:9" x14ac:dyDescent="0.35">
      <c r="A417">
        <v>158</v>
      </c>
      <c r="B417">
        <v>5</v>
      </c>
      <c r="C417" t="s">
        <v>31</v>
      </c>
      <c r="D417" t="s">
        <v>32</v>
      </c>
      <c r="E417">
        <v>21</v>
      </c>
      <c r="F417">
        <v>35</v>
      </c>
      <c r="G417">
        <v>3</v>
      </c>
      <c r="H417">
        <v>16</v>
      </c>
      <c r="I417" t="s">
        <v>14</v>
      </c>
    </row>
    <row r="418" spans="1:9" x14ac:dyDescent="0.35">
      <c r="A418">
        <v>159</v>
      </c>
      <c r="B418">
        <v>16</v>
      </c>
      <c r="C418" t="s">
        <v>23</v>
      </c>
      <c r="D418" t="s">
        <v>24</v>
      </c>
      <c r="E418">
        <v>17</v>
      </c>
      <c r="F418">
        <v>29</v>
      </c>
      <c r="G418">
        <v>3</v>
      </c>
      <c r="H418">
        <v>23</v>
      </c>
      <c r="I418" t="s">
        <v>14</v>
      </c>
    </row>
    <row r="419" spans="1:9" x14ac:dyDescent="0.35">
      <c r="A419">
        <v>159</v>
      </c>
      <c r="B419">
        <v>16</v>
      </c>
      <c r="C419" t="s">
        <v>15</v>
      </c>
      <c r="D419" t="s">
        <v>16</v>
      </c>
      <c r="E419">
        <v>19</v>
      </c>
      <c r="F419">
        <v>31</v>
      </c>
      <c r="G419">
        <v>1</v>
      </c>
      <c r="H419">
        <v>5</v>
      </c>
      <c r="I419" t="s">
        <v>11</v>
      </c>
    </row>
    <row r="420" spans="1:9" x14ac:dyDescent="0.35">
      <c r="A420">
        <v>159</v>
      </c>
      <c r="B420">
        <v>16</v>
      </c>
      <c r="C420" t="s">
        <v>45</v>
      </c>
      <c r="D420" t="s">
        <v>46</v>
      </c>
      <c r="E420">
        <v>10</v>
      </c>
      <c r="F420">
        <v>18</v>
      </c>
      <c r="G420">
        <v>2</v>
      </c>
      <c r="H420">
        <v>6</v>
      </c>
      <c r="I420" t="s">
        <v>11</v>
      </c>
    </row>
    <row r="421" spans="1:9" x14ac:dyDescent="0.35">
      <c r="A421">
        <v>159</v>
      </c>
      <c r="B421">
        <v>16</v>
      </c>
      <c r="C421" t="s">
        <v>25</v>
      </c>
      <c r="D421" t="s">
        <v>26</v>
      </c>
      <c r="E421">
        <v>20</v>
      </c>
      <c r="F421">
        <v>33</v>
      </c>
      <c r="G421">
        <v>3</v>
      </c>
      <c r="H421">
        <v>40</v>
      </c>
      <c r="I421" t="s">
        <v>11</v>
      </c>
    </row>
    <row r="422" spans="1:9" x14ac:dyDescent="0.35">
      <c r="A422">
        <v>160</v>
      </c>
      <c r="B422">
        <v>19</v>
      </c>
      <c r="C422" t="s">
        <v>21</v>
      </c>
      <c r="D422" t="s">
        <v>22</v>
      </c>
      <c r="E422">
        <v>22</v>
      </c>
      <c r="F422">
        <v>36</v>
      </c>
      <c r="G422">
        <v>3</v>
      </c>
      <c r="H422">
        <v>20</v>
      </c>
      <c r="I422" t="s">
        <v>11</v>
      </c>
    </row>
    <row r="423" spans="1:9" x14ac:dyDescent="0.35">
      <c r="A423">
        <v>160</v>
      </c>
      <c r="B423">
        <v>19</v>
      </c>
      <c r="C423" t="s">
        <v>9</v>
      </c>
      <c r="D423" t="s">
        <v>10</v>
      </c>
      <c r="E423">
        <v>14</v>
      </c>
      <c r="F423">
        <v>24</v>
      </c>
      <c r="G423">
        <v>2</v>
      </c>
      <c r="H423">
        <v>47</v>
      </c>
      <c r="I423" t="s">
        <v>11</v>
      </c>
    </row>
    <row r="424" spans="1:9" x14ac:dyDescent="0.35">
      <c r="A424">
        <v>161</v>
      </c>
      <c r="B424">
        <v>13</v>
      </c>
      <c r="C424" t="s">
        <v>27</v>
      </c>
      <c r="D424" t="s">
        <v>28</v>
      </c>
      <c r="E424">
        <v>16</v>
      </c>
      <c r="F424">
        <v>28</v>
      </c>
      <c r="G424">
        <v>3</v>
      </c>
      <c r="H424">
        <v>57</v>
      </c>
      <c r="I424" t="s">
        <v>11</v>
      </c>
    </row>
    <row r="425" spans="1:9" x14ac:dyDescent="0.35">
      <c r="A425">
        <v>162</v>
      </c>
      <c r="B425">
        <v>14</v>
      </c>
      <c r="C425" t="s">
        <v>9</v>
      </c>
      <c r="D425" t="s">
        <v>10</v>
      </c>
      <c r="E425">
        <v>14</v>
      </c>
      <c r="F425">
        <v>24</v>
      </c>
      <c r="G425">
        <v>3</v>
      </c>
      <c r="H425">
        <v>25</v>
      </c>
      <c r="I425" t="s">
        <v>11</v>
      </c>
    </row>
    <row r="426" spans="1:9" x14ac:dyDescent="0.35">
      <c r="A426">
        <v>163</v>
      </c>
      <c r="B426">
        <v>6</v>
      </c>
      <c r="C426" t="s">
        <v>15</v>
      </c>
      <c r="D426" t="s">
        <v>16</v>
      </c>
      <c r="E426">
        <v>19</v>
      </c>
      <c r="F426">
        <v>31</v>
      </c>
      <c r="G426">
        <v>3</v>
      </c>
      <c r="H426">
        <v>8</v>
      </c>
      <c r="I426" t="s">
        <v>14</v>
      </c>
    </row>
    <row r="427" spans="1:9" x14ac:dyDescent="0.35">
      <c r="A427">
        <v>163</v>
      </c>
      <c r="B427">
        <v>6</v>
      </c>
      <c r="C427" t="s">
        <v>12</v>
      </c>
      <c r="D427" t="s">
        <v>13</v>
      </c>
      <c r="E427">
        <v>18</v>
      </c>
      <c r="F427">
        <v>30</v>
      </c>
      <c r="G427">
        <v>3</v>
      </c>
      <c r="H427">
        <v>16</v>
      </c>
      <c r="I427" t="s">
        <v>14</v>
      </c>
    </row>
    <row r="428" spans="1:9" x14ac:dyDescent="0.35">
      <c r="A428">
        <v>163</v>
      </c>
      <c r="B428">
        <v>6</v>
      </c>
      <c r="C428" t="s">
        <v>25</v>
      </c>
      <c r="D428" t="s">
        <v>26</v>
      </c>
      <c r="E428">
        <v>20</v>
      </c>
      <c r="F428">
        <v>33</v>
      </c>
      <c r="G428">
        <v>2</v>
      </c>
      <c r="H428">
        <v>40</v>
      </c>
      <c r="I428" t="s">
        <v>14</v>
      </c>
    </row>
    <row r="429" spans="1:9" x14ac:dyDescent="0.35">
      <c r="A429">
        <v>163</v>
      </c>
      <c r="B429">
        <v>6</v>
      </c>
      <c r="C429" t="s">
        <v>35</v>
      </c>
      <c r="D429" t="s">
        <v>36</v>
      </c>
      <c r="E429">
        <v>13</v>
      </c>
      <c r="F429">
        <v>22</v>
      </c>
      <c r="G429">
        <v>1</v>
      </c>
      <c r="H429">
        <v>7</v>
      </c>
      <c r="I429" t="s">
        <v>11</v>
      </c>
    </row>
    <row r="430" spans="1:9" x14ac:dyDescent="0.35">
      <c r="A430">
        <v>164</v>
      </c>
      <c r="B430">
        <v>8</v>
      </c>
      <c r="C430" t="s">
        <v>35</v>
      </c>
      <c r="D430" t="s">
        <v>36</v>
      </c>
      <c r="E430">
        <v>13</v>
      </c>
      <c r="F430">
        <v>22</v>
      </c>
      <c r="G430">
        <v>1</v>
      </c>
      <c r="H430">
        <v>43</v>
      </c>
      <c r="I430" t="s">
        <v>14</v>
      </c>
    </row>
    <row r="431" spans="1:9" x14ac:dyDescent="0.35">
      <c r="A431">
        <v>164</v>
      </c>
      <c r="B431">
        <v>8</v>
      </c>
      <c r="C431" t="s">
        <v>21</v>
      </c>
      <c r="D431" t="s">
        <v>22</v>
      </c>
      <c r="E431">
        <v>22</v>
      </c>
      <c r="F431">
        <v>36</v>
      </c>
      <c r="G431">
        <v>1</v>
      </c>
      <c r="H431">
        <v>7</v>
      </c>
      <c r="I431" t="s">
        <v>11</v>
      </c>
    </row>
    <row r="432" spans="1:9" x14ac:dyDescent="0.35">
      <c r="A432">
        <v>164</v>
      </c>
      <c r="B432">
        <v>8</v>
      </c>
      <c r="C432" t="s">
        <v>33</v>
      </c>
      <c r="D432" t="s">
        <v>34</v>
      </c>
      <c r="E432">
        <v>19</v>
      </c>
      <c r="F432">
        <v>32</v>
      </c>
      <c r="G432">
        <v>2</v>
      </c>
      <c r="H432">
        <v>20</v>
      </c>
      <c r="I432" t="s">
        <v>11</v>
      </c>
    </row>
    <row r="433" spans="1:9" x14ac:dyDescent="0.35">
      <c r="A433">
        <v>164</v>
      </c>
      <c r="B433">
        <v>8</v>
      </c>
      <c r="C433" t="s">
        <v>9</v>
      </c>
      <c r="D433" t="s">
        <v>10</v>
      </c>
      <c r="E433">
        <v>14</v>
      </c>
      <c r="F433">
        <v>24</v>
      </c>
      <c r="G433">
        <v>2</v>
      </c>
      <c r="H433">
        <v>35</v>
      </c>
      <c r="I433" t="s">
        <v>11</v>
      </c>
    </row>
    <row r="434" spans="1:9" x14ac:dyDescent="0.35">
      <c r="A434">
        <v>165</v>
      </c>
      <c r="B434">
        <v>10</v>
      </c>
      <c r="C434" t="s">
        <v>9</v>
      </c>
      <c r="D434" t="s">
        <v>10</v>
      </c>
      <c r="E434">
        <v>14</v>
      </c>
      <c r="F434">
        <v>24</v>
      </c>
      <c r="G434">
        <v>2</v>
      </c>
      <c r="H434">
        <v>15</v>
      </c>
      <c r="I434" t="s">
        <v>14</v>
      </c>
    </row>
    <row r="435" spans="1:9" x14ac:dyDescent="0.35">
      <c r="A435">
        <v>165</v>
      </c>
      <c r="B435">
        <v>10</v>
      </c>
      <c r="C435" t="s">
        <v>43</v>
      </c>
      <c r="D435" t="s">
        <v>44</v>
      </c>
      <c r="E435">
        <v>13</v>
      </c>
      <c r="F435">
        <v>21</v>
      </c>
      <c r="G435">
        <v>2</v>
      </c>
      <c r="H435">
        <v>41</v>
      </c>
      <c r="I435" t="s">
        <v>11</v>
      </c>
    </row>
    <row r="436" spans="1:9" x14ac:dyDescent="0.35">
      <c r="A436">
        <v>166</v>
      </c>
      <c r="B436">
        <v>12</v>
      </c>
      <c r="C436" t="s">
        <v>41</v>
      </c>
      <c r="D436" t="s">
        <v>42</v>
      </c>
      <c r="E436">
        <v>14</v>
      </c>
      <c r="F436">
        <v>23</v>
      </c>
      <c r="G436">
        <v>2</v>
      </c>
      <c r="H436">
        <v>22</v>
      </c>
      <c r="I436" t="s">
        <v>14</v>
      </c>
    </row>
    <row r="437" spans="1:9" x14ac:dyDescent="0.35">
      <c r="A437">
        <v>167</v>
      </c>
      <c r="B437">
        <v>5</v>
      </c>
      <c r="C437" t="s">
        <v>29</v>
      </c>
      <c r="D437" t="s">
        <v>30</v>
      </c>
      <c r="E437">
        <v>11</v>
      </c>
      <c r="F437">
        <v>19</v>
      </c>
      <c r="G437">
        <v>1</v>
      </c>
      <c r="H437">
        <v>29</v>
      </c>
      <c r="I437" t="s">
        <v>11</v>
      </c>
    </row>
    <row r="438" spans="1:9" x14ac:dyDescent="0.35">
      <c r="A438">
        <v>167</v>
      </c>
      <c r="B438">
        <v>5</v>
      </c>
      <c r="C438" t="s">
        <v>37</v>
      </c>
      <c r="D438" t="s">
        <v>38</v>
      </c>
      <c r="E438">
        <v>20</v>
      </c>
      <c r="F438">
        <v>34</v>
      </c>
      <c r="G438">
        <v>3</v>
      </c>
      <c r="H438">
        <v>11</v>
      </c>
      <c r="I438" t="s">
        <v>11</v>
      </c>
    </row>
    <row r="439" spans="1:9" x14ac:dyDescent="0.35">
      <c r="A439">
        <v>167</v>
      </c>
      <c r="B439">
        <v>5</v>
      </c>
      <c r="C439" t="s">
        <v>15</v>
      </c>
      <c r="D439" t="s">
        <v>16</v>
      </c>
      <c r="E439">
        <v>19</v>
      </c>
      <c r="F439">
        <v>31</v>
      </c>
      <c r="G439">
        <v>1</v>
      </c>
      <c r="H439">
        <v>36</v>
      </c>
      <c r="I439" t="s">
        <v>14</v>
      </c>
    </row>
    <row r="440" spans="1:9" x14ac:dyDescent="0.35">
      <c r="A440">
        <v>168</v>
      </c>
      <c r="B440">
        <v>17</v>
      </c>
      <c r="C440" t="s">
        <v>35</v>
      </c>
      <c r="D440" t="s">
        <v>36</v>
      </c>
      <c r="E440">
        <v>13</v>
      </c>
      <c r="F440">
        <v>22</v>
      </c>
      <c r="G440">
        <v>2</v>
      </c>
      <c r="H440">
        <v>7</v>
      </c>
      <c r="I440" t="s">
        <v>14</v>
      </c>
    </row>
    <row r="441" spans="1:9" x14ac:dyDescent="0.35">
      <c r="A441">
        <v>169</v>
      </c>
      <c r="B441">
        <v>19</v>
      </c>
      <c r="C441" t="s">
        <v>43</v>
      </c>
      <c r="D441" t="s">
        <v>44</v>
      </c>
      <c r="E441">
        <v>13</v>
      </c>
      <c r="F441">
        <v>21</v>
      </c>
      <c r="G441">
        <v>2</v>
      </c>
      <c r="H441">
        <v>44</v>
      </c>
      <c r="I441" t="s">
        <v>14</v>
      </c>
    </row>
    <row r="442" spans="1:9" x14ac:dyDescent="0.35">
      <c r="A442">
        <v>169</v>
      </c>
      <c r="B442">
        <v>19</v>
      </c>
      <c r="C442" t="s">
        <v>37</v>
      </c>
      <c r="D442" t="s">
        <v>38</v>
      </c>
      <c r="E442">
        <v>20</v>
      </c>
      <c r="F442">
        <v>34</v>
      </c>
      <c r="G442">
        <v>2</v>
      </c>
      <c r="H442">
        <v>59</v>
      </c>
      <c r="I442" t="s">
        <v>14</v>
      </c>
    </row>
    <row r="443" spans="1:9" x14ac:dyDescent="0.35">
      <c r="A443">
        <v>169</v>
      </c>
      <c r="B443">
        <v>19</v>
      </c>
      <c r="C443" t="s">
        <v>35</v>
      </c>
      <c r="D443" t="s">
        <v>36</v>
      </c>
      <c r="E443">
        <v>13</v>
      </c>
      <c r="F443">
        <v>22</v>
      </c>
      <c r="G443">
        <v>2</v>
      </c>
      <c r="H443">
        <v>7</v>
      </c>
      <c r="I443" t="s">
        <v>11</v>
      </c>
    </row>
    <row r="444" spans="1:9" x14ac:dyDescent="0.35">
      <c r="A444">
        <v>170</v>
      </c>
      <c r="B444">
        <v>12</v>
      </c>
      <c r="C444" t="s">
        <v>39</v>
      </c>
      <c r="D444" t="s">
        <v>40</v>
      </c>
      <c r="E444">
        <v>12</v>
      </c>
      <c r="F444">
        <v>20</v>
      </c>
      <c r="G444">
        <v>3</v>
      </c>
      <c r="H444">
        <v>16</v>
      </c>
      <c r="I444" t="s">
        <v>11</v>
      </c>
    </row>
    <row r="445" spans="1:9" x14ac:dyDescent="0.35">
      <c r="A445">
        <v>170</v>
      </c>
      <c r="B445">
        <v>12</v>
      </c>
      <c r="C445" t="s">
        <v>23</v>
      </c>
      <c r="D445" t="s">
        <v>24</v>
      </c>
      <c r="E445">
        <v>17</v>
      </c>
      <c r="F445">
        <v>29</v>
      </c>
      <c r="G445">
        <v>3</v>
      </c>
      <c r="H445">
        <v>16</v>
      </c>
      <c r="I445" t="s">
        <v>11</v>
      </c>
    </row>
    <row r="446" spans="1:9" x14ac:dyDescent="0.35">
      <c r="A446">
        <v>170</v>
      </c>
      <c r="B446">
        <v>12</v>
      </c>
      <c r="C446" t="s">
        <v>21</v>
      </c>
      <c r="D446" t="s">
        <v>22</v>
      </c>
      <c r="E446">
        <v>22</v>
      </c>
      <c r="F446">
        <v>36</v>
      </c>
      <c r="G446">
        <v>1</v>
      </c>
      <c r="H446">
        <v>33</v>
      </c>
      <c r="I446" t="s">
        <v>14</v>
      </c>
    </row>
    <row r="447" spans="1:9" x14ac:dyDescent="0.35">
      <c r="A447">
        <v>170</v>
      </c>
      <c r="B447">
        <v>12</v>
      </c>
      <c r="C447" t="s">
        <v>12</v>
      </c>
      <c r="D447" t="s">
        <v>13</v>
      </c>
      <c r="E447">
        <v>18</v>
      </c>
      <c r="F447">
        <v>30</v>
      </c>
      <c r="G447">
        <v>2</v>
      </c>
      <c r="H447">
        <v>8</v>
      </c>
      <c r="I447" t="s">
        <v>14</v>
      </c>
    </row>
    <row r="448" spans="1:9" x14ac:dyDescent="0.35">
      <c r="A448">
        <v>171</v>
      </c>
      <c r="B448">
        <v>16</v>
      </c>
      <c r="C448" t="s">
        <v>47</v>
      </c>
      <c r="D448" t="s">
        <v>48</v>
      </c>
      <c r="E448">
        <v>15</v>
      </c>
      <c r="F448">
        <v>26</v>
      </c>
      <c r="G448">
        <v>2</v>
      </c>
      <c r="H448">
        <v>29</v>
      </c>
      <c r="I448" t="s">
        <v>11</v>
      </c>
    </row>
    <row r="449" spans="1:9" x14ac:dyDescent="0.35">
      <c r="A449">
        <v>171</v>
      </c>
      <c r="B449">
        <v>16</v>
      </c>
      <c r="C449" t="s">
        <v>23</v>
      </c>
      <c r="D449" t="s">
        <v>24</v>
      </c>
      <c r="E449">
        <v>17</v>
      </c>
      <c r="F449">
        <v>29</v>
      </c>
      <c r="G449">
        <v>3</v>
      </c>
      <c r="H449">
        <v>22</v>
      </c>
      <c r="I449" t="s">
        <v>14</v>
      </c>
    </row>
    <row r="450" spans="1:9" x14ac:dyDescent="0.35">
      <c r="A450">
        <v>172</v>
      </c>
      <c r="B450">
        <v>12</v>
      </c>
      <c r="C450" t="s">
        <v>37</v>
      </c>
      <c r="D450" t="s">
        <v>38</v>
      </c>
      <c r="E450">
        <v>20</v>
      </c>
      <c r="F450">
        <v>34</v>
      </c>
      <c r="G450">
        <v>2</v>
      </c>
      <c r="H450">
        <v>27</v>
      </c>
      <c r="I450" t="s">
        <v>14</v>
      </c>
    </row>
    <row r="451" spans="1:9" x14ac:dyDescent="0.35">
      <c r="A451">
        <v>173</v>
      </c>
      <c r="B451">
        <v>11</v>
      </c>
      <c r="C451" t="s">
        <v>17</v>
      </c>
      <c r="D451" t="s">
        <v>18</v>
      </c>
      <c r="E451">
        <v>16</v>
      </c>
      <c r="F451">
        <v>27</v>
      </c>
      <c r="G451">
        <v>3</v>
      </c>
      <c r="H451">
        <v>15</v>
      </c>
      <c r="I451" t="s">
        <v>14</v>
      </c>
    </row>
    <row r="452" spans="1:9" x14ac:dyDescent="0.35">
      <c r="A452">
        <v>173</v>
      </c>
      <c r="B452">
        <v>11</v>
      </c>
      <c r="C452" t="s">
        <v>33</v>
      </c>
      <c r="D452" t="s">
        <v>34</v>
      </c>
      <c r="E452">
        <v>19</v>
      </c>
      <c r="F452">
        <v>32</v>
      </c>
      <c r="G452">
        <v>3</v>
      </c>
      <c r="H452">
        <v>52</v>
      </c>
      <c r="I452" t="s">
        <v>14</v>
      </c>
    </row>
    <row r="453" spans="1:9" x14ac:dyDescent="0.35">
      <c r="A453">
        <v>174</v>
      </c>
      <c r="B453">
        <v>10</v>
      </c>
      <c r="C453" t="s">
        <v>12</v>
      </c>
      <c r="D453" t="s">
        <v>13</v>
      </c>
      <c r="E453">
        <v>18</v>
      </c>
      <c r="F453">
        <v>30</v>
      </c>
      <c r="G453">
        <v>2</v>
      </c>
      <c r="H453">
        <v>12</v>
      </c>
      <c r="I453" t="s">
        <v>14</v>
      </c>
    </row>
    <row r="454" spans="1:9" x14ac:dyDescent="0.35">
      <c r="A454">
        <v>175</v>
      </c>
      <c r="B454">
        <v>14</v>
      </c>
      <c r="C454" t="s">
        <v>33</v>
      </c>
      <c r="D454" t="s">
        <v>34</v>
      </c>
      <c r="E454">
        <v>19</v>
      </c>
      <c r="F454">
        <v>32</v>
      </c>
      <c r="G454">
        <v>3</v>
      </c>
      <c r="H454">
        <v>9</v>
      </c>
      <c r="I454" t="s">
        <v>14</v>
      </c>
    </row>
    <row r="455" spans="1:9" x14ac:dyDescent="0.35">
      <c r="A455">
        <v>175</v>
      </c>
      <c r="B455">
        <v>14</v>
      </c>
      <c r="C455" t="s">
        <v>9</v>
      </c>
      <c r="D455" t="s">
        <v>10</v>
      </c>
      <c r="E455">
        <v>14</v>
      </c>
      <c r="F455">
        <v>24</v>
      </c>
      <c r="G455">
        <v>2</v>
      </c>
      <c r="H455">
        <v>38</v>
      </c>
      <c r="I455" t="s">
        <v>11</v>
      </c>
    </row>
    <row r="456" spans="1:9" x14ac:dyDescent="0.35">
      <c r="A456">
        <v>176</v>
      </c>
      <c r="B456">
        <v>20</v>
      </c>
      <c r="C456" t="s">
        <v>43</v>
      </c>
      <c r="D456" t="s">
        <v>44</v>
      </c>
      <c r="E456">
        <v>13</v>
      </c>
      <c r="F456">
        <v>21</v>
      </c>
      <c r="G456">
        <v>3</v>
      </c>
      <c r="H456">
        <v>48</v>
      </c>
      <c r="I456" t="s">
        <v>14</v>
      </c>
    </row>
    <row r="457" spans="1:9" x14ac:dyDescent="0.35">
      <c r="A457">
        <v>177</v>
      </c>
      <c r="B457">
        <v>4</v>
      </c>
      <c r="C457" t="s">
        <v>9</v>
      </c>
      <c r="D457" t="s">
        <v>10</v>
      </c>
      <c r="E457">
        <v>14</v>
      </c>
      <c r="F457">
        <v>24</v>
      </c>
      <c r="G457">
        <v>2</v>
      </c>
      <c r="H457">
        <v>10</v>
      </c>
      <c r="I457" t="s">
        <v>14</v>
      </c>
    </row>
    <row r="458" spans="1:9" x14ac:dyDescent="0.35">
      <c r="A458">
        <v>177</v>
      </c>
      <c r="B458">
        <v>4</v>
      </c>
      <c r="C458" t="s">
        <v>47</v>
      </c>
      <c r="D458" t="s">
        <v>48</v>
      </c>
      <c r="E458">
        <v>15</v>
      </c>
      <c r="F458">
        <v>26</v>
      </c>
      <c r="G458">
        <v>1</v>
      </c>
      <c r="H458">
        <v>40</v>
      </c>
      <c r="I458" t="s">
        <v>11</v>
      </c>
    </row>
    <row r="459" spans="1:9" x14ac:dyDescent="0.35">
      <c r="A459">
        <v>177</v>
      </c>
      <c r="B459">
        <v>4</v>
      </c>
      <c r="C459" t="s">
        <v>43</v>
      </c>
      <c r="D459" t="s">
        <v>44</v>
      </c>
      <c r="E459">
        <v>13</v>
      </c>
      <c r="F459">
        <v>21</v>
      </c>
      <c r="G459">
        <v>2</v>
      </c>
      <c r="H459">
        <v>45</v>
      </c>
      <c r="I459" t="s">
        <v>14</v>
      </c>
    </row>
    <row r="460" spans="1:9" x14ac:dyDescent="0.35">
      <c r="A460">
        <v>177</v>
      </c>
      <c r="B460">
        <v>4</v>
      </c>
      <c r="C460" t="s">
        <v>29</v>
      </c>
      <c r="D460" t="s">
        <v>30</v>
      </c>
      <c r="E460">
        <v>11</v>
      </c>
      <c r="F460">
        <v>19</v>
      </c>
      <c r="G460">
        <v>3</v>
      </c>
      <c r="H460">
        <v>47</v>
      </c>
      <c r="I460" t="s">
        <v>11</v>
      </c>
    </row>
    <row r="461" spans="1:9" x14ac:dyDescent="0.35">
      <c r="A461">
        <v>178</v>
      </c>
      <c r="B461">
        <v>11</v>
      </c>
      <c r="C461" t="s">
        <v>12</v>
      </c>
      <c r="D461" t="s">
        <v>13</v>
      </c>
      <c r="E461">
        <v>18</v>
      </c>
      <c r="F461">
        <v>30</v>
      </c>
      <c r="G461">
        <v>1</v>
      </c>
      <c r="H461">
        <v>55</v>
      </c>
      <c r="I461" t="s">
        <v>14</v>
      </c>
    </row>
    <row r="462" spans="1:9" x14ac:dyDescent="0.35">
      <c r="A462">
        <v>178</v>
      </c>
      <c r="B462">
        <v>11</v>
      </c>
      <c r="C462" t="s">
        <v>31</v>
      </c>
      <c r="D462" t="s">
        <v>32</v>
      </c>
      <c r="E462">
        <v>21</v>
      </c>
      <c r="F462">
        <v>35</v>
      </c>
      <c r="G462">
        <v>1</v>
      </c>
      <c r="H462">
        <v>16</v>
      </c>
      <c r="I462" t="s">
        <v>14</v>
      </c>
    </row>
    <row r="463" spans="1:9" x14ac:dyDescent="0.35">
      <c r="A463">
        <v>178</v>
      </c>
      <c r="B463">
        <v>11</v>
      </c>
      <c r="C463" t="s">
        <v>35</v>
      </c>
      <c r="D463" t="s">
        <v>36</v>
      </c>
      <c r="E463">
        <v>13</v>
      </c>
      <c r="F463">
        <v>22</v>
      </c>
      <c r="G463">
        <v>2</v>
      </c>
      <c r="H463">
        <v>20</v>
      </c>
      <c r="I463" t="s">
        <v>11</v>
      </c>
    </row>
    <row r="464" spans="1:9" x14ac:dyDescent="0.35">
      <c r="A464">
        <v>178</v>
      </c>
      <c r="B464">
        <v>11</v>
      </c>
      <c r="C464" t="s">
        <v>25</v>
      </c>
      <c r="D464" t="s">
        <v>26</v>
      </c>
      <c r="E464">
        <v>20</v>
      </c>
      <c r="F464">
        <v>33</v>
      </c>
      <c r="G464">
        <v>3</v>
      </c>
      <c r="H464">
        <v>55</v>
      </c>
      <c r="I464" t="s">
        <v>11</v>
      </c>
    </row>
    <row r="465" spans="1:9" x14ac:dyDescent="0.35">
      <c r="A465">
        <v>179</v>
      </c>
      <c r="B465">
        <v>12</v>
      </c>
      <c r="C465" t="s">
        <v>15</v>
      </c>
      <c r="D465" t="s">
        <v>16</v>
      </c>
      <c r="E465">
        <v>19</v>
      </c>
      <c r="F465">
        <v>31</v>
      </c>
      <c r="G465">
        <v>2</v>
      </c>
      <c r="H465">
        <v>26</v>
      </c>
      <c r="I465" t="s">
        <v>11</v>
      </c>
    </row>
    <row r="466" spans="1:9" x14ac:dyDescent="0.35">
      <c r="A466">
        <v>180</v>
      </c>
      <c r="B466">
        <v>10</v>
      </c>
      <c r="C466" t="s">
        <v>23</v>
      </c>
      <c r="D466" t="s">
        <v>24</v>
      </c>
      <c r="E466">
        <v>17</v>
      </c>
      <c r="F466">
        <v>29</v>
      </c>
      <c r="G466">
        <v>1</v>
      </c>
      <c r="H466">
        <v>35</v>
      </c>
      <c r="I466" t="s">
        <v>14</v>
      </c>
    </row>
    <row r="467" spans="1:9" x14ac:dyDescent="0.35">
      <c r="A467">
        <v>180</v>
      </c>
      <c r="B467">
        <v>10</v>
      </c>
      <c r="C467" t="s">
        <v>12</v>
      </c>
      <c r="D467" t="s">
        <v>13</v>
      </c>
      <c r="E467">
        <v>18</v>
      </c>
      <c r="F467">
        <v>30</v>
      </c>
      <c r="G467">
        <v>3</v>
      </c>
      <c r="H467">
        <v>20</v>
      </c>
      <c r="I467" t="s">
        <v>14</v>
      </c>
    </row>
    <row r="468" spans="1:9" x14ac:dyDescent="0.35">
      <c r="A468">
        <v>180</v>
      </c>
      <c r="B468">
        <v>10</v>
      </c>
      <c r="C468" t="s">
        <v>39</v>
      </c>
      <c r="D468" t="s">
        <v>40</v>
      </c>
      <c r="E468">
        <v>12</v>
      </c>
      <c r="F468">
        <v>20</v>
      </c>
      <c r="G468">
        <v>1</v>
      </c>
      <c r="H468">
        <v>50</v>
      </c>
      <c r="I468" t="s">
        <v>11</v>
      </c>
    </row>
    <row r="469" spans="1:9" x14ac:dyDescent="0.35">
      <c r="A469">
        <v>180</v>
      </c>
      <c r="B469">
        <v>10</v>
      </c>
      <c r="C469" t="s">
        <v>17</v>
      </c>
      <c r="D469" t="s">
        <v>18</v>
      </c>
      <c r="E469">
        <v>16</v>
      </c>
      <c r="F469">
        <v>27</v>
      </c>
      <c r="G469">
        <v>1</v>
      </c>
      <c r="H469">
        <v>56</v>
      </c>
      <c r="I469" t="s">
        <v>11</v>
      </c>
    </row>
    <row r="470" spans="1:9" x14ac:dyDescent="0.35">
      <c r="A470">
        <v>181</v>
      </c>
      <c r="B470">
        <v>15</v>
      </c>
      <c r="C470" t="s">
        <v>17</v>
      </c>
      <c r="D470" t="s">
        <v>18</v>
      </c>
      <c r="E470">
        <v>16</v>
      </c>
      <c r="F470">
        <v>27</v>
      </c>
      <c r="G470">
        <v>1</v>
      </c>
      <c r="H470">
        <v>55</v>
      </c>
      <c r="I470" t="s">
        <v>14</v>
      </c>
    </row>
    <row r="471" spans="1:9" x14ac:dyDescent="0.35">
      <c r="A471">
        <v>182</v>
      </c>
      <c r="B471">
        <v>18</v>
      </c>
      <c r="C471" t="s">
        <v>29</v>
      </c>
      <c r="D471" t="s">
        <v>30</v>
      </c>
      <c r="E471">
        <v>11</v>
      </c>
      <c r="F471">
        <v>19</v>
      </c>
      <c r="G471">
        <v>2</v>
      </c>
      <c r="H471">
        <v>11</v>
      </c>
      <c r="I471" t="s">
        <v>14</v>
      </c>
    </row>
    <row r="472" spans="1:9" x14ac:dyDescent="0.35">
      <c r="A472">
        <v>183</v>
      </c>
      <c r="B472">
        <v>18</v>
      </c>
      <c r="C472" t="s">
        <v>33</v>
      </c>
      <c r="D472" t="s">
        <v>34</v>
      </c>
      <c r="E472">
        <v>19</v>
      </c>
      <c r="F472">
        <v>32</v>
      </c>
      <c r="G472">
        <v>2</v>
      </c>
      <c r="H472">
        <v>52</v>
      </c>
      <c r="I472" t="s">
        <v>11</v>
      </c>
    </row>
    <row r="473" spans="1:9" x14ac:dyDescent="0.35">
      <c r="A473">
        <v>183</v>
      </c>
      <c r="B473">
        <v>18</v>
      </c>
      <c r="C473" t="s">
        <v>47</v>
      </c>
      <c r="D473" t="s">
        <v>48</v>
      </c>
      <c r="E473">
        <v>15</v>
      </c>
      <c r="F473">
        <v>26</v>
      </c>
      <c r="G473">
        <v>1</v>
      </c>
      <c r="H473">
        <v>10</v>
      </c>
      <c r="I473" t="s">
        <v>11</v>
      </c>
    </row>
    <row r="474" spans="1:9" x14ac:dyDescent="0.35">
      <c r="A474">
        <v>183</v>
      </c>
      <c r="B474">
        <v>18</v>
      </c>
      <c r="C474" t="s">
        <v>39</v>
      </c>
      <c r="D474" t="s">
        <v>40</v>
      </c>
      <c r="E474">
        <v>12</v>
      </c>
      <c r="F474">
        <v>20</v>
      </c>
      <c r="G474">
        <v>3</v>
      </c>
      <c r="H474">
        <v>58</v>
      </c>
      <c r="I474" t="s">
        <v>11</v>
      </c>
    </row>
    <row r="475" spans="1:9" x14ac:dyDescent="0.35">
      <c r="A475">
        <v>183</v>
      </c>
      <c r="B475">
        <v>18</v>
      </c>
      <c r="C475" t="s">
        <v>31</v>
      </c>
      <c r="D475" t="s">
        <v>32</v>
      </c>
      <c r="E475">
        <v>21</v>
      </c>
      <c r="F475">
        <v>35</v>
      </c>
      <c r="G475">
        <v>3</v>
      </c>
      <c r="H475">
        <v>46</v>
      </c>
      <c r="I475" t="s">
        <v>11</v>
      </c>
    </row>
    <row r="476" spans="1:9" x14ac:dyDescent="0.35">
      <c r="A476">
        <v>184</v>
      </c>
      <c r="B476">
        <v>4</v>
      </c>
      <c r="C476" t="s">
        <v>27</v>
      </c>
      <c r="D476" t="s">
        <v>28</v>
      </c>
      <c r="E476">
        <v>16</v>
      </c>
      <c r="F476">
        <v>28</v>
      </c>
      <c r="G476">
        <v>3</v>
      </c>
      <c r="H476">
        <v>6</v>
      </c>
      <c r="I476" t="s">
        <v>14</v>
      </c>
    </row>
    <row r="477" spans="1:9" x14ac:dyDescent="0.35">
      <c r="A477">
        <v>184</v>
      </c>
      <c r="B477">
        <v>4</v>
      </c>
      <c r="C477" t="s">
        <v>17</v>
      </c>
      <c r="D477" t="s">
        <v>18</v>
      </c>
      <c r="E477">
        <v>16</v>
      </c>
      <c r="F477">
        <v>27</v>
      </c>
      <c r="G477">
        <v>3</v>
      </c>
      <c r="H477">
        <v>10</v>
      </c>
      <c r="I477" t="s">
        <v>11</v>
      </c>
    </row>
    <row r="478" spans="1:9" x14ac:dyDescent="0.35">
      <c r="A478">
        <v>184</v>
      </c>
      <c r="B478">
        <v>4</v>
      </c>
      <c r="C478" t="s">
        <v>39</v>
      </c>
      <c r="D478" t="s">
        <v>40</v>
      </c>
      <c r="E478">
        <v>12</v>
      </c>
      <c r="F478">
        <v>20</v>
      </c>
      <c r="G478">
        <v>2</v>
      </c>
      <c r="H478">
        <v>13</v>
      </c>
      <c r="I478" t="s">
        <v>14</v>
      </c>
    </row>
    <row r="479" spans="1:9" x14ac:dyDescent="0.35">
      <c r="A479">
        <v>185</v>
      </c>
      <c r="B479">
        <v>16</v>
      </c>
      <c r="C479" t="s">
        <v>43</v>
      </c>
      <c r="D479" t="s">
        <v>44</v>
      </c>
      <c r="E479">
        <v>13</v>
      </c>
      <c r="F479">
        <v>21</v>
      </c>
      <c r="G479">
        <v>3</v>
      </c>
      <c r="H479">
        <v>34</v>
      </c>
      <c r="I479" t="s">
        <v>11</v>
      </c>
    </row>
    <row r="480" spans="1:9" x14ac:dyDescent="0.35">
      <c r="A480">
        <v>185</v>
      </c>
      <c r="B480">
        <v>16</v>
      </c>
      <c r="C480" t="s">
        <v>27</v>
      </c>
      <c r="D480" t="s">
        <v>28</v>
      </c>
      <c r="E480">
        <v>16</v>
      </c>
      <c r="F480">
        <v>28</v>
      </c>
      <c r="G480">
        <v>1</v>
      </c>
      <c r="H480">
        <v>6</v>
      </c>
      <c r="I480" t="s">
        <v>14</v>
      </c>
    </row>
    <row r="481" spans="1:9" x14ac:dyDescent="0.35">
      <c r="A481">
        <v>186</v>
      </c>
      <c r="B481">
        <v>13</v>
      </c>
      <c r="C481" t="s">
        <v>17</v>
      </c>
      <c r="D481" t="s">
        <v>18</v>
      </c>
      <c r="E481">
        <v>16</v>
      </c>
      <c r="F481">
        <v>27</v>
      </c>
      <c r="G481">
        <v>3</v>
      </c>
      <c r="H481">
        <v>16</v>
      </c>
      <c r="I481" t="s">
        <v>11</v>
      </c>
    </row>
    <row r="482" spans="1:9" x14ac:dyDescent="0.35">
      <c r="A482">
        <v>186</v>
      </c>
      <c r="B482">
        <v>13</v>
      </c>
      <c r="C482" t="s">
        <v>33</v>
      </c>
      <c r="D482" t="s">
        <v>34</v>
      </c>
      <c r="E482">
        <v>19</v>
      </c>
      <c r="F482">
        <v>32</v>
      </c>
      <c r="G482">
        <v>3</v>
      </c>
      <c r="H482">
        <v>23</v>
      </c>
      <c r="I482" t="s">
        <v>14</v>
      </c>
    </row>
    <row r="483" spans="1:9" x14ac:dyDescent="0.35">
      <c r="A483">
        <v>186</v>
      </c>
      <c r="B483">
        <v>13</v>
      </c>
      <c r="C483" t="s">
        <v>15</v>
      </c>
      <c r="D483" t="s">
        <v>16</v>
      </c>
      <c r="E483">
        <v>19</v>
      </c>
      <c r="F483">
        <v>31</v>
      </c>
      <c r="G483">
        <v>3</v>
      </c>
      <c r="H483">
        <v>54</v>
      </c>
      <c r="I483" t="s">
        <v>11</v>
      </c>
    </row>
    <row r="484" spans="1:9" x14ac:dyDescent="0.35">
      <c r="A484">
        <v>187</v>
      </c>
      <c r="B484">
        <v>5</v>
      </c>
      <c r="C484" t="s">
        <v>37</v>
      </c>
      <c r="D484" t="s">
        <v>38</v>
      </c>
      <c r="E484">
        <v>20</v>
      </c>
      <c r="F484">
        <v>34</v>
      </c>
      <c r="G484">
        <v>2</v>
      </c>
      <c r="H484">
        <v>28</v>
      </c>
      <c r="I484" t="s">
        <v>14</v>
      </c>
    </row>
    <row r="485" spans="1:9" x14ac:dyDescent="0.35">
      <c r="A485">
        <v>187</v>
      </c>
      <c r="B485">
        <v>5</v>
      </c>
      <c r="C485" t="s">
        <v>47</v>
      </c>
      <c r="D485" t="s">
        <v>48</v>
      </c>
      <c r="E485">
        <v>15</v>
      </c>
      <c r="F485">
        <v>26</v>
      </c>
      <c r="G485">
        <v>1</v>
      </c>
      <c r="H485">
        <v>51</v>
      </c>
      <c r="I485" t="s">
        <v>11</v>
      </c>
    </row>
    <row r="486" spans="1:9" x14ac:dyDescent="0.35">
      <c r="A486">
        <v>187</v>
      </c>
      <c r="B486">
        <v>5</v>
      </c>
      <c r="C486" t="s">
        <v>23</v>
      </c>
      <c r="D486" t="s">
        <v>24</v>
      </c>
      <c r="E486">
        <v>17</v>
      </c>
      <c r="F486">
        <v>29</v>
      </c>
      <c r="G486">
        <v>3</v>
      </c>
      <c r="H486">
        <v>11</v>
      </c>
      <c r="I486" t="s">
        <v>11</v>
      </c>
    </row>
    <row r="487" spans="1:9" x14ac:dyDescent="0.35">
      <c r="A487">
        <v>187</v>
      </c>
      <c r="B487">
        <v>5</v>
      </c>
      <c r="C487" t="s">
        <v>17</v>
      </c>
      <c r="D487" t="s">
        <v>18</v>
      </c>
      <c r="E487">
        <v>16</v>
      </c>
      <c r="F487">
        <v>27</v>
      </c>
      <c r="G487">
        <v>1</v>
      </c>
      <c r="H487">
        <v>36</v>
      </c>
      <c r="I487" t="s">
        <v>14</v>
      </c>
    </row>
    <row r="488" spans="1:9" x14ac:dyDescent="0.35">
      <c r="A488">
        <v>188</v>
      </c>
      <c r="B488">
        <v>20</v>
      </c>
      <c r="C488" t="s">
        <v>15</v>
      </c>
      <c r="D488" t="s">
        <v>16</v>
      </c>
      <c r="E488">
        <v>19</v>
      </c>
      <c r="F488">
        <v>31</v>
      </c>
      <c r="G488">
        <v>1</v>
      </c>
      <c r="H488">
        <v>58</v>
      </c>
      <c r="I488" t="s">
        <v>11</v>
      </c>
    </row>
    <row r="489" spans="1:9" x14ac:dyDescent="0.35">
      <c r="A489">
        <v>188</v>
      </c>
      <c r="B489">
        <v>20</v>
      </c>
      <c r="C489" t="s">
        <v>47</v>
      </c>
      <c r="D489" t="s">
        <v>48</v>
      </c>
      <c r="E489">
        <v>15</v>
      </c>
      <c r="F489">
        <v>26</v>
      </c>
      <c r="G489">
        <v>2</v>
      </c>
      <c r="H489">
        <v>47</v>
      </c>
      <c r="I489" t="s">
        <v>11</v>
      </c>
    </row>
    <row r="490" spans="1:9" x14ac:dyDescent="0.35">
      <c r="A490">
        <v>189</v>
      </c>
      <c r="B490">
        <v>11</v>
      </c>
      <c r="C490" t="s">
        <v>37</v>
      </c>
      <c r="D490" t="s">
        <v>38</v>
      </c>
      <c r="E490">
        <v>20</v>
      </c>
      <c r="F490">
        <v>34</v>
      </c>
      <c r="G490">
        <v>2</v>
      </c>
      <c r="H490">
        <v>42</v>
      </c>
      <c r="I490" t="s">
        <v>14</v>
      </c>
    </row>
    <row r="491" spans="1:9" x14ac:dyDescent="0.35">
      <c r="A491">
        <v>189</v>
      </c>
      <c r="B491">
        <v>11</v>
      </c>
      <c r="C491" t="s">
        <v>47</v>
      </c>
      <c r="D491" t="s">
        <v>48</v>
      </c>
      <c r="E491">
        <v>15</v>
      </c>
      <c r="F491">
        <v>26</v>
      </c>
      <c r="G491">
        <v>2</v>
      </c>
      <c r="H491">
        <v>22</v>
      </c>
      <c r="I491" t="s">
        <v>14</v>
      </c>
    </row>
    <row r="492" spans="1:9" x14ac:dyDescent="0.35">
      <c r="A492">
        <v>189</v>
      </c>
      <c r="B492">
        <v>11</v>
      </c>
      <c r="C492" t="s">
        <v>9</v>
      </c>
      <c r="D492" t="s">
        <v>10</v>
      </c>
      <c r="E492">
        <v>14</v>
      </c>
      <c r="F492">
        <v>24</v>
      </c>
      <c r="G492">
        <v>3</v>
      </c>
      <c r="H492">
        <v>53</v>
      </c>
      <c r="I492" t="s">
        <v>14</v>
      </c>
    </row>
    <row r="493" spans="1:9" x14ac:dyDescent="0.35">
      <c r="A493">
        <v>190</v>
      </c>
      <c r="B493">
        <v>5</v>
      </c>
      <c r="C493" t="s">
        <v>45</v>
      </c>
      <c r="D493" t="s">
        <v>46</v>
      </c>
      <c r="E493">
        <v>10</v>
      </c>
      <c r="F493">
        <v>18</v>
      </c>
      <c r="G493">
        <v>1</v>
      </c>
      <c r="H493">
        <v>39</v>
      </c>
      <c r="I493" t="s">
        <v>11</v>
      </c>
    </row>
    <row r="494" spans="1:9" x14ac:dyDescent="0.35">
      <c r="A494">
        <v>190</v>
      </c>
      <c r="B494">
        <v>5</v>
      </c>
      <c r="C494" t="s">
        <v>19</v>
      </c>
      <c r="D494" t="s">
        <v>20</v>
      </c>
      <c r="E494">
        <v>25</v>
      </c>
      <c r="F494">
        <v>40</v>
      </c>
      <c r="G494">
        <v>2</v>
      </c>
      <c r="H494">
        <v>45</v>
      </c>
      <c r="I494" t="s">
        <v>11</v>
      </c>
    </row>
    <row r="495" spans="1:9" x14ac:dyDescent="0.35">
      <c r="A495">
        <v>190</v>
      </c>
      <c r="B495">
        <v>5</v>
      </c>
      <c r="C495" t="s">
        <v>31</v>
      </c>
      <c r="D495" t="s">
        <v>32</v>
      </c>
      <c r="E495">
        <v>21</v>
      </c>
      <c r="F495">
        <v>35</v>
      </c>
      <c r="G495">
        <v>1</v>
      </c>
      <c r="H495">
        <v>11</v>
      </c>
      <c r="I495" t="s">
        <v>14</v>
      </c>
    </row>
    <row r="496" spans="1:9" x14ac:dyDescent="0.35">
      <c r="A496">
        <v>190</v>
      </c>
      <c r="B496">
        <v>5</v>
      </c>
      <c r="C496" t="s">
        <v>41</v>
      </c>
      <c r="D496" t="s">
        <v>42</v>
      </c>
      <c r="E496">
        <v>14</v>
      </c>
      <c r="F496">
        <v>23</v>
      </c>
      <c r="G496">
        <v>3</v>
      </c>
      <c r="H496">
        <v>7</v>
      </c>
      <c r="I496" t="s">
        <v>14</v>
      </c>
    </row>
    <row r="497" spans="1:9" x14ac:dyDescent="0.35">
      <c r="A497">
        <v>191</v>
      </c>
      <c r="B497">
        <v>12</v>
      </c>
      <c r="C497" t="s">
        <v>49</v>
      </c>
      <c r="D497" t="s">
        <v>50</v>
      </c>
      <c r="E497">
        <v>15</v>
      </c>
      <c r="F497">
        <v>25</v>
      </c>
      <c r="G497">
        <v>3</v>
      </c>
      <c r="H497">
        <v>32</v>
      </c>
      <c r="I497" t="s">
        <v>14</v>
      </c>
    </row>
    <row r="498" spans="1:9" x14ac:dyDescent="0.35">
      <c r="A498">
        <v>191</v>
      </c>
      <c r="B498">
        <v>12</v>
      </c>
      <c r="C498" t="s">
        <v>23</v>
      </c>
      <c r="D498" t="s">
        <v>24</v>
      </c>
      <c r="E498">
        <v>17</v>
      </c>
      <c r="F498">
        <v>29</v>
      </c>
      <c r="G498">
        <v>3</v>
      </c>
      <c r="H498">
        <v>55</v>
      </c>
      <c r="I498" t="s">
        <v>11</v>
      </c>
    </row>
    <row r="499" spans="1:9" x14ac:dyDescent="0.35">
      <c r="A499">
        <v>192</v>
      </c>
      <c r="B499">
        <v>17</v>
      </c>
      <c r="C499" t="s">
        <v>49</v>
      </c>
      <c r="D499" t="s">
        <v>50</v>
      </c>
      <c r="E499">
        <v>15</v>
      </c>
      <c r="F499">
        <v>25</v>
      </c>
      <c r="G499">
        <v>3</v>
      </c>
      <c r="H499">
        <v>26</v>
      </c>
      <c r="I499" t="s">
        <v>11</v>
      </c>
    </row>
    <row r="500" spans="1:9" x14ac:dyDescent="0.35">
      <c r="A500">
        <v>193</v>
      </c>
      <c r="B500">
        <v>3</v>
      </c>
      <c r="C500" t="s">
        <v>47</v>
      </c>
      <c r="D500" t="s">
        <v>48</v>
      </c>
      <c r="E500">
        <v>15</v>
      </c>
      <c r="F500">
        <v>26</v>
      </c>
      <c r="G500">
        <v>2</v>
      </c>
      <c r="H500">
        <v>57</v>
      </c>
      <c r="I500" t="s">
        <v>14</v>
      </c>
    </row>
    <row r="501" spans="1:9" x14ac:dyDescent="0.35">
      <c r="A501">
        <v>193</v>
      </c>
      <c r="B501">
        <v>3</v>
      </c>
      <c r="C501" t="s">
        <v>21</v>
      </c>
      <c r="D501" t="s">
        <v>22</v>
      </c>
      <c r="E501">
        <v>22</v>
      </c>
      <c r="F501">
        <v>36</v>
      </c>
      <c r="G501">
        <v>2</v>
      </c>
      <c r="H501">
        <v>59</v>
      </c>
      <c r="I501" t="s">
        <v>11</v>
      </c>
    </row>
    <row r="502" spans="1:9" x14ac:dyDescent="0.35">
      <c r="A502">
        <v>193</v>
      </c>
      <c r="B502">
        <v>3</v>
      </c>
      <c r="C502" t="s">
        <v>17</v>
      </c>
      <c r="D502" t="s">
        <v>18</v>
      </c>
      <c r="E502">
        <v>16</v>
      </c>
      <c r="F502">
        <v>27</v>
      </c>
      <c r="G502">
        <v>1</v>
      </c>
      <c r="H502">
        <v>31</v>
      </c>
      <c r="I502" t="s">
        <v>14</v>
      </c>
    </row>
    <row r="503" spans="1:9" x14ac:dyDescent="0.35">
      <c r="A503">
        <v>193</v>
      </c>
      <c r="B503">
        <v>3</v>
      </c>
      <c r="C503" t="s">
        <v>41</v>
      </c>
      <c r="D503" t="s">
        <v>42</v>
      </c>
      <c r="E503">
        <v>14</v>
      </c>
      <c r="F503">
        <v>23</v>
      </c>
      <c r="G503">
        <v>3</v>
      </c>
      <c r="H503">
        <v>24</v>
      </c>
      <c r="I503" t="s">
        <v>11</v>
      </c>
    </row>
    <row r="504" spans="1:9" x14ac:dyDescent="0.35">
      <c r="A504">
        <v>194</v>
      </c>
      <c r="B504">
        <v>3</v>
      </c>
      <c r="C504" t="s">
        <v>25</v>
      </c>
      <c r="D504" t="s">
        <v>26</v>
      </c>
      <c r="E504">
        <v>20</v>
      </c>
      <c r="F504">
        <v>33</v>
      </c>
      <c r="G504">
        <v>2</v>
      </c>
      <c r="H504">
        <v>18</v>
      </c>
      <c r="I504" t="s">
        <v>11</v>
      </c>
    </row>
    <row r="505" spans="1:9" x14ac:dyDescent="0.35">
      <c r="A505">
        <v>194</v>
      </c>
      <c r="B505">
        <v>3</v>
      </c>
      <c r="C505" t="s">
        <v>12</v>
      </c>
      <c r="D505" t="s">
        <v>13</v>
      </c>
      <c r="E505">
        <v>18</v>
      </c>
      <c r="F505">
        <v>30</v>
      </c>
      <c r="G505">
        <v>1</v>
      </c>
      <c r="H505">
        <v>50</v>
      </c>
      <c r="I505" t="s">
        <v>11</v>
      </c>
    </row>
    <row r="506" spans="1:9" x14ac:dyDescent="0.35">
      <c r="A506">
        <v>195</v>
      </c>
      <c r="B506">
        <v>2</v>
      </c>
      <c r="C506" t="s">
        <v>49</v>
      </c>
      <c r="D506" t="s">
        <v>50</v>
      </c>
      <c r="E506">
        <v>15</v>
      </c>
      <c r="F506">
        <v>25</v>
      </c>
      <c r="G506">
        <v>2</v>
      </c>
      <c r="H506">
        <v>51</v>
      </c>
      <c r="I506" t="s">
        <v>11</v>
      </c>
    </row>
    <row r="507" spans="1:9" x14ac:dyDescent="0.35">
      <c r="A507">
        <v>196</v>
      </c>
      <c r="B507">
        <v>4</v>
      </c>
      <c r="C507" t="s">
        <v>39</v>
      </c>
      <c r="D507" t="s">
        <v>40</v>
      </c>
      <c r="E507">
        <v>12</v>
      </c>
      <c r="F507">
        <v>20</v>
      </c>
      <c r="G507">
        <v>3</v>
      </c>
      <c r="H507">
        <v>34</v>
      </c>
      <c r="I507" t="s">
        <v>14</v>
      </c>
    </row>
    <row r="508" spans="1:9" x14ac:dyDescent="0.35">
      <c r="A508">
        <v>196</v>
      </c>
      <c r="B508">
        <v>4</v>
      </c>
      <c r="C508" t="s">
        <v>41</v>
      </c>
      <c r="D508" t="s">
        <v>42</v>
      </c>
      <c r="E508">
        <v>14</v>
      </c>
      <c r="F508">
        <v>23</v>
      </c>
      <c r="G508">
        <v>2</v>
      </c>
      <c r="H508">
        <v>51</v>
      </c>
      <c r="I508" t="s">
        <v>11</v>
      </c>
    </row>
    <row r="509" spans="1:9" x14ac:dyDescent="0.35">
      <c r="A509">
        <v>196</v>
      </c>
      <c r="B509">
        <v>4</v>
      </c>
      <c r="C509" t="s">
        <v>23</v>
      </c>
      <c r="D509" t="s">
        <v>24</v>
      </c>
      <c r="E509">
        <v>17</v>
      </c>
      <c r="F509">
        <v>29</v>
      </c>
      <c r="G509">
        <v>1</v>
      </c>
      <c r="H509">
        <v>47</v>
      </c>
      <c r="I509" t="s">
        <v>14</v>
      </c>
    </row>
    <row r="510" spans="1:9" x14ac:dyDescent="0.35">
      <c r="A510">
        <v>196</v>
      </c>
      <c r="B510">
        <v>4</v>
      </c>
      <c r="C510" t="s">
        <v>27</v>
      </c>
      <c r="D510" t="s">
        <v>28</v>
      </c>
      <c r="E510">
        <v>16</v>
      </c>
      <c r="F510">
        <v>28</v>
      </c>
      <c r="G510">
        <v>2</v>
      </c>
      <c r="H510">
        <v>44</v>
      </c>
      <c r="I510" t="s">
        <v>14</v>
      </c>
    </row>
    <row r="511" spans="1:9" x14ac:dyDescent="0.35">
      <c r="A511">
        <v>197</v>
      </c>
      <c r="B511">
        <v>5</v>
      </c>
      <c r="C511" t="s">
        <v>37</v>
      </c>
      <c r="D511" t="s">
        <v>38</v>
      </c>
      <c r="E511">
        <v>20</v>
      </c>
      <c r="F511">
        <v>34</v>
      </c>
      <c r="G511">
        <v>3</v>
      </c>
      <c r="H511">
        <v>22</v>
      </c>
      <c r="I511" t="s">
        <v>11</v>
      </c>
    </row>
    <row r="512" spans="1:9" x14ac:dyDescent="0.35">
      <c r="A512">
        <v>197</v>
      </c>
      <c r="B512">
        <v>5</v>
      </c>
      <c r="C512" t="s">
        <v>17</v>
      </c>
      <c r="D512" t="s">
        <v>18</v>
      </c>
      <c r="E512">
        <v>16</v>
      </c>
      <c r="F512">
        <v>27</v>
      </c>
      <c r="G512">
        <v>1</v>
      </c>
      <c r="H512">
        <v>50</v>
      </c>
      <c r="I512" t="s">
        <v>11</v>
      </c>
    </row>
    <row r="513" spans="1:9" x14ac:dyDescent="0.35">
      <c r="A513">
        <v>198</v>
      </c>
      <c r="B513">
        <v>9</v>
      </c>
      <c r="C513" t="s">
        <v>17</v>
      </c>
      <c r="D513" t="s">
        <v>18</v>
      </c>
      <c r="E513">
        <v>16</v>
      </c>
      <c r="F513">
        <v>27</v>
      </c>
      <c r="G513">
        <v>2</v>
      </c>
      <c r="H513">
        <v>33</v>
      </c>
      <c r="I513" t="s">
        <v>11</v>
      </c>
    </row>
    <row r="514" spans="1:9" x14ac:dyDescent="0.35">
      <c r="A514">
        <v>199</v>
      </c>
      <c r="B514">
        <v>11</v>
      </c>
      <c r="C514" t="s">
        <v>23</v>
      </c>
      <c r="D514" t="s">
        <v>24</v>
      </c>
      <c r="E514">
        <v>17</v>
      </c>
      <c r="F514">
        <v>29</v>
      </c>
      <c r="G514">
        <v>3</v>
      </c>
      <c r="H514">
        <v>31</v>
      </c>
      <c r="I514" t="s">
        <v>11</v>
      </c>
    </row>
    <row r="515" spans="1:9" x14ac:dyDescent="0.35">
      <c r="A515">
        <v>199</v>
      </c>
      <c r="B515">
        <v>11</v>
      </c>
      <c r="C515" t="s">
        <v>31</v>
      </c>
      <c r="D515" t="s">
        <v>32</v>
      </c>
      <c r="E515">
        <v>21</v>
      </c>
      <c r="F515">
        <v>35</v>
      </c>
      <c r="G515">
        <v>3</v>
      </c>
      <c r="H515">
        <v>41</v>
      </c>
      <c r="I515" t="s">
        <v>14</v>
      </c>
    </row>
    <row r="516" spans="1:9" x14ac:dyDescent="0.35">
      <c r="A516">
        <v>199</v>
      </c>
      <c r="B516">
        <v>11</v>
      </c>
      <c r="C516" t="s">
        <v>43</v>
      </c>
      <c r="D516" t="s">
        <v>44</v>
      </c>
      <c r="E516">
        <v>13</v>
      </c>
      <c r="F516">
        <v>21</v>
      </c>
      <c r="G516">
        <v>2</v>
      </c>
      <c r="H516">
        <v>18</v>
      </c>
      <c r="I516" t="s">
        <v>14</v>
      </c>
    </row>
    <row r="517" spans="1:9" x14ac:dyDescent="0.35">
      <c r="A517">
        <v>199</v>
      </c>
      <c r="B517">
        <v>11</v>
      </c>
      <c r="C517" t="s">
        <v>17</v>
      </c>
      <c r="D517" t="s">
        <v>18</v>
      </c>
      <c r="E517">
        <v>16</v>
      </c>
      <c r="F517">
        <v>27</v>
      </c>
      <c r="G517">
        <v>1</v>
      </c>
      <c r="H517">
        <v>52</v>
      </c>
      <c r="I517" t="s">
        <v>14</v>
      </c>
    </row>
    <row r="518" spans="1:9" x14ac:dyDescent="0.35">
      <c r="A518">
        <v>200</v>
      </c>
      <c r="B518">
        <v>11</v>
      </c>
      <c r="C518" t="s">
        <v>29</v>
      </c>
      <c r="D518" t="s">
        <v>30</v>
      </c>
      <c r="E518">
        <v>11</v>
      </c>
      <c r="F518">
        <v>19</v>
      </c>
      <c r="G518">
        <v>2</v>
      </c>
      <c r="H518">
        <v>39</v>
      </c>
      <c r="I518" t="s">
        <v>11</v>
      </c>
    </row>
    <row r="519" spans="1:9" x14ac:dyDescent="0.35">
      <c r="A519">
        <v>200</v>
      </c>
      <c r="B519">
        <v>11</v>
      </c>
      <c r="C519" t="s">
        <v>49</v>
      </c>
      <c r="D519" t="s">
        <v>50</v>
      </c>
      <c r="E519">
        <v>15</v>
      </c>
      <c r="F519">
        <v>25</v>
      </c>
      <c r="G519">
        <v>2</v>
      </c>
      <c r="H519">
        <v>28</v>
      </c>
      <c r="I519" t="s">
        <v>14</v>
      </c>
    </row>
    <row r="520" spans="1:9" x14ac:dyDescent="0.35">
      <c r="A520">
        <v>201</v>
      </c>
      <c r="B520">
        <v>3</v>
      </c>
      <c r="C520" t="s">
        <v>9</v>
      </c>
      <c r="D520" t="s">
        <v>10</v>
      </c>
      <c r="E520">
        <v>14</v>
      </c>
      <c r="F520">
        <v>24</v>
      </c>
      <c r="G520">
        <v>3</v>
      </c>
      <c r="H520">
        <v>58</v>
      </c>
      <c r="I520" t="s">
        <v>14</v>
      </c>
    </row>
    <row r="521" spans="1:9" x14ac:dyDescent="0.35">
      <c r="A521">
        <v>202</v>
      </c>
      <c r="B521">
        <v>16</v>
      </c>
      <c r="C521" t="s">
        <v>21</v>
      </c>
      <c r="D521" t="s">
        <v>22</v>
      </c>
      <c r="E521">
        <v>22</v>
      </c>
      <c r="F521">
        <v>36</v>
      </c>
      <c r="G521">
        <v>2</v>
      </c>
      <c r="H521">
        <v>46</v>
      </c>
      <c r="I521" t="s">
        <v>14</v>
      </c>
    </row>
    <row r="522" spans="1:9" x14ac:dyDescent="0.35">
      <c r="A522">
        <v>202</v>
      </c>
      <c r="B522">
        <v>16</v>
      </c>
      <c r="C522" t="s">
        <v>19</v>
      </c>
      <c r="D522" t="s">
        <v>20</v>
      </c>
      <c r="E522">
        <v>25</v>
      </c>
      <c r="F522">
        <v>40</v>
      </c>
      <c r="G522">
        <v>2</v>
      </c>
      <c r="H522">
        <v>47</v>
      </c>
      <c r="I522" t="s">
        <v>11</v>
      </c>
    </row>
    <row r="523" spans="1:9" x14ac:dyDescent="0.35">
      <c r="A523">
        <v>202</v>
      </c>
      <c r="B523">
        <v>16</v>
      </c>
      <c r="C523" t="s">
        <v>9</v>
      </c>
      <c r="D523" t="s">
        <v>10</v>
      </c>
      <c r="E523">
        <v>14</v>
      </c>
      <c r="F523">
        <v>24</v>
      </c>
      <c r="G523">
        <v>1</v>
      </c>
      <c r="H523">
        <v>5</v>
      </c>
      <c r="I523" t="s">
        <v>11</v>
      </c>
    </row>
    <row r="524" spans="1:9" x14ac:dyDescent="0.35">
      <c r="A524">
        <v>202</v>
      </c>
      <c r="B524">
        <v>16</v>
      </c>
      <c r="C524" t="s">
        <v>12</v>
      </c>
      <c r="D524" t="s">
        <v>13</v>
      </c>
      <c r="E524">
        <v>18</v>
      </c>
      <c r="F524">
        <v>30</v>
      </c>
      <c r="G524">
        <v>1</v>
      </c>
      <c r="H524">
        <v>58</v>
      </c>
      <c r="I524" t="s">
        <v>11</v>
      </c>
    </row>
    <row r="525" spans="1:9" x14ac:dyDescent="0.35">
      <c r="A525">
        <v>203</v>
      </c>
      <c r="B525">
        <v>5</v>
      </c>
      <c r="C525" t="s">
        <v>15</v>
      </c>
      <c r="D525" t="s">
        <v>16</v>
      </c>
      <c r="E525">
        <v>19</v>
      </c>
      <c r="F525">
        <v>31</v>
      </c>
      <c r="G525">
        <v>3</v>
      </c>
      <c r="H525">
        <v>51</v>
      </c>
      <c r="I525" t="s">
        <v>11</v>
      </c>
    </row>
    <row r="526" spans="1:9" x14ac:dyDescent="0.35">
      <c r="A526">
        <v>203</v>
      </c>
      <c r="B526">
        <v>5</v>
      </c>
      <c r="C526" t="s">
        <v>43</v>
      </c>
      <c r="D526" t="s">
        <v>44</v>
      </c>
      <c r="E526">
        <v>13</v>
      </c>
      <c r="F526">
        <v>21</v>
      </c>
      <c r="G526">
        <v>3</v>
      </c>
      <c r="H526">
        <v>34</v>
      </c>
      <c r="I526" t="s">
        <v>14</v>
      </c>
    </row>
    <row r="527" spans="1:9" x14ac:dyDescent="0.35">
      <c r="A527">
        <v>204</v>
      </c>
      <c r="B527">
        <v>16</v>
      </c>
      <c r="C527" t="s">
        <v>9</v>
      </c>
      <c r="D527" t="s">
        <v>10</v>
      </c>
      <c r="E527">
        <v>14</v>
      </c>
      <c r="F527">
        <v>24</v>
      </c>
      <c r="G527">
        <v>2</v>
      </c>
      <c r="H527">
        <v>21</v>
      </c>
      <c r="I527" t="s">
        <v>11</v>
      </c>
    </row>
    <row r="528" spans="1:9" x14ac:dyDescent="0.35">
      <c r="A528">
        <v>205</v>
      </c>
      <c r="B528">
        <v>14</v>
      </c>
      <c r="C528" t="s">
        <v>33</v>
      </c>
      <c r="D528" t="s">
        <v>34</v>
      </c>
      <c r="E528">
        <v>19</v>
      </c>
      <c r="F528">
        <v>32</v>
      </c>
      <c r="G528">
        <v>1</v>
      </c>
      <c r="H528">
        <v>34</v>
      </c>
      <c r="I528" t="s">
        <v>11</v>
      </c>
    </row>
    <row r="529" spans="1:9" x14ac:dyDescent="0.35">
      <c r="A529">
        <v>205</v>
      </c>
      <c r="B529">
        <v>14</v>
      </c>
      <c r="C529" t="s">
        <v>23</v>
      </c>
      <c r="D529" t="s">
        <v>24</v>
      </c>
      <c r="E529">
        <v>17</v>
      </c>
      <c r="F529">
        <v>29</v>
      </c>
      <c r="G529">
        <v>1</v>
      </c>
      <c r="H529">
        <v>52</v>
      </c>
      <c r="I529" t="s">
        <v>14</v>
      </c>
    </row>
    <row r="530" spans="1:9" x14ac:dyDescent="0.35">
      <c r="A530">
        <v>206</v>
      </c>
      <c r="B530">
        <v>4</v>
      </c>
      <c r="C530" t="s">
        <v>12</v>
      </c>
      <c r="D530" t="s">
        <v>13</v>
      </c>
      <c r="E530">
        <v>18</v>
      </c>
      <c r="F530">
        <v>30</v>
      </c>
      <c r="G530">
        <v>1</v>
      </c>
      <c r="H530">
        <v>58</v>
      </c>
      <c r="I530" t="s">
        <v>14</v>
      </c>
    </row>
    <row r="531" spans="1:9" x14ac:dyDescent="0.35">
      <c r="A531">
        <v>207</v>
      </c>
      <c r="B531">
        <v>20</v>
      </c>
      <c r="C531" t="s">
        <v>47</v>
      </c>
      <c r="D531" t="s">
        <v>48</v>
      </c>
      <c r="E531">
        <v>15</v>
      </c>
      <c r="F531">
        <v>26</v>
      </c>
      <c r="G531">
        <v>2</v>
      </c>
      <c r="H531">
        <v>37</v>
      </c>
      <c r="I531" t="s">
        <v>11</v>
      </c>
    </row>
    <row r="532" spans="1:9" x14ac:dyDescent="0.35">
      <c r="A532">
        <v>207</v>
      </c>
      <c r="B532">
        <v>20</v>
      </c>
      <c r="C532" t="s">
        <v>31</v>
      </c>
      <c r="D532" t="s">
        <v>32</v>
      </c>
      <c r="E532">
        <v>21</v>
      </c>
      <c r="F532">
        <v>35</v>
      </c>
      <c r="G532">
        <v>1</v>
      </c>
      <c r="H532">
        <v>55</v>
      </c>
      <c r="I532" t="s">
        <v>14</v>
      </c>
    </row>
    <row r="533" spans="1:9" x14ac:dyDescent="0.35">
      <c r="A533">
        <v>207</v>
      </c>
      <c r="B533">
        <v>20</v>
      </c>
      <c r="C533" t="s">
        <v>15</v>
      </c>
      <c r="D533" t="s">
        <v>16</v>
      </c>
      <c r="E533">
        <v>19</v>
      </c>
      <c r="F533">
        <v>31</v>
      </c>
      <c r="G533">
        <v>3</v>
      </c>
      <c r="H533">
        <v>19</v>
      </c>
      <c r="I533" t="s">
        <v>14</v>
      </c>
    </row>
    <row r="534" spans="1:9" x14ac:dyDescent="0.35">
      <c r="A534">
        <v>208</v>
      </c>
      <c r="B534">
        <v>16</v>
      </c>
      <c r="C534" t="s">
        <v>33</v>
      </c>
      <c r="D534" t="s">
        <v>34</v>
      </c>
      <c r="E534">
        <v>19</v>
      </c>
      <c r="F534">
        <v>32</v>
      </c>
      <c r="G534">
        <v>1</v>
      </c>
      <c r="H534">
        <v>18</v>
      </c>
      <c r="I534" t="s">
        <v>14</v>
      </c>
    </row>
    <row r="535" spans="1:9" x14ac:dyDescent="0.35">
      <c r="A535">
        <v>208</v>
      </c>
      <c r="B535">
        <v>16</v>
      </c>
      <c r="C535" t="s">
        <v>21</v>
      </c>
      <c r="D535" t="s">
        <v>22</v>
      </c>
      <c r="E535">
        <v>22</v>
      </c>
      <c r="F535">
        <v>36</v>
      </c>
      <c r="G535">
        <v>3</v>
      </c>
      <c r="H535">
        <v>29</v>
      </c>
      <c r="I535" t="s">
        <v>14</v>
      </c>
    </row>
    <row r="536" spans="1:9" x14ac:dyDescent="0.35">
      <c r="A536">
        <v>208</v>
      </c>
      <c r="B536">
        <v>16</v>
      </c>
      <c r="C536" t="s">
        <v>39</v>
      </c>
      <c r="D536" t="s">
        <v>40</v>
      </c>
      <c r="E536">
        <v>12</v>
      </c>
      <c r="F536">
        <v>20</v>
      </c>
      <c r="G536">
        <v>2</v>
      </c>
      <c r="H536">
        <v>53</v>
      </c>
      <c r="I536" t="s">
        <v>11</v>
      </c>
    </row>
    <row r="537" spans="1:9" x14ac:dyDescent="0.35">
      <c r="A537">
        <v>209</v>
      </c>
      <c r="B537">
        <v>9</v>
      </c>
      <c r="C537" t="s">
        <v>41</v>
      </c>
      <c r="D537" t="s">
        <v>42</v>
      </c>
      <c r="E537">
        <v>14</v>
      </c>
      <c r="F537">
        <v>23</v>
      </c>
      <c r="G537">
        <v>3</v>
      </c>
      <c r="H537">
        <v>35</v>
      </c>
      <c r="I537" t="s">
        <v>14</v>
      </c>
    </row>
    <row r="538" spans="1:9" x14ac:dyDescent="0.35">
      <c r="A538">
        <v>209</v>
      </c>
      <c r="B538">
        <v>9</v>
      </c>
      <c r="C538" t="s">
        <v>37</v>
      </c>
      <c r="D538" t="s">
        <v>38</v>
      </c>
      <c r="E538">
        <v>20</v>
      </c>
      <c r="F538">
        <v>34</v>
      </c>
      <c r="G538">
        <v>2</v>
      </c>
      <c r="H538">
        <v>40</v>
      </c>
      <c r="I538" t="s">
        <v>14</v>
      </c>
    </row>
    <row r="539" spans="1:9" x14ac:dyDescent="0.35">
      <c r="A539">
        <v>209</v>
      </c>
      <c r="B539">
        <v>9</v>
      </c>
      <c r="C539" t="s">
        <v>49</v>
      </c>
      <c r="D539" t="s">
        <v>50</v>
      </c>
      <c r="E539">
        <v>15</v>
      </c>
      <c r="F539">
        <v>25</v>
      </c>
      <c r="G539">
        <v>1</v>
      </c>
      <c r="H539">
        <v>42</v>
      </c>
      <c r="I539" t="s">
        <v>11</v>
      </c>
    </row>
    <row r="540" spans="1:9" x14ac:dyDescent="0.35">
      <c r="A540">
        <v>209</v>
      </c>
      <c r="B540">
        <v>9</v>
      </c>
      <c r="C540" t="s">
        <v>47</v>
      </c>
      <c r="D540" t="s">
        <v>48</v>
      </c>
      <c r="E540">
        <v>15</v>
      </c>
      <c r="F540">
        <v>26</v>
      </c>
      <c r="G540">
        <v>2</v>
      </c>
      <c r="H540">
        <v>54</v>
      </c>
      <c r="I540" t="s">
        <v>11</v>
      </c>
    </row>
    <row r="541" spans="1:9" x14ac:dyDescent="0.35">
      <c r="A541">
        <v>210</v>
      </c>
      <c r="B541">
        <v>10</v>
      </c>
      <c r="C541" t="s">
        <v>43</v>
      </c>
      <c r="D541" t="s">
        <v>44</v>
      </c>
      <c r="E541">
        <v>13</v>
      </c>
      <c r="F541">
        <v>21</v>
      </c>
      <c r="G541">
        <v>1</v>
      </c>
      <c r="H541">
        <v>28</v>
      </c>
      <c r="I541" t="s">
        <v>14</v>
      </c>
    </row>
    <row r="542" spans="1:9" x14ac:dyDescent="0.35">
      <c r="A542">
        <v>210</v>
      </c>
      <c r="B542">
        <v>10</v>
      </c>
      <c r="C542" t="s">
        <v>12</v>
      </c>
      <c r="D542" t="s">
        <v>13</v>
      </c>
      <c r="E542">
        <v>18</v>
      </c>
      <c r="F542">
        <v>30</v>
      </c>
      <c r="G542">
        <v>1</v>
      </c>
      <c r="H542">
        <v>50</v>
      </c>
      <c r="I542" t="s">
        <v>11</v>
      </c>
    </row>
    <row r="543" spans="1:9" x14ac:dyDescent="0.35">
      <c r="A543">
        <v>210</v>
      </c>
      <c r="B543">
        <v>10</v>
      </c>
      <c r="C543" t="s">
        <v>9</v>
      </c>
      <c r="D543" t="s">
        <v>10</v>
      </c>
      <c r="E543">
        <v>14</v>
      </c>
      <c r="F543">
        <v>24</v>
      </c>
      <c r="G543">
        <v>1</v>
      </c>
      <c r="H543">
        <v>34</v>
      </c>
      <c r="I543" t="s">
        <v>11</v>
      </c>
    </row>
    <row r="544" spans="1:9" x14ac:dyDescent="0.35">
      <c r="A544">
        <v>210</v>
      </c>
      <c r="B544">
        <v>10</v>
      </c>
      <c r="C544" t="s">
        <v>19</v>
      </c>
      <c r="D544" t="s">
        <v>20</v>
      </c>
      <c r="E544">
        <v>25</v>
      </c>
      <c r="F544">
        <v>40</v>
      </c>
      <c r="G544">
        <v>3</v>
      </c>
      <c r="H544">
        <v>46</v>
      </c>
      <c r="I544" t="s">
        <v>11</v>
      </c>
    </row>
    <row r="545" spans="1:9" x14ac:dyDescent="0.35">
      <c r="A545">
        <v>211</v>
      </c>
      <c r="B545">
        <v>1</v>
      </c>
      <c r="C545" t="s">
        <v>43</v>
      </c>
      <c r="D545" t="s">
        <v>44</v>
      </c>
      <c r="E545">
        <v>13</v>
      </c>
      <c r="F545">
        <v>21</v>
      </c>
      <c r="G545">
        <v>3</v>
      </c>
      <c r="H545">
        <v>54</v>
      </c>
      <c r="I545" t="s">
        <v>14</v>
      </c>
    </row>
    <row r="546" spans="1:9" x14ac:dyDescent="0.35">
      <c r="A546">
        <v>211</v>
      </c>
      <c r="B546">
        <v>1</v>
      </c>
      <c r="C546" t="s">
        <v>45</v>
      </c>
      <c r="D546" t="s">
        <v>46</v>
      </c>
      <c r="E546">
        <v>10</v>
      </c>
      <c r="F546">
        <v>18</v>
      </c>
      <c r="G546">
        <v>2</v>
      </c>
      <c r="H546">
        <v>45</v>
      </c>
      <c r="I546" t="s">
        <v>11</v>
      </c>
    </row>
    <row r="547" spans="1:9" x14ac:dyDescent="0.35">
      <c r="A547">
        <v>211</v>
      </c>
      <c r="B547">
        <v>1</v>
      </c>
      <c r="C547" t="s">
        <v>49</v>
      </c>
      <c r="D547" t="s">
        <v>50</v>
      </c>
      <c r="E547">
        <v>15</v>
      </c>
      <c r="F547">
        <v>25</v>
      </c>
      <c r="G547">
        <v>2</v>
      </c>
      <c r="H547">
        <v>9</v>
      </c>
      <c r="I547" t="s">
        <v>11</v>
      </c>
    </row>
    <row r="548" spans="1:9" x14ac:dyDescent="0.35">
      <c r="A548">
        <v>211</v>
      </c>
      <c r="B548">
        <v>1</v>
      </c>
      <c r="C548" t="s">
        <v>39</v>
      </c>
      <c r="D548" t="s">
        <v>40</v>
      </c>
      <c r="E548">
        <v>12</v>
      </c>
      <c r="F548">
        <v>20</v>
      </c>
      <c r="G548">
        <v>1</v>
      </c>
      <c r="H548">
        <v>27</v>
      </c>
      <c r="I548" t="s">
        <v>11</v>
      </c>
    </row>
    <row r="549" spans="1:9" x14ac:dyDescent="0.35">
      <c r="A549">
        <v>212</v>
      </c>
      <c r="B549">
        <v>14</v>
      </c>
      <c r="C549" t="s">
        <v>12</v>
      </c>
      <c r="D549" t="s">
        <v>13</v>
      </c>
      <c r="E549">
        <v>18</v>
      </c>
      <c r="F549">
        <v>30</v>
      </c>
      <c r="G549">
        <v>3</v>
      </c>
      <c r="H549">
        <v>35</v>
      </c>
      <c r="I549" t="s">
        <v>14</v>
      </c>
    </row>
    <row r="550" spans="1:9" x14ac:dyDescent="0.35">
      <c r="A550">
        <v>212</v>
      </c>
      <c r="B550">
        <v>14</v>
      </c>
      <c r="C550" t="s">
        <v>47</v>
      </c>
      <c r="D550" t="s">
        <v>48</v>
      </c>
      <c r="E550">
        <v>15</v>
      </c>
      <c r="F550">
        <v>26</v>
      </c>
      <c r="G550">
        <v>3</v>
      </c>
      <c r="H550">
        <v>43</v>
      </c>
      <c r="I550" t="s">
        <v>14</v>
      </c>
    </row>
    <row r="551" spans="1:9" x14ac:dyDescent="0.35">
      <c r="A551">
        <v>212</v>
      </c>
      <c r="B551">
        <v>14</v>
      </c>
      <c r="C551" t="s">
        <v>43</v>
      </c>
      <c r="D551" t="s">
        <v>44</v>
      </c>
      <c r="E551">
        <v>13</v>
      </c>
      <c r="F551">
        <v>21</v>
      </c>
      <c r="G551">
        <v>1</v>
      </c>
      <c r="H551">
        <v>31</v>
      </c>
      <c r="I551" t="s">
        <v>14</v>
      </c>
    </row>
    <row r="552" spans="1:9" x14ac:dyDescent="0.35">
      <c r="A552">
        <v>212</v>
      </c>
      <c r="B552">
        <v>14</v>
      </c>
      <c r="C552" t="s">
        <v>27</v>
      </c>
      <c r="D552" t="s">
        <v>28</v>
      </c>
      <c r="E552">
        <v>16</v>
      </c>
      <c r="F552">
        <v>28</v>
      </c>
      <c r="G552">
        <v>2</v>
      </c>
      <c r="H552">
        <v>55</v>
      </c>
      <c r="I552" t="s">
        <v>14</v>
      </c>
    </row>
    <row r="553" spans="1:9" x14ac:dyDescent="0.35">
      <c r="A553">
        <v>213</v>
      </c>
      <c r="B553">
        <v>13</v>
      </c>
      <c r="C553" t="s">
        <v>17</v>
      </c>
      <c r="D553" t="s">
        <v>18</v>
      </c>
      <c r="E553">
        <v>16</v>
      </c>
      <c r="F553">
        <v>27</v>
      </c>
      <c r="G553">
        <v>1</v>
      </c>
      <c r="H553">
        <v>53</v>
      </c>
      <c r="I553" t="s">
        <v>11</v>
      </c>
    </row>
    <row r="554" spans="1:9" x14ac:dyDescent="0.35">
      <c r="A554">
        <v>213</v>
      </c>
      <c r="B554">
        <v>13</v>
      </c>
      <c r="C554" t="s">
        <v>12</v>
      </c>
      <c r="D554" t="s">
        <v>13</v>
      </c>
      <c r="E554">
        <v>18</v>
      </c>
      <c r="F554">
        <v>30</v>
      </c>
      <c r="G554">
        <v>2</v>
      </c>
      <c r="H554">
        <v>47</v>
      </c>
      <c r="I554" t="s">
        <v>14</v>
      </c>
    </row>
    <row r="555" spans="1:9" x14ac:dyDescent="0.35">
      <c r="A555">
        <v>214</v>
      </c>
      <c r="B555">
        <v>2</v>
      </c>
      <c r="C555" t="s">
        <v>37</v>
      </c>
      <c r="D555" t="s">
        <v>38</v>
      </c>
      <c r="E555">
        <v>20</v>
      </c>
      <c r="F555">
        <v>34</v>
      </c>
      <c r="G555">
        <v>2</v>
      </c>
      <c r="H555">
        <v>14</v>
      </c>
      <c r="I555" t="s">
        <v>11</v>
      </c>
    </row>
    <row r="556" spans="1:9" x14ac:dyDescent="0.35">
      <c r="A556">
        <v>214</v>
      </c>
      <c r="B556">
        <v>2</v>
      </c>
      <c r="C556" t="s">
        <v>19</v>
      </c>
      <c r="D556" t="s">
        <v>20</v>
      </c>
      <c r="E556">
        <v>25</v>
      </c>
      <c r="F556">
        <v>40</v>
      </c>
      <c r="G556">
        <v>3</v>
      </c>
      <c r="H556">
        <v>12</v>
      </c>
      <c r="I556" t="s">
        <v>14</v>
      </c>
    </row>
    <row r="557" spans="1:9" x14ac:dyDescent="0.35">
      <c r="A557">
        <v>214</v>
      </c>
      <c r="B557">
        <v>2</v>
      </c>
      <c r="C557" t="s">
        <v>39</v>
      </c>
      <c r="D557" t="s">
        <v>40</v>
      </c>
      <c r="E557">
        <v>12</v>
      </c>
      <c r="F557">
        <v>20</v>
      </c>
      <c r="G557">
        <v>2</v>
      </c>
      <c r="H557">
        <v>12</v>
      </c>
      <c r="I557" t="s">
        <v>14</v>
      </c>
    </row>
    <row r="558" spans="1:9" x14ac:dyDescent="0.35">
      <c r="A558">
        <v>215</v>
      </c>
      <c r="B558">
        <v>6</v>
      </c>
      <c r="C558" t="s">
        <v>37</v>
      </c>
      <c r="D558" t="s">
        <v>38</v>
      </c>
      <c r="E558">
        <v>20</v>
      </c>
      <c r="F558">
        <v>34</v>
      </c>
      <c r="G558">
        <v>2</v>
      </c>
      <c r="H558">
        <v>12</v>
      </c>
      <c r="I558" t="s">
        <v>11</v>
      </c>
    </row>
    <row r="559" spans="1:9" x14ac:dyDescent="0.35">
      <c r="A559">
        <v>215</v>
      </c>
      <c r="B559">
        <v>6</v>
      </c>
      <c r="C559" t="s">
        <v>12</v>
      </c>
      <c r="D559" t="s">
        <v>13</v>
      </c>
      <c r="E559">
        <v>18</v>
      </c>
      <c r="F559">
        <v>30</v>
      </c>
      <c r="G559">
        <v>3</v>
      </c>
      <c r="H559">
        <v>34</v>
      </c>
      <c r="I559" t="s">
        <v>11</v>
      </c>
    </row>
    <row r="560" spans="1:9" x14ac:dyDescent="0.35">
      <c r="A560">
        <v>216</v>
      </c>
      <c r="B560">
        <v>17</v>
      </c>
      <c r="C560" t="s">
        <v>49</v>
      </c>
      <c r="D560" t="s">
        <v>50</v>
      </c>
      <c r="E560">
        <v>15</v>
      </c>
      <c r="F560">
        <v>25</v>
      </c>
      <c r="G560">
        <v>1</v>
      </c>
      <c r="H560">
        <v>42</v>
      </c>
      <c r="I560" t="s">
        <v>11</v>
      </c>
    </row>
    <row r="561" spans="1:9" x14ac:dyDescent="0.35">
      <c r="A561">
        <v>216</v>
      </c>
      <c r="B561">
        <v>17</v>
      </c>
      <c r="C561" t="s">
        <v>43</v>
      </c>
      <c r="D561" t="s">
        <v>44</v>
      </c>
      <c r="E561">
        <v>13</v>
      </c>
      <c r="F561">
        <v>21</v>
      </c>
      <c r="G561">
        <v>3</v>
      </c>
      <c r="H561">
        <v>36</v>
      </c>
      <c r="I561" t="s">
        <v>11</v>
      </c>
    </row>
    <row r="562" spans="1:9" x14ac:dyDescent="0.35">
      <c r="A562">
        <v>216</v>
      </c>
      <c r="B562">
        <v>17</v>
      </c>
      <c r="C562" t="s">
        <v>17</v>
      </c>
      <c r="D562" t="s">
        <v>18</v>
      </c>
      <c r="E562">
        <v>16</v>
      </c>
      <c r="F562">
        <v>27</v>
      </c>
      <c r="G562">
        <v>2</v>
      </c>
      <c r="H562">
        <v>42</v>
      </c>
      <c r="I562" t="s">
        <v>11</v>
      </c>
    </row>
    <row r="563" spans="1:9" x14ac:dyDescent="0.35">
      <c r="A563">
        <v>217</v>
      </c>
      <c r="B563">
        <v>1</v>
      </c>
      <c r="C563" t="s">
        <v>33</v>
      </c>
      <c r="D563" t="s">
        <v>34</v>
      </c>
      <c r="E563">
        <v>19</v>
      </c>
      <c r="F563">
        <v>32</v>
      </c>
      <c r="G563">
        <v>3</v>
      </c>
      <c r="H563">
        <v>13</v>
      </c>
      <c r="I563" t="s">
        <v>14</v>
      </c>
    </row>
    <row r="564" spans="1:9" x14ac:dyDescent="0.35">
      <c r="A564">
        <v>218</v>
      </c>
      <c r="B564">
        <v>13</v>
      </c>
      <c r="C564" t="s">
        <v>29</v>
      </c>
      <c r="D564" t="s">
        <v>30</v>
      </c>
      <c r="E564">
        <v>11</v>
      </c>
      <c r="F564">
        <v>19</v>
      </c>
      <c r="G564">
        <v>3</v>
      </c>
      <c r="H564">
        <v>24</v>
      </c>
      <c r="I564" t="s">
        <v>14</v>
      </c>
    </row>
    <row r="565" spans="1:9" x14ac:dyDescent="0.35">
      <c r="A565">
        <v>218</v>
      </c>
      <c r="B565">
        <v>13</v>
      </c>
      <c r="C565" t="s">
        <v>17</v>
      </c>
      <c r="D565" t="s">
        <v>18</v>
      </c>
      <c r="E565">
        <v>16</v>
      </c>
      <c r="F565">
        <v>27</v>
      </c>
      <c r="G565">
        <v>3</v>
      </c>
      <c r="H565">
        <v>16</v>
      </c>
      <c r="I565" t="s">
        <v>11</v>
      </c>
    </row>
    <row r="566" spans="1:9" x14ac:dyDescent="0.35">
      <c r="A566">
        <v>218</v>
      </c>
      <c r="B566">
        <v>13</v>
      </c>
      <c r="C566" t="s">
        <v>41</v>
      </c>
      <c r="D566" t="s">
        <v>42</v>
      </c>
      <c r="E566">
        <v>14</v>
      </c>
      <c r="F566">
        <v>23</v>
      </c>
      <c r="G566">
        <v>2</v>
      </c>
      <c r="H566">
        <v>6</v>
      </c>
      <c r="I566" t="s">
        <v>11</v>
      </c>
    </row>
    <row r="567" spans="1:9" x14ac:dyDescent="0.35">
      <c r="A567">
        <v>219</v>
      </c>
      <c r="B567">
        <v>1</v>
      </c>
      <c r="C567" t="s">
        <v>41</v>
      </c>
      <c r="D567" t="s">
        <v>42</v>
      </c>
      <c r="E567">
        <v>14</v>
      </c>
      <c r="F567">
        <v>23</v>
      </c>
      <c r="G567">
        <v>2</v>
      </c>
      <c r="H567">
        <v>12</v>
      </c>
      <c r="I567" t="s">
        <v>11</v>
      </c>
    </row>
    <row r="568" spans="1:9" x14ac:dyDescent="0.35">
      <c r="A568">
        <v>219</v>
      </c>
      <c r="B568">
        <v>1</v>
      </c>
      <c r="C568" t="s">
        <v>15</v>
      </c>
      <c r="D568" t="s">
        <v>16</v>
      </c>
      <c r="E568">
        <v>19</v>
      </c>
      <c r="F568">
        <v>31</v>
      </c>
      <c r="G568">
        <v>3</v>
      </c>
      <c r="H568">
        <v>11</v>
      </c>
      <c r="I568" t="s">
        <v>14</v>
      </c>
    </row>
    <row r="569" spans="1:9" x14ac:dyDescent="0.35">
      <c r="A569">
        <v>220</v>
      </c>
      <c r="B569">
        <v>15</v>
      </c>
      <c r="C569" t="s">
        <v>9</v>
      </c>
      <c r="D569" t="s">
        <v>10</v>
      </c>
      <c r="E569">
        <v>14</v>
      </c>
      <c r="F569">
        <v>24</v>
      </c>
      <c r="G569">
        <v>1</v>
      </c>
      <c r="H569">
        <v>13</v>
      </c>
      <c r="I569" t="s">
        <v>11</v>
      </c>
    </row>
    <row r="570" spans="1:9" x14ac:dyDescent="0.35">
      <c r="A570">
        <v>221</v>
      </c>
      <c r="B570">
        <v>16</v>
      </c>
      <c r="C570" t="s">
        <v>33</v>
      </c>
      <c r="D570" t="s">
        <v>34</v>
      </c>
      <c r="E570">
        <v>19</v>
      </c>
      <c r="F570">
        <v>32</v>
      </c>
      <c r="G570">
        <v>3</v>
      </c>
      <c r="H570">
        <v>29</v>
      </c>
      <c r="I570" t="s">
        <v>11</v>
      </c>
    </row>
    <row r="571" spans="1:9" x14ac:dyDescent="0.35">
      <c r="A571">
        <v>221</v>
      </c>
      <c r="B571">
        <v>16</v>
      </c>
      <c r="C571" t="s">
        <v>37</v>
      </c>
      <c r="D571" t="s">
        <v>38</v>
      </c>
      <c r="E571">
        <v>20</v>
      </c>
      <c r="F571">
        <v>34</v>
      </c>
      <c r="G571">
        <v>2</v>
      </c>
      <c r="H571">
        <v>54</v>
      </c>
      <c r="I571" t="s">
        <v>14</v>
      </c>
    </row>
    <row r="572" spans="1:9" x14ac:dyDescent="0.35">
      <c r="A572">
        <v>221</v>
      </c>
      <c r="B572">
        <v>16</v>
      </c>
      <c r="C572" t="s">
        <v>23</v>
      </c>
      <c r="D572" t="s">
        <v>24</v>
      </c>
      <c r="E572">
        <v>17</v>
      </c>
      <c r="F572">
        <v>29</v>
      </c>
      <c r="G572">
        <v>1</v>
      </c>
      <c r="H572">
        <v>25</v>
      </c>
      <c r="I572" t="s">
        <v>11</v>
      </c>
    </row>
    <row r="573" spans="1:9" x14ac:dyDescent="0.35">
      <c r="A573">
        <v>222</v>
      </c>
      <c r="B573">
        <v>3</v>
      </c>
      <c r="C573" t="s">
        <v>41</v>
      </c>
      <c r="D573" t="s">
        <v>42</v>
      </c>
      <c r="E573">
        <v>14</v>
      </c>
      <c r="F573">
        <v>23</v>
      </c>
      <c r="G573">
        <v>3</v>
      </c>
      <c r="H573">
        <v>29</v>
      </c>
      <c r="I573" t="s">
        <v>11</v>
      </c>
    </row>
    <row r="574" spans="1:9" x14ac:dyDescent="0.35">
      <c r="A574">
        <v>222</v>
      </c>
      <c r="B574">
        <v>3</v>
      </c>
      <c r="C574" t="s">
        <v>27</v>
      </c>
      <c r="D574" t="s">
        <v>28</v>
      </c>
      <c r="E574">
        <v>16</v>
      </c>
      <c r="F574">
        <v>28</v>
      </c>
      <c r="G574">
        <v>1</v>
      </c>
      <c r="H574">
        <v>56</v>
      </c>
      <c r="I574" t="s">
        <v>11</v>
      </c>
    </row>
    <row r="575" spans="1:9" x14ac:dyDescent="0.35">
      <c r="A575">
        <v>223</v>
      </c>
      <c r="B575">
        <v>19</v>
      </c>
      <c r="C575" t="s">
        <v>33</v>
      </c>
      <c r="D575" t="s">
        <v>34</v>
      </c>
      <c r="E575">
        <v>19</v>
      </c>
      <c r="F575">
        <v>32</v>
      </c>
      <c r="G575">
        <v>1</v>
      </c>
      <c r="H575">
        <v>53</v>
      </c>
      <c r="I575" t="s">
        <v>11</v>
      </c>
    </row>
    <row r="576" spans="1:9" x14ac:dyDescent="0.35">
      <c r="A576">
        <v>224</v>
      </c>
      <c r="B576">
        <v>7</v>
      </c>
      <c r="C576" t="s">
        <v>47</v>
      </c>
      <c r="D576" t="s">
        <v>48</v>
      </c>
      <c r="E576">
        <v>15</v>
      </c>
      <c r="F576">
        <v>26</v>
      </c>
      <c r="G576">
        <v>2</v>
      </c>
      <c r="H576">
        <v>20</v>
      </c>
      <c r="I576" t="s">
        <v>11</v>
      </c>
    </row>
    <row r="577" spans="1:9" x14ac:dyDescent="0.35">
      <c r="A577">
        <v>225</v>
      </c>
      <c r="B577">
        <v>19</v>
      </c>
      <c r="C577" t="s">
        <v>25</v>
      </c>
      <c r="D577" t="s">
        <v>26</v>
      </c>
      <c r="E577">
        <v>20</v>
      </c>
      <c r="F577">
        <v>33</v>
      </c>
      <c r="G577">
        <v>3</v>
      </c>
      <c r="H577">
        <v>56</v>
      </c>
      <c r="I577" t="s">
        <v>14</v>
      </c>
    </row>
    <row r="578" spans="1:9" x14ac:dyDescent="0.35">
      <c r="A578">
        <v>225</v>
      </c>
      <c r="B578">
        <v>19</v>
      </c>
      <c r="C578" t="s">
        <v>41</v>
      </c>
      <c r="D578" t="s">
        <v>42</v>
      </c>
      <c r="E578">
        <v>14</v>
      </c>
      <c r="F578">
        <v>23</v>
      </c>
      <c r="G578">
        <v>3</v>
      </c>
      <c r="H578">
        <v>38</v>
      </c>
      <c r="I578" t="s">
        <v>14</v>
      </c>
    </row>
    <row r="579" spans="1:9" x14ac:dyDescent="0.35">
      <c r="A579">
        <v>226</v>
      </c>
      <c r="B579">
        <v>7</v>
      </c>
      <c r="C579" t="s">
        <v>39</v>
      </c>
      <c r="D579" t="s">
        <v>40</v>
      </c>
      <c r="E579">
        <v>12</v>
      </c>
      <c r="F579">
        <v>20</v>
      </c>
      <c r="G579">
        <v>2</v>
      </c>
      <c r="H579">
        <v>7</v>
      </c>
      <c r="I579" t="s">
        <v>11</v>
      </c>
    </row>
    <row r="580" spans="1:9" x14ac:dyDescent="0.35">
      <c r="A580">
        <v>226</v>
      </c>
      <c r="B580">
        <v>7</v>
      </c>
      <c r="C580" t="s">
        <v>43</v>
      </c>
      <c r="D580" t="s">
        <v>44</v>
      </c>
      <c r="E580">
        <v>13</v>
      </c>
      <c r="F580">
        <v>21</v>
      </c>
      <c r="G580">
        <v>1</v>
      </c>
      <c r="H580">
        <v>29</v>
      </c>
      <c r="I580" t="s">
        <v>14</v>
      </c>
    </row>
    <row r="581" spans="1:9" x14ac:dyDescent="0.35">
      <c r="A581">
        <v>226</v>
      </c>
      <c r="B581">
        <v>7</v>
      </c>
      <c r="C581" t="s">
        <v>17</v>
      </c>
      <c r="D581" t="s">
        <v>18</v>
      </c>
      <c r="E581">
        <v>16</v>
      </c>
      <c r="F581">
        <v>27</v>
      </c>
      <c r="G581">
        <v>3</v>
      </c>
      <c r="H581">
        <v>56</v>
      </c>
      <c r="I581" t="s">
        <v>11</v>
      </c>
    </row>
    <row r="582" spans="1:9" x14ac:dyDescent="0.35">
      <c r="A582">
        <v>226</v>
      </c>
      <c r="B582">
        <v>7</v>
      </c>
      <c r="C582" t="s">
        <v>23</v>
      </c>
      <c r="D582" t="s">
        <v>24</v>
      </c>
      <c r="E582">
        <v>17</v>
      </c>
      <c r="F582">
        <v>29</v>
      </c>
      <c r="G582">
        <v>1</v>
      </c>
      <c r="H582">
        <v>54</v>
      </c>
      <c r="I582" t="s">
        <v>14</v>
      </c>
    </row>
    <row r="583" spans="1:9" x14ac:dyDescent="0.35">
      <c r="A583">
        <v>227</v>
      </c>
      <c r="B583">
        <v>17</v>
      </c>
      <c r="C583" t="s">
        <v>9</v>
      </c>
      <c r="D583" t="s">
        <v>10</v>
      </c>
      <c r="E583">
        <v>14</v>
      </c>
      <c r="F583">
        <v>24</v>
      </c>
      <c r="G583">
        <v>1</v>
      </c>
      <c r="H583">
        <v>58</v>
      </c>
      <c r="I583" t="s">
        <v>11</v>
      </c>
    </row>
    <row r="584" spans="1:9" x14ac:dyDescent="0.35">
      <c r="A584">
        <v>227</v>
      </c>
      <c r="B584">
        <v>17</v>
      </c>
      <c r="C584" t="s">
        <v>15</v>
      </c>
      <c r="D584" t="s">
        <v>16</v>
      </c>
      <c r="E584">
        <v>19</v>
      </c>
      <c r="F584">
        <v>31</v>
      </c>
      <c r="G584">
        <v>3</v>
      </c>
      <c r="H584">
        <v>15</v>
      </c>
      <c r="I584" t="s">
        <v>14</v>
      </c>
    </row>
    <row r="585" spans="1:9" x14ac:dyDescent="0.35">
      <c r="A585">
        <v>227</v>
      </c>
      <c r="B585">
        <v>17</v>
      </c>
      <c r="C585" t="s">
        <v>27</v>
      </c>
      <c r="D585" t="s">
        <v>28</v>
      </c>
      <c r="E585">
        <v>16</v>
      </c>
      <c r="F585">
        <v>28</v>
      </c>
      <c r="G585">
        <v>1</v>
      </c>
      <c r="H585">
        <v>13</v>
      </c>
      <c r="I585" t="s">
        <v>11</v>
      </c>
    </row>
    <row r="586" spans="1:9" x14ac:dyDescent="0.35">
      <c r="A586">
        <v>227</v>
      </c>
      <c r="B586">
        <v>17</v>
      </c>
      <c r="C586" t="s">
        <v>25</v>
      </c>
      <c r="D586" t="s">
        <v>26</v>
      </c>
      <c r="E586">
        <v>20</v>
      </c>
      <c r="F586">
        <v>33</v>
      </c>
      <c r="G586">
        <v>2</v>
      </c>
      <c r="H586">
        <v>33</v>
      </c>
      <c r="I586" t="s">
        <v>11</v>
      </c>
    </row>
    <row r="587" spans="1:9" x14ac:dyDescent="0.35">
      <c r="A587">
        <v>228</v>
      </c>
      <c r="B587">
        <v>16</v>
      </c>
      <c r="C587" t="s">
        <v>41</v>
      </c>
      <c r="D587" t="s">
        <v>42</v>
      </c>
      <c r="E587">
        <v>14</v>
      </c>
      <c r="F587">
        <v>23</v>
      </c>
      <c r="G587">
        <v>3</v>
      </c>
      <c r="H587">
        <v>35</v>
      </c>
      <c r="I587" t="s">
        <v>11</v>
      </c>
    </row>
    <row r="588" spans="1:9" x14ac:dyDescent="0.35">
      <c r="A588">
        <v>229</v>
      </c>
      <c r="B588">
        <v>14</v>
      </c>
      <c r="C588" t="s">
        <v>49</v>
      </c>
      <c r="D588" t="s">
        <v>50</v>
      </c>
      <c r="E588">
        <v>15</v>
      </c>
      <c r="F588">
        <v>25</v>
      </c>
      <c r="G588">
        <v>1</v>
      </c>
      <c r="H588">
        <v>28</v>
      </c>
      <c r="I588" t="s">
        <v>14</v>
      </c>
    </row>
    <row r="589" spans="1:9" x14ac:dyDescent="0.35">
      <c r="A589">
        <v>229</v>
      </c>
      <c r="B589">
        <v>14</v>
      </c>
      <c r="C589" t="s">
        <v>31</v>
      </c>
      <c r="D589" t="s">
        <v>32</v>
      </c>
      <c r="E589">
        <v>21</v>
      </c>
      <c r="F589">
        <v>35</v>
      </c>
      <c r="G589">
        <v>1</v>
      </c>
      <c r="H589">
        <v>43</v>
      </c>
      <c r="I589" t="s">
        <v>11</v>
      </c>
    </row>
    <row r="590" spans="1:9" x14ac:dyDescent="0.35">
      <c r="A590">
        <v>229</v>
      </c>
      <c r="B590">
        <v>14</v>
      </c>
      <c r="C590" t="s">
        <v>21</v>
      </c>
      <c r="D590" t="s">
        <v>22</v>
      </c>
      <c r="E590">
        <v>22</v>
      </c>
      <c r="F590">
        <v>36</v>
      </c>
      <c r="G590">
        <v>1</v>
      </c>
      <c r="H590">
        <v>19</v>
      </c>
      <c r="I590" t="s">
        <v>14</v>
      </c>
    </row>
    <row r="591" spans="1:9" x14ac:dyDescent="0.35">
      <c r="A591">
        <v>229</v>
      </c>
      <c r="B591">
        <v>14</v>
      </c>
      <c r="C591" t="s">
        <v>27</v>
      </c>
      <c r="D591" t="s">
        <v>28</v>
      </c>
      <c r="E591">
        <v>16</v>
      </c>
      <c r="F591">
        <v>28</v>
      </c>
      <c r="G591">
        <v>1</v>
      </c>
      <c r="H591">
        <v>27</v>
      </c>
      <c r="I591" t="s">
        <v>14</v>
      </c>
    </row>
    <row r="592" spans="1:9" x14ac:dyDescent="0.35">
      <c r="A592">
        <v>230</v>
      </c>
      <c r="B592">
        <v>5</v>
      </c>
      <c r="C592" t="s">
        <v>33</v>
      </c>
      <c r="D592" t="s">
        <v>34</v>
      </c>
      <c r="E592">
        <v>19</v>
      </c>
      <c r="F592">
        <v>32</v>
      </c>
      <c r="G592">
        <v>3</v>
      </c>
      <c r="H592">
        <v>10</v>
      </c>
      <c r="I592" t="s">
        <v>14</v>
      </c>
    </row>
    <row r="593" spans="1:9" x14ac:dyDescent="0.35">
      <c r="A593">
        <v>230</v>
      </c>
      <c r="B593">
        <v>5</v>
      </c>
      <c r="C593" t="s">
        <v>27</v>
      </c>
      <c r="D593" t="s">
        <v>28</v>
      </c>
      <c r="E593">
        <v>16</v>
      </c>
      <c r="F593">
        <v>28</v>
      </c>
      <c r="G593">
        <v>2</v>
      </c>
      <c r="H593">
        <v>24</v>
      </c>
      <c r="I593" t="s">
        <v>14</v>
      </c>
    </row>
    <row r="594" spans="1:9" x14ac:dyDescent="0.35">
      <c r="A594">
        <v>230</v>
      </c>
      <c r="B594">
        <v>5</v>
      </c>
      <c r="C594" t="s">
        <v>15</v>
      </c>
      <c r="D594" t="s">
        <v>16</v>
      </c>
      <c r="E594">
        <v>19</v>
      </c>
      <c r="F594">
        <v>31</v>
      </c>
      <c r="G594">
        <v>2</v>
      </c>
      <c r="H594">
        <v>57</v>
      </c>
      <c r="I594" t="s">
        <v>14</v>
      </c>
    </row>
    <row r="595" spans="1:9" x14ac:dyDescent="0.35">
      <c r="A595">
        <v>231</v>
      </c>
      <c r="B595">
        <v>8</v>
      </c>
      <c r="C595" t="s">
        <v>43</v>
      </c>
      <c r="D595" t="s">
        <v>44</v>
      </c>
      <c r="E595">
        <v>13</v>
      </c>
      <c r="F595">
        <v>21</v>
      </c>
      <c r="G595">
        <v>2</v>
      </c>
      <c r="H595">
        <v>29</v>
      </c>
      <c r="I595" t="s">
        <v>14</v>
      </c>
    </row>
    <row r="596" spans="1:9" x14ac:dyDescent="0.35">
      <c r="A596">
        <v>231</v>
      </c>
      <c r="B596">
        <v>8</v>
      </c>
      <c r="C596" t="s">
        <v>37</v>
      </c>
      <c r="D596" t="s">
        <v>38</v>
      </c>
      <c r="E596">
        <v>20</v>
      </c>
      <c r="F596">
        <v>34</v>
      </c>
      <c r="G596">
        <v>3</v>
      </c>
      <c r="H596">
        <v>17</v>
      </c>
      <c r="I596" t="s">
        <v>14</v>
      </c>
    </row>
    <row r="597" spans="1:9" x14ac:dyDescent="0.35">
      <c r="A597">
        <v>231</v>
      </c>
      <c r="B597">
        <v>8</v>
      </c>
      <c r="C597" t="s">
        <v>15</v>
      </c>
      <c r="D597" t="s">
        <v>16</v>
      </c>
      <c r="E597">
        <v>19</v>
      </c>
      <c r="F597">
        <v>31</v>
      </c>
      <c r="G597">
        <v>1</v>
      </c>
      <c r="H597">
        <v>53</v>
      </c>
      <c r="I597" t="s">
        <v>14</v>
      </c>
    </row>
    <row r="598" spans="1:9" x14ac:dyDescent="0.35">
      <c r="A598">
        <v>231</v>
      </c>
      <c r="B598">
        <v>8</v>
      </c>
      <c r="C598" t="s">
        <v>25</v>
      </c>
      <c r="D598" t="s">
        <v>26</v>
      </c>
      <c r="E598">
        <v>20</v>
      </c>
      <c r="F598">
        <v>33</v>
      </c>
      <c r="G598">
        <v>1</v>
      </c>
      <c r="H598">
        <v>51</v>
      </c>
      <c r="I598" t="s">
        <v>11</v>
      </c>
    </row>
    <row r="599" spans="1:9" x14ac:dyDescent="0.35">
      <c r="A599">
        <v>232</v>
      </c>
      <c r="B599">
        <v>2</v>
      </c>
      <c r="C599" t="s">
        <v>9</v>
      </c>
      <c r="D599" t="s">
        <v>10</v>
      </c>
      <c r="E599">
        <v>14</v>
      </c>
      <c r="F599">
        <v>24</v>
      </c>
      <c r="G599">
        <v>1</v>
      </c>
      <c r="H599">
        <v>50</v>
      </c>
      <c r="I599" t="s">
        <v>14</v>
      </c>
    </row>
    <row r="600" spans="1:9" x14ac:dyDescent="0.35">
      <c r="A600">
        <v>232</v>
      </c>
      <c r="B600">
        <v>2</v>
      </c>
      <c r="C600" t="s">
        <v>17</v>
      </c>
      <c r="D600" t="s">
        <v>18</v>
      </c>
      <c r="E600">
        <v>16</v>
      </c>
      <c r="F600">
        <v>27</v>
      </c>
      <c r="G600">
        <v>2</v>
      </c>
      <c r="H600">
        <v>30</v>
      </c>
      <c r="I600" t="s">
        <v>14</v>
      </c>
    </row>
    <row r="601" spans="1:9" x14ac:dyDescent="0.35">
      <c r="A601">
        <v>232</v>
      </c>
      <c r="B601">
        <v>2</v>
      </c>
      <c r="C601" t="s">
        <v>12</v>
      </c>
      <c r="D601" t="s">
        <v>13</v>
      </c>
      <c r="E601">
        <v>18</v>
      </c>
      <c r="F601">
        <v>30</v>
      </c>
      <c r="G601">
        <v>2</v>
      </c>
      <c r="H601">
        <v>40</v>
      </c>
      <c r="I601" t="s">
        <v>14</v>
      </c>
    </row>
    <row r="602" spans="1:9" x14ac:dyDescent="0.35">
      <c r="A602">
        <v>232</v>
      </c>
      <c r="B602">
        <v>2</v>
      </c>
      <c r="C602" t="s">
        <v>47</v>
      </c>
      <c r="D602" t="s">
        <v>48</v>
      </c>
      <c r="E602">
        <v>15</v>
      </c>
      <c r="F602">
        <v>26</v>
      </c>
      <c r="G602">
        <v>2</v>
      </c>
      <c r="H602">
        <v>19</v>
      </c>
      <c r="I602" t="s">
        <v>11</v>
      </c>
    </row>
    <row r="603" spans="1:9" x14ac:dyDescent="0.35">
      <c r="A603">
        <v>233</v>
      </c>
      <c r="B603">
        <v>8</v>
      </c>
      <c r="C603" t="s">
        <v>29</v>
      </c>
      <c r="D603" t="s">
        <v>30</v>
      </c>
      <c r="E603">
        <v>11</v>
      </c>
      <c r="F603">
        <v>19</v>
      </c>
      <c r="G603">
        <v>2</v>
      </c>
      <c r="H603">
        <v>31</v>
      </c>
      <c r="I603" t="s">
        <v>14</v>
      </c>
    </row>
    <row r="604" spans="1:9" x14ac:dyDescent="0.35">
      <c r="A604">
        <v>234</v>
      </c>
      <c r="B604">
        <v>17</v>
      </c>
      <c r="C604" t="s">
        <v>12</v>
      </c>
      <c r="D604" t="s">
        <v>13</v>
      </c>
      <c r="E604">
        <v>18</v>
      </c>
      <c r="F604">
        <v>30</v>
      </c>
      <c r="G604">
        <v>2</v>
      </c>
      <c r="H604">
        <v>41</v>
      </c>
      <c r="I604" t="s">
        <v>14</v>
      </c>
    </row>
    <row r="605" spans="1:9" x14ac:dyDescent="0.35">
      <c r="A605">
        <v>234</v>
      </c>
      <c r="B605">
        <v>17</v>
      </c>
      <c r="C605" t="s">
        <v>9</v>
      </c>
      <c r="D605" t="s">
        <v>10</v>
      </c>
      <c r="E605">
        <v>14</v>
      </c>
      <c r="F605">
        <v>24</v>
      </c>
      <c r="G605">
        <v>3</v>
      </c>
      <c r="H605">
        <v>35</v>
      </c>
      <c r="I605" t="s">
        <v>11</v>
      </c>
    </row>
    <row r="606" spans="1:9" x14ac:dyDescent="0.35">
      <c r="A606">
        <v>234</v>
      </c>
      <c r="B606">
        <v>17</v>
      </c>
      <c r="C606" t="s">
        <v>15</v>
      </c>
      <c r="D606" t="s">
        <v>16</v>
      </c>
      <c r="E606">
        <v>19</v>
      </c>
      <c r="F606">
        <v>31</v>
      </c>
      <c r="G606">
        <v>3</v>
      </c>
      <c r="H606">
        <v>23</v>
      </c>
      <c r="I606" t="s">
        <v>14</v>
      </c>
    </row>
    <row r="607" spans="1:9" x14ac:dyDescent="0.35">
      <c r="A607">
        <v>235</v>
      </c>
      <c r="B607">
        <v>13</v>
      </c>
      <c r="C607" t="s">
        <v>25</v>
      </c>
      <c r="D607" t="s">
        <v>26</v>
      </c>
      <c r="E607">
        <v>20</v>
      </c>
      <c r="F607">
        <v>33</v>
      </c>
      <c r="G607">
        <v>1</v>
      </c>
      <c r="H607">
        <v>25</v>
      </c>
      <c r="I607" t="s">
        <v>11</v>
      </c>
    </row>
    <row r="608" spans="1:9" x14ac:dyDescent="0.35">
      <c r="A608">
        <v>236</v>
      </c>
      <c r="B608">
        <v>12</v>
      </c>
      <c r="C608" t="s">
        <v>25</v>
      </c>
      <c r="D608" t="s">
        <v>26</v>
      </c>
      <c r="E608">
        <v>20</v>
      </c>
      <c r="F608">
        <v>33</v>
      </c>
      <c r="G608">
        <v>3</v>
      </c>
      <c r="H608">
        <v>21</v>
      </c>
      <c r="I608" t="s">
        <v>11</v>
      </c>
    </row>
    <row r="609" spans="1:9" x14ac:dyDescent="0.35">
      <c r="A609">
        <v>236</v>
      </c>
      <c r="B609">
        <v>12</v>
      </c>
      <c r="C609" t="s">
        <v>35</v>
      </c>
      <c r="D609" t="s">
        <v>36</v>
      </c>
      <c r="E609">
        <v>13</v>
      </c>
      <c r="F609">
        <v>22</v>
      </c>
      <c r="G609">
        <v>1</v>
      </c>
      <c r="H609">
        <v>7</v>
      </c>
      <c r="I609" t="s">
        <v>11</v>
      </c>
    </row>
    <row r="610" spans="1:9" x14ac:dyDescent="0.35">
      <c r="A610">
        <v>236</v>
      </c>
      <c r="B610">
        <v>12</v>
      </c>
      <c r="C610" t="s">
        <v>31</v>
      </c>
      <c r="D610" t="s">
        <v>32</v>
      </c>
      <c r="E610">
        <v>21</v>
      </c>
      <c r="F610">
        <v>35</v>
      </c>
      <c r="G610">
        <v>2</v>
      </c>
      <c r="H610">
        <v>43</v>
      </c>
      <c r="I610" t="s">
        <v>14</v>
      </c>
    </row>
    <row r="611" spans="1:9" x14ac:dyDescent="0.35">
      <c r="A611">
        <v>236</v>
      </c>
      <c r="B611">
        <v>12</v>
      </c>
      <c r="C611" t="s">
        <v>33</v>
      </c>
      <c r="D611" t="s">
        <v>34</v>
      </c>
      <c r="E611">
        <v>19</v>
      </c>
      <c r="F611">
        <v>32</v>
      </c>
      <c r="G611">
        <v>2</v>
      </c>
      <c r="H611">
        <v>30</v>
      </c>
      <c r="I611" t="s">
        <v>11</v>
      </c>
    </row>
    <row r="612" spans="1:9" x14ac:dyDescent="0.35">
      <c r="A612">
        <v>237</v>
      </c>
      <c r="B612">
        <v>4</v>
      </c>
      <c r="C612" t="s">
        <v>41</v>
      </c>
      <c r="D612" t="s">
        <v>42</v>
      </c>
      <c r="E612">
        <v>14</v>
      </c>
      <c r="F612">
        <v>23</v>
      </c>
      <c r="G612">
        <v>2</v>
      </c>
      <c r="H612">
        <v>12</v>
      </c>
      <c r="I612" t="s">
        <v>11</v>
      </c>
    </row>
    <row r="613" spans="1:9" x14ac:dyDescent="0.35">
      <c r="A613">
        <v>237</v>
      </c>
      <c r="B613">
        <v>4</v>
      </c>
      <c r="C613" t="s">
        <v>12</v>
      </c>
      <c r="D613" t="s">
        <v>13</v>
      </c>
      <c r="E613">
        <v>18</v>
      </c>
      <c r="F613">
        <v>30</v>
      </c>
      <c r="G613">
        <v>2</v>
      </c>
      <c r="H613">
        <v>25</v>
      </c>
      <c r="I613" t="s">
        <v>14</v>
      </c>
    </row>
    <row r="614" spans="1:9" x14ac:dyDescent="0.35">
      <c r="A614">
        <v>238</v>
      </c>
      <c r="B614">
        <v>13</v>
      </c>
      <c r="C614" t="s">
        <v>21</v>
      </c>
      <c r="D614" t="s">
        <v>22</v>
      </c>
      <c r="E614">
        <v>22</v>
      </c>
      <c r="F614">
        <v>36</v>
      </c>
      <c r="G614">
        <v>2</v>
      </c>
      <c r="H614">
        <v>45</v>
      </c>
      <c r="I614" t="s">
        <v>14</v>
      </c>
    </row>
    <row r="615" spans="1:9" x14ac:dyDescent="0.35">
      <c r="A615">
        <v>239</v>
      </c>
      <c r="B615">
        <v>12</v>
      </c>
      <c r="C615" t="s">
        <v>47</v>
      </c>
      <c r="D615" t="s">
        <v>48</v>
      </c>
      <c r="E615">
        <v>15</v>
      </c>
      <c r="F615">
        <v>26</v>
      </c>
      <c r="G615">
        <v>1</v>
      </c>
      <c r="H615">
        <v>36</v>
      </c>
      <c r="I615" t="s">
        <v>11</v>
      </c>
    </row>
    <row r="616" spans="1:9" x14ac:dyDescent="0.35">
      <c r="A616">
        <v>239</v>
      </c>
      <c r="B616">
        <v>12</v>
      </c>
      <c r="C616" t="s">
        <v>9</v>
      </c>
      <c r="D616" t="s">
        <v>10</v>
      </c>
      <c r="E616">
        <v>14</v>
      </c>
      <c r="F616">
        <v>24</v>
      </c>
      <c r="G616">
        <v>2</v>
      </c>
      <c r="H616">
        <v>37</v>
      </c>
      <c r="I616" t="s">
        <v>11</v>
      </c>
    </row>
    <row r="617" spans="1:9" x14ac:dyDescent="0.35">
      <c r="A617">
        <v>240</v>
      </c>
      <c r="B617">
        <v>9</v>
      </c>
      <c r="C617" t="s">
        <v>15</v>
      </c>
      <c r="D617" t="s">
        <v>16</v>
      </c>
      <c r="E617">
        <v>19</v>
      </c>
      <c r="F617">
        <v>31</v>
      </c>
      <c r="G617">
        <v>3</v>
      </c>
      <c r="H617">
        <v>32</v>
      </c>
      <c r="I617" t="s">
        <v>14</v>
      </c>
    </row>
    <row r="618" spans="1:9" x14ac:dyDescent="0.35">
      <c r="A618">
        <v>240</v>
      </c>
      <c r="B618">
        <v>9</v>
      </c>
      <c r="C618" t="s">
        <v>41</v>
      </c>
      <c r="D618" t="s">
        <v>42</v>
      </c>
      <c r="E618">
        <v>14</v>
      </c>
      <c r="F618">
        <v>23</v>
      </c>
      <c r="G618">
        <v>3</v>
      </c>
      <c r="H618">
        <v>32</v>
      </c>
      <c r="I618" t="s">
        <v>14</v>
      </c>
    </row>
    <row r="619" spans="1:9" x14ac:dyDescent="0.35">
      <c r="A619">
        <v>240</v>
      </c>
      <c r="B619">
        <v>9</v>
      </c>
      <c r="C619" t="s">
        <v>45</v>
      </c>
      <c r="D619" t="s">
        <v>46</v>
      </c>
      <c r="E619">
        <v>10</v>
      </c>
      <c r="F619">
        <v>18</v>
      </c>
      <c r="G619">
        <v>2</v>
      </c>
      <c r="H619">
        <v>46</v>
      </c>
      <c r="I619" t="s">
        <v>11</v>
      </c>
    </row>
    <row r="620" spans="1:9" x14ac:dyDescent="0.35">
      <c r="A620">
        <v>240</v>
      </c>
      <c r="B620">
        <v>9</v>
      </c>
      <c r="C620" t="s">
        <v>33</v>
      </c>
      <c r="D620" t="s">
        <v>34</v>
      </c>
      <c r="E620">
        <v>19</v>
      </c>
      <c r="F620">
        <v>32</v>
      </c>
      <c r="G620">
        <v>3</v>
      </c>
      <c r="H620">
        <v>19</v>
      </c>
      <c r="I620" t="s">
        <v>11</v>
      </c>
    </row>
    <row r="621" spans="1:9" x14ac:dyDescent="0.35">
      <c r="A621">
        <v>241</v>
      </c>
      <c r="B621">
        <v>12</v>
      </c>
      <c r="C621" t="s">
        <v>45</v>
      </c>
      <c r="D621" t="s">
        <v>46</v>
      </c>
      <c r="E621">
        <v>10</v>
      </c>
      <c r="F621">
        <v>18</v>
      </c>
      <c r="G621">
        <v>1</v>
      </c>
      <c r="H621">
        <v>11</v>
      </c>
      <c r="I621" t="s">
        <v>14</v>
      </c>
    </row>
    <row r="622" spans="1:9" x14ac:dyDescent="0.35">
      <c r="A622">
        <v>242</v>
      </c>
      <c r="B622">
        <v>12</v>
      </c>
      <c r="C622" t="s">
        <v>47</v>
      </c>
      <c r="D622" t="s">
        <v>48</v>
      </c>
      <c r="E622">
        <v>15</v>
      </c>
      <c r="F622">
        <v>26</v>
      </c>
      <c r="G622">
        <v>1</v>
      </c>
      <c r="H622">
        <v>54</v>
      </c>
      <c r="I622" t="s">
        <v>11</v>
      </c>
    </row>
    <row r="623" spans="1:9" x14ac:dyDescent="0.35">
      <c r="A623">
        <v>242</v>
      </c>
      <c r="B623">
        <v>12</v>
      </c>
      <c r="C623" t="s">
        <v>49</v>
      </c>
      <c r="D623" t="s">
        <v>50</v>
      </c>
      <c r="E623">
        <v>15</v>
      </c>
      <c r="F623">
        <v>25</v>
      </c>
      <c r="G623">
        <v>3</v>
      </c>
      <c r="H623">
        <v>40</v>
      </c>
      <c r="I623" t="s">
        <v>14</v>
      </c>
    </row>
    <row r="624" spans="1:9" x14ac:dyDescent="0.35">
      <c r="A624">
        <v>242</v>
      </c>
      <c r="B624">
        <v>12</v>
      </c>
      <c r="C624" t="s">
        <v>25</v>
      </c>
      <c r="D624" t="s">
        <v>26</v>
      </c>
      <c r="E624">
        <v>20</v>
      </c>
      <c r="F624">
        <v>33</v>
      </c>
      <c r="G624">
        <v>1</v>
      </c>
      <c r="H624">
        <v>5</v>
      </c>
      <c r="I624" t="s">
        <v>11</v>
      </c>
    </row>
    <row r="625" spans="1:9" x14ac:dyDescent="0.35">
      <c r="A625">
        <v>243</v>
      </c>
      <c r="B625">
        <v>4</v>
      </c>
      <c r="C625" t="s">
        <v>19</v>
      </c>
      <c r="D625" t="s">
        <v>20</v>
      </c>
      <c r="E625">
        <v>25</v>
      </c>
      <c r="F625">
        <v>40</v>
      </c>
      <c r="G625">
        <v>3</v>
      </c>
      <c r="H625">
        <v>22</v>
      </c>
      <c r="I625" t="s">
        <v>14</v>
      </c>
    </row>
    <row r="626" spans="1:9" x14ac:dyDescent="0.35">
      <c r="A626">
        <v>244</v>
      </c>
      <c r="B626">
        <v>17</v>
      </c>
      <c r="C626" t="s">
        <v>19</v>
      </c>
      <c r="D626" t="s">
        <v>20</v>
      </c>
      <c r="E626">
        <v>25</v>
      </c>
      <c r="F626">
        <v>40</v>
      </c>
      <c r="G626">
        <v>3</v>
      </c>
      <c r="H626">
        <v>30</v>
      </c>
      <c r="I626" t="s">
        <v>11</v>
      </c>
    </row>
    <row r="627" spans="1:9" x14ac:dyDescent="0.35">
      <c r="A627">
        <v>244</v>
      </c>
      <c r="B627">
        <v>17</v>
      </c>
      <c r="C627" t="s">
        <v>29</v>
      </c>
      <c r="D627" t="s">
        <v>30</v>
      </c>
      <c r="E627">
        <v>11</v>
      </c>
      <c r="F627">
        <v>19</v>
      </c>
      <c r="G627">
        <v>2</v>
      </c>
      <c r="H627">
        <v>59</v>
      </c>
      <c r="I627" t="s">
        <v>11</v>
      </c>
    </row>
    <row r="628" spans="1:9" x14ac:dyDescent="0.35">
      <c r="A628">
        <v>245</v>
      </c>
      <c r="B628">
        <v>11</v>
      </c>
      <c r="C628" t="s">
        <v>45</v>
      </c>
      <c r="D628" t="s">
        <v>46</v>
      </c>
      <c r="E628">
        <v>10</v>
      </c>
      <c r="F628">
        <v>18</v>
      </c>
      <c r="G628">
        <v>3</v>
      </c>
      <c r="H628">
        <v>45</v>
      </c>
      <c r="I628" t="s">
        <v>14</v>
      </c>
    </row>
    <row r="629" spans="1:9" x14ac:dyDescent="0.35">
      <c r="A629">
        <v>245</v>
      </c>
      <c r="B629">
        <v>11</v>
      </c>
      <c r="C629" t="s">
        <v>15</v>
      </c>
      <c r="D629" t="s">
        <v>16</v>
      </c>
      <c r="E629">
        <v>19</v>
      </c>
      <c r="F629">
        <v>31</v>
      </c>
      <c r="G629">
        <v>1</v>
      </c>
      <c r="H629">
        <v>23</v>
      </c>
      <c r="I629" t="s">
        <v>11</v>
      </c>
    </row>
    <row r="630" spans="1:9" x14ac:dyDescent="0.35">
      <c r="A630">
        <v>245</v>
      </c>
      <c r="B630">
        <v>11</v>
      </c>
      <c r="C630" t="s">
        <v>19</v>
      </c>
      <c r="D630" t="s">
        <v>20</v>
      </c>
      <c r="E630">
        <v>25</v>
      </c>
      <c r="F630">
        <v>40</v>
      </c>
      <c r="G630">
        <v>2</v>
      </c>
      <c r="H630">
        <v>23</v>
      </c>
      <c r="I630" t="s">
        <v>11</v>
      </c>
    </row>
    <row r="631" spans="1:9" x14ac:dyDescent="0.35">
      <c r="A631">
        <v>245</v>
      </c>
      <c r="B631">
        <v>11</v>
      </c>
      <c r="C631" t="s">
        <v>21</v>
      </c>
      <c r="D631" t="s">
        <v>22</v>
      </c>
      <c r="E631">
        <v>22</v>
      </c>
      <c r="F631">
        <v>36</v>
      </c>
      <c r="G631">
        <v>3</v>
      </c>
      <c r="H631">
        <v>25</v>
      </c>
      <c r="I631" t="s">
        <v>14</v>
      </c>
    </row>
    <row r="632" spans="1:9" x14ac:dyDescent="0.35">
      <c r="A632">
        <v>246</v>
      </c>
      <c r="B632">
        <v>2</v>
      </c>
      <c r="C632" t="s">
        <v>17</v>
      </c>
      <c r="D632" t="s">
        <v>18</v>
      </c>
      <c r="E632">
        <v>16</v>
      </c>
      <c r="F632">
        <v>27</v>
      </c>
      <c r="G632">
        <v>3</v>
      </c>
      <c r="H632">
        <v>36</v>
      </c>
      <c r="I632" t="s">
        <v>14</v>
      </c>
    </row>
    <row r="633" spans="1:9" x14ac:dyDescent="0.35">
      <c r="A633">
        <v>246</v>
      </c>
      <c r="B633">
        <v>2</v>
      </c>
      <c r="C633" t="s">
        <v>9</v>
      </c>
      <c r="D633" t="s">
        <v>10</v>
      </c>
      <c r="E633">
        <v>14</v>
      </c>
      <c r="F633">
        <v>24</v>
      </c>
      <c r="G633">
        <v>2</v>
      </c>
      <c r="H633">
        <v>10</v>
      </c>
      <c r="I633" t="s">
        <v>11</v>
      </c>
    </row>
    <row r="634" spans="1:9" x14ac:dyDescent="0.35">
      <c r="A634">
        <v>246</v>
      </c>
      <c r="B634">
        <v>2</v>
      </c>
      <c r="C634" t="s">
        <v>31</v>
      </c>
      <c r="D634" t="s">
        <v>32</v>
      </c>
      <c r="E634">
        <v>21</v>
      </c>
      <c r="F634">
        <v>35</v>
      </c>
      <c r="G634">
        <v>3</v>
      </c>
      <c r="H634">
        <v>48</v>
      </c>
      <c r="I634" t="s">
        <v>11</v>
      </c>
    </row>
    <row r="635" spans="1:9" x14ac:dyDescent="0.35">
      <c r="A635">
        <v>246</v>
      </c>
      <c r="B635">
        <v>2</v>
      </c>
      <c r="C635" t="s">
        <v>15</v>
      </c>
      <c r="D635" t="s">
        <v>16</v>
      </c>
      <c r="E635">
        <v>19</v>
      </c>
      <c r="F635">
        <v>31</v>
      </c>
      <c r="G635">
        <v>3</v>
      </c>
      <c r="H635">
        <v>52</v>
      </c>
      <c r="I635" t="s">
        <v>11</v>
      </c>
    </row>
    <row r="636" spans="1:9" x14ac:dyDescent="0.35">
      <c r="A636">
        <v>247</v>
      </c>
      <c r="B636">
        <v>11</v>
      </c>
      <c r="C636" t="s">
        <v>25</v>
      </c>
      <c r="D636" t="s">
        <v>26</v>
      </c>
      <c r="E636">
        <v>20</v>
      </c>
      <c r="F636">
        <v>33</v>
      </c>
      <c r="G636">
        <v>2</v>
      </c>
      <c r="H636">
        <v>59</v>
      </c>
      <c r="I636" t="s">
        <v>14</v>
      </c>
    </row>
    <row r="637" spans="1:9" x14ac:dyDescent="0.35">
      <c r="A637">
        <v>248</v>
      </c>
      <c r="B637">
        <v>12</v>
      </c>
      <c r="C637" t="s">
        <v>37</v>
      </c>
      <c r="D637" t="s">
        <v>38</v>
      </c>
      <c r="E637">
        <v>20</v>
      </c>
      <c r="F637">
        <v>34</v>
      </c>
      <c r="G637">
        <v>1</v>
      </c>
      <c r="H637">
        <v>32</v>
      </c>
      <c r="I637" t="s">
        <v>14</v>
      </c>
    </row>
    <row r="638" spans="1:9" x14ac:dyDescent="0.35">
      <c r="A638">
        <v>248</v>
      </c>
      <c r="B638">
        <v>12</v>
      </c>
      <c r="C638" t="s">
        <v>23</v>
      </c>
      <c r="D638" t="s">
        <v>24</v>
      </c>
      <c r="E638">
        <v>17</v>
      </c>
      <c r="F638">
        <v>29</v>
      </c>
      <c r="G638">
        <v>3</v>
      </c>
      <c r="H638">
        <v>51</v>
      </c>
      <c r="I638" t="s">
        <v>14</v>
      </c>
    </row>
    <row r="639" spans="1:9" x14ac:dyDescent="0.35">
      <c r="A639">
        <v>248</v>
      </c>
      <c r="B639">
        <v>12</v>
      </c>
      <c r="C639" t="s">
        <v>17</v>
      </c>
      <c r="D639" t="s">
        <v>18</v>
      </c>
      <c r="E639">
        <v>16</v>
      </c>
      <c r="F639">
        <v>27</v>
      </c>
      <c r="G639">
        <v>2</v>
      </c>
      <c r="H639">
        <v>6</v>
      </c>
      <c r="I639" t="s">
        <v>14</v>
      </c>
    </row>
    <row r="640" spans="1:9" x14ac:dyDescent="0.35">
      <c r="A640">
        <v>248</v>
      </c>
      <c r="B640">
        <v>12</v>
      </c>
      <c r="C640" t="s">
        <v>49</v>
      </c>
      <c r="D640" t="s">
        <v>50</v>
      </c>
      <c r="E640">
        <v>15</v>
      </c>
      <c r="F640">
        <v>25</v>
      </c>
      <c r="G640">
        <v>2</v>
      </c>
      <c r="H640">
        <v>31</v>
      </c>
      <c r="I640" t="s">
        <v>11</v>
      </c>
    </row>
    <row r="641" spans="1:9" x14ac:dyDescent="0.35">
      <c r="A641">
        <v>249</v>
      </c>
      <c r="B641">
        <v>8</v>
      </c>
      <c r="C641" t="s">
        <v>35</v>
      </c>
      <c r="D641" t="s">
        <v>36</v>
      </c>
      <c r="E641">
        <v>13</v>
      </c>
      <c r="F641">
        <v>22</v>
      </c>
      <c r="G641">
        <v>2</v>
      </c>
      <c r="H641">
        <v>51</v>
      </c>
      <c r="I641" t="s">
        <v>14</v>
      </c>
    </row>
    <row r="642" spans="1:9" x14ac:dyDescent="0.35">
      <c r="A642">
        <v>249</v>
      </c>
      <c r="B642">
        <v>8</v>
      </c>
      <c r="C642" t="s">
        <v>45</v>
      </c>
      <c r="D642" t="s">
        <v>46</v>
      </c>
      <c r="E642">
        <v>10</v>
      </c>
      <c r="F642">
        <v>18</v>
      </c>
      <c r="G642">
        <v>2</v>
      </c>
      <c r="H642">
        <v>58</v>
      </c>
      <c r="I642" t="s">
        <v>11</v>
      </c>
    </row>
    <row r="643" spans="1:9" x14ac:dyDescent="0.35">
      <c r="A643">
        <v>250</v>
      </c>
      <c r="B643">
        <v>8</v>
      </c>
      <c r="C643" t="s">
        <v>39</v>
      </c>
      <c r="D643" t="s">
        <v>40</v>
      </c>
      <c r="E643">
        <v>12</v>
      </c>
      <c r="F643">
        <v>20</v>
      </c>
      <c r="G643">
        <v>1</v>
      </c>
      <c r="H643">
        <v>29</v>
      </c>
      <c r="I643" t="s">
        <v>14</v>
      </c>
    </row>
    <row r="644" spans="1:9" x14ac:dyDescent="0.35">
      <c r="A644">
        <v>251</v>
      </c>
      <c r="B644">
        <v>12</v>
      </c>
      <c r="C644" t="s">
        <v>47</v>
      </c>
      <c r="D644" t="s">
        <v>48</v>
      </c>
      <c r="E644">
        <v>15</v>
      </c>
      <c r="F644">
        <v>26</v>
      </c>
      <c r="G644">
        <v>1</v>
      </c>
      <c r="H644">
        <v>25</v>
      </c>
      <c r="I644" t="s">
        <v>14</v>
      </c>
    </row>
    <row r="645" spans="1:9" x14ac:dyDescent="0.35">
      <c r="A645">
        <v>251</v>
      </c>
      <c r="B645">
        <v>12</v>
      </c>
      <c r="C645" t="s">
        <v>35</v>
      </c>
      <c r="D645" t="s">
        <v>36</v>
      </c>
      <c r="E645">
        <v>13</v>
      </c>
      <c r="F645">
        <v>22</v>
      </c>
      <c r="G645">
        <v>1</v>
      </c>
      <c r="H645">
        <v>34</v>
      </c>
      <c r="I645" t="s">
        <v>11</v>
      </c>
    </row>
    <row r="646" spans="1:9" x14ac:dyDescent="0.35">
      <c r="A646">
        <v>251</v>
      </c>
      <c r="B646">
        <v>12</v>
      </c>
      <c r="C646" t="s">
        <v>41</v>
      </c>
      <c r="D646" t="s">
        <v>42</v>
      </c>
      <c r="E646">
        <v>14</v>
      </c>
      <c r="F646">
        <v>23</v>
      </c>
      <c r="G646">
        <v>1</v>
      </c>
      <c r="H646">
        <v>23</v>
      </c>
      <c r="I646" t="s">
        <v>14</v>
      </c>
    </row>
    <row r="647" spans="1:9" x14ac:dyDescent="0.35">
      <c r="A647">
        <v>251</v>
      </c>
      <c r="B647">
        <v>12</v>
      </c>
      <c r="C647" t="s">
        <v>29</v>
      </c>
      <c r="D647" t="s">
        <v>30</v>
      </c>
      <c r="E647">
        <v>11</v>
      </c>
      <c r="F647">
        <v>19</v>
      </c>
      <c r="G647">
        <v>2</v>
      </c>
      <c r="H647">
        <v>40</v>
      </c>
      <c r="I647" t="s">
        <v>14</v>
      </c>
    </row>
    <row r="648" spans="1:9" x14ac:dyDescent="0.35">
      <c r="A648">
        <v>252</v>
      </c>
      <c r="B648">
        <v>4</v>
      </c>
      <c r="C648" t="s">
        <v>49</v>
      </c>
      <c r="D648" t="s">
        <v>50</v>
      </c>
      <c r="E648">
        <v>15</v>
      </c>
      <c r="F648">
        <v>25</v>
      </c>
      <c r="G648">
        <v>2</v>
      </c>
      <c r="H648">
        <v>53</v>
      </c>
      <c r="I648" t="s">
        <v>14</v>
      </c>
    </row>
    <row r="649" spans="1:9" x14ac:dyDescent="0.35">
      <c r="A649">
        <v>252</v>
      </c>
      <c r="B649">
        <v>4</v>
      </c>
      <c r="C649" t="s">
        <v>47</v>
      </c>
      <c r="D649" t="s">
        <v>48</v>
      </c>
      <c r="E649">
        <v>15</v>
      </c>
      <c r="F649">
        <v>26</v>
      </c>
      <c r="G649">
        <v>2</v>
      </c>
      <c r="H649">
        <v>31</v>
      </c>
      <c r="I649" t="s">
        <v>11</v>
      </c>
    </row>
    <row r="650" spans="1:9" x14ac:dyDescent="0.35">
      <c r="A650">
        <v>253</v>
      </c>
      <c r="B650">
        <v>8</v>
      </c>
      <c r="C650" t="s">
        <v>49</v>
      </c>
      <c r="D650" t="s">
        <v>50</v>
      </c>
      <c r="E650">
        <v>15</v>
      </c>
      <c r="F650">
        <v>25</v>
      </c>
      <c r="G650">
        <v>1</v>
      </c>
      <c r="H650">
        <v>18</v>
      </c>
      <c r="I650" t="s">
        <v>11</v>
      </c>
    </row>
    <row r="651" spans="1:9" x14ac:dyDescent="0.35">
      <c r="A651">
        <v>253</v>
      </c>
      <c r="B651">
        <v>8</v>
      </c>
      <c r="C651" t="s">
        <v>43</v>
      </c>
      <c r="D651" t="s">
        <v>44</v>
      </c>
      <c r="E651">
        <v>13</v>
      </c>
      <c r="F651">
        <v>21</v>
      </c>
      <c r="G651">
        <v>2</v>
      </c>
      <c r="H651">
        <v>8</v>
      </c>
      <c r="I651" t="s">
        <v>11</v>
      </c>
    </row>
    <row r="652" spans="1:9" x14ac:dyDescent="0.35">
      <c r="A652">
        <v>253</v>
      </c>
      <c r="B652">
        <v>8</v>
      </c>
      <c r="C652" t="s">
        <v>23</v>
      </c>
      <c r="D652" t="s">
        <v>24</v>
      </c>
      <c r="E652">
        <v>17</v>
      </c>
      <c r="F652">
        <v>29</v>
      </c>
      <c r="G652">
        <v>3</v>
      </c>
      <c r="H652">
        <v>29</v>
      </c>
      <c r="I652" t="s">
        <v>14</v>
      </c>
    </row>
    <row r="653" spans="1:9" x14ac:dyDescent="0.35">
      <c r="A653">
        <v>254</v>
      </c>
      <c r="B653">
        <v>10</v>
      </c>
      <c r="C653" t="s">
        <v>15</v>
      </c>
      <c r="D653" t="s">
        <v>16</v>
      </c>
      <c r="E653">
        <v>19</v>
      </c>
      <c r="F653">
        <v>31</v>
      </c>
      <c r="G653">
        <v>3</v>
      </c>
      <c r="H653">
        <v>33</v>
      </c>
      <c r="I653" t="s">
        <v>11</v>
      </c>
    </row>
    <row r="654" spans="1:9" x14ac:dyDescent="0.35">
      <c r="A654">
        <v>254</v>
      </c>
      <c r="B654">
        <v>10</v>
      </c>
      <c r="C654" t="s">
        <v>47</v>
      </c>
      <c r="D654" t="s">
        <v>48</v>
      </c>
      <c r="E654">
        <v>15</v>
      </c>
      <c r="F654">
        <v>26</v>
      </c>
      <c r="G654">
        <v>2</v>
      </c>
      <c r="H654">
        <v>10</v>
      </c>
      <c r="I654" t="s">
        <v>14</v>
      </c>
    </row>
    <row r="655" spans="1:9" x14ac:dyDescent="0.35">
      <c r="A655">
        <v>254</v>
      </c>
      <c r="B655">
        <v>10</v>
      </c>
      <c r="C655" t="s">
        <v>37</v>
      </c>
      <c r="D655" t="s">
        <v>38</v>
      </c>
      <c r="E655">
        <v>20</v>
      </c>
      <c r="F655">
        <v>34</v>
      </c>
      <c r="G655">
        <v>2</v>
      </c>
      <c r="H655">
        <v>56</v>
      </c>
      <c r="I655" t="s">
        <v>11</v>
      </c>
    </row>
    <row r="656" spans="1:9" x14ac:dyDescent="0.35">
      <c r="A656">
        <v>254</v>
      </c>
      <c r="B656">
        <v>10</v>
      </c>
      <c r="C656" t="s">
        <v>27</v>
      </c>
      <c r="D656" t="s">
        <v>28</v>
      </c>
      <c r="E656">
        <v>16</v>
      </c>
      <c r="F656">
        <v>28</v>
      </c>
      <c r="G656">
        <v>3</v>
      </c>
      <c r="H656">
        <v>42</v>
      </c>
      <c r="I656" t="s">
        <v>14</v>
      </c>
    </row>
    <row r="657" spans="1:9" x14ac:dyDescent="0.35">
      <c r="A657">
        <v>255</v>
      </c>
      <c r="B657">
        <v>8</v>
      </c>
      <c r="C657" t="s">
        <v>49</v>
      </c>
      <c r="D657" t="s">
        <v>50</v>
      </c>
      <c r="E657">
        <v>15</v>
      </c>
      <c r="F657">
        <v>25</v>
      </c>
      <c r="G657">
        <v>1</v>
      </c>
      <c r="H657">
        <v>37</v>
      </c>
      <c r="I657" t="s">
        <v>11</v>
      </c>
    </row>
    <row r="658" spans="1:9" x14ac:dyDescent="0.35">
      <c r="A658">
        <v>256</v>
      </c>
      <c r="B658">
        <v>5</v>
      </c>
      <c r="C658" t="s">
        <v>43</v>
      </c>
      <c r="D658" t="s">
        <v>44</v>
      </c>
      <c r="E658">
        <v>13</v>
      </c>
      <c r="F658">
        <v>21</v>
      </c>
      <c r="G658">
        <v>1</v>
      </c>
      <c r="H658">
        <v>16</v>
      </c>
      <c r="I658" t="s">
        <v>11</v>
      </c>
    </row>
    <row r="659" spans="1:9" x14ac:dyDescent="0.35">
      <c r="A659">
        <v>257</v>
      </c>
      <c r="B659">
        <v>12</v>
      </c>
      <c r="C659" t="s">
        <v>41</v>
      </c>
      <c r="D659" t="s">
        <v>42</v>
      </c>
      <c r="E659">
        <v>14</v>
      </c>
      <c r="F659">
        <v>23</v>
      </c>
      <c r="G659">
        <v>2</v>
      </c>
      <c r="H659">
        <v>28</v>
      </c>
      <c r="I659" t="s">
        <v>14</v>
      </c>
    </row>
    <row r="660" spans="1:9" x14ac:dyDescent="0.35">
      <c r="A660">
        <v>258</v>
      </c>
      <c r="B660">
        <v>12</v>
      </c>
      <c r="C660" t="s">
        <v>49</v>
      </c>
      <c r="D660" t="s">
        <v>50</v>
      </c>
      <c r="E660">
        <v>15</v>
      </c>
      <c r="F660">
        <v>25</v>
      </c>
      <c r="G660">
        <v>1</v>
      </c>
      <c r="H660">
        <v>59</v>
      </c>
      <c r="I660" t="s">
        <v>11</v>
      </c>
    </row>
    <row r="661" spans="1:9" x14ac:dyDescent="0.35">
      <c r="A661">
        <v>258</v>
      </c>
      <c r="B661">
        <v>12</v>
      </c>
      <c r="C661" t="s">
        <v>39</v>
      </c>
      <c r="D661" t="s">
        <v>40</v>
      </c>
      <c r="E661">
        <v>12</v>
      </c>
      <c r="F661">
        <v>20</v>
      </c>
      <c r="G661">
        <v>1</v>
      </c>
      <c r="H661">
        <v>31</v>
      </c>
      <c r="I661" t="s">
        <v>11</v>
      </c>
    </row>
    <row r="662" spans="1:9" x14ac:dyDescent="0.35">
      <c r="A662">
        <v>258</v>
      </c>
      <c r="B662">
        <v>12</v>
      </c>
      <c r="C662" t="s">
        <v>33</v>
      </c>
      <c r="D662" t="s">
        <v>34</v>
      </c>
      <c r="E662">
        <v>19</v>
      </c>
      <c r="F662">
        <v>32</v>
      </c>
      <c r="G662">
        <v>1</v>
      </c>
      <c r="H662">
        <v>5</v>
      </c>
      <c r="I662" t="s">
        <v>11</v>
      </c>
    </row>
    <row r="663" spans="1:9" x14ac:dyDescent="0.35">
      <c r="A663">
        <v>258</v>
      </c>
      <c r="B663">
        <v>12</v>
      </c>
      <c r="C663" t="s">
        <v>19</v>
      </c>
      <c r="D663" t="s">
        <v>20</v>
      </c>
      <c r="E663">
        <v>25</v>
      </c>
      <c r="F663">
        <v>40</v>
      </c>
      <c r="G663">
        <v>1</v>
      </c>
      <c r="H663">
        <v>10</v>
      </c>
      <c r="I663" t="s">
        <v>11</v>
      </c>
    </row>
    <row r="664" spans="1:9" x14ac:dyDescent="0.35">
      <c r="A664">
        <v>259</v>
      </c>
      <c r="B664">
        <v>10</v>
      </c>
      <c r="C664" t="s">
        <v>17</v>
      </c>
      <c r="D664" t="s">
        <v>18</v>
      </c>
      <c r="E664">
        <v>16</v>
      </c>
      <c r="F664">
        <v>27</v>
      </c>
      <c r="G664">
        <v>3</v>
      </c>
      <c r="H664">
        <v>11</v>
      </c>
      <c r="I664" t="s">
        <v>14</v>
      </c>
    </row>
    <row r="665" spans="1:9" x14ac:dyDescent="0.35">
      <c r="A665">
        <v>260</v>
      </c>
      <c r="B665">
        <v>20</v>
      </c>
      <c r="C665" t="s">
        <v>41</v>
      </c>
      <c r="D665" t="s">
        <v>42</v>
      </c>
      <c r="E665">
        <v>14</v>
      </c>
      <c r="F665">
        <v>23</v>
      </c>
      <c r="G665">
        <v>3</v>
      </c>
      <c r="H665">
        <v>49</v>
      </c>
      <c r="I665" t="s">
        <v>14</v>
      </c>
    </row>
    <row r="666" spans="1:9" x14ac:dyDescent="0.35">
      <c r="A666">
        <v>261</v>
      </c>
      <c r="B666">
        <v>8</v>
      </c>
      <c r="C666" t="s">
        <v>33</v>
      </c>
      <c r="D666" t="s">
        <v>34</v>
      </c>
      <c r="E666">
        <v>19</v>
      </c>
      <c r="F666">
        <v>32</v>
      </c>
      <c r="G666">
        <v>3</v>
      </c>
      <c r="H666">
        <v>19</v>
      </c>
      <c r="I666" t="s">
        <v>14</v>
      </c>
    </row>
    <row r="667" spans="1:9" x14ac:dyDescent="0.35">
      <c r="A667">
        <v>261</v>
      </c>
      <c r="B667">
        <v>8</v>
      </c>
      <c r="C667" t="s">
        <v>23</v>
      </c>
      <c r="D667" t="s">
        <v>24</v>
      </c>
      <c r="E667">
        <v>17</v>
      </c>
      <c r="F667">
        <v>29</v>
      </c>
      <c r="G667">
        <v>2</v>
      </c>
      <c r="H667">
        <v>36</v>
      </c>
      <c r="I667" t="s">
        <v>14</v>
      </c>
    </row>
    <row r="668" spans="1:9" x14ac:dyDescent="0.35">
      <c r="A668">
        <v>262</v>
      </c>
      <c r="B668">
        <v>18</v>
      </c>
      <c r="C668" t="s">
        <v>35</v>
      </c>
      <c r="D668" t="s">
        <v>36</v>
      </c>
      <c r="E668">
        <v>13</v>
      </c>
      <c r="F668">
        <v>22</v>
      </c>
      <c r="G668">
        <v>1</v>
      </c>
      <c r="H668">
        <v>28</v>
      </c>
      <c r="I668" t="s">
        <v>14</v>
      </c>
    </row>
    <row r="669" spans="1:9" x14ac:dyDescent="0.35">
      <c r="A669">
        <v>262</v>
      </c>
      <c r="B669">
        <v>18</v>
      </c>
      <c r="C669" t="s">
        <v>15</v>
      </c>
      <c r="D669" t="s">
        <v>16</v>
      </c>
      <c r="E669">
        <v>19</v>
      </c>
      <c r="F669">
        <v>31</v>
      </c>
      <c r="G669">
        <v>3</v>
      </c>
      <c r="H669">
        <v>20</v>
      </c>
      <c r="I669" t="s">
        <v>14</v>
      </c>
    </row>
    <row r="670" spans="1:9" x14ac:dyDescent="0.35">
      <c r="A670">
        <v>263</v>
      </c>
      <c r="B670">
        <v>5</v>
      </c>
      <c r="C670" t="s">
        <v>33</v>
      </c>
      <c r="D670" t="s">
        <v>34</v>
      </c>
      <c r="E670">
        <v>19</v>
      </c>
      <c r="F670">
        <v>32</v>
      </c>
      <c r="G670">
        <v>1</v>
      </c>
      <c r="H670">
        <v>37</v>
      </c>
      <c r="I670" t="s">
        <v>14</v>
      </c>
    </row>
    <row r="671" spans="1:9" x14ac:dyDescent="0.35">
      <c r="A671">
        <v>263</v>
      </c>
      <c r="B671">
        <v>5</v>
      </c>
      <c r="C671" t="s">
        <v>31</v>
      </c>
      <c r="D671" t="s">
        <v>32</v>
      </c>
      <c r="E671">
        <v>21</v>
      </c>
      <c r="F671">
        <v>35</v>
      </c>
      <c r="G671">
        <v>1</v>
      </c>
      <c r="H671">
        <v>30</v>
      </c>
      <c r="I671" t="s">
        <v>14</v>
      </c>
    </row>
    <row r="672" spans="1:9" x14ac:dyDescent="0.35">
      <c r="A672">
        <v>263</v>
      </c>
      <c r="B672">
        <v>5</v>
      </c>
      <c r="C672" t="s">
        <v>12</v>
      </c>
      <c r="D672" t="s">
        <v>13</v>
      </c>
      <c r="E672">
        <v>18</v>
      </c>
      <c r="F672">
        <v>30</v>
      </c>
      <c r="G672">
        <v>1</v>
      </c>
      <c r="H672">
        <v>42</v>
      </c>
      <c r="I672" t="s">
        <v>11</v>
      </c>
    </row>
    <row r="673" spans="1:9" x14ac:dyDescent="0.35">
      <c r="A673">
        <v>263</v>
      </c>
      <c r="B673">
        <v>5</v>
      </c>
      <c r="C673" t="s">
        <v>9</v>
      </c>
      <c r="D673" t="s">
        <v>10</v>
      </c>
      <c r="E673">
        <v>14</v>
      </c>
      <c r="F673">
        <v>24</v>
      </c>
      <c r="G673">
        <v>1</v>
      </c>
      <c r="H673">
        <v>40</v>
      </c>
      <c r="I673" t="s">
        <v>14</v>
      </c>
    </row>
    <row r="674" spans="1:9" x14ac:dyDescent="0.35">
      <c r="A674">
        <v>264</v>
      </c>
      <c r="B674">
        <v>2</v>
      </c>
      <c r="C674" t="s">
        <v>31</v>
      </c>
      <c r="D674" t="s">
        <v>32</v>
      </c>
      <c r="E674">
        <v>21</v>
      </c>
      <c r="F674">
        <v>35</v>
      </c>
      <c r="G674">
        <v>2</v>
      </c>
      <c r="H674">
        <v>39</v>
      </c>
      <c r="I674" t="s">
        <v>14</v>
      </c>
    </row>
    <row r="675" spans="1:9" x14ac:dyDescent="0.35">
      <c r="A675">
        <v>264</v>
      </c>
      <c r="B675">
        <v>2</v>
      </c>
      <c r="C675" t="s">
        <v>33</v>
      </c>
      <c r="D675" t="s">
        <v>34</v>
      </c>
      <c r="E675">
        <v>19</v>
      </c>
      <c r="F675">
        <v>32</v>
      </c>
      <c r="G675">
        <v>1</v>
      </c>
      <c r="H675">
        <v>27</v>
      </c>
      <c r="I675" t="s">
        <v>14</v>
      </c>
    </row>
    <row r="676" spans="1:9" x14ac:dyDescent="0.35">
      <c r="A676">
        <v>264</v>
      </c>
      <c r="B676">
        <v>2</v>
      </c>
      <c r="C676" t="s">
        <v>12</v>
      </c>
      <c r="D676" t="s">
        <v>13</v>
      </c>
      <c r="E676">
        <v>18</v>
      </c>
      <c r="F676">
        <v>30</v>
      </c>
      <c r="G676">
        <v>1</v>
      </c>
      <c r="H676">
        <v>37</v>
      </c>
      <c r="I676" t="s">
        <v>11</v>
      </c>
    </row>
    <row r="677" spans="1:9" x14ac:dyDescent="0.35">
      <c r="A677">
        <v>264</v>
      </c>
      <c r="B677">
        <v>2</v>
      </c>
      <c r="C677" t="s">
        <v>49</v>
      </c>
      <c r="D677" t="s">
        <v>50</v>
      </c>
      <c r="E677">
        <v>15</v>
      </c>
      <c r="F677">
        <v>25</v>
      </c>
      <c r="G677">
        <v>2</v>
      </c>
      <c r="H677">
        <v>14</v>
      </c>
      <c r="I677" t="s">
        <v>11</v>
      </c>
    </row>
    <row r="678" spans="1:9" x14ac:dyDescent="0.35">
      <c r="A678">
        <v>265</v>
      </c>
      <c r="B678">
        <v>6</v>
      </c>
      <c r="C678" t="s">
        <v>41</v>
      </c>
      <c r="D678" t="s">
        <v>42</v>
      </c>
      <c r="E678">
        <v>14</v>
      </c>
      <c r="F678">
        <v>23</v>
      </c>
      <c r="G678">
        <v>1</v>
      </c>
      <c r="H678">
        <v>12</v>
      </c>
      <c r="I678" t="s">
        <v>11</v>
      </c>
    </row>
    <row r="679" spans="1:9" x14ac:dyDescent="0.35">
      <c r="A679">
        <v>265</v>
      </c>
      <c r="B679">
        <v>6</v>
      </c>
      <c r="C679" t="s">
        <v>15</v>
      </c>
      <c r="D679" t="s">
        <v>16</v>
      </c>
      <c r="E679">
        <v>19</v>
      </c>
      <c r="F679">
        <v>31</v>
      </c>
      <c r="G679">
        <v>1</v>
      </c>
      <c r="H679">
        <v>17</v>
      </c>
      <c r="I679" t="s">
        <v>14</v>
      </c>
    </row>
    <row r="680" spans="1:9" x14ac:dyDescent="0.35">
      <c r="A680">
        <v>265</v>
      </c>
      <c r="B680">
        <v>6</v>
      </c>
      <c r="C680" t="s">
        <v>17</v>
      </c>
      <c r="D680" t="s">
        <v>18</v>
      </c>
      <c r="E680">
        <v>16</v>
      </c>
      <c r="F680">
        <v>27</v>
      </c>
      <c r="G680">
        <v>1</v>
      </c>
      <c r="H680">
        <v>56</v>
      </c>
      <c r="I680" t="s">
        <v>11</v>
      </c>
    </row>
    <row r="681" spans="1:9" x14ac:dyDescent="0.35">
      <c r="A681">
        <v>265</v>
      </c>
      <c r="B681">
        <v>6</v>
      </c>
      <c r="C681" t="s">
        <v>12</v>
      </c>
      <c r="D681" t="s">
        <v>13</v>
      </c>
      <c r="E681">
        <v>18</v>
      </c>
      <c r="F681">
        <v>30</v>
      </c>
      <c r="G681">
        <v>3</v>
      </c>
      <c r="H681">
        <v>50</v>
      </c>
      <c r="I681" t="s">
        <v>14</v>
      </c>
    </row>
    <row r="682" spans="1:9" x14ac:dyDescent="0.35">
      <c r="A682">
        <v>266</v>
      </c>
      <c r="B682">
        <v>4</v>
      </c>
      <c r="C682" t="s">
        <v>9</v>
      </c>
      <c r="D682" t="s">
        <v>10</v>
      </c>
      <c r="E682">
        <v>14</v>
      </c>
      <c r="F682">
        <v>24</v>
      </c>
      <c r="G682">
        <v>1</v>
      </c>
      <c r="H682">
        <v>53</v>
      </c>
      <c r="I682" t="s">
        <v>11</v>
      </c>
    </row>
    <row r="683" spans="1:9" x14ac:dyDescent="0.35">
      <c r="A683">
        <v>266</v>
      </c>
      <c r="B683">
        <v>4</v>
      </c>
      <c r="C683" t="s">
        <v>49</v>
      </c>
      <c r="D683" t="s">
        <v>50</v>
      </c>
      <c r="E683">
        <v>15</v>
      </c>
      <c r="F683">
        <v>25</v>
      </c>
      <c r="G683">
        <v>3</v>
      </c>
      <c r="H683">
        <v>53</v>
      </c>
      <c r="I683" t="s">
        <v>11</v>
      </c>
    </row>
    <row r="684" spans="1:9" x14ac:dyDescent="0.35">
      <c r="A684">
        <v>267</v>
      </c>
      <c r="B684">
        <v>7</v>
      </c>
      <c r="C684" t="s">
        <v>33</v>
      </c>
      <c r="D684" t="s">
        <v>34</v>
      </c>
      <c r="E684">
        <v>19</v>
      </c>
      <c r="F684">
        <v>32</v>
      </c>
      <c r="G684">
        <v>1</v>
      </c>
      <c r="H684">
        <v>45</v>
      </c>
      <c r="I684" t="s">
        <v>14</v>
      </c>
    </row>
    <row r="685" spans="1:9" x14ac:dyDescent="0.35">
      <c r="A685">
        <v>267</v>
      </c>
      <c r="B685">
        <v>7</v>
      </c>
      <c r="C685" t="s">
        <v>27</v>
      </c>
      <c r="D685" t="s">
        <v>28</v>
      </c>
      <c r="E685">
        <v>16</v>
      </c>
      <c r="F685">
        <v>28</v>
      </c>
      <c r="G685">
        <v>2</v>
      </c>
      <c r="H685">
        <v>23</v>
      </c>
      <c r="I685" t="s">
        <v>11</v>
      </c>
    </row>
    <row r="686" spans="1:9" x14ac:dyDescent="0.35">
      <c r="A686">
        <v>267</v>
      </c>
      <c r="B686">
        <v>7</v>
      </c>
      <c r="C686" t="s">
        <v>12</v>
      </c>
      <c r="D686" t="s">
        <v>13</v>
      </c>
      <c r="E686">
        <v>18</v>
      </c>
      <c r="F686">
        <v>30</v>
      </c>
      <c r="G686">
        <v>1</v>
      </c>
      <c r="H686">
        <v>28</v>
      </c>
      <c r="I686" t="s">
        <v>14</v>
      </c>
    </row>
    <row r="687" spans="1:9" x14ac:dyDescent="0.35">
      <c r="A687">
        <v>268</v>
      </c>
      <c r="B687">
        <v>14</v>
      </c>
      <c r="C687" t="s">
        <v>9</v>
      </c>
      <c r="D687" t="s">
        <v>10</v>
      </c>
      <c r="E687">
        <v>14</v>
      </c>
      <c r="F687">
        <v>24</v>
      </c>
      <c r="G687">
        <v>1</v>
      </c>
      <c r="H687">
        <v>39</v>
      </c>
      <c r="I687" t="s">
        <v>14</v>
      </c>
    </row>
    <row r="688" spans="1:9" x14ac:dyDescent="0.35">
      <c r="A688">
        <v>268</v>
      </c>
      <c r="B688">
        <v>14</v>
      </c>
      <c r="C688" t="s">
        <v>35</v>
      </c>
      <c r="D688" t="s">
        <v>36</v>
      </c>
      <c r="E688">
        <v>13</v>
      </c>
      <c r="F688">
        <v>22</v>
      </c>
      <c r="G688">
        <v>2</v>
      </c>
      <c r="H688">
        <v>44</v>
      </c>
      <c r="I688" t="s">
        <v>14</v>
      </c>
    </row>
    <row r="689" spans="1:9" x14ac:dyDescent="0.35">
      <c r="A689">
        <v>269</v>
      </c>
      <c r="B689">
        <v>11</v>
      </c>
      <c r="C689" t="s">
        <v>21</v>
      </c>
      <c r="D689" t="s">
        <v>22</v>
      </c>
      <c r="E689">
        <v>22</v>
      </c>
      <c r="F689">
        <v>36</v>
      </c>
      <c r="G689">
        <v>3</v>
      </c>
      <c r="H689">
        <v>13</v>
      </c>
      <c r="I689" t="s">
        <v>11</v>
      </c>
    </row>
    <row r="690" spans="1:9" x14ac:dyDescent="0.35">
      <c r="A690">
        <v>269</v>
      </c>
      <c r="B690">
        <v>11</v>
      </c>
      <c r="C690" t="s">
        <v>19</v>
      </c>
      <c r="D690" t="s">
        <v>20</v>
      </c>
      <c r="E690">
        <v>25</v>
      </c>
      <c r="F690">
        <v>40</v>
      </c>
      <c r="G690">
        <v>1</v>
      </c>
      <c r="H690">
        <v>58</v>
      </c>
      <c r="I690" t="s">
        <v>14</v>
      </c>
    </row>
    <row r="691" spans="1:9" x14ac:dyDescent="0.35">
      <c r="A691">
        <v>269</v>
      </c>
      <c r="B691">
        <v>11</v>
      </c>
      <c r="C691" t="s">
        <v>37</v>
      </c>
      <c r="D691" t="s">
        <v>38</v>
      </c>
      <c r="E691">
        <v>20</v>
      </c>
      <c r="F691">
        <v>34</v>
      </c>
      <c r="G691">
        <v>3</v>
      </c>
      <c r="H691">
        <v>30</v>
      </c>
      <c r="I691" t="s">
        <v>14</v>
      </c>
    </row>
    <row r="692" spans="1:9" x14ac:dyDescent="0.35">
      <c r="A692">
        <v>270</v>
      </c>
      <c r="B692">
        <v>10</v>
      </c>
      <c r="C692" t="s">
        <v>37</v>
      </c>
      <c r="D692" t="s">
        <v>38</v>
      </c>
      <c r="E692">
        <v>20</v>
      </c>
      <c r="F692">
        <v>34</v>
      </c>
      <c r="G692">
        <v>3</v>
      </c>
      <c r="H692">
        <v>26</v>
      </c>
      <c r="I692" t="s">
        <v>11</v>
      </c>
    </row>
    <row r="693" spans="1:9" x14ac:dyDescent="0.35">
      <c r="A693">
        <v>271</v>
      </c>
      <c r="B693">
        <v>3</v>
      </c>
      <c r="C693" t="s">
        <v>35</v>
      </c>
      <c r="D693" t="s">
        <v>36</v>
      </c>
      <c r="E693">
        <v>13</v>
      </c>
      <c r="F693">
        <v>22</v>
      </c>
      <c r="G693">
        <v>2</v>
      </c>
      <c r="H693">
        <v>55</v>
      </c>
      <c r="I693" t="s">
        <v>14</v>
      </c>
    </row>
    <row r="694" spans="1:9" x14ac:dyDescent="0.35">
      <c r="A694">
        <v>272</v>
      </c>
      <c r="B694">
        <v>7</v>
      </c>
      <c r="C694" t="s">
        <v>9</v>
      </c>
      <c r="D694" t="s">
        <v>10</v>
      </c>
      <c r="E694">
        <v>14</v>
      </c>
      <c r="F694">
        <v>24</v>
      </c>
      <c r="G694">
        <v>2</v>
      </c>
      <c r="H694">
        <v>36</v>
      </c>
      <c r="I694" t="s">
        <v>11</v>
      </c>
    </row>
    <row r="695" spans="1:9" x14ac:dyDescent="0.35">
      <c r="A695">
        <v>272</v>
      </c>
      <c r="B695">
        <v>7</v>
      </c>
      <c r="C695" t="s">
        <v>31</v>
      </c>
      <c r="D695" t="s">
        <v>32</v>
      </c>
      <c r="E695">
        <v>21</v>
      </c>
      <c r="F695">
        <v>35</v>
      </c>
      <c r="G695">
        <v>1</v>
      </c>
      <c r="H695">
        <v>47</v>
      </c>
      <c r="I695" t="s">
        <v>14</v>
      </c>
    </row>
    <row r="696" spans="1:9" x14ac:dyDescent="0.35">
      <c r="A696">
        <v>273</v>
      </c>
      <c r="B696">
        <v>20</v>
      </c>
      <c r="C696" t="s">
        <v>33</v>
      </c>
      <c r="D696" t="s">
        <v>34</v>
      </c>
      <c r="E696">
        <v>19</v>
      </c>
      <c r="F696">
        <v>32</v>
      </c>
      <c r="G696">
        <v>1</v>
      </c>
      <c r="H696">
        <v>22</v>
      </c>
      <c r="I696" t="s">
        <v>14</v>
      </c>
    </row>
    <row r="697" spans="1:9" x14ac:dyDescent="0.35">
      <c r="A697">
        <v>273</v>
      </c>
      <c r="B697">
        <v>20</v>
      </c>
      <c r="C697" t="s">
        <v>35</v>
      </c>
      <c r="D697" t="s">
        <v>36</v>
      </c>
      <c r="E697">
        <v>13</v>
      </c>
      <c r="F697">
        <v>22</v>
      </c>
      <c r="G697">
        <v>3</v>
      </c>
      <c r="H697">
        <v>40</v>
      </c>
      <c r="I697" t="s">
        <v>11</v>
      </c>
    </row>
    <row r="698" spans="1:9" x14ac:dyDescent="0.35">
      <c r="A698">
        <v>273</v>
      </c>
      <c r="B698">
        <v>20</v>
      </c>
      <c r="C698" t="s">
        <v>49</v>
      </c>
      <c r="D698" t="s">
        <v>50</v>
      </c>
      <c r="E698">
        <v>15</v>
      </c>
      <c r="F698">
        <v>25</v>
      </c>
      <c r="G698">
        <v>1</v>
      </c>
      <c r="H698">
        <v>5</v>
      </c>
      <c r="I698" t="s">
        <v>14</v>
      </c>
    </row>
    <row r="699" spans="1:9" x14ac:dyDescent="0.35">
      <c r="A699">
        <v>274</v>
      </c>
      <c r="B699">
        <v>7</v>
      </c>
      <c r="C699" t="s">
        <v>47</v>
      </c>
      <c r="D699" t="s">
        <v>48</v>
      </c>
      <c r="E699">
        <v>15</v>
      </c>
      <c r="F699">
        <v>26</v>
      </c>
      <c r="G699">
        <v>3</v>
      </c>
      <c r="H699">
        <v>33</v>
      </c>
      <c r="I699" t="s">
        <v>11</v>
      </c>
    </row>
    <row r="700" spans="1:9" x14ac:dyDescent="0.35">
      <c r="A700">
        <v>274</v>
      </c>
      <c r="B700">
        <v>7</v>
      </c>
      <c r="C700" t="s">
        <v>29</v>
      </c>
      <c r="D700" t="s">
        <v>30</v>
      </c>
      <c r="E700">
        <v>11</v>
      </c>
      <c r="F700">
        <v>19</v>
      </c>
      <c r="G700">
        <v>2</v>
      </c>
      <c r="H700">
        <v>42</v>
      </c>
      <c r="I700" t="s">
        <v>14</v>
      </c>
    </row>
    <row r="701" spans="1:9" x14ac:dyDescent="0.35">
      <c r="A701">
        <v>275</v>
      </c>
      <c r="B701">
        <v>5</v>
      </c>
      <c r="C701" t="s">
        <v>25</v>
      </c>
      <c r="D701" t="s">
        <v>26</v>
      </c>
      <c r="E701">
        <v>20</v>
      </c>
      <c r="F701">
        <v>33</v>
      </c>
      <c r="G701">
        <v>1</v>
      </c>
      <c r="H701">
        <v>32</v>
      </c>
      <c r="I701" t="s">
        <v>14</v>
      </c>
    </row>
    <row r="702" spans="1:9" x14ac:dyDescent="0.35">
      <c r="A702">
        <v>275</v>
      </c>
      <c r="B702">
        <v>5</v>
      </c>
      <c r="C702" t="s">
        <v>15</v>
      </c>
      <c r="D702" t="s">
        <v>16</v>
      </c>
      <c r="E702">
        <v>19</v>
      </c>
      <c r="F702">
        <v>31</v>
      </c>
      <c r="G702">
        <v>2</v>
      </c>
      <c r="H702">
        <v>32</v>
      </c>
      <c r="I702" t="s">
        <v>11</v>
      </c>
    </row>
    <row r="703" spans="1:9" x14ac:dyDescent="0.35">
      <c r="A703">
        <v>275</v>
      </c>
      <c r="B703">
        <v>5</v>
      </c>
      <c r="C703" t="s">
        <v>47</v>
      </c>
      <c r="D703" t="s">
        <v>48</v>
      </c>
      <c r="E703">
        <v>15</v>
      </c>
      <c r="F703">
        <v>26</v>
      </c>
      <c r="G703">
        <v>1</v>
      </c>
      <c r="H703">
        <v>58</v>
      </c>
      <c r="I703" t="s">
        <v>11</v>
      </c>
    </row>
    <row r="704" spans="1:9" x14ac:dyDescent="0.35">
      <c r="A704">
        <v>276</v>
      </c>
      <c r="B704">
        <v>15</v>
      </c>
      <c r="C704" t="s">
        <v>35</v>
      </c>
      <c r="D704" t="s">
        <v>36</v>
      </c>
      <c r="E704">
        <v>13</v>
      </c>
      <c r="F704">
        <v>22</v>
      </c>
      <c r="G704">
        <v>2</v>
      </c>
      <c r="H704">
        <v>49</v>
      </c>
      <c r="I704" t="s">
        <v>11</v>
      </c>
    </row>
    <row r="705" spans="1:9" x14ac:dyDescent="0.35">
      <c r="A705">
        <v>276</v>
      </c>
      <c r="B705">
        <v>15</v>
      </c>
      <c r="C705" t="s">
        <v>47</v>
      </c>
      <c r="D705" t="s">
        <v>48</v>
      </c>
      <c r="E705">
        <v>15</v>
      </c>
      <c r="F705">
        <v>26</v>
      </c>
      <c r="G705">
        <v>1</v>
      </c>
      <c r="H705">
        <v>36</v>
      </c>
      <c r="I705" t="s">
        <v>14</v>
      </c>
    </row>
    <row r="706" spans="1:9" x14ac:dyDescent="0.35">
      <c r="A706">
        <v>277</v>
      </c>
      <c r="B706">
        <v>4</v>
      </c>
      <c r="C706" t="s">
        <v>15</v>
      </c>
      <c r="D706" t="s">
        <v>16</v>
      </c>
      <c r="E706">
        <v>19</v>
      </c>
      <c r="F706">
        <v>31</v>
      </c>
      <c r="G706">
        <v>3</v>
      </c>
      <c r="H706">
        <v>29</v>
      </c>
      <c r="I706" t="s">
        <v>11</v>
      </c>
    </row>
    <row r="707" spans="1:9" x14ac:dyDescent="0.35">
      <c r="A707">
        <v>278</v>
      </c>
      <c r="B707">
        <v>5</v>
      </c>
      <c r="C707" t="s">
        <v>15</v>
      </c>
      <c r="D707" t="s">
        <v>16</v>
      </c>
      <c r="E707">
        <v>19</v>
      </c>
      <c r="F707">
        <v>31</v>
      </c>
      <c r="G707">
        <v>3</v>
      </c>
      <c r="H707">
        <v>33</v>
      </c>
      <c r="I707" t="s">
        <v>11</v>
      </c>
    </row>
    <row r="708" spans="1:9" x14ac:dyDescent="0.35">
      <c r="A708">
        <v>278</v>
      </c>
      <c r="B708">
        <v>5</v>
      </c>
      <c r="C708" t="s">
        <v>9</v>
      </c>
      <c r="D708" t="s">
        <v>10</v>
      </c>
      <c r="E708">
        <v>14</v>
      </c>
      <c r="F708">
        <v>24</v>
      </c>
      <c r="G708">
        <v>2</v>
      </c>
      <c r="H708">
        <v>28</v>
      </c>
      <c r="I708" t="s">
        <v>14</v>
      </c>
    </row>
    <row r="709" spans="1:9" x14ac:dyDescent="0.35">
      <c r="A709">
        <v>279</v>
      </c>
      <c r="B709">
        <v>11</v>
      </c>
      <c r="C709" t="s">
        <v>19</v>
      </c>
      <c r="D709" t="s">
        <v>20</v>
      </c>
      <c r="E709">
        <v>25</v>
      </c>
      <c r="F709">
        <v>40</v>
      </c>
      <c r="G709">
        <v>3</v>
      </c>
      <c r="H709">
        <v>48</v>
      </c>
      <c r="I709" t="s">
        <v>14</v>
      </c>
    </row>
    <row r="710" spans="1:9" x14ac:dyDescent="0.35">
      <c r="A710">
        <v>279</v>
      </c>
      <c r="B710">
        <v>11</v>
      </c>
      <c r="C710" t="s">
        <v>31</v>
      </c>
      <c r="D710" t="s">
        <v>32</v>
      </c>
      <c r="E710">
        <v>21</v>
      </c>
      <c r="F710">
        <v>35</v>
      </c>
      <c r="G710">
        <v>1</v>
      </c>
      <c r="H710">
        <v>28</v>
      </c>
      <c r="I710" t="s">
        <v>11</v>
      </c>
    </row>
    <row r="711" spans="1:9" x14ac:dyDescent="0.35">
      <c r="A711">
        <v>279</v>
      </c>
      <c r="B711">
        <v>11</v>
      </c>
      <c r="C711" t="s">
        <v>45</v>
      </c>
      <c r="D711" t="s">
        <v>46</v>
      </c>
      <c r="E711">
        <v>10</v>
      </c>
      <c r="F711">
        <v>18</v>
      </c>
      <c r="G711">
        <v>1</v>
      </c>
      <c r="H711">
        <v>58</v>
      </c>
      <c r="I711" t="s">
        <v>11</v>
      </c>
    </row>
    <row r="712" spans="1:9" x14ac:dyDescent="0.35">
      <c r="A712">
        <v>279</v>
      </c>
      <c r="B712">
        <v>11</v>
      </c>
      <c r="C712" t="s">
        <v>27</v>
      </c>
      <c r="D712" t="s">
        <v>28</v>
      </c>
      <c r="E712">
        <v>16</v>
      </c>
      <c r="F712">
        <v>28</v>
      </c>
      <c r="G712">
        <v>1</v>
      </c>
      <c r="H712">
        <v>8</v>
      </c>
      <c r="I712" t="s">
        <v>11</v>
      </c>
    </row>
    <row r="713" spans="1:9" x14ac:dyDescent="0.35">
      <c r="A713">
        <v>280</v>
      </c>
      <c r="B713">
        <v>14</v>
      </c>
      <c r="C713" t="s">
        <v>9</v>
      </c>
      <c r="D713" t="s">
        <v>10</v>
      </c>
      <c r="E713">
        <v>14</v>
      </c>
      <c r="F713">
        <v>24</v>
      </c>
      <c r="G713">
        <v>2</v>
      </c>
      <c r="H713">
        <v>52</v>
      </c>
      <c r="I713" t="s">
        <v>11</v>
      </c>
    </row>
    <row r="714" spans="1:9" x14ac:dyDescent="0.35">
      <c r="A714">
        <v>280</v>
      </c>
      <c r="B714">
        <v>14</v>
      </c>
      <c r="C714" t="s">
        <v>41</v>
      </c>
      <c r="D714" t="s">
        <v>42</v>
      </c>
      <c r="E714">
        <v>14</v>
      </c>
      <c r="F714">
        <v>23</v>
      </c>
      <c r="G714">
        <v>3</v>
      </c>
      <c r="H714">
        <v>34</v>
      </c>
      <c r="I714" t="s">
        <v>11</v>
      </c>
    </row>
    <row r="715" spans="1:9" x14ac:dyDescent="0.35">
      <c r="A715">
        <v>281</v>
      </c>
      <c r="B715">
        <v>18</v>
      </c>
      <c r="C715" t="s">
        <v>25</v>
      </c>
      <c r="D715" t="s">
        <v>26</v>
      </c>
      <c r="E715">
        <v>20</v>
      </c>
      <c r="F715">
        <v>33</v>
      </c>
      <c r="G715">
        <v>2</v>
      </c>
      <c r="H715">
        <v>9</v>
      </c>
      <c r="I715" t="s">
        <v>14</v>
      </c>
    </row>
    <row r="716" spans="1:9" x14ac:dyDescent="0.35">
      <c r="A716">
        <v>282</v>
      </c>
      <c r="B716">
        <v>6</v>
      </c>
      <c r="C716" t="s">
        <v>45</v>
      </c>
      <c r="D716" t="s">
        <v>46</v>
      </c>
      <c r="E716">
        <v>10</v>
      </c>
      <c r="F716">
        <v>18</v>
      </c>
      <c r="G716">
        <v>3</v>
      </c>
      <c r="H716">
        <v>57</v>
      </c>
      <c r="I716" t="s">
        <v>14</v>
      </c>
    </row>
    <row r="717" spans="1:9" x14ac:dyDescent="0.35">
      <c r="A717">
        <v>282</v>
      </c>
      <c r="B717">
        <v>6</v>
      </c>
      <c r="C717" t="s">
        <v>39</v>
      </c>
      <c r="D717" t="s">
        <v>40</v>
      </c>
      <c r="E717">
        <v>12</v>
      </c>
      <c r="F717">
        <v>20</v>
      </c>
      <c r="G717">
        <v>1</v>
      </c>
      <c r="H717">
        <v>57</v>
      </c>
      <c r="I717" t="s">
        <v>14</v>
      </c>
    </row>
    <row r="718" spans="1:9" x14ac:dyDescent="0.35">
      <c r="A718">
        <v>283</v>
      </c>
      <c r="B718">
        <v>19</v>
      </c>
      <c r="C718" t="s">
        <v>47</v>
      </c>
      <c r="D718" t="s">
        <v>48</v>
      </c>
      <c r="E718">
        <v>15</v>
      </c>
      <c r="F718">
        <v>26</v>
      </c>
      <c r="G718">
        <v>3</v>
      </c>
      <c r="H718">
        <v>6</v>
      </c>
      <c r="I718" t="s">
        <v>11</v>
      </c>
    </row>
    <row r="719" spans="1:9" x14ac:dyDescent="0.35">
      <c r="A719">
        <v>284</v>
      </c>
      <c r="B719">
        <v>11</v>
      </c>
      <c r="C719" t="s">
        <v>39</v>
      </c>
      <c r="D719" t="s">
        <v>40</v>
      </c>
      <c r="E719">
        <v>12</v>
      </c>
      <c r="F719">
        <v>20</v>
      </c>
      <c r="G719">
        <v>3</v>
      </c>
      <c r="H719">
        <v>45</v>
      </c>
      <c r="I719" t="s">
        <v>11</v>
      </c>
    </row>
    <row r="720" spans="1:9" x14ac:dyDescent="0.35">
      <c r="A720">
        <v>284</v>
      </c>
      <c r="B720">
        <v>11</v>
      </c>
      <c r="C720" t="s">
        <v>17</v>
      </c>
      <c r="D720" t="s">
        <v>18</v>
      </c>
      <c r="E720">
        <v>16</v>
      </c>
      <c r="F720">
        <v>27</v>
      </c>
      <c r="G720">
        <v>1</v>
      </c>
      <c r="H720">
        <v>59</v>
      </c>
      <c r="I720" t="s">
        <v>11</v>
      </c>
    </row>
    <row r="721" spans="1:9" x14ac:dyDescent="0.35">
      <c r="A721">
        <v>284</v>
      </c>
      <c r="B721">
        <v>11</v>
      </c>
      <c r="C721" t="s">
        <v>29</v>
      </c>
      <c r="D721" t="s">
        <v>30</v>
      </c>
      <c r="E721">
        <v>11</v>
      </c>
      <c r="F721">
        <v>19</v>
      </c>
      <c r="G721">
        <v>2</v>
      </c>
      <c r="H721">
        <v>41</v>
      </c>
      <c r="I721" t="s">
        <v>11</v>
      </c>
    </row>
    <row r="722" spans="1:9" x14ac:dyDescent="0.35">
      <c r="A722">
        <v>284</v>
      </c>
      <c r="B722">
        <v>11</v>
      </c>
      <c r="C722" t="s">
        <v>25</v>
      </c>
      <c r="D722" t="s">
        <v>26</v>
      </c>
      <c r="E722">
        <v>20</v>
      </c>
      <c r="F722">
        <v>33</v>
      </c>
      <c r="G722">
        <v>1</v>
      </c>
      <c r="H722">
        <v>50</v>
      </c>
      <c r="I722" t="s">
        <v>14</v>
      </c>
    </row>
    <row r="723" spans="1:9" x14ac:dyDescent="0.35">
      <c r="A723">
        <v>285</v>
      </c>
      <c r="B723">
        <v>18</v>
      </c>
      <c r="C723" t="s">
        <v>43</v>
      </c>
      <c r="D723" t="s">
        <v>44</v>
      </c>
      <c r="E723">
        <v>13</v>
      </c>
      <c r="F723">
        <v>21</v>
      </c>
      <c r="G723">
        <v>2</v>
      </c>
      <c r="H723">
        <v>12</v>
      </c>
      <c r="I723" t="s">
        <v>14</v>
      </c>
    </row>
    <row r="724" spans="1:9" x14ac:dyDescent="0.35">
      <c r="A724">
        <v>286</v>
      </c>
      <c r="B724">
        <v>15</v>
      </c>
      <c r="C724" t="s">
        <v>37</v>
      </c>
      <c r="D724" t="s">
        <v>38</v>
      </c>
      <c r="E724">
        <v>20</v>
      </c>
      <c r="F724">
        <v>34</v>
      </c>
      <c r="G724">
        <v>2</v>
      </c>
      <c r="H724">
        <v>25</v>
      </c>
      <c r="I724" t="s">
        <v>11</v>
      </c>
    </row>
    <row r="725" spans="1:9" x14ac:dyDescent="0.35">
      <c r="A725">
        <v>287</v>
      </c>
      <c r="B725">
        <v>20</v>
      </c>
      <c r="C725" t="s">
        <v>33</v>
      </c>
      <c r="D725" t="s">
        <v>34</v>
      </c>
      <c r="E725">
        <v>19</v>
      </c>
      <c r="F725">
        <v>32</v>
      </c>
      <c r="G725">
        <v>3</v>
      </c>
      <c r="H725">
        <v>46</v>
      </c>
      <c r="I725" t="s">
        <v>11</v>
      </c>
    </row>
    <row r="726" spans="1:9" x14ac:dyDescent="0.35">
      <c r="A726">
        <v>287</v>
      </c>
      <c r="B726">
        <v>20</v>
      </c>
      <c r="C726" t="s">
        <v>41</v>
      </c>
      <c r="D726" t="s">
        <v>42</v>
      </c>
      <c r="E726">
        <v>14</v>
      </c>
      <c r="F726">
        <v>23</v>
      </c>
      <c r="G726">
        <v>2</v>
      </c>
      <c r="H726">
        <v>58</v>
      </c>
      <c r="I726" t="s">
        <v>11</v>
      </c>
    </row>
    <row r="727" spans="1:9" x14ac:dyDescent="0.35">
      <c r="A727">
        <v>287</v>
      </c>
      <c r="B727">
        <v>20</v>
      </c>
      <c r="C727" t="s">
        <v>12</v>
      </c>
      <c r="D727" t="s">
        <v>13</v>
      </c>
      <c r="E727">
        <v>18</v>
      </c>
      <c r="F727">
        <v>30</v>
      </c>
      <c r="G727">
        <v>2</v>
      </c>
      <c r="H727">
        <v>17</v>
      </c>
      <c r="I727" t="s">
        <v>14</v>
      </c>
    </row>
    <row r="728" spans="1:9" x14ac:dyDescent="0.35">
      <c r="A728">
        <v>288</v>
      </c>
      <c r="B728">
        <v>15</v>
      </c>
      <c r="C728" t="s">
        <v>9</v>
      </c>
      <c r="D728" t="s">
        <v>10</v>
      </c>
      <c r="E728">
        <v>14</v>
      </c>
      <c r="F728">
        <v>24</v>
      </c>
      <c r="G728">
        <v>2</v>
      </c>
      <c r="H728">
        <v>6</v>
      </c>
      <c r="I728" t="s">
        <v>14</v>
      </c>
    </row>
    <row r="729" spans="1:9" x14ac:dyDescent="0.35">
      <c r="A729">
        <v>288</v>
      </c>
      <c r="B729">
        <v>15</v>
      </c>
      <c r="C729" t="s">
        <v>29</v>
      </c>
      <c r="D729" t="s">
        <v>30</v>
      </c>
      <c r="E729">
        <v>11</v>
      </c>
      <c r="F729">
        <v>19</v>
      </c>
      <c r="G729">
        <v>2</v>
      </c>
      <c r="H729">
        <v>32</v>
      </c>
      <c r="I729" t="s">
        <v>11</v>
      </c>
    </row>
    <row r="730" spans="1:9" x14ac:dyDescent="0.35">
      <c r="A730">
        <v>289</v>
      </c>
      <c r="B730">
        <v>15</v>
      </c>
      <c r="C730" t="s">
        <v>39</v>
      </c>
      <c r="D730" t="s">
        <v>40</v>
      </c>
      <c r="E730">
        <v>12</v>
      </c>
      <c r="F730">
        <v>20</v>
      </c>
      <c r="G730">
        <v>3</v>
      </c>
      <c r="H730">
        <v>20</v>
      </c>
      <c r="I730" t="s">
        <v>11</v>
      </c>
    </row>
    <row r="731" spans="1:9" x14ac:dyDescent="0.35">
      <c r="A731">
        <v>289</v>
      </c>
      <c r="B731">
        <v>15</v>
      </c>
      <c r="C731" t="s">
        <v>47</v>
      </c>
      <c r="D731" t="s">
        <v>48</v>
      </c>
      <c r="E731">
        <v>15</v>
      </c>
      <c r="F731">
        <v>26</v>
      </c>
      <c r="G731">
        <v>3</v>
      </c>
      <c r="H731">
        <v>48</v>
      </c>
      <c r="I731" t="s">
        <v>14</v>
      </c>
    </row>
    <row r="732" spans="1:9" x14ac:dyDescent="0.35">
      <c r="A732">
        <v>290</v>
      </c>
      <c r="B732">
        <v>19</v>
      </c>
      <c r="C732" t="s">
        <v>19</v>
      </c>
      <c r="D732" t="s">
        <v>20</v>
      </c>
      <c r="E732">
        <v>25</v>
      </c>
      <c r="F732">
        <v>40</v>
      </c>
      <c r="G732">
        <v>1</v>
      </c>
      <c r="H732">
        <v>57</v>
      </c>
      <c r="I732" t="s">
        <v>11</v>
      </c>
    </row>
    <row r="733" spans="1:9" x14ac:dyDescent="0.35">
      <c r="A733">
        <v>291</v>
      </c>
      <c r="B733">
        <v>2</v>
      </c>
      <c r="C733" t="s">
        <v>37</v>
      </c>
      <c r="D733" t="s">
        <v>38</v>
      </c>
      <c r="E733">
        <v>20</v>
      </c>
      <c r="F733">
        <v>34</v>
      </c>
      <c r="G733">
        <v>2</v>
      </c>
      <c r="H733">
        <v>28</v>
      </c>
      <c r="I733" t="s">
        <v>14</v>
      </c>
    </row>
    <row r="734" spans="1:9" x14ac:dyDescent="0.35">
      <c r="A734">
        <v>291</v>
      </c>
      <c r="B734">
        <v>2</v>
      </c>
      <c r="C734" t="s">
        <v>49</v>
      </c>
      <c r="D734" t="s">
        <v>50</v>
      </c>
      <c r="E734">
        <v>15</v>
      </c>
      <c r="F734">
        <v>25</v>
      </c>
      <c r="G734">
        <v>1</v>
      </c>
      <c r="H734">
        <v>41</v>
      </c>
      <c r="I734" t="s">
        <v>11</v>
      </c>
    </row>
    <row r="735" spans="1:9" x14ac:dyDescent="0.35">
      <c r="A735">
        <v>291</v>
      </c>
      <c r="B735">
        <v>2</v>
      </c>
      <c r="C735" t="s">
        <v>31</v>
      </c>
      <c r="D735" t="s">
        <v>32</v>
      </c>
      <c r="E735">
        <v>21</v>
      </c>
      <c r="F735">
        <v>35</v>
      </c>
      <c r="G735">
        <v>3</v>
      </c>
      <c r="H735">
        <v>12</v>
      </c>
      <c r="I735" t="s">
        <v>14</v>
      </c>
    </row>
    <row r="736" spans="1:9" x14ac:dyDescent="0.35">
      <c r="A736">
        <v>291</v>
      </c>
      <c r="B736">
        <v>2</v>
      </c>
      <c r="C736" t="s">
        <v>15</v>
      </c>
      <c r="D736" t="s">
        <v>16</v>
      </c>
      <c r="E736">
        <v>19</v>
      </c>
      <c r="F736">
        <v>31</v>
      </c>
      <c r="G736">
        <v>2</v>
      </c>
      <c r="H736">
        <v>14</v>
      </c>
      <c r="I736" t="s">
        <v>11</v>
      </c>
    </row>
    <row r="737" spans="1:9" x14ac:dyDescent="0.35">
      <c r="A737">
        <v>292</v>
      </c>
      <c r="B737">
        <v>10</v>
      </c>
      <c r="C737" t="s">
        <v>27</v>
      </c>
      <c r="D737" t="s">
        <v>28</v>
      </c>
      <c r="E737">
        <v>16</v>
      </c>
      <c r="F737">
        <v>28</v>
      </c>
      <c r="G737">
        <v>3</v>
      </c>
      <c r="H737">
        <v>23</v>
      </c>
      <c r="I737" t="s">
        <v>14</v>
      </c>
    </row>
    <row r="738" spans="1:9" x14ac:dyDescent="0.35">
      <c r="A738">
        <v>293</v>
      </c>
      <c r="B738">
        <v>16</v>
      </c>
      <c r="C738" t="s">
        <v>27</v>
      </c>
      <c r="D738" t="s">
        <v>28</v>
      </c>
      <c r="E738">
        <v>16</v>
      </c>
      <c r="F738">
        <v>28</v>
      </c>
      <c r="G738">
        <v>3</v>
      </c>
      <c r="H738">
        <v>44</v>
      </c>
      <c r="I738" t="s">
        <v>11</v>
      </c>
    </row>
    <row r="739" spans="1:9" x14ac:dyDescent="0.35">
      <c r="A739">
        <v>293</v>
      </c>
      <c r="B739">
        <v>16</v>
      </c>
      <c r="C739" t="s">
        <v>12</v>
      </c>
      <c r="D739" t="s">
        <v>13</v>
      </c>
      <c r="E739">
        <v>18</v>
      </c>
      <c r="F739">
        <v>30</v>
      </c>
      <c r="G739">
        <v>2</v>
      </c>
      <c r="H739">
        <v>29</v>
      </c>
      <c r="I739" t="s">
        <v>11</v>
      </c>
    </row>
    <row r="740" spans="1:9" x14ac:dyDescent="0.35">
      <c r="A740">
        <v>293</v>
      </c>
      <c r="B740">
        <v>16</v>
      </c>
      <c r="C740" t="s">
        <v>21</v>
      </c>
      <c r="D740" t="s">
        <v>22</v>
      </c>
      <c r="E740">
        <v>22</v>
      </c>
      <c r="F740">
        <v>36</v>
      </c>
      <c r="G740">
        <v>2</v>
      </c>
      <c r="H740">
        <v>47</v>
      </c>
      <c r="I740" t="s">
        <v>11</v>
      </c>
    </row>
    <row r="741" spans="1:9" x14ac:dyDescent="0.35">
      <c r="A741">
        <v>294</v>
      </c>
      <c r="B741">
        <v>17</v>
      </c>
      <c r="C741" t="s">
        <v>15</v>
      </c>
      <c r="D741" t="s">
        <v>16</v>
      </c>
      <c r="E741">
        <v>19</v>
      </c>
      <c r="F741">
        <v>31</v>
      </c>
      <c r="G741">
        <v>2</v>
      </c>
      <c r="H741">
        <v>31</v>
      </c>
      <c r="I741" t="s">
        <v>14</v>
      </c>
    </row>
    <row r="742" spans="1:9" x14ac:dyDescent="0.35">
      <c r="A742">
        <v>294</v>
      </c>
      <c r="B742">
        <v>17</v>
      </c>
      <c r="C742" t="s">
        <v>21</v>
      </c>
      <c r="D742" t="s">
        <v>22</v>
      </c>
      <c r="E742">
        <v>22</v>
      </c>
      <c r="F742">
        <v>36</v>
      </c>
      <c r="G742">
        <v>3</v>
      </c>
      <c r="H742">
        <v>13</v>
      </c>
      <c r="I742" t="s">
        <v>11</v>
      </c>
    </row>
    <row r="743" spans="1:9" x14ac:dyDescent="0.35">
      <c r="A743">
        <v>294</v>
      </c>
      <c r="B743">
        <v>17</v>
      </c>
      <c r="C743" t="s">
        <v>45</v>
      </c>
      <c r="D743" t="s">
        <v>46</v>
      </c>
      <c r="E743">
        <v>10</v>
      </c>
      <c r="F743">
        <v>18</v>
      </c>
      <c r="G743">
        <v>3</v>
      </c>
      <c r="H743">
        <v>33</v>
      </c>
      <c r="I743" t="s">
        <v>11</v>
      </c>
    </row>
    <row r="744" spans="1:9" x14ac:dyDescent="0.35">
      <c r="A744">
        <v>294</v>
      </c>
      <c r="B744">
        <v>17</v>
      </c>
      <c r="C744" t="s">
        <v>37</v>
      </c>
      <c r="D744" t="s">
        <v>38</v>
      </c>
      <c r="E744">
        <v>20</v>
      </c>
      <c r="F744">
        <v>34</v>
      </c>
      <c r="G744">
        <v>3</v>
      </c>
      <c r="H744">
        <v>9</v>
      </c>
      <c r="I744" t="s">
        <v>14</v>
      </c>
    </row>
    <row r="745" spans="1:9" x14ac:dyDescent="0.35">
      <c r="A745">
        <v>295</v>
      </c>
      <c r="B745">
        <v>3</v>
      </c>
      <c r="C745" t="s">
        <v>33</v>
      </c>
      <c r="D745" t="s">
        <v>34</v>
      </c>
      <c r="E745">
        <v>19</v>
      </c>
      <c r="F745">
        <v>32</v>
      </c>
      <c r="G745">
        <v>1</v>
      </c>
      <c r="H745">
        <v>44</v>
      </c>
      <c r="I745" t="s">
        <v>14</v>
      </c>
    </row>
    <row r="746" spans="1:9" x14ac:dyDescent="0.35">
      <c r="A746">
        <v>295</v>
      </c>
      <c r="B746">
        <v>3</v>
      </c>
      <c r="C746" t="s">
        <v>12</v>
      </c>
      <c r="D746" t="s">
        <v>13</v>
      </c>
      <c r="E746">
        <v>18</v>
      </c>
      <c r="F746">
        <v>30</v>
      </c>
      <c r="G746">
        <v>3</v>
      </c>
      <c r="H746">
        <v>35</v>
      </c>
      <c r="I746" t="s">
        <v>11</v>
      </c>
    </row>
    <row r="747" spans="1:9" x14ac:dyDescent="0.35">
      <c r="A747">
        <v>295</v>
      </c>
      <c r="B747">
        <v>3</v>
      </c>
      <c r="C747" t="s">
        <v>15</v>
      </c>
      <c r="D747" t="s">
        <v>16</v>
      </c>
      <c r="E747">
        <v>19</v>
      </c>
      <c r="F747">
        <v>31</v>
      </c>
      <c r="G747">
        <v>2</v>
      </c>
      <c r="H747">
        <v>39</v>
      </c>
      <c r="I747" t="s">
        <v>14</v>
      </c>
    </row>
    <row r="748" spans="1:9" x14ac:dyDescent="0.35">
      <c r="A748">
        <v>295</v>
      </c>
      <c r="B748">
        <v>3</v>
      </c>
      <c r="C748" t="s">
        <v>43</v>
      </c>
      <c r="D748" t="s">
        <v>44</v>
      </c>
      <c r="E748">
        <v>13</v>
      </c>
      <c r="F748">
        <v>21</v>
      </c>
      <c r="G748">
        <v>3</v>
      </c>
      <c r="H748">
        <v>59</v>
      </c>
      <c r="I748" t="s">
        <v>11</v>
      </c>
    </row>
    <row r="749" spans="1:9" x14ac:dyDescent="0.35">
      <c r="A749">
        <v>296</v>
      </c>
      <c r="B749">
        <v>14</v>
      </c>
      <c r="C749" t="s">
        <v>41</v>
      </c>
      <c r="D749" t="s">
        <v>42</v>
      </c>
      <c r="E749">
        <v>14</v>
      </c>
      <c r="F749">
        <v>23</v>
      </c>
      <c r="G749">
        <v>1</v>
      </c>
      <c r="H749">
        <v>20</v>
      </c>
      <c r="I749" t="s">
        <v>11</v>
      </c>
    </row>
    <row r="750" spans="1:9" x14ac:dyDescent="0.35">
      <c r="A750">
        <v>296</v>
      </c>
      <c r="B750">
        <v>14</v>
      </c>
      <c r="C750" t="s">
        <v>21</v>
      </c>
      <c r="D750" t="s">
        <v>22</v>
      </c>
      <c r="E750">
        <v>22</v>
      </c>
      <c r="F750">
        <v>36</v>
      </c>
      <c r="G750">
        <v>1</v>
      </c>
      <c r="H750">
        <v>26</v>
      </c>
      <c r="I750" t="s">
        <v>14</v>
      </c>
    </row>
    <row r="751" spans="1:9" x14ac:dyDescent="0.35">
      <c r="A751">
        <v>297</v>
      </c>
      <c r="B751">
        <v>4</v>
      </c>
      <c r="C751" t="s">
        <v>23</v>
      </c>
      <c r="D751" t="s">
        <v>24</v>
      </c>
      <c r="E751">
        <v>17</v>
      </c>
      <c r="F751">
        <v>29</v>
      </c>
      <c r="G751">
        <v>2</v>
      </c>
      <c r="H751">
        <v>59</v>
      </c>
      <c r="I751" t="s">
        <v>14</v>
      </c>
    </row>
    <row r="752" spans="1:9" x14ac:dyDescent="0.35">
      <c r="A752">
        <v>297</v>
      </c>
      <c r="B752">
        <v>4</v>
      </c>
      <c r="C752" t="s">
        <v>45</v>
      </c>
      <c r="D752" t="s">
        <v>46</v>
      </c>
      <c r="E752">
        <v>10</v>
      </c>
      <c r="F752">
        <v>18</v>
      </c>
      <c r="G752">
        <v>3</v>
      </c>
      <c r="H752">
        <v>13</v>
      </c>
      <c r="I752" t="s">
        <v>14</v>
      </c>
    </row>
    <row r="753" spans="1:9" x14ac:dyDescent="0.35">
      <c r="A753">
        <v>297</v>
      </c>
      <c r="B753">
        <v>4</v>
      </c>
      <c r="C753" t="s">
        <v>43</v>
      </c>
      <c r="D753" t="s">
        <v>44</v>
      </c>
      <c r="E753">
        <v>13</v>
      </c>
      <c r="F753">
        <v>21</v>
      </c>
      <c r="G753">
        <v>3</v>
      </c>
      <c r="H753">
        <v>40</v>
      </c>
      <c r="I753" t="s">
        <v>14</v>
      </c>
    </row>
    <row r="754" spans="1:9" x14ac:dyDescent="0.35">
      <c r="A754">
        <v>298</v>
      </c>
      <c r="B754">
        <v>11</v>
      </c>
      <c r="C754" t="s">
        <v>17</v>
      </c>
      <c r="D754" t="s">
        <v>18</v>
      </c>
      <c r="E754">
        <v>16</v>
      </c>
      <c r="F754">
        <v>27</v>
      </c>
      <c r="G754">
        <v>3</v>
      </c>
      <c r="H754">
        <v>46</v>
      </c>
      <c r="I754" t="s">
        <v>11</v>
      </c>
    </row>
    <row r="755" spans="1:9" x14ac:dyDescent="0.35">
      <c r="A755">
        <v>298</v>
      </c>
      <c r="B755">
        <v>11</v>
      </c>
      <c r="C755" t="s">
        <v>21</v>
      </c>
      <c r="D755" t="s">
        <v>22</v>
      </c>
      <c r="E755">
        <v>22</v>
      </c>
      <c r="F755">
        <v>36</v>
      </c>
      <c r="G755">
        <v>3</v>
      </c>
      <c r="H755">
        <v>49</v>
      </c>
      <c r="I755" t="s">
        <v>11</v>
      </c>
    </row>
    <row r="756" spans="1:9" x14ac:dyDescent="0.35">
      <c r="A756">
        <v>298</v>
      </c>
      <c r="B756">
        <v>11</v>
      </c>
      <c r="C756" t="s">
        <v>35</v>
      </c>
      <c r="D756" t="s">
        <v>36</v>
      </c>
      <c r="E756">
        <v>13</v>
      </c>
      <c r="F756">
        <v>22</v>
      </c>
      <c r="G756">
        <v>3</v>
      </c>
      <c r="H756">
        <v>46</v>
      </c>
      <c r="I756" t="s">
        <v>14</v>
      </c>
    </row>
    <row r="757" spans="1:9" x14ac:dyDescent="0.35">
      <c r="A757">
        <v>299</v>
      </c>
      <c r="B757">
        <v>6</v>
      </c>
      <c r="C757" t="s">
        <v>39</v>
      </c>
      <c r="D757" t="s">
        <v>40</v>
      </c>
      <c r="E757">
        <v>12</v>
      </c>
      <c r="F757">
        <v>20</v>
      </c>
      <c r="G757">
        <v>1</v>
      </c>
      <c r="H757">
        <v>17</v>
      </c>
      <c r="I757" t="s">
        <v>11</v>
      </c>
    </row>
    <row r="758" spans="1:9" x14ac:dyDescent="0.35">
      <c r="A758">
        <v>299</v>
      </c>
      <c r="B758">
        <v>6</v>
      </c>
      <c r="C758" t="s">
        <v>21</v>
      </c>
      <c r="D758" t="s">
        <v>22</v>
      </c>
      <c r="E758">
        <v>22</v>
      </c>
      <c r="F758">
        <v>36</v>
      </c>
      <c r="G758">
        <v>2</v>
      </c>
      <c r="H758">
        <v>55</v>
      </c>
      <c r="I758" t="s">
        <v>11</v>
      </c>
    </row>
    <row r="759" spans="1:9" x14ac:dyDescent="0.35">
      <c r="A759">
        <v>299</v>
      </c>
      <c r="B759">
        <v>6</v>
      </c>
      <c r="C759" t="s">
        <v>9</v>
      </c>
      <c r="D759" t="s">
        <v>10</v>
      </c>
      <c r="E759">
        <v>14</v>
      </c>
      <c r="F759">
        <v>24</v>
      </c>
      <c r="G759">
        <v>3</v>
      </c>
      <c r="H759">
        <v>15</v>
      </c>
      <c r="I759" t="s">
        <v>14</v>
      </c>
    </row>
    <row r="760" spans="1:9" x14ac:dyDescent="0.35">
      <c r="A760">
        <v>299</v>
      </c>
      <c r="B760">
        <v>6</v>
      </c>
      <c r="C760" t="s">
        <v>45</v>
      </c>
      <c r="D760" t="s">
        <v>46</v>
      </c>
      <c r="E760">
        <v>10</v>
      </c>
      <c r="F760">
        <v>18</v>
      </c>
      <c r="G760">
        <v>1</v>
      </c>
      <c r="H760">
        <v>26</v>
      </c>
      <c r="I760" t="s">
        <v>11</v>
      </c>
    </row>
    <row r="761" spans="1:9" x14ac:dyDescent="0.35">
      <c r="A761">
        <v>300</v>
      </c>
      <c r="B761">
        <v>18</v>
      </c>
      <c r="C761" t="s">
        <v>19</v>
      </c>
      <c r="D761" t="s">
        <v>20</v>
      </c>
      <c r="E761">
        <v>25</v>
      </c>
      <c r="F761">
        <v>40</v>
      </c>
      <c r="G761">
        <v>3</v>
      </c>
      <c r="H761">
        <v>54</v>
      </c>
      <c r="I761" t="s">
        <v>14</v>
      </c>
    </row>
    <row r="762" spans="1:9" x14ac:dyDescent="0.35">
      <c r="A762">
        <v>300</v>
      </c>
      <c r="B762">
        <v>18</v>
      </c>
      <c r="C762" t="s">
        <v>45</v>
      </c>
      <c r="D762" t="s">
        <v>46</v>
      </c>
      <c r="E762">
        <v>10</v>
      </c>
      <c r="F762">
        <v>18</v>
      </c>
      <c r="G762">
        <v>3</v>
      </c>
      <c r="H762">
        <v>14</v>
      </c>
      <c r="I762" t="s">
        <v>11</v>
      </c>
    </row>
    <row r="763" spans="1:9" x14ac:dyDescent="0.35">
      <c r="A763">
        <v>300</v>
      </c>
      <c r="B763">
        <v>18</v>
      </c>
      <c r="C763" t="s">
        <v>47</v>
      </c>
      <c r="D763" t="s">
        <v>48</v>
      </c>
      <c r="E763">
        <v>15</v>
      </c>
      <c r="F763">
        <v>26</v>
      </c>
      <c r="G763">
        <v>1</v>
      </c>
      <c r="H763">
        <v>22</v>
      </c>
      <c r="I763" t="s">
        <v>14</v>
      </c>
    </row>
    <row r="764" spans="1:9" x14ac:dyDescent="0.35">
      <c r="A764">
        <v>300</v>
      </c>
      <c r="B764">
        <v>18</v>
      </c>
      <c r="C764" t="s">
        <v>12</v>
      </c>
      <c r="D764" t="s">
        <v>13</v>
      </c>
      <c r="E764">
        <v>18</v>
      </c>
      <c r="F764">
        <v>30</v>
      </c>
      <c r="G764">
        <v>3</v>
      </c>
      <c r="H764">
        <v>28</v>
      </c>
      <c r="I764" t="s">
        <v>11</v>
      </c>
    </row>
    <row r="765" spans="1:9" x14ac:dyDescent="0.35">
      <c r="A765">
        <v>301</v>
      </c>
      <c r="B765">
        <v>8</v>
      </c>
      <c r="C765" t="s">
        <v>15</v>
      </c>
      <c r="D765" t="s">
        <v>16</v>
      </c>
      <c r="E765">
        <v>19</v>
      </c>
      <c r="F765">
        <v>31</v>
      </c>
      <c r="G765">
        <v>3</v>
      </c>
      <c r="H765">
        <v>23</v>
      </c>
      <c r="I765" t="s">
        <v>14</v>
      </c>
    </row>
    <row r="766" spans="1:9" x14ac:dyDescent="0.35">
      <c r="A766">
        <v>301</v>
      </c>
      <c r="B766">
        <v>8</v>
      </c>
      <c r="C766" t="s">
        <v>47</v>
      </c>
      <c r="D766" t="s">
        <v>48</v>
      </c>
      <c r="E766">
        <v>15</v>
      </c>
      <c r="F766">
        <v>26</v>
      </c>
      <c r="G766">
        <v>2</v>
      </c>
      <c r="H766">
        <v>57</v>
      </c>
      <c r="I766" t="s">
        <v>14</v>
      </c>
    </row>
    <row r="767" spans="1:9" x14ac:dyDescent="0.35">
      <c r="A767">
        <v>301</v>
      </c>
      <c r="B767">
        <v>8</v>
      </c>
      <c r="C767" t="s">
        <v>23</v>
      </c>
      <c r="D767" t="s">
        <v>24</v>
      </c>
      <c r="E767">
        <v>17</v>
      </c>
      <c r="F767">
        <v>29</v>
      </c>
      <c r="G767">
        <v>2</v>
      </c>
      <c r="H767">
        <v>49</v>
      </c>
      <c r="I767" t="s">
        <v>11</v>
      </c>
    </row>
    <row r="768" spans="1:9" x14ac:dyDescent="0.35">
      <c r="A768">
        <v>301</v>
      </c>
      <c r="B768">
        <v>8</v>
      </c>
      <c r="C768" t="s">
        <v>39</v>
      </c>
      <c r="D768" t="s">
        <v>40</v>
      </c>
      <c r="E768">
        <v>12</v>
      </c>
      <c r="F768">
        <v>20</v>
      </c>
      <c r="G768">
        <v>1</v>
      </c>
      <c r="H768">
        <v>54</v>
      </c>
      <c r="I768" t="s">
        <v>11</v>
      </c>
    </row>
    <row r="769" spans="1:9" x14ac:dyDescent="0.35">
      <c r="A769">
        <v>302</v>
      </c>
      <c r="B769">
        <v>5</v>
      </c>
      <c r="C769" t="s">
        <v>33</v>
      </c>
      <c r="D769" t="s">
        <v>34</v>
      </c>
      <c r="E769">
        <v>19</v>
      </c>
      <c r="F769">
        <v>32</v>
      </c>
      <c r="G769">
        <v>3</v>
      </c>
      <c r="H769">
        <v>15</v>
      </c>
      <c r="I769" t="s">
        <v>11</v>
      </c>
    </row>
    <row r="770" spans="1:9" x14ac:dyDescent="0.35">
      <c r="A770">
        <v>303</v>
      </c>
      <c r="B770">
        <v>14</v>
      </c>
      <c r="C770" t="s">
        <v>39</v>
      </c>
      <c r="D770" t="s">
        <v>40</v>
      </c>
      <c r="E770">
        <v>12</v>
      </c>
      <c r="F770">
        <v>20</v>
      </c>
      <c r="G770">
        <v>2</v>
      </c>
      <c r="H770">
        <v>13</v>
      </c>
      <c r="I770" t="s">
        <v>11</v>
      </c>
    </row>
    <row r="771" spans="1:9" x14ac:dyDescent="0.35">
      <c r="A771">
        <v>303</v>
      </c>
      <c r="B771">
        <v>14</v>
      </c>
      <c r="C771" t="s">
        <v>19</v>
      </c>
      <c r="D771" t="s">
        <v>20</v>
      </c>
      <c r="E771">
        <v>25</v>
      </c>
      <c r="F771">
        <v>40</v>
      </c>
      <c r="G771">
        <v>3</v>
      </c>
      <c r="H771">
        <v>16</v>
      </c>
      <c r="I771" t="s">
        <v>11</v>
      </c>
    </row>
    <row r="772" spans="1:9" x14ac:dyDescent="0.35">
      <c r="A772">
        <v>303</v>
      </c>
      <c r="B772">
        <v>14</v>
      </c>
      <c r="C772" t="s">
        <v>47</v>
      </c>
      <c r="D772" t="s">
        <v>48</v>
      </c>
      <c r="E772">
        <v>15</v>
      </c>
      <c r="F772">
        <v>26</v>
      </c>
      <c r="G772">
        <v>1</v>
      </c>
      <c r="H772">
        <v>56</v>
      </c>
      <c r="I772" t="s">
        <v>14</v>
      </c>
    </row>
    <row r="773" spans="1:9" x14ac:dyDescent="0.35">
      <c r="A773">
        <v>303</v>
      </c>
      <c r="B773">
        <v>14</v>
      </c>
      <c r="C773" t="s">
        <v>9</v>
      </c>
      <c r="D773" t="s">
        <v>10</v>
      </c>
      <c r="E773">
        <v>14</v>
      </c>
      <c r="F773">
        <v>24</v>
      </c>
      <c r="G773">
        <v>1</v>
      </c>
      <c r="H773">
        <v>7</v>
      </c>
      <c r="I773" t="s">
        <v>11</v>
      </c>
    </row>
    <row r="774" spans="1:9" x14ac:dyDescent="0.35">
      <c r="A774">
        <v>304</v>
      </c>
      <c r="B774">
        <v>6</v>
      </c>
      <c r="C774" t="s">
        <v>33</v>
      </c>
      <c r="D774" t="s">
        <v>34</v>
      </c>
      <c r="E774">
        <v>19</v>
      </c>
      <c r="F774">
        <v>32</v>
      </c>
      <c r="G774">
        <v>2</v>
      </c>
      <c r="H774">
        <v>9</v>
      </c>
      <c r="I774" t="s">
        <v>11</v>
      </c>
    </row>
    <row r="775" spans="1:9" x14ac:dyDescent="0.35">
      <c r="A775">
        <v>304</v>
      </c>
      <c r="B775">
        <v>6</v>
      </c>
      <c r="C775" t="s">
        <v>43</v>
      </c>
      <c r="D775" t="s">
        <v>44</v>
      </c>
      <c r="E775">
        <v>13</v>
      </c>
      <c r="F775">
        <v>21</v>
      </c>
      <c r="G775">
        <v>2</v>
      </c>
      <c r="H775">
        <v>7</v>
      </c>
      <c r="I775" t="s">
        <v>14</v>
      </c>
    </row>
    <row r="776" spans="1:9" x14ac:dyDescent="0.35">
      <c r="A776">
        <v>304</v>
      </c>
      <c r="B776">
        <v>6</v>
      </c>
      <c r="C776" t="s">
        <v>19</v>
      </c>
      <c r="D776" t="s">
        <v>20</v>
      </c>
      <c r="E776">
        <v>25</v>
      </c>
      <c r="F776">
        <v>40</v>
      </c>
      <c r="G776">
        <v>2</v>
      </c>
      <c r="H776">
        <v>48</v>
      </c>
      <c r="I776" t="s">
        <v>11</v>
      </c>
    </row>
    <row r="777" spans="1:9" x14ac:dyDescent="0.35">
      <c r="A777">
        <v>304</v>
      </c>
      <c r="B777">
        <v>6</v>
      </c>
      <c r="C777" t="s">
        <v>15</v>
      </c>
      <c r="D777" t="s">
        <v>16</v>
      </c>
      <c r="E777">
        <v>19</v>
      </c>
      <c r="F777">
        <v>31</v>
      </c>
      <c r="G777">
        <v>3</v>
      </c>
      <c r="H777">
        <v>21</v>
      </c>
      <c r="I777" t="s">
        <v>11</v>
      </c>
    </row>
    <row r="778" spans="1:9" x14ac:dyDescent="0.35">
      <c r="A778">
        <v>305</v>
      </c>
      <c r="B778">
        <v>1</v>
      </c>
      <c r="C778" t="s">
        <v>31</v>
      </c>
      <c r="D778" t="s">
        <v>32</v>
      </c>
      <c r="E778">
        <v>21</v>
      </c>
      <c r="F778">
        <v>35</v>
      </c>
      <c r="G778">
        <v>3</v>
      </c>
      <c r="H778">
        <v>17</v>
      </c>
      <c r="I778" t="s">
        <v>11</v>
      </c>
    </row>
    <row r="779" spans="1:9" x14ac:dyDescent="0.35">
      <c r="A779">
        <v>305</v>
      </c>
      <c r="B779">
        <v>1</v>
      </c>
      <c r="C779" t="s">
        <v>41</v>
      </c>
      <c r="D779" t="s">
        <v>42</v>
      </c>
      <c r="E779">
        <v>14</v>
      </c>
      <c r="F779">
        <v>23</v>
      </c>
      <c r="G779">
        <v>1</v>
      </c>
      <c r="H779">
        <v>48</v>
      </c>
      <c r="I779" t="s">
        <v>11</v>
      </c>
    </row>
    <row r="780" spans="1:9" x14ac:dyDescent="0.35">
      <c r="A780">
        <v>306</v>
      </c>
      <c r="B780">
        <v>7</v>
      </c>
      <c r="C780" t="s">
        <v>33</v>
      </c>
      <c r="D780" t="s">
        <v>34</v>
      </c>
      <c r="E780">
        <v>19</v>
      </c>
      <c r="F780">
        <v>32</v>
      </c>
      <c r="G780">
        <v>1</v>
      </c>
      <c r="H780">
        <v>21</v>
      </c>
      <c r="I780" t="s">
        <v>14</v>
      </c>
    </row>
    <row r="781" spans="1:9" x14ac:dyDescent="0.35">
      <c r="A781">
        <v>307</v>
      </c>
      <c r="B781">
        <v>20</v>
      </c>
      <c r="C781" t="s">
        <v>43</v>
      </c>
      <c r="D781" t="s">
        <v>44</v>
      </c>
      <c r="E781">
        <v>13</v>
      </c>
      <c r="F781">
        <v>21</v>
      </c>
      <c r="G781">
        <v>3</v>
      </c>
      <c r="H781">
        <v>39</v>
      </c>
      <c r="I781" t="s">
        <v>14</v>
      </c>
    </row>
    <row r="782" spans="1:9" x14ac:dyDescent="0.35">
      <c r="A782">
        <v>308</v>
      </c>
      <c r="B782">
        <v>14</v>
      </c>
      <c r="C782" t="s">
        <v>37</v>
      </c>
      <c r="D782" t="s">
        <v>38</v>
      </c>
      <c r="E782">
        <v>20</v>
      </c>
      <c r="F782">
        <v>34</v>
      </c>
      <c r="G782">
        <v>1</v>
      </c>
      <c r="H782">
        <v>44</v>
      </c>
      <c r="I782" t="s">
        <v>14</v>
      </c>
    </row>
    <row r="783" spans="1:9" x14ac:dyDescent="0.35">
      <c r="A783">
        <v>308</v>
      </c>
      <c r="B783">
        <v>14</v>
      </c>
      <c r="C783" t="s">
        <v>31</v>
      </c>
      <c r="D783" t="s">
        <v>32</v>
      </c>
      <c r="E783">
        <v>21</v>
      </c>
      <c r="F783">
        <v>35</v>
      </c>
      <c r="G783">
        <v>2</v>
      </c>
      <c r="H783">
        <v>41</v>
      </c>
      <c r="I783" t="s">
        <v>11</v>
      </c>
    </row>
    <row r="784" spans="1:9" x14ac:dyDescent="0.35">
      <c r="A784">
        <v>308</v>
      </c>
      <c r="B784">
        <v>14</v>
      </c>
      <c r="C784" t="s">
        <v>15</v>
      </c>
      <c r="D784" t="s">
        <v>16</v>
      </c>
      <c r="E784">
        <v>19</v>
      </c>
      <c r="F784">
        <v>31</v>
      </c>
      <c r="G784">
        <v>2</v>
      </c>
      <c r="H784">
        <v>42</v>
      </c>
      <c r="I784" t="s">
        <v>11</v>
      </c>
    </row>
    <row r="785" spans="1:9" x14ac:dyDescent="0.35">
      <c r="A785">
        <v>308</v>
      </c>
      <c r="B785">
        <v>14</v>
      </c>
      <c r="C785" t="s">
        <v>27</v>
      </c>
      <c r="D785" t="s">
        <v>28</v>
      </c>
      <c r="E785">
        <v>16</v>
      </c>
      <c r="F785">
        <v>28</v>
      </c>
      <c r="G785">
        <v>2</v>
      </c>
      <c r="H785">
        <v>59</v>
      </c>
      <c r="I785" t="s">
        <v>11</v>
      </c>
    </row>
    <row r="786" spans="1:9" x14ac:dyDescent="0.35">
      <c r="A786">
        <v>309</v>
      </c>
      <c r="B786">
        <v>9</v>
      </c>
      <c r="C786" t="s">
        <v>19</v>
      </c>
      <c r="D786" t="s">
        <v>20</v>
      </c>
      <c r="E786">
        <v>25</v>
      </c>
      <c r="F786">
        <v>40</v>
      </c>
      <c r="G786">
        <v>1</v>
      </c>
      <c r="H786">
        <v>29</v>
      </c>
      <c r="I786" t="s">
        <v>11</v>
      </c>
    </row>
    <row r="787" spans="1:9" x14ac:dyDescent="0.35">
      <c r="A787">
        <v>309</v>
      </c>
      <c r="B787">
        <v>9</v>
      </c>
      <c r="C787" t="s">
        <v>15</v>
      </c>
      <c r="D787" t="s">
        <v>16</v>
      </c>
      <c r="E787">
        <v>19</v>
      </c>
      <c r="F787">
        <v>31</v>
      </c>
      <c r="G787">
        <v>2</v>
      </c>
      <c r="H787">
        <v>43</v>
      </c>
      <c r="I787" t="s">
        <v>14</v>
      </c>
    </row>
    <row r="788" spans="1:9" x14ac:dyDescent="0.35">
      <c r="A788">
        <v>309</v>
      </c>
      <c r="B788">
        <v>9</v>
      </c>
      <c r="C788" t="s">
        <v>31</v>
      </c>
      <c r="D788" t="s">
        <v>32</v>
      </c>
      <c r="E788">
        <v>21</v>
      </c>
      <c r="F788">
        <v>35</v>
      </c>
      <c r="G788">
        <v>2</v>
      </c>
      <c r="H788">
        <v>51</v>
      </c>
      <c r="I788" t="s">
        <v>14</v>
      </c>
    </row>
    <row r="789" spans="1:9" x14ac:dyDescent="0.35">
      <c r="A789">
        <v>310</v>
      </c>
      <c r="B789">
        <v>17</v>
      </c>
      <c r="C789" t="s">
        <v>47</v>
      </c>
      <c r="D789" t="s">
        <v>48</v>
      </c>
      <c r="E789">
        <v>15</v>
      </c>
      <c r="F789">
        <v>26</v>
      </c>
      <c r="G789">
        <v>3</v>
      </c>
      <c r="H789">
        <v>43</v>
      </c>
      <c r="I789" t="s">
        <v>11</v>
      </c>
    </row>
    <row r="790" spans="1:9" x14ac:dyDescent="0.35">
      <c r="A790">
        <v>310</v>
      </c>
      <c r="B790">
        <v>17</v>
      </c>
      <c r="C790" t="s">
        <v>12</v>
      </c>
      <c r="D790" t="s">
        <v>13</v>
      </c>
      <c r="E790">
        <v>18</v>
      </c>
      <c r="F790">
        <v>30</v>
      </c>
      <c r="G790">
        <v>2</v>
      </c>
      <c r="H790">
        <v>54</v>
      </c>
      <c r="I790" t="s">
        <v>14</v>
      </c>
    </row>
    <row r="791" spans="1:9" x14ac:dyDescent="0.35">
      <c r="A791">
        <v>311</v>
      </c>
      <c r="B791">
        <v>6</v>
      </c>
      <c r="C791" t="s">
        <v>9</v>
      </c>
      <c r="D791" t="s">
        <v>10</v>
      </c>
      <c r="E791">
        <v>14</v>
      </c>
      <c r="F791">
        <v>24</v>
      </c>
      <c r="G791">
        <v>1</v>
      </c>
      <c r="H791">
        <v>46</v>
      </c>
      <c r="I791" t="s">
        <v>14</v>
      </c>
    </row>
    <row r="792" spans="1:9" x14ac:dyDescent="0.35">
      <c r="A792">
        <v>311</v>
      </c>
      <c r="B792">
        <v>6</v>
      </c>
      <c r="C792" t="s">
        <v>23</v>
      </c>
      <c r="D792" t="s">
        <v>24</v>
      </c>
      <c r="E792">
        <v>17</v>
      </c>
      <c r="F792">
        <v>29</v>
      </c>
      <c r="G792">
        <v>1</v>
      </c>
      <c r="H792">
        <v>28</v>
      </c>
      <c r="I792" t="s">
        <v>14</v>
      </c>
    </row>
    <row r="793" spans="1:9" x14ac:dyDescent="0.35">
      <c r="A793">
        <v>312</v>
      </c>
      <c r="B793">
        <v>2</v>
      </c>
      <c r="C793" t="s">
        <v>33</v>
      </c>
      <c r="D793" t="s">
        <v>34</v>
      </c>
      <c r="E793">
        <v>19</v>
      </c>
      <c r="F793">
        <v>32</v>
      </c>
      <c r="G793">
        <v>2</v>
      </c>
      <c r="H793">
        <v>45</v>
      </c>
      <c r="I793" t="s">
        <v>14</v>
      </c>
    </row>
    <row r="794" spans="1:9" x14ac:dyDescent="0.35">
      <c r="A794">
        <v>312</v>
      </c>
      <c r="B794">
        <v>2</v>
      </c>
      <c r="C794" t="s">
        <v>31</v>
      </c>
      <c r="D794" t="s">
        <v>32</v>
      </c>
      <c r="E794">
        <v>21</v>
      </c>
      <c r="F794">
        <v>35</v>
      </c>
      <c r="G794">
        <v>2</v>
      </c>
      <c r="H794">
        <v>10</v>
      </c>
      <c r="I794" t="s">
        <v>14</v>
      </c>
    </row>
    <row r="795" spans="1:9" x14ac:dyDescent="0.35">
      <c r="A795">
        <v>313</v>
      </c>
      <c r="B795">
        <v>10</v>
      </c>
      <c r="C795" t="s">
        <v>29</v>
      </c>
      <c r="D795" t="s">
        <v>30</v>
      </c>
      <c r="E795">
        <v>11</v>
      </c>
      <c r="F795">
        <v>19</v>
      </c>
      <c r="G795">
        <v>2</v>
      </c>
      <c r="H795">
        <v>27</v>
      </c>
      <c r="I795" t="s">
        <v>14</v>
      </c>
    </row>
    <row r="796" spans="1:9" x14ac:dyDescent="0.35">
      <c r="A796">
        <v>313</v>
      </c>
      <c r="B796">
        <v>10</v>
      </c>
      <c r="C796" t="s">
        <v>15</v>
      </c>
      <c r="D796" t="s">
        <v>16</v>
      </c>
      <c r="E796">
        <v>19</v>
      </c>
      <c r="F796">
        <v>31</v>
      </c>
      <c r="G796">
        <v>2</v>
      </c>
      <c r="H796">
        <v>38</v>
      </c>
      <c r="I796" t="s">
        <v>11</v>
      </c>
    </row>
    <row r="797" spans="1:9" x14ac:dyDescent="0.35">
      <c r="A797">
        <v>313</v>
      </c>
      <c r="B797">
        <v>10</v>
      </c>
      <c r="C797" t="s">
        <v>21</v>
      </c>
      <c r="D797" t="s">
        <v>22</v>
      </c>
      <c r="E797">
        <v>22</v>
      </c>
      <c r="F797">
        <v>36</v>
      </c>
      <c r="G797">
        <v>3</v>
      </c>
      <c r="H797">
        <v>26</v>
      </c>
      <c r="I797" t="s">
        <v>11</v>
      </c>
    </row>
    <row r="798" spans="1:9" x14ac:dyDescent="0.35">
      <c r="A798">
        <v>313</v>
      </c>
      <c r="B798">
        <v>10</v>
      </c>
      <c r="C798" t="s">
        <v>9</v>
      </c>
      <c r="D798" t="s">
        <v>10</v>
      </c>
      <c r="E798">
        <v>14</v>
      </c>
      <c r="F798">
        <v>24</v>
      </c>
      <c r="G798">
        <v>1</v>
      </c>
      <c r="H798">
        <v>15</v>
      </c>
      <c r="I798" t="s">
        <v>14</v>
      </c>
    </row>
    <row r="799" spans="1:9" x14ac:dyDescent="0.35">
      <c r="A799">
        <v>314</v>
      </c>
      <c r="B799">
        <v>20</v>
      </c>
      <c r="C799" t="s">
        <v>17</v>
      </c>
      <c r="D799" t="s">
        <v>18</v>
      </c>
      <c r="E799">
        <v>16</v>
      </c>
      <c r="F799">
        <v>27</v>
      </c>
      <c r="G799">
        <v>1</v>
      </c>
      <c r="H799">
        <v>5</v>
      </c>
      <c r="I799" t="s">
        <v>11</v>
      </c>
    </row>
    <row r="800" spans="1:9" x14ac:dyDescent="0.35">
      <c r="A800">
        <v>315</v>
      </c>
      <c r="B800">
        <v>14</v>
      </c>
      <c r="C800" t="s">
        <v>49</v>
      </c>
      <c r="D800" t="s">
        <v>50</v>
      </c>
      <c r="E800">
        <v>15</v>
      </c>
      <c r="F800">
        <v>25</v>
      </c>
      <c r="G800">
        <v>1</v>
      </c>
      <c r="H800">
        <v>16</v>
      </c>
      <c r="I800" t="s">
        <v>14</v>
      </c>
    </row>
    <row r="801" spans="1:9" x14ac:dyDescent="0.35">
      <c r="A801">
        <v>315</v>
      </c>
      <c r="B801">
        <v>14</v>
      </c>
      <c r="C801" t="s">
        <v>27</v>
      </c>
      <c r="D801" t="s">
        <v>28</v>
      </c>
      <c r="E801">
        <v>16</v>
      </c>
      <c r="F801">
        <v>28</v>
      </c>
      <c r="G801">
        <v>1</v>
      </c>
      <c r="H801">
        <v>7</v>
      </c>
      <c r="I801" t="s">
        <v>14</v>
      </c>
    </row>
    <row r="802" spans="1:9" x14ac:dyDescent="0.35">
      <c r="A802">
        <v>315</v>
      </c>
      <c r="B802">
        <v>14</v>
      </c>
      <c r="C802" t="s">
        <v>23</v>
      </c>
      <c r="D802" t="s">
        <v>24</v>
      </c>
      <c r="E802">
        <v>17</v>
      </c>
      <c r="F802">
        <v>29</v>
      </c>
      <c r="G802">
        <v>3</v>
      </c>
      <c r="H802">
        <v>52</v>
      </c>
      <c r="I802" t="s">
        <v>14</v>
      </c>
    </row>
    <row r="803" spans="1:9" x14ac:dyDescent="0.35">
      <c r="A803">
        <v>315</v>
      </c>
      <c r="B803">
        <v>14</v>
      </c>
      <c r="C803" t="s">
        <v>43</v>
      </c>
      <c r="D803" t="s">
        <v>44</v>
      </c>
      <c r="E803">
        <v>13</v>
      </c>
      <c r="F803">
        <v>21</v>
      </c>
      <c r="G803">
        <v>1</v>
      </c>
      <c r="H803">
        <v>51</v>
      </c>
      <c r="I803" t="s">
        <v>14</v>
      </c>
    </row>
    <row r="804" spans="1:9" x14ac:dyDescent="0.35">
      <c r="A804">
        <v>316</v>
      </c>
      <c r="B804">
        <v>2</v>
      </c>
      <c r="C804" t="s">
        <v>45</v>
      </c>
      <c r="D804" t="s">
        <v>46</v>
      </c>
      <c r="E804">
        <v>10</v>
      </c>
      <c r="F804">
        <v>18</v>
      </c>
      <c r="G804">
        <v>1</v>
      </c>
      <c r="H804">
        <v>30</v>
      </c>
      <c r="I804" t="s">
        <v>11</v>
      </c>
    </row>
    <row r="805" spans="1:9" x14ac:dyDescent="0.35">
      <c r="A805">
        <v>316</v>
      </c>
      <c r="B805">
        <v>2</v>
      </c>
      <c r="C805" t="s">
        <v>43</v>
      </c>
      <c r="D805" t="s">
        <v>44</v>
      </c>
      <c r="E805">
        <v>13</v>
      </c>
      <c r="F805">
        <v>21</v>
      </c>
      <c r="G805">
        <v>1</v>
      </c>
      <c r="H805">
        <v>23</v>
      </c>
      <c r="I805" t="s">
        <v>11</v>
      </c>
    </row>
    <row r="806" spans="1:9" x14ac:dyDescent="0.35">
      <c r="A806">
        <v>316</v>
      </c>
      <c r="B806">
        <v>2</v>
      </c>
      <c r="C806" t="s">
        <v>17</v>
      </c>
      <c r="D806" t="s">
        <v>18</v>
      </c>
      <c r="E806">
        <v>16</v>
      </c>
      <c r="F806">
        <v>27</v>
      </c>
      <c r="G806">
        <v>3</v>
      </c>
      <c r="H806">
        <v>53</v>
      </c>
      <c r="I806" t="s">
        <v>14</v>
      </c>
    </row>
    <row r="807" spans="1:9" x14ac:dyDescent="0.35">
      <c r="A807">
        <v>316</v>
      </c>
      <c r="B807">
        <v>2</v>
      </c>
      <c r="C807" t="s">
        <v>19</v>
      </c>
      <c r="D807" t="s">
        <v>20</v>
      </c>
      <c r="E807">
        <v>25</v>
      </c>
      <c r="F807">
        <v>40</v>
      </c>
      <c r="G807">
        <v>1</v>
      </c>
      <c r="H807">
        <v>52</v>
      </c>
      <c r="I807" t="s">
        <v>14</v>
      </c>
    </row>
    <row r="808" spans="1:9" x14ac:dyDescent="0.35">
      <c r="A808">
        <v>317</v>
      </c>
      <c r="B808">
        <v>17</v>
      </c>
      <c r="C808" t="s">
        <v>35</v>
      </c>
      <c r="D808" t="s">
        <v>36</v>
      </c>
      <c r="E808">
        <v>13</v>
      </c>
      <c r="F808">
        <v>22</v>
      </c>
      <c r="G808">
        <v>2</v>
      </c>
      <c r="H808">
        <v>20</v>
      </c>
      <c r="I808" t="s">
        <v>14</v>
      </c>
    </row>
    <row r="809" spans="1:9" x14ac:dyDescent="0.35">
      <c r="A809">
        <v>317</v>
      </c>
      <c r="B809">
        <v>17</v>
      </c>
      <c r="C809" t="s">
        <v>37</v>
      </c>
      <c r="D809" t="s">
        <v>38</v>
      </c>
      <c r="E809">
        <v>20</v>
      </c>
      <c r="F809">
        <v>34</v>
      </c>
      <c r="G809">
        <v>3</v>
      </c>
      <c r="H809">
        <v>37</v>
      </c>
      <c r="I809" t="s">
        <v>14</v>
      </c>
    </row>
    <row r="810" spans="1:9" x14ac:dyDescent="0.35">
      <c r="A810">
        <v>317</v>
      </c>
      <c r="B810">
        <v>17</v>
      </c>
      <c r="C810" t="s">
        <v>33</v>
      </c>
      <c r="D810" t="s">
        <v>34</v>
      </c>
      <c r="E810">
        <v>19</v>
      </c>
      <c r="F810">
        <v>32</v>
      </c>
      <c r="G810">
        <v>1</v>
      </c>
      <c r="H810">
        <v>31</v>
      </c>
      <c r="I810" t="s">
        <v>14</v>
      </c>
    </row>
    <row r="811" spans="1:9" x14ac:dyDescent="0.35">
      <c r="A811">
        <v>318</v>
      </c>
      <c r="B811">
        <v>13</v>
      </c>
      <c r="C811" t="s">
        <v>23</v>
      </c>
      <c r="D811" t="s">
        <v>24</v>
      </c>
      <c r="E811">
        <v>17</v>
      </c>
      <c r="F811">
        <v>29</v>
      </c>
      <c r="G811">
        <v>1</v>
      </c>
      <c r="H811">
        <v>39</v>
      </c>
      <c r="I811" t="s">
        <v>14</v>
      </c>
    </row>
    <row r="812" spans="1:9" x14ac:dyDescent="0.35">
      <c r="A812">
        <v>319</v>
      </c>
      <c r="B812">
        <v>1</v>
      </c>
      <c r="C812" t="s">
        <v>33</v>
      </c>
      <c r="D812" t="s">
        <v>34</v>
      </c>
      <c r="E812">
        <v>19</v>
      </c>
      <c r="F812">
        <v>32</v>
      </c>
      <c r="G812">
        <v>3</v>
      </c>
      <c r="H812">
        <v>16</v>
      </c>
      <c r="I812" t="s">
        <v>14</v>
      </c>
    </row>
    <row r="813" spans="1:9" x14ac:dyDescent="0.35">
      <c r="A813">
        <v>319</v>
      </c>
      <c r="B813">
        <v>1</v>
      </c>
      <c r="C813" t="s">
        <v>31</v>
      </c>
      <c r="D813" t="s">
        <v>32</v>
      </c>
      <c r="E813">
        <v>21</v>
      </c>
      <c r="F813">
        <v>35</v>
      </c>
      <c r="G813">
        <v>2</v>
      </c>
      <c r="H813">
        <v>17</v>
      </c>
      <c r="I813" t="s">
        <v>11</v>
      </c>
    </row>
    <row r="814" spans="1:9" x14ac:dyDescent="0.35">
      <c r="A814">
        <v>319</v>
      </c>
      <c r="B814">
        <v>1</v>
      </c>
      <c r="C814" t="s">
        <v>19</v>
      </c>
      <c r="D814" t="s">
        <v>20</v>
      </c>
      <c r="E814">
        <v>25</v>
      </c>
      <c r="F814">
        <v>40</v>
      </c>
      <c r="G814">
        <v>1</v>
      </c>
      <c r="H814">
        <v>38</v>
      </c>
      <c r="I814" t="s">
        <v>14</v>
      </c>
    </row>
    <row r="815" spans="1:9" x14ac:dyDescent="0.35">
      <c r="A815">
        <v>319</v>
      </c>
      <c r="B815">
        <v>1</v>
      </c>
      <c r="C815" t="s">
        <v>15</v>
      </c>
      <c r="D815" t="s">
        <v>16</v>
      </c>
      <c r="E815">
        <v>19</v>
      </c>
      <c r="F815">
        <v>31</v>
      </c>
      <c r="G815">
        <v>2</v>
      </c>
      <c r="H815">
        <v>55</v>
      </c>
      <c r="I815" t="s">
        <v>14</v>
      </c>
    </row>
    <row r="816" spans="1:9" x14ac:dyDescent="0.35">
      <c r="A816">
        <v>320</v>
      </c>
      <c r="B816">
        <v>9</v>
      </c>
      <c r="C816" t="s">
        <v>43</v>
      </c>
      <c r="D816" t="s">
        <v>44</v>
      </c>
      <c r="E816">
        <v>13</v>
      </c>
      <c r="F816">
        <v>21</v>
      </c>
      <c r="G816">
        <v>2</v>
      </c>
      <c r="H816">
        <v>44</v>
      </c>
      <c r="I816" t="s">
        <v>14</v>
      </c>
    </row>
    <row r="817" spans="1:9" x14ac:dyDescent="0.35">
      <c r="A817">
        <v>320</v>
      </c>
      <c r="B817">
        <v>9</v>
      </c>
      <c r="C817" t="s">
        <v>35</v>
      </c>
      <c r="D817" t="s">
        <v>36</v>
      </c>
      <c r="E817">
        <v>13</v>
      </c>
      <c r="F817">
        <v>22</v>
      </c>
      <c r="G817">
        <v>1</v>
      </c>
      <c r="H817">
        <v>44</v>
      </c>
      <c r="I817" t="s">
        <v>14</v>
      </c>
    </row>
    <row r="818" spans="1:9" x14ac:dyDescent="0.35">
      <c r="A818">
        <v>320</v>
      </c>
      <c r="B818">
        <v>9</v>
      </c>
      <c r="C818" t="s">
        <v>37</v>
      </c>
      <c r="D818" t="s">
        <v>38</v>
      </c>
      <c r="E818">
        <v>20</v>
      </c>
      <c r="F818">
        <v>34</v>
      </c>
      <c r="G818">
        <v>1</v>
      </c>
      <c r="H818">
        <v>42</v>
      </c>
      <c r="I818" t="s">
        <v>11</v>
      </c>
    </row>
    <row r="819" spans="1:9" x14ac:dyDescent="0.35">
      <c r="A819">
        <v>321</v>
      </c>
      <c r="B819">
        <v>18</v>
      </c>
      <c r="C819" t="s">
        <v>27</v>
      </c>
      <c r="D819" t="s">
        <v>28</v>
      </c>
      <c r="E819">
        <v>16</v>
      </c>
      <c r="F819">
        <v>28</v>
      </c>
      <c r="G819">
        <v>1</v>
      </c>
      <c r="H819">
        <v>34</v>
      </c>
      <c r="I819" t="s">
        <v>14</v>
      </c>
    </row>
    <row r="820" spans="1:9" x14ac:dyDescent="0.35">
      <c r="A820">
        <v>321</v>
      </c>
      <c r="B820">
        <v>18</v>
      </c>
      <c r="C820" t="s">
        <v>35</v>
      </c>
      <c r="D820" t="s">
        <v>36</v>
      </c>
      <c r="E820">
        <v>13</v>
      </c>
      <c r="F820">
        <v>22</v>
      </c>
      <c r="G820">
        <v>2</v>
      </c>
      <c r="H820">
        <v>22</v>
      </c>
      <c r="I820" t="s">
        <v>14</v>
      </c>
    </row>
    <row r="821" spans="1:9" x14ac:dyDescent="0.35">
      <c r="A821">
        <v>321</v>
      </c>
      <c r="B821">
        <v>18</v>
      </c>
      <c r="C821" t="s">
        <v>41</v>
      </c>
      <c r="D821" t="s">
        <v>42</v>
      </c>
      <c r="E821">
        <v>14</v>
      </c>
      <c r="F821">
        <v>23</v>
      </c>
      <c r="G821">
        <v>3</v>
      </c>
      <c r="H821">
        <v>39</v>
      </c>
      <c r="I821" t="s">
        <v>11</v>
      </c>
    </row>
    <row r="822" spans="1:9" x14ac:dyDescent="0.35">
      <c r="A822">
        <v>322</v>
      </c>
      <c r="B822">
        <v>12</v>
      </c>
      <c r="C822" t="s">
        <v>33</v>
      </c>
      <c r="D822" t="s">
        <v>34</v>
      </c>
      <c r="E822">
        <v>19</v>
      </c>
      <c r="F822">
        <v>32</v>
      </c>
      <c r="G822">
        <v>2</v>
      </c>
      <c r="H822">
        <v>8</v>
      </c>
      <c r="I822" t="s">
        <v>11</v>
      </c>
    </row>
    <row r="823" spans="1:9" x14ac:dyDescent="0.35">
      <c r="A823">
        <v>322</v>
      </c>
      <c r="B823">
        <v>12</v>
      </c>
      <c r="C823" t="s">
        <v>43</v>
      </c>
      <c r="D823" t="s">
        <v>44</v>
      </c>
      <c r="E823">
        <v>13</v>
      </c>
      <c r="F823">
        <v>21</v>
      </c>
      <c r="G823">
        <v>1</v>
      </c>
      <c r="H823">
        <v>52</v>
      </c>
      <c r="I823" t="s">
        <v>14</v>
      </c>
    </row>
    <row r="824" spans="1:9" x14ac:dyDescent="0.35">
      <c r="A824">
        <v>323</v>
      </c>
      <c r="B824">
        <v>8</v>
      </c>
      <c r="C824" t="s">
        <v>35</v>
      </c>
      <c r="D824" t="s">
        <v>36</v>
      </c>
      <c r="E824">
        <v>13</v>
      </c>
      <c r="F824">
        <v>22</v>
      </c>
      <c r="G824">
        <v>3</v>
      </c>
      <c r="H824">
        <v>37</v>
      </c>
      <c r="I824" t="s">
        <v>14</v>
      </c>
    </row>
    <row r="825" spans="1:9" x14ac:dyDescent="0.35">
      <c r="A825">
        <v>323</v>
      </c>
      <c r="B825">
        <v>8</v>
      </c>
      <c r="C825" t="s">
        <v>23</v>
      </c>
      <c r="D825" t="s">
        <v>24</v>
      </c>
      <c r="E825">
        <v>17</v>
      </c>
      <c r="F825">
        <v>29</v>
      </c>
      <c r="G825">
        <v>2</v>
      </c>
      <c r="H825">
        <v>33</v>
      </c>
      <c r="I825" t="s">
        <v>11</v>
      </c>
    </row>
    <row r="826" spans="1:9" x14ac:dyDescent="0.35">
      <c r="A826">
        <v>323</v>
      </c>
      <c r="B826">
        <v>8</v>
      </c>
      <c r="C826" t="s">
        <v>9</v>
      </c>
      <c r="D826" t="s">
        <v>10</v>
      </c>
      <c r="E826">
        <v>14</v>
      </c>
      <c r="F826">
        <v>24</v>
      </c>
      <c r="G826">
        <v>2</v>
      </c>
      <c r="H826">
        <v>30</v>
      </c>
      <c r="I826" t="s">
        <v>11</v>
      </c>
    </row>
    <row r="827" spans="1:9" x14ac:dyDescent="0.35">
      <c r="A827">
        <v>323</v>
      </c>
      <c r="B827">
        <v>8</v>
      </c>
      <c r="C827" t="s">
        <v>45</v>
      </c>
      <c r="D827" t="s">
        <v>46</v>
      </c>
      <c r="E827">
        <v>10</v>
      </c>
      <c r="F827">
        <v>18</v>
      </c>
      <c r="G827">
        <v>2</v>
      </c>
      <c r="H827">
        <v>22</v>
      </c>
      <c r="I827" t="s">
        <v>14</v>
      </c>
    </row>
    <row r="828" spans="1:9" x14ac:dyDescent="0.35">
      <c r="A828">
        <v>324</v>
      </c>
      <c r="B828">
        <v>9</v>
      </c>
      <c r="C828" t="s">
        <v>12</v>
      </c>
      <c r="D828" t="s">
        <v>13</v>
      </c>
      <c r="E828">
        <v>18</v>
      </c>
      <c r="F828">
        <v>30</v>
      </c>
      <c r="G828">
        <v>1</v>
      </c>
      <c r="H828">
        <v>15</v>
      </c>
      <c r="I828" t="s">
        <v>14</v>
      </c>
    </row>
    <row r="829" spans="1:9" x14ac:dyDescent="0.35">
      <c r="A829">
        <v>324</v>
      </c>
      <c r="B829">
        <v>9</v>
      </c>
      <c r="C829" t="s">
        <v>17</v>
      </c>
      <c r="D829" t="s">
        <v>18</v>
      </c>
      <c r="E829">
        <v>16</v>
      </c>
      <c r="F829">
        <v>27</v>
      </c>
      <c r="G829">
        <v>3</v>
      </c>
      <c r="H829">
        <v>58</v>
      </c>
      <c r="I829" t="s">
        <v>11</v>
      </c>
    </row>
    <row r="830" spans="1:9" x14ac:dyDescent="0.35">
      <c r="A830">
        <v>324</v>
      </c>
      <c r="B830">
        <v>9</v>
      </c>
      <c r="C830" t="s">
        <v>47</v>
      </c>
      <c r="D830" t="s">
        <v>48</v>
      </c>
      <c r="E830">
        <v>15</v>
      </c>
      <c r="F830">
        <v>26</v>
      </c>
      <c r="G830">
        <v>1</v>
      </c>
      <c r="H830">
        <v>17</v>
      </c>
      <c r="I830" t="s">
        <v>11</v>
      </c>
    </row>
    <row r="831" spans="1:9" x14ac:dyDescent="0.35">
      <c r="A831">
        <v>325</v>
      </c>
      <c r="B831">
        <v>18</v>
      </c>
      <c r="C831" t="s">
        <v>43</v>
      </c>
      <c r="D831" t="s">
        <v>44</v>
      </c>
      <c r="E831">
        <v>13</v>
      </c>
      <c r="F831">
        <v>21</v>
      </c>
      <c r="G831">
        <v>1</v>
      </c>
      <c r="H831">
        <v>26</v>
      </c>
      <c r="I831" t="s">
        <v>14</v>
      </c>
    </row>
    <row r="832" spans="1:9" x14ac:dyDescent="0.35">
      <c r="A832">
        <v>325</v>
      </c>
      <c r="B832">
        <v>18</v>
      </c>
      <c r="C832" t="s">
        <v>15</v>
      </c>
      <c r="D832" t="s">
        <v>16</v>
      </c>
      <c r="E832">
        <v>19</v>
      </c>
      <c r="F832">
        <v>31</v>
      </c>
      <c r="G832">
        <v>1</v>
      </c>
      <c r="H832">
        <v>5</v>
      </c>
      <c r="I832" t="s">
        <v>14</v>
      </c>
    </row>
    <row r="833" spans="1:9" x14ac:dyDescent="0.35">
      <c r="A833">
        <v>325</v>
      </c>
      <c r="B833">
        <v>18</v>
      </c>
      <c r="C833" t="s">
        <v>31</v>
      </c>
      <c r="D833" t="s">
        <v>32</v>
      </c>
      <c r="E833">
        <v>21</v>
      </c>
      <c r="F833">
        <v>35</v>
      </c>
      <c r="G833">
        <v>2</v>
      </c>
      <c r="H833">
        <v>13</v>
      </c>
      <c r="I833" t="s">
        <v>14</v>
      </c>
    </row>
    <row r="834" spans="1:9" x14ac:dyDescent="0.35">
      <c r="A834">
        <v>325</v>
      </c>
      <c r="B834">
        <v>18</v>
      </c>
      <c r="C834" t="s">
        <v>33</v>
      </c>
      <c r="D834" t="s">
        <v>34</v>
      </c>
      <c r="E834">
        <v>19</v>
      </c>
      <c r="F834">
        <v>32</v>
      </c>
      <c r="G834">
        <v>1</v>
      </c>
      <c r="H834">
        <v>27</v>
      </c>
      <c r="I834" t="s">
        <v>11</v>
      </c>
    </row>
    <row r="835" spans="1:9" x14ac:dyDescent="0.35">
      <c r="A835">
        <v>326</v>
      </c>
      <c r="B835">
        <v>14</v>
      </c>
      <c r="C835" t="s">
        <v>31</v>
      </c>
      <c r="D835" t="s">
        <v>32</v>
      </c>
      <c r="E835">
        <v>21</v>
      </c>
      <c r="F835">
        <v>35</v>
      </c>
      <c r="G835">
        <v>1</v>
      </c>
      <c r="H835">
        <v>14</v>
      </c>
      <c r="I835" t="s">
        <v>11</v>
      </c>
    </row>
    <row r="836" spans="1:9" x14ac:dyDescent="0.35">
      <c r="A836">
        <v>326</v>
      </c>
      <c r="B836">
        <v>14</v>
      </c>
      <c r="C836" t="s">
        <v>45</v>
      </c>
      <c r="D836" t="s">
        <v>46</v>
      </c>
      <c r="E836">
        <v>10</v>
      </c>
      <c r="F836">
        <v>18</v>
      </c>
      <c r="G836">
        <v>1</v>
      </c>
      <c r="H836">
        <v>28</v>
      </c>
      <c r="I836" t="s">
        <v>11</v>
      </c>
    </row>
    <row r="837" spans="1:9" x14ac:dyDescent="0.35">
      <c r="A837">
        <v>326</v>
      </c>
      <c r="B837">
        <v>14</v>
      </c>
      <c r="C837" t="s">
        <v>27</v>
      </c>
      <c r="D837" t="s">
        <v>28</v>
      </c>
      <c r="E837">
        <v>16</v>
      </c>
      <c r="F837">
        <v>28</v>
      </c>
      <c r="G837">
        <v>1</v>
      </c>
      <c r="H837">
        <v>49</v>
      </c>
      <c r="I837" t="s">
        <v>11</v>
      </c>
    </row>
    <row r="838" spans="1:9" x14ac:dyDescent="0.35">
      <c r="A838">
        <v>327</v>
      </c>
      <c r="B838">
        <v>12</v>
      </c>
      <c r="C838" t="s">
        <v>37</v>
      </c>
      <c r="D838" t="s">
        <v>38</v>
      </c>
      <c r="E838">
        <v>20</v>
      </c>
      <c r="F838">
        <v>34</v>
      </c>
      <c r="G838">
        <v>3</v>
      </c>
      <c r="H838">
        <v>33</v>
      </c>
      <c r="I838" t="s">
        <v>11</v>
      </c>
    </row>
    <row r="839" spans="1:9" x14ac:dyDescent="0.35">
      <c r="A839">
        <v>327</v>
      </c>
      <c r="B839">
        <v>12</v>
      </c>
      <c r="C839" t="s">
        <v>45</v>
      </c>
      <c r="D839" t="s">
        <v>46</v>
      </c>
      <c r="E839">
        <v>10</v>
      </c>
      <c r="F839">
        <v>18</v>
      </c>
      <c r="G839">
        <v>1</v>
      </c>
      <c r="H839">
        <v>7</v>
      </c>
      <c r="I839" t="s">
        <v>14</v>
      </c>
    </row>
    <row r="840" spans="1:9" x14ac:dyDescent="0.35">
      <c r="A840">
        <v>327</v>
      </c>
      <c r="B840">
        <v>12</v>
      </c>
      <c r="C840" t="s">
        <v>17</v>
      </c>
      <c r="D840" t="s">
        <v>18</v>
      </c>
      <c r="E840">
        <v>16</v>
      </c>
      <c r="F840">
        <v>27</v>
      </c>
      <c r="G840">
        <v>1</v>
      </c>
      <c r="H840">
        <v>34</v>
      </c>
      <c r="I840" t="s">
        <v>11</v>
      </c>
    </row>
    <row r="841" spans="1:9" x14ac:dyDescent="0.35">
      <c r="A841">
        <v>328</v>
      </c>
      <c r="B841">
        <v>4</v>
      </c>
      <c r="C841" t="s">
        <v>31</v>
      </c>
      <c r="D841" t="s">
        <v>32</v>
      </c>
      <c r="E841">
        <v>21</v>
      </c>
      <c r="F841">
        <v>35</v>
      </c>
      <c r="G841">
        <v>1</v>
      </c>
      <c r="H841">
        <v>21</v>
      </c>
      <c r="I841" t="s">
        <v>11</v>
      </c>
    </row>
    <row r="842" spans="1:9" x14ac:dyDescent="0.35">
      <c r="A842">
        <v>329</v>
      </c>
      <c r="B842">
        <v>13</v>
      </c>
      <c r="C842" t="s">
        <v>43</v>
      </c>
      <c r="D842" t="s">
        <v>44</v>
      </c>
      <c r="E842">
        <v>13</v>
      </c>
      <c r="F842">
        <v>21</v>
      </c>
      <c r="G842">
        <v>2</v>
      </c>
      <c r="H842">
        <v>56</v>
      </c>
      <c r="I842" t="s">
        <v>11</v>
      </c>
    </row>
    <row r="843" spans="1:9" x14ac:dyDescent="0.35">
      <c r="A843">
        <v>329</v>
      </c>
      <c r="B843">
        <v>13</v>
      </c>
      <c r="C843" t="s">
        <v>19</v>
      </c>
      <c r="D843" t="s">
        <v>20</v>
      </c>
      <c r="E843">
        <v>25</v>
      </c>
      <c r="F843">
        <v>40</v>
      </c>
      <c r="G843">
        <v>2</v>
      </c>
      <c r="H843">
        <v>17</v>
      </c>
      <c r="I843" t="s">
        <v>11</v>
      </c>
    </row>
    <row r="844" spans="1:9" x14ac:dyDescent="0.35">
      <c r="A844">
        <v>329</v>
      </c>
      <c r="B844">
        <v>13</v>
      </c>
      <c r="C844" t="s">
        <v>15</v>
      </c>
      <c r="D844" t="s">
        <v>16</v>
      </c>
      <c r="E844">
        <v>19</v>
      </c>
      <c r="F844">
        <v>31</v>
      </c>
      <c r="G844">
        <v>2</v>
      </c>
      <c r="H844">
        <v>58</v>
      </c>
      <c r="I844" t="s">
        <v>11</v>
      </c>
    </row>
    <row r="845" spans="1:9" x14ac:dyDescent="0.35">
      <c r="A845">
        <v>329</v>
      </c>
      <c r="B845">
        <v>13</v>
      </c>
      <c r="C845" t="s">
        <v>41</v>
      </c>
      <c r="D845" t="s">
        <v>42</v>
      </c>
      <c r="E845">
        <v>14</v>
      </c>
      <c r="F845">
        <v>23</v>
      </c>
      <c r="G845">
        <v>1</v>
      </c>
      <c r="H845">
        <v>8</v>
      </c>
      <c r="I845" t="s">
        <v>11</v>
      </c>
    </row>
    <row r="846" spans="1:9" x14ac:dyDescent="0.35">
      <c r="A846">
        <v>330</v>
      </c>
      <c r="B846">
        <v>10</v>
      </c>
      <c r="C846" t="s">
        <v>49</v>
      </c>
      <c r="D846" t="s">
        <v>50</v>
      </c>
      <c r="E846">
        <v>15</v>
      </c>
      <c r="F846">
        <v>25</v>
      </c>
      <c r="G846">
        <v>2</v>
      </c>
      <c r="H846">
        <v>25</v>
      </c>
      <c r="I846" t="s">
        <v>14</v>
      </c>
    </row>
    <row r="847" spans="1:9" x14ac:dyDescent="0.35">
      <c r="A847">
        <v>330</v>
      </c>
      <c r="B847">
        <v>10</v>
      </c>
      <c r="C847" t="s">
        <v>27</v>
      </c>
      <c r="D847" t="s">
        <v>28</v>
      </c>
      <c r="E847">
        <v>16</v>
      </c>
      <c r="F847">
        <v>28</v>
      </c>
      <c r="G847">
        <v>2</v>
      </c>
      <c r="H847">
        <v>43</v>
      </c>
      <c r="I847" t="s">
        <v>11</v>
      </c>
    </row>
    <row r="848" spans="1:9" x14ac:dyDescent="0.35">
      <c r="A848">
        <v>330</v>
      </c>
      <c r="B848">
        <v>10</v>
      </c>
      <c r="C848" t="s">
        <v>41</v>
      </c>
      <c r="D848" t="s">
        <v>42</v>
      </c>
      <c r="E848">
        <v>14</v>
      </c>
      <c r="F848">
        <v>23</v>
      </c>
      <c r="G848">
        <v>3</v>
      </c>
      <c r="H848">
        <v>21</v>
      </c>
      <c r="I848" t="s">
        <v>11</v>
      </c>
    </row>
    <row r="849" spans="1:9" x14ac:dyDescent="0.35">
      <c r="A849">
        <v>330</v>
      </c>
      <c r="B849">
        <v>10</v>
      </c>
      <c r="C849" t="s">
        <v>43</v>
      </c>
      <c r="D849" t="s">
        <v>44</v>
      </c>
      <c r="E849">
        <v>13</v>
      </c>
      <c r="F849">
        <v>21</v>
      </c>
      <c r="G849">
        <v>2</v>
      </c>
      <c r="H849">
        <v>51</v>
      </c>
      <c r="I849" t="s">
        <v>14</v>
      </c>
    </row>
    <row r="850" spans="1:9" x14ac:dyDescent="0.35">
      <c r="A850">
        <v>331</v>
      </c>
      <c r="B850">
        <v>20</v>
      </c>
      <c r="C850" t="s">
        <v>29</v>
      </c>
      <c r="D850" t="s">
        <v>30</v>
      </c>
      <c r="E850">
        <v>11</v>
      </c>
      <c r="F850">
        <v>19</v>
      </c>
      <c r="G850">
        <v>1</v>
      </c>
      <c r="H850">
        <v>5</v>
      </c>
      <c r="I850" t="s">
        <v>11</v>
      </c>
    </row>
    <row r="851" spans="1:9" x14ac:dyDescent="0.35">
      <c r="A851">
        <v>331</v>
      </c>
      <c r="B851">
        <v>20</v>
      </c>
      <c r="C851" t="s">
        <v>31</v>
      </c>
      <c r="D851" t="s">
        <v>32</v>
      </c>
      <c r="E851">
        <v>21</v>
      </c>
      <c r="F851">
        <v>35</v>
      </c>
      <c r="G851">
        <v>3</v>
      </c>
      <c r="H851">
        <v>26</v>
      </c>
      <c r="I851" t="s">
        <v>14</v>
      </c>
    </row>
    <row r="852" spans="1:9" x14ac:dyDescent="0.35">
      <c r="A852">
        <v>331</v>
      </c>
      <c r="B852">
        <v>20</v>
      </c>
      <c r="C852" t="s">
        <v>9</v>
      </c>
      <c r="D852" t="s">
        <v>10</v>
      </c>
      <c r="E852">
        <v>14</v>
      </c>
      <c r="F852">
        <v>24</v>
      </c>
      <c r="G852">
        <v>1</v>
      </c>
      <c r="H852">
        <v>55</v>
      </c>
      <c r="I852" t="s">
        <v>11</v>
      </c>
    </row>
    <row r="853" spans="1:9" x14ac:dyDescent="0.35">
      <c r="A853">
        <v>331</v>
      </c>
      <c r="B853">
        <v>20</v>
      </c>
      <c r="C853" t="s">
        <v>49</v>
      </c>
      <c r="D853" t="s">
        <v>50</v>
      </c>
      <c r="E853">
        <v>15</v>
      </c>
      <c r="F853">
        <v>25</v>
      </c>
      <c r="G853">
        <v>1</v>
      </c>
      <c r="H853">
        <v>35</v>
      </c>
      <c r="I853" t="s">
        <v>11</v>
      </c>
    </row>
    <row r="854" spans="1:9" x14ac:dyDescent="0.35">
      <c r="A854">
        <v>332</v>
      </c>
      <c r="B854">
        <v>6</v>
      </c>
      <c r="C854" t="s">
        <v>19</v>
      </c>
      <c r="D854" t="s">
        <v>20</v>
      </c>
      <c r="E854">
        <v>25</v>
      </c>
      <c r="F854">
        <v>40</v>
      </c>
      <c r="G854">
        <v>3</v>
      </c>
      <c r="H854">
        <v>17</v>
      </c>
      <c r="I854" t="s">
        <v>11</v>
      </c>
    </row>
    <row r="855" spans="1:9" x14ac:dyDescent="0.35">
      <c r="A855">
        <v>333</v>
      </c>
      <c r="B855">
        <v>6</v>
      </c>
      <c r="C855" t="s">
        <v>21</v>
      </c>
      <c r="D855" t="s">
        <v>22</v>
      </c>
      <c r="E855">
        <v>22</v>
      </c>
      <c r="F855">
        <v>36</v>
      </c>
      <c r="G855">
        <v>1</v>
      </c>
      <c r="H855">
        <v>38</v>
      </c>
      <c r="I855" t="s">
        <v>14</v>
      </c>
    </row>
    <row r="856" spans="1:9" x14ac:dyDescent="0.35">
      <c r="A856">
        <v>333</v>
      </c>
      <c r="B856">
        <v>6</v>
      </c>
      <c r="C856" t="s">
        <v>45</v>
      </c>
      <c r="D856" t="s">
        <v>46</v>
      </c>
      <c r="E856">
        <v>10</v>
      </c>
      <c r="F856">
        <v>18</v>
      </c>
      <c r="G856">
        <v>2</v>
      </c>
      <c r="H856">
        <v>23</v>
      </c>
      <c r="I856" t="s">
        <v>14</v>
      </c>
    </row>
    <row r="857" spans="1:9" x14ac:dyDescent="0.35">
      <c r="A857">
        <v>334</v>
      </c>
      <c r="B857">
        <v>12</v>
      </c>
      <c r="C857" t="s">
        <v>43</v>
      </c>
      <c r="D857" t="s">
        <v>44</v>
      </c>
      <c r="E857">
        <v>13</v>
      </c>
      <c r="F857">
        <v>21</v>
      </c>
      <c r="G857">
        <v>2</v>
      </c>
      <c r="H857">
        <v>36</v>
      </c>
      <c r="I857" t="s">
        <v>14</v>
      </c>
    </row>
    <row r="858" spans="1:9" x14ac:dyDescent="0.35">
      <c r="A858">
        <v>334</v>
      </c>
      <c r="B858">
        <v>12</v>
      </c>
      <c r="C858" t="s">
        <v>41</v>
      </c>
      <c r="D858" t="s">
        <v>42</v>
      </c>
      <c r="E858">
        <v>14</v>
      </c>
      <c r="F858">
        <v>23</v>
      </c>
      <c r="G858">
        <v>1</v>
      </c>
      <c r="H858">
        <v>58</v>
      </c>
      <c r="I858" t="s">
        <v>11</v>
      </c>
    </row>
    <row r="859" spans="1:9" x14ac:dyDescent="0.35">
      <c r="A859">
        <v>334</v>
      </c>
      <c r="B859">
        <v>12</v>
      </c>
      <c r="C859" t="s">
        <v>9</v>
      </c>
      <c r="D859" t="s">
        <v>10</v>
      </c>
      <c r="E859">
        <v>14</v>
      </c>
      <c r="F859">
        <v>24</v>
      </c>
      <c r="G859">
        <v>2</v>
      </c>
      <c r="H859">
        <v>31</v>
      </c>
      <c r="I859" t="s">
        <v>11</v>
      </c>
    </row>
    <row r="860" spans="1:9" x14ac:dyDescent="0.35">
      <c r="A860">
        <v>334</v>
      </c>
      <c r="B860">
        <v>12</v>
      </c>
      <c r="C860" t="s">
        <v>12</v>
      </c>
      <c r="D860" t="s">
        <v>13</v>
      </c>
      <c r="E860">
        <v>18</v>
      </c>
      <c r="F860">
        <v>30</v>
      </c>
      <c r="G860">
        <v>2</v>
      </c>
      <c r="H860">
        <v>31</v>
      </c>
      <c r="I860" t="s">
        <v>11</v>
      </c>
    </row>
    <row r="861" spans="1:9" x14ac:dyDescent="0.35">
      <c r="A861">
        <v>335</v>
      </c>
      <c r="B861">
        <v>14</v>
      </c>
      <c r="C861" t="s">
        <v>12</v>
      </c>
      <c r="D861" t="s">
        <v>13</v>
      </c>
      <c r="E861">
        <v>18</v>
      </c>
      <c r="F861">
        <v>30</v>
      </c>
      <c r="G861">
        <v>1</v>
      </c>
      <c r="H861">
        <v>33</v>
      </c>
      <c r="I861" t="s">
        <v>14</v>
      </c>
    </row>
    <row r="862" spans="1:9" x14ac:dyDescent="0.35">
      <c r="A862">
        <v>335</v>
      </c>
      <c r="B862">
        <v>14</v>
      </c>
      <c r="C862" t="s">
        <v>27</v>
      </c>
      <c r="D862" t="s">
        <v>28</v>
      </c>
      <c r="E862">
        <v>16</v>
      </c>
      <c r="F862">
        <v>28</v>
      </c>
      <c r="G862">
        <v>3</v>
      </c>
      <c r="H862">
        <v>36</v>
      </c>
      <c r="I862" t="s">
        <v>14</v>
      </c>
    </row>
    <row r="863" spans="1:9" x14ac:dyDescent="0.35">
      <c r="A863">
        <v>336</v>
      </c>
      <c r="B863">
        <v>4</v>
      </c>
      <c r="C863" t="s">
        <v>43</v>
      </c>
      <c r="D863" t="s">
        <v>44</v>
      </c>
      <c r="E863">
        <v>13</v>
      </c>
      <c r="F863">
        <v>21</v>
      </c>
      <c r="G863">
        <v>2</v>
      </c>
      <c r="H863">
        <v>12</v>
      </c>
      <c r="I863" t="s">
        <v>14</v>
      </c>
    </row>
    <row r="864" spans="1:9" x14ac:dyDescent="0.35">
      <c r="A864">
        <v>336</v>
      </c>
      <c r="B864">
        <v>4</v>
      </c>
      <c r="C864" t="s">
        <v>29</v>
      </c>
      <c r="D864" t="s">
        <v>30</v>
      </c>
      <c r="E864">
        <v>11</v>
      </c>
      <c r="F864">
        <v>19</v>
      </c>
      <c r="G864">
        <v>2</v>
      </c>
      <c r="H864">
        <v>33</v>
      </c>
      <c r="I864" t="s">
        <v>14</v>
      </c>
    </row>
    <row r="865" spans="1:9" x14ac:dyDescent="0.35">
      <c r="A865">
        <v>336</v>
      </c>
      <c r="B865">
        <v>4</v>
      </c>
      <c r="C865" t="s">
        <v>47</v>
      </c>
      <c r="D865" t="s">
        <v>48</v>
      </c>
      <c r="E865">
        <v>15</v>
      </c>
      <c r="F865">
        <v>26</v>
      </c>
      <c r="G865">
        <v>3</v>
      </c>
      <c r="H865">
        <v>20</v>
      </c>
      <c r="I865" t="s">
        <v>14</v>
      </c>
    </row>
    <row r="866" spans="1:9" x14ac:dyDescent="0.35">
      <c r="A866">
        <v>337</v>
      </c>
      <c r="B866">
        <v>11</v>
      </c>
      <c r="C866" t="s">
        <v>9</v>
      </c>
      <c r="D866" t="s">
        <v>10</v>
      </c>
      <c r="E866">
        <v>14</v>
      </c>
      <c r="F866">
        <v>24</v>
      </c>
      <c r="G866">
        <v>3</v>
      </c>
      <c r="H866">
        <v>53</v>
      </c>
      <c r="I866" t="s">
        <v>11</v>
      </c>
    </row>
    <row r="867" spans="1:9" x14ac:dyDescent="0.35">
      <c r="A867">
        <v>337</v>
      </c>
      <c r="B867">
        <v>11</v>
      </c>
      <c r="C867" t="s">
        <v>27</v>
      </c>
      <c r="D867" t="s">
        <v>28</v>
      </c>
      <c r="E867">
        <v>16</v>
      </c>
      <c r="F867">
        <v>28</v>
      </c>
      <c r="G867">
        <v>1</v>
      </c>
      <c r="H867">
        <v>5</v>
      </c>
      <c r="I867" t="s">
        <v>14</v>
      </c>
    </row>
    <row r="868" spans="1:9" x14ac:dyDescent="0.35">
      <c r="A868">
        <v>338</v>
      </c>
      <c r="B868">
        <v>18</v>
      </c>
      <c r="C868" t="s">
        <v>37</v>
      </c>
      <c r="D868" t="s">
        <v>38</v>
      </c>
      <c r="E868">
        <v>20</v>
      </c>
      <c r="F868">
        <v>34</v>
      </c>
      <c r="G868">
        <v>3</v>
      </c>
      <c r="H868">
        <v>44</v>
      </c>
      <c r="I868" t="s">
        <v>11</v>
      </c>
    </row>
    <row r="869" spans="1:9" x14ac:dyDescent="0.35">
      <c r="A869">
        <v>338</v>
      </c>
      <c r="B869">
        <v>18</v>
      </c>
      <c r="C869" t="s">
        <v>43</v>
      </c>
      <c r="D869" t="s">
        <v>44</v>
      </c>
      <c r="E869">
        <v>13</v>
      </c>
      <c r="F869">
        <v>21</v>
      </c>
      <c r="G869">
        <v>1</v>
      </c>
      <c r="H869">
        <v>10</v>
      </c>
      <c r="I869" t="s">
        <v>14</v>
      </c>
    </row>
    <row r="870" spans="1:9" x14ac:dyDescent="0.35">
      <c r="A870">
        <v>338</v>
      </c>
      <c r="B870">
        <v>18</v>
      </c>
      <c r="C870" t="s">
        <v>33</v>
      </c>
      <c r="D870" t="s">
        <v>34</v>
      </c>
      <c r="E870">
        <v>19</v>
      </c>
      <c r="F870">
        <v>32</v>
      </c>
      <c r="G870">
        <v>3</v>
      </c>
      <c r="H870">
        <v>30</v>
      </c>
      <c r="I870" t="s">
        <v>14</v>
      </c>
    </row>
    <row r="871" spans="1:9" x14ac:dyDescent="0.35">
      <c r="A871">
        <v>338</v>
      </c>
      <c r="B871">
        <v>18</v>
      </c>
      <c r="C871" t="s">
        <v>39</v>
      </c>
      <c r="D871" t="s">
        <v>40</v>
      </c>
      <c r="E871">
        <v>12</v>
      </c>
      <c r="F871">
        <v>20</v>
      </c>
      <c r="G871">
        <v>3</v>
      </c>
      <c r="H871">
        <v>59</v>
      </c>
      <c r="I871" t="s">
        <v>11</v>
      </c>
    </row>
    <row r="872" spans="1:9" x14ac:dyDescent="0.35">
      <c r="A872">
        <v>339</v>
      </c>
      <c r="B872">
        <v>13</v>
      </c>
      <c r="C872" t="s">
        <v>23</v>
      </c>
      <c r="D872" t="s">
        <v>24</v>
      </c>
      <c r="E872">
        <v>17</v>
      </c>
      <c r="F872">
        <v>29</v>
      </c>
      <c r="G872">
        <v>2</v>
      </c>
      <c r="H872">
        <v>6</v>
      </c>
      <c r="I872" t="s">
        <v>14</v>
      </c>
    </row>
    <row r="873" spans="1:9" x14ac:dyDescent="0.35">
      <c r="A873">
        <v>339</v>
      </c>
      <c r="B873">
        <v>13</v>
      </c>
      <c r="C873" t="s">
        <v>41</v>
      </c>
      <c r="D873" t="s">
        <v>42</v>
      </c>
      <c r="E873">
        <v>14</v>
      </c>
      <c r="F873">
        <v>23</v>
      </c>
      <c r="G873">
        <v>2</v>
      </c>
      <c r="H873">
        <v>40</v>
      </c>
      <c r="I873" t="s">
        <v>11</v>
      </c>
    </row>
    <row r="874" spans="1:9" x14ac:dyDescent="0.35">
      <c r="A874">
        <v>340</v>
      </c>
      <c r="B874">
        <v>15</v>
      </c>
      <c r="C874" t="s">
        <v>19</v>
      </c>
      <c r="D874" t="s">
        <v>20</v>
      </c>
      <c r="E874">
        <v>25</v>
      </c>
      <c r="F874">
        <v>40</v>
      </c>
      <c r="G874">
        <v>2</v>
      </c>
      <c r="H874">
        <v>35</v>
      </c>
      <c r="I874" t="s">
        <v>14</v>
      </c>
    </row>
    <row r="875" spans="1:9" x14ac:dyDescent="0.35">
      <c r="A875">
        <v>340</v>
      </c>
      <c r="B875">
        <v>15</v>
      </c>
      <c r="C875" t="s">
        <v>27</v>
      </c>
      <c r="D875" t="s">
        <v>28</v>
      </c>
      <c r="E875">
        <v>16</v>
      </c>
      <c r="F875">
        <v>28</v>
      </c>
      <c r="G875">
        <v>3</v>
      </c>
      <c r="H875">
        <v>56</v>
      </c>
      <c r="I875" t="s">
        <v>11</v>
      </c>
    </row>
    <row r="876" spans="1:9" x14ac:dyDescent="0.35">
      <c r="A876">
        <v>341</v>
      </c>
      <c r="B876">
        <v>14</v>
      </c>
      <c r="C876" t="s">
        <v>27</v>
      </c>
      <c r="D876" t="s">
        <v>28</v>
      </c>
      <c r="E876">
        <v>16</v>
      </c>
      <c r="F876">
        <v>28</v>
      </c>
      <c r="G876">
        <v>1</v>
      </c>
      <c r="H876">
        <v>46</v>
      </c>
      <c r="I876" t="s">
        <v>11</v>
      </c>
    </row>
    <row r="877" spans="1:9" x14ac:dyDescent="0.35">
      <c r="A877">
        <v>341</v>
      </c>
      <c r="B877">
        <v>14</v>
      </c>
      <c r="C877" t="s">
        <v>35</v>
      </c>
      <c r="D877" t="s">
        <v>36</v>
      </c>
      <c r="E877">
        <v>13</v>
      </c>
      <c r="F877">
        <v>22</v>
      </c>
      <c r="G877">
        <v>2</v>
      </c>
      <c r="H877">
        <v>34</v>
      </c>
      <c r="I877" t="s">
        <v>14</v>
      </c>
    </row>
    <row r="878" spans="1:9" x14ac:dyDescent="0.35">
      <c r="A878">
        <v>341</v>
      </c>
      <c r="B878">
        <v>14</v>
      </c>
      <c r="C878" t="s">
        <v>31</v>
      </c>
      <c r="D878" t="s">
        <v>32</v>
      </c>
      <c r="E878">
        <v>21</v>
      </c>
      <c r="F878">
        <v>35</v>
      </c>
      <c r="G878">
        <v>3</v>
      </c>
      <c r="H878">
        <v>8</v>
      </c>
      <c r="I878" t="s">
        <v>14</v>
      </c>
    </row>
    <row r="879" spans="1:9" x14ac:dyDescent="0.35">
      <c r="A879">
        <v>342</v>
      </c>
      <c r="B879">
        <v>19</v>
      </c>
      <c r="C879" t="s">
        <v>41</v>
      </c>
      <c r="D879" t="s">
        <v>42</v>
      </c>
      <c r="E879">
        <v>14</v>
      </c>
      <c r="F879">
        <v>23</v>
      </c>
      <c r="G879">
        <v>2</v>
      </c>
      <c r="H879">
        <v>23</v>
      </c>
      <c r="I879" t="s">
        <v>14</v>
      </c>
    </row>
    <row r="880" spans="1:9" x14ac:dyDescent="0.35">
      <c r="A880">
        <v>342</v>
      </c>
      <c r="B880">
        <v>19</v>
      </c>
      <c r="C880" t="s">
        <v>27</v>
      </c>
      <c r="D880" t="s">
        <v>28</v>
      </c>
      <c r="E880">
        <v>16</v>
      </c>
      <c r="F880">
        <v>28</v>
      </c>
      <c r="G880">
        <v>2</v>
      </c>
      <c r="H880">
        <v>31</v>
      </c>
      <c r="I880" t="s">
        <v>14</v>
      </c>
    </row>
    <row r="881" spans="1:9" x14ac:dyDescent="0.35">
      <c r="A881">
        <v>343</v>
      </c>
      <c r="B881">
        <v>12</v>
      </c>
      <c r="C881" t="s">
        <v>37</v>
      </c>
      <c r="D881" t="s">
        <v>38</v>
      </c>
      <c r="E881">
        <v>20</v>
      </c>
      <c r="F881">
        <v>34</v>
      </c>
      <c r="G881">
        <v>2</v>
      </c>
      <c r="H881">
        <v>58</v>
      </c>
      <c r="I881" t="s">
        <v>14</v>
      </c>
    </row>
    <row r="882" spans="1:9" x14ac:dyDescent="0.35">
      <c r="A882">
        <v>343</v>
      </c>
      <c r="B882">
        <v>12</v>
      </c>
      <c r="C882" t="s">
        <v>41</v>
      </c>
      <c r="D882" t="s">
        <v>42</v>
      </c>
      <c r="E882">
        <v>14</v>
      </c>
      <c r="F882">
        <v>23</v>
      </c>
      <c r="G882">
        <v>3</v>
      </c>
      <c r="H882">
        <v>43</v>
      </c>
      <c r="I882" t="s">
        <v>11</v>
      </c>
    </row>
    <row r="883" spans="1:9" x14ac:dyDescent="0.35">
      <c r="A883">
        <v>344</v>
      </c>
      <c r="B883">
        <v>15</v>
      </c>
      <c r="C883" t="s">
        <v>31</v>
      </c>
      <c r="D883" t="s">
        <v>32</v>
      </c>
      <c r="E883">
        <v>21</v>
      </c>
      <c r="F883">
        <v>35</v>
      </c>
      <c r="G883">
        <v>1</v>
      </c>
      <c r="H883">
        <v>11</v>
      </c>
      <c r="I883" t="s">
        <v>14</v>
      </c>
    </row>
    <row r="884" spans="1:9" x14ac:dyDescent="0.35">
      <c r="A884">
        <v>344</v>
      </c>
      <c r="B884">
        <v>15</v>
      </c>
      <c r="C884" t="s">
        <v>15</v>
      </c>
      <c r="D884" t="s">
        <v>16</v>
      </c>
      <c r="E884">
        <v>19</v>
      </c>
      <c r="F884">
        <v>31</v>
      </c>
      <c r="G884">
        <v>2</v>
      </c>
      <c r="H884">
        <v>28</v>
      </c>
      <c r="I884" t="s">
        <v>14</v>
      </c>
    </row>
    <row r="885" spans="1:9" x14ac:dyDescent="0.35">
      <c r="A885">
        <v>344</v>
      </c>
      <c r="B885">
        <v>15</v>
      </c>
      <c r="C885" t="s">
        <v>33</v>
      </c>
      <c r="D885" t="s">
        <v>34</v>
      </c>
      <c r="E885">
        <v>19</v>
      </c>
      <c r="F885">
        <v>32</v>
      </c>
      <c r="G885">
        <v>2</v>
      </c>
      <c r="H885">
        <v>19</v>
      </c>
      <c r="I885" t="s">
        <v>14</v>
      </c>
    </row>
    <row r="886" spans="1:9" x14ac:dyDescent="0.35">
      <c r="A886">
        <v>344</v>
      </c>
      <c r="B886">
        <v>15</v>
      </c>
      <c r="C886" t="s">
        <v>35</v>
      </c>
      <c r="D886" t="s">
        <v>36</v>
      </c>
      <c r="E886">
        <v>13</v>
      </c>
      <c r="F886">
        <v>22</v>
      </c>
      <c r="G886">
        <v>1</v>
      </c>
      <c r="H886">
        <v>28</v>
      </c>
      <c r="I886" t="s">
        <v>11</v>
      </c>
    </row>
    <row r="887" spans="1:9" x14ac:dyDescent="0.35">
      <c r="A887">
        <v>345</v>
      </c>
      <c r="B887">
        <v>16</v>
      </c>
      <c r="C887" t="s">
        <v>29</v>
      </c>
      <c r="D887" t="s">
        <v>30</v>
      </c>
      <c r="E887">
        <v>11</v>
      </c>
      <c r="F887">
        <v>19</v>
      </c>
      <c r="G887">
        <v>2</v>
      </c>
      <c r="H887">
        <v>18</v>
      </c>
      <c r="I887" t="s">
        <v>11</v>
      </c>
    </row>
    <row r="888" spans="1:9" x14ac:dyDescent="0.35">
      <c r="A888">
        <v>346</v>
      </c>
      <c r="B888">
        <v>1</v>
      </c>
      <c r="C888" t="s">
        <v>21</v>
      </c>
      <c r="D888" t="s">
        <v>22</v>
      </c>
      <c r="E888">
        <v>22</v>
      </c>
      <c r="F888">
        <v>36</v>
      </c>
      <c r="G888">
        <v>2</v>
      </c>
      <c r="H888">
        <v>22</v>
      </c>
      <c r="I888" t="s">
        <v>14</v>
      </c>
    </row>
    <row r="889" spans="1:9" x14ac:dyDescent="0.35">
      <c r="A889">
        <v>347</v>
      </c>
      <c r="B889">
        <v>7</v>
      </c>
      <c r="C889" t="s">
        <v>31</v>
      </c>
      <c r="D889" t="s">
        <v>32</v>
      </c>
      <c r="E889">
        <v>21</v>
      </c>
      <c r="F889">
        <v>35</v>
      </c>
      <c r="G889">
        <v>2</v>
      </c>
      <c r="H889">
        <v>44</v>
      </c>
      <c r="I889" t="s">
        <v>11</v>
      </c>
    </row>
    <row r="890" spans="1:9" x14ac:dyDescent="0.35">
      <c r="A890">
        <v>348</v>
      </c>
      <c r="B890">
        <v>16</v>
      </c>
      <c r="C890" t="s">
        <v>47</v>
      </c>
      <c r="D890" t="s">
        <v>48</v>
      </c>
      <c r="E890">
        <v>15</v>
      </c>
      <c r="F890">
        <v>26</v>
      </c>
      <c r="G890">
        <v>1</v>
      </c>
      <c r="H890">
        <v>31</v>
      </c>
      <c r="I890" t="s">
        <v>14</v>
      </c>
    </row>
    <row r="891" spans="1:9" x14ac:dyDescent="0.35">
      <c r="A891">
        <v>348</v>
      </c>
      <c r="B891">
        <v>16</v>
      </c>
      <c r="C891" t="s">
        <v>39</v>
      </c>
      <c r="D891" t="s">
        <v>40</v>
      </c>
      <c r="E891">
        <v>12</v>
      </c>
      <c r="F891">
        <v>20</v>
      </c>
      <c r="G891">
        <v>3</v>
      </c>
      <c r="H891">
        <v>57</v>
      </c>
      <c r="I891" t="s">
        <v>11</v>
      </c>
    </row>
    <row r="892" spans="1:9" x14ac:dyDescent="0.35">
      <c r="A892">
        <v>349</v>
      </c>
      <c r="B892">
        <v>13</v>
      </c>
      <c r="C892" t="s">
        <v>12</v>
      </c>
      <c r="D892" t="s">
        <v>13</v>
      </c>
      <c r="E892">
        <v>18</v>
      </c>
      <c r="F892">
        <v>30</v>
      </c>
      <c r="G892">
        <v>2</v>
      </c>
      <c r="H892">
        <v>25</v>
      </c>
      <c r="I892" t="s">
        <v>14</v>
      </c>
    </row>
    <row r="893" spans="1:9" x14ac:dyDescent="0.35">
      <c r="A893">
        <v>349</v>
      </c>
      <c r="B893">
        <v>13</v>
      </c>
      <c r="C893" t="s">
        <v>29</v>
      </c>
      <c r="D893" t="s">
        <v>30</v>
      </c>
      <c r="E893">
        <v>11</v>
      </c>
      <c r="F893">
        <v>19</v>
      </c>
      <c r="G893">
        <v>3</v>
      </c>
      <c r="H893">
        <v>7</v>
      </c>
      <c r="I893" t="s">
        <v>11</v>
      </c>
    </row>
    <row r="894" spans="1:9" x14ac:dyDescent="0.35">
      <c r="A894">
        <v>349</v>
      </c>
      <c r="B894">
        <v>13</v>
      </c>
      <c r="C894" t="s">
        <v>31</v>
      </c>
      <c r="D894" t="s">
        <v>32</v>
      </c>
      <c r="E894">
        <v>21</v>
      </c>
      <c r="F894">
        <v>35</v>
      </c>
      <c r="G894">
        <v>1</v>
      </c>
      <c r="H894">
        <v>53</v>
      </c>
      <c r="I894" t="s">
        <v>11</v>
      </c>
    </row>
    <row r="895" spans="1:9" x14ac:dyDescent="0.35">
      <c r="A895">
        <v>350</v>
      </c>
      <c r="B895">
        <v>2</v>
      </c>
      <c r="C895" t="s">
        <v>15</v>
      </c>
      <c r="D895" t="s">
        <v>16</v>
      </c>
      <c r="E895">
        <v>19</v>
      </c>
      <c r="F895">
        <v>31</v>
      </c>
      <c r="G895">
        <v>2</v>
      </c>
      <c r="H895">
        <v>52</v>
      </c>
      <c r="I895" t="s">
        <v>14</v>
      </c>
    </row>
    <row r="896" spans="1:9" x14ac:dyDescent="0.35">
      <c r="A896">
        <v>350</v>
      </c>
      <c r="B896">
        <v>2</v>
      </c>
      <c r="C896" t="s">
        <v>17</v>
      </c>
      <c r="D896" t="s">
        <v>18</v>
      </c>
      <c r="E896">
        <v>16</v>
      </c>
      <c r="F896">
        <v>27</v>
      </c>
      <c r="G896">
        <v>3</v>
      </c>
      <c r="H896">
        <v>57</v>
      </c>
      <c r="I896" t="s">
        <v>14</v>
      </c>
    </row>
    <row r="897" spans="1:9" x14ac:dyDescent="0.35">
      <c r="A897">
        <v>351</v>
      </c>
      <c r="B897">
        <v>1</v>
      </c>
      <c r="C897" t="s">
        <v>33</v>
      </c>
      <c r="D897" t="s">
        <v>34</v>
      </c>
      <c r="E897">
        <v>19</v>
      </c>
      <c r="F897">
        <v>32</v>
      </c>
      <c r="G897">
        <v>3</v>
      </c>
      <c r="H897">
        <v>18</v>
      </c>
      <c r="I897" t="s">
        <v>14</v>
      </c>
    </row>
    <row r="898" spans="1:9" x14ac:dyDescent="0.35">
      <c r="A898">
        <v>351</v>
      </c>
      <c r="B898">
        <v>1</v>
      </c>
      <c r="C898" t="s">
        <v>31</v>
      </c>
      <c r="D898" t="s">
        <v>32</v>
      </c>
      <c r="E898">
        <v>21</v>
      </c>
      <c r="F898">
        <v>35</v>
      </c>
      <c r="G898">
        <v>3</v>
      </c>
      <c r="H898">
        <v>7</v>
      </c>
      <c r="I898" t="s">
        <v>14</v>
      </c>
    </row>
    <row r="899" spans="1:9" x14ac:dyDescent="0.35">
      <c r="A899">
        <v>352</v>
      </c>
      <c r="B899">
        <v>1</v>
      </c>
      <c r="C899" t="s">
        <v>25</v>
      </c>
      <c r="D899" t="s">
        <v>26</v>
      </c>
      <c r="E899">
        <v>20</v>
      </c>
      <c r="F899">
        <v>33</v>
      </c>
      <c r="G899">
        <v>3</v>
      </c>
      <c r="H899">
        <v>7</v>
      </c>
      <c r="I899" t="s">
        <v>14</v>
      </c>
    </row>
    <row r="900" spans="1:9" x14ac:dyDescent="0.35">
      <c r="A900">
        <v>353</v>
      </c>
      <c r="B900">
        <v>7</v>
      </c>
      <c r="C900" t="s">
        <v>35</v>
      </c>
      <c r="D900" t="s">
        <v>36</v>
      </c>
      <c r="E900">
        <v>13</v>
      </c>
      <c r="F900">
        <v>22</v>
      </c>
      <c r="G900">
        <v>2</v>
      </c>
      <c r="H900">
        <v>50</v>
      </c>
      <c r="I900" t="s">
        <v>14</v>
      </c>
    </row>
    <row r="901" spans="1:9" x14ac:dyDescent="0.35">
      <c r="A901">
        <v>353</v>
      </c>
      <c r="B901">
        <v>7</v>
      </c>
      <c r="C901" t="s">
        <v>12</v>
      </c>
      <c r="D901" t="s">
        <v>13</v>
      </c>
      <c r="E901">
        <v>18</v>
      </c>
      <c r="F901">
        <v>30</v>
      </c>
      <c r="G901">
        <v>1</v>
      </c>
      <c r="H901">
        <v>16</v>
      </c>
      <c r="I901" t="s">
        <v>11</v>
      </c>
    </row>
    <row r="902" spans="1:9" x14ac:dyDescent="0.35">
      <c r="A902">
        <v>353</v>
      </c>
      <c r="B902">
        <v>7</v>
      </c>
      <c r="C902" t="s">
        <v>31</v>
      </c>
      <c r="D902" t="s">
        <v>32</v>
      </c>
      <c r="E902">
        <v>21</v>
      </c>
      <c r="F902">
        <v>35</v>
      </c>
      <c r="G902">
        <v>2</v>
      </c>
      <c r="H902">
        <v>37</v>
      </c>
      <c r="I902" t="s">
        <v>11</v>
      </c>
    </row>
    <row r="903" spans="1:9" x14ac:dyDescent="0.35">
      <c r="A903">
        <v>353</v>
      </c>
      <c r="B903">
        <v>7</v>
      </c>
      <c r="C903" t="s">
        <v>37</v>
      </c>
      <c r="D903" t="s">
        <v>38</v>
      </c>
      <c r="E903">
        <v>20</v>
      </c>
      <c r="F903">
        <v>34</v>
      </c>
      <c r="G903">
        <v>2</v>
      </c>
      <c r="H903">
        <v>25</v>
      </c>
      <c r="I903" t="s">
        <v>14</v>
      </c>
    </row>
    <row r="904" spans="1:9" x14ac:dyDescent="0.35">
      <c r="A904">
        <v>354</v>
      </c>
      <c r="B904">
        <v>12</v>
      </c>
      <c r="C904" t="s">
        <v>29</v>
      </c>
      <c r="D904" t="s">
        <v>30</v>
      </c>
      <c r="E904">
        <v>11</v>
      </c>
      <c r="F904">
        <v>19</v>
      </c>
      <c r="G904">
        <v>3</v>
      </c>
      <c r="H904">
        <v>32</v>
      </c>
      <c r="I904" t="s">
        <v>14</v>
      </c>
    </row>
    <row r="905" spans="1:9" x14ac:dyDescent="0.35">
      <c r="A905">
        <v>354</v>
      </c>
      <c r="B905">
        <v>12</v>
      </c>
      <c r="C905" t="s">
        <v>33</v>
      </c>
      <c r="D905" t="s">
        <v>34</v>
      </c>
      <c r="E905">
        <v>19</v>
      </c>
      <c r="F905">
        <v>32</v>
      </c>
      <c r="G905">
        <v>2</v>
      </c>
      <c r="H905">
        <v>49</v>
      </c>
      <c r="I905" t="s">
        <v>14</v>
      </c>
    </row>
    <row r="906" spans="1:9" x14ac:dyDescent="0.35">
      <c r="A906">
        <v>354</v>
      </c>
      <c r="B906">
        <v>12</v>
      </c>
      <c r="C906" t="s">
        <v>45</v>
      </c>
      <c r="D906" t="s">
        <v>46</v>
      </c>
      <c r="E906">
        <v>10</v>
      </c>
      <c r="F906">
        <v>18</v>
      </c>
      <c r="G906">
        <v>2</v>
      </c>
      <c r="H906">
        <v>7</v>
      </c>
      <c r="I906" t="s">
        <v>14</v>
      </c>
    </row>
    <row r="907" spans="1:9" x14ac:dyDescent="0.35">
      <c r="A907">
        <v>354</v>
      </c>
      <c r="B907">
        <v>12</v>
      </c>
      <c r="C907" t="s">
        <v>9</v>
      </c>
      <c r="D907" t="s">
        <v>10</v>
      </c>
      <c r="E907">
        <v>14</v>
      </c>
      <c r="F907">
        <v>24</v>
      </c>
      <c r="G907">
        <v>1</v>
      </c>
      <c r="H907">
        <v>49</v>
      </c>
      <c r="I907" t="s">
        <v>14</v>
      </c>
    </row>
    <row r="908" spans="1:9" x14ac:dyDescent="0.35">
      <c r="A908">
        <v>355</v>
      </c>
      <c r="B908">
        <v>4</v>
      </c>
      <c r="C908" t="s">
        <v>47</v>
      </c>
      <c r="D908" t="s">
        <v>48</v>
      </c>
      <c r="E908">
        <v>15</v>
      </c>
      <c r="F908">
        <v>26</v>
      </c>
      <c r="G908">
        <v>1</v>
      </c>
      <c r="H908">
        <v>7</v>
      </c>
      <c r="I908" t="s">
        <v>14</v>
      </c>
    </row>
    <row r="909" spans="1:9" x14ac:dyDescent="0.35">
      <c r="A909">
        <v>356</v>
      </c>
      <c r="B909">
        <v>1</v>
      </c>
      <c r="C909" t="s">
        <v>45</v>
      </c>
      <c r="D909" t="s">
        <v>46</v>
      </c>
      <c r="E909">
        <v>10</v>
      </c>
      <c r="F909">
        <v>18</v>
      </c>
      <c r="G909">
        <v>2</v>
      </c>
      <c r="H909">
        <v>7</v>
      </c>
      <c r="I909" t="s">
        <v>11</v>
      </c>
    </row>
    <row r="910" spans="1:9" x14ac:dyDescent="0.35">
      <c r="A910">
        <v>357</v>
      </c>
      <c r="B910">
        <v>17</v>
      </c>
      <c r="C910" t="s">
        <v>49</v>
      </c>
      <c r="D910" t="s">
        <v>50</v>
      </c>
      <c r="E910">
        <v>15</v>
      </c>
      <c r="F910">
        <v>25</v>
      </c>
      <c r="G910">
        <v>1</v>
      </c>
      <c r="H910">
        <v>12</v>
      </c>
      <c r="I910" t="s">
        <v>11</v>
      </c>
    </row>
    <row r="911" spans="1:9" x14ac:dyDescent="0.35">
      <c r="A911">
        <v>357</v>
      </c>
      <c r="B911">
        <v>17</v>
      </c>
      <c r="C911" t="s">
        <v>39</v>
      </c>
      <c r="D911" t="s">
        <v>40</v>
      </c>
      <c r="E911">
        <v>12</v>
      </c>
      <c r="F911">
        <v>20</v>
      </c>
      <c r="G911">
        <v>2</v>
      </c>
      <c r="H911">
        <v>5</v>
      </c>
      <c r="I911" t="s">
        <v>14</v>
      </c>
    </row>
    <row r="912" spans="1:9" x14ac:dyDescent="0.35">
      <c r="A912">
        <v>357</v>
      </c>
      <c r="B912">
        <v>17</v>
      </c>
      <c r="C912" t="s">
        <v>17</v>
      </c>
      <c r="D912" t="s">
        <v>18</v>
      </c>
      <c r="E912">
        <v>16</v>
      </c>
      <c r="F912">
        <v>27</v>
      </c>
      <c r="G912">
        <v>3</v>
      </c>
      <c r="H912">
        <v>31</v>
      </c>
      <c r="I912" t="s">
        <v>14</v>
      </c>
    </row>
    <row r="913" spans="1:9" x14ac:dyDescent="0.35">
      <c r="A913">
        <v>357</v>
      </c>
      <c r="B913">
        <v>17</v>
      </c>
      <c r="C913" t="s">
        <v>35</v>
      </c>
      <c r="D913" t="s">
        <v>36</v>
      </c>
      <c r="E913">
        <v>13</v>
      </c>
      <c r="F913">
        <v>22</v>
      </c>
      <c r="G913">
        <v>1</v>
      </c>
      <c r="H913">
        <v>48</v>
      </c>
      <c r="I913" t="s">
        <v>11</v>
      </c>
    </row>
    <row r="914" spans="1:9" x14ac:dyDescent="0.35">
      <c r="A914">
        <v>358</v>
      </c>
      <c r="B914">
        <v>13</v>
      </c>
      <c r="C914" t="s">
        <v>47</v>
      </c>
      <c r="D914" t="s">
        <v>48</v>
      </c>
      <c r="E914">
        <v>15</v>
      </c>
      <c r="F914">
        <v>26</v>
      </c>
      <c r="G914">
        <v>2</v>
      </c>
      <c r="H914">
        <v>50</v>
      </c>
      <c r="I914" t="s">
        <v>11</v>
      </c>
    </row>
    <row r="915" spans="1:9" x14ac:dyDescent="0.35">
      <c r="A915">
        <v>358</v>
      </c>
      <c r="B915">
        <v>13</v>
      </c>
      <c r="C915" t="s">
        <v>45</v>
      </c>
      <c r="D915" t="s">
        <v>46</v>
      </c>
      <c r="E915">
        <v>10</v>
      </c>
      <c r="F915">
        <v>18</v>
      </c>
      <c r="G915">
        <v>3</v>
      </c>
      <c r="H915">
        <v>50</v>
      </c>
      <c r="I915" t="s">
        <v>14</v>
      </c>
    </row>
    <row r="916" spans="1:9" x14ac:dyDescent="0.35">
      <c r="A916">
        <v>358</v>
      </c>
      <c r="B916">
        <v>13</v>
      </c>
      <c r="C916" t="s">
        <v>39</v>
      </c>
      <c r="D916" t="s">
        <v>40</v>
      </c>
      <c r="E916">
        <v>12</v>
      </c>
      <c r="F916">
        <v>20</v>
      </c>
      <c r="G916">
        <v>3</v>
      </c>
      <c r="H916">
        <v>52</v>
      </c>
      <c r="I916" t="s">
        <v>11</v>
      </c>
    </row>
    <row r="917" spans="1:9" x14ac:dyDescent="0.35">
      <c r="A917">
        <v>359</v>
      </c>
      <c r="B917">
        <v>11</v>
      </c>
      <c r="C917" t="s">
        <v>35</v>
      </c>
      <c r="D917" t="s">
        <v>36</v>
      </c>
      <c r="E917">
        <v>13</v>
      </c>
      <c r="F917">
        <v>22</v>
      </c>
      <c r="G917">
        <v>1</v>
      </c>
      <c r="H917">
        <v>26</v>
      </c>
      <c r="I917" t="s">
        <v>14</v>
      </c>
    </row>
    <row r="918" spans="1:9" x14ac:dyDescent="0.35">
      <c r="A918">
        <v>359</v>
      </c>
      <c r="B918">
        <v>11</v>
      </c>
      <c r="C918" t="s">
        <v>27</v>
      </c>
      <c r="D918" t="s">
        <v>28</v>
      </c>
      <c r="E918">
        <v>16</v>
      </c>
      <c r="F918">
        <v>28</v>
      </c>
      <c r="G918">
        <v>3</v>
      </c>
      <c r="H918">
        <v>57</v>
      </c>
      <c r="I918" t="s">
        <v>14</v>
      </c>
    </row>
    <row r="919" spans="1:9" x14ac:dyDescent="0.35">
      <c r="A919">
        <v>359</v>
      </c>
      <c r="B919">
        <v>11</v>
      </c>
      <c r="C919" t="s">
        <v>23</v>
      </c>
      <c r="D919" t="s">
        <v>24</v>
      </c>
      <c r="E919">
        <v>17</v>
      </c>
      <c r="F919">
        <v>29</v>
      </c>
      <c r="G919">
        <v>2</v>
      </c>
      <c r="H919">
        <v>12</v>
      </c>
      <c r="I919" t="s">
        <v>14</v>
      </c>
    </row>
    <row r="920" spans="1:9" x14ac:dyDescent="0.35">
      <c r="A920">
        <v>359</v>
      </c>
      <c r="B920">
        <v>11</v>
      </c>
      <c r="C920" t="s">
        <v>47</v>
      </c>
      <c r="D920" t="s">
        <v>48</v>
      </c>
      <c r="E920">
        <v>15</v>
      </c>
      <c r="F920">
        <v>26</v>
      </c>
      <c r="G920">
        <v>1</v>
      </c>
      <c r="H920">
        <v>50</v>
      </c>
      <c r="I920" t="s">
        <v>14</v>
      </c>
    </row>
    <row r="921" spans="1:9" x14ac:dyDescent="0.35">
      <c r="A921">
        <v>360</v>
      </c>
      <c r="B921">
        <v>16</v>
      </c>
      <c r="C921" t="s">
        <v>43</v>
      </c>
      <c r="D921" t="s">
        <v>44</v>
      </c>
      <c r="E921">
        <v>13</v>
      </c>
      <c r="F921">
        <v>21</v>
      </c>
      <c r="G921">
        <v>1</v>
      </c>
      <c r="H921">
        <v>42</v>
      </c>
      <c r="I921" t="s">
        <v>11</v>
      </c>
    </row>
    <row r="922" spans="1:9" x14ac:dyDescent="0.35">
      <c r="A922">
        <v>360</v>
      </c>
      <c r="B922">
        <v>16</v>
      </c>
      <c r="C922" t="s">
        <v>12</v>
      </c>
      <c r="D922" t="s">
        <v>13</v>
      </c>
      <c r="E922">
        <v>18</v>
      </c>
      <c r="F922">
        <v>30</v>
      </c>
      <c r="G922">
        <v>3</v>
      </c>
      <c r="H922">
        <v>36</v>
      </c>
      <c r="I922" t="s">
        <v>14</v>
      </c>
    </row>
    <row r="923" spans="1:9" x14ac:dyDescent="0.35">
      <c r="A923">
        <v>360</v>
      </c>
      <c r="B923">
        <v>16</v>
      </c>
      <c r="C923" t="s">
        <v>47</v>
      </c>
      <c r="D923" t="s">
        <v>48</v>
      </c>
      <c r="E923">
        <v>15</v>
      </c>
      <c r="F923">
        <v>26</v>
      </c>
      <c r="G923">
        <v>1</v>
      </c>
      <c r="H923">
        <v>51</v>
      </c>
      <c r="I923" t="s">
        <v>14</v>
      </c>
    </row>
    <row r="924" spans="1:9" x14ac:dyDescent="0.35">
      <c r="A924">
        <v>360</v>
      </c>
      <c r="B924">
        <v>16</v>
      </c>
      <c r="C924" t="s">
        <v>33</v>
      </c>
      <c r="D924" t="s">
        <v>34</v>
      </c>
      <c r="E924">
        <v>19</v>
      </c>
      <c r="F924">
        <v>32</v>
      </c>
      <c r="G924">
        <v>3</v>
      </c>
      <c r="H924">
        <v>30</v>
      </c>
      <c r="I924" t="s">
        <v>14</v>
      </c>
    </row>
    <row r="925" spans="1:9" x14ac:dyDescent="0.35">
      <c r="A925">
        <v>361</v>
      </c>
      <c r="B925">
        <v>16</v>
      </c>
      <c r="C925" t="s">
        <v>23</v>
      </c>
      <c r="D925" t="s">
        <v>24</v>
      </c>
      <c r="E925">
        <v>17</v>
      </c>
      <c r="F925">
        <v>29</v>
      </c>
      <c r="G925">
        <v>1</v>
      </c>
      <c r="H925">
        <v>58</v>
      </c>
      <c r="I925" t="s">
        <v>11</v>
      </c>
    </row>
    <row r="926" spans="1:9" x14ac:dyDescent="0.35">
      <c r="A926">
        <v>361</v>
      </c>
      <c r="B926">
        <v>16</v>
      </c>
      <c r="C926" t="s">
        <v>9</v>
      </c>
      <c r="D926" t="s">
        <v>10</v>
      </c>
      <c r="E926">
        <v>14</v>
      </c>
      <c r="F926">
        <v>24</v>
      </c>
      <c r="G926">
        <v>3</v>
      </c>
      <c r="H926">
        <v>54</v>
      </c>
      <c r="I926" t="s">
        <v>14</v>
      </c>
    </row>
    <row r="927" spans="1:9" x14ac:dyDescent="0.35">
      <c r="A927">
        <v>362</v>
      </c>
      <c r="B927">
        <v>15</v>
      </c>
      <c r="C927" t="s">
        <v>39</v>
      </c>
      <c r="D927" t="s">
        <v>40</v>
      </c>
      <c r="E927">
        <v>12</v>
      </c>
      <c r="F927">
        <v>20</v>
      </c>
      <c r="G927">
        <v>1</v>
      </c>
      <c r="H927">
        <v>41</v>
      </c>
      <c r="I927" t="s">
        <v>11</v>
      </c>
    </row>
    <row r="928" spans="1:9" x14ac:dyDescent="0.35">
      <c r="A928">
        <v>362</v>
      </c>
      <c r="B928">
        <v>15</v>
      </c>
      <c r="C928" t="s">
        <v>9</v>
      </c>
      <c r="D928" t="s">
        <v>10</v>
      </c>
      <c r="E928">
        <v>14</v>
      </c>
      <c r="F928">
        <v>24</v>
      </c>
      <c r="G928">
        <v>1</v>
      </c>
      <c r="H928">
        <v>58</v>
      </c>
      <c r="I928" t="s">
        <v>11</v>
      </c>
    </row>
    <row r="929" spans="1:9" x14ac:dyDescent="0.35">
      <c r="A929">
        <v>362</v>
      </c>
      <c r="B929">
        <v>15</v>
      </c>
      <c r="C929" t="s">
        <v>45</v>
      </c>
      <c r="D929" t="s">
        <v>46</v>
      </c>
      <c r="E929">
        <v>10</v>
      </c>
      <c r="F929">
        <v>18</v>
      </c>
      <c r="G929">
        <v>1</v>
      </c>
      <c r="H929">
        <v>24</v>
      </c>
      <c r="I929" t="s">
        <v>11</v>
      </c>
    </row>
    <row r="930" spans="1:9" x14ac:dyDescent="0.35">
      <c r="A930">
        <v>363</v>
      </c>
      <c r="B930">
        <v>5</v>
      </c>
      <c r="C930" t="s">
        <v>12</v>
      </c>
      <c r="D930" t="s">
        <v>13</v>
      </c>
      <c r="E930">
        <v>18</v>
      </c>
      <c r="F930">
        <v>30</v>
      </c>
      <c r="G930">
        <v>1</v>
      </c>
      <c r="H930">
        <v>48</v>
      </c>
      <c r="I930" t="s">
        <v>11</v>
      </c>
    </row>
    <row r="931" spans="1:9" x14ac:dyDescent="0.35">
      <c r="A931">
        <v>363</v>
      </c>
      <c r="B931">
        <v>5</v>
      </c>
      <c r="C931" t="s">
        <v>9</v>
      </c>
      <c r="D931" t="s">
        <v>10</v>
      </c>
      <c r="E931">
        <v>14</v>
      </c>
      <c r="F931">
        <v>24</v>
      </c>
      <c r="G931">
        <v>3</v>
      </c>
      <c r="H931">
        <v>41</v>
      </c>
      <c r="I931" t="s">
        <v>14</v>
      </c>
    </row>
    <row r="932" spans="1:9" x14ac:dyDescent="0.35">
      <c r="A932">
        <v>363</v>
      </c>
      <c r="B932">
        <v>5</v>
      </c>
      <c r="C932" t="s">
        <v>21</v>
      </c>
      <c r="D932" t="s">
        <v>22</v>
      </c>
      <c r="E932">
        <v>22</v>
      </c>
      <c r="F932">
        <v>36</v>
      </c>
      <c r="G932">
        <v>2</v>
      </c>
      <c r="H932">
        <v>42</v>
      </c>
      <c r="I932" t="s">
        <v>11</v>
      </c>
    </row>
    <row r="933" spans="1:9" x14ac:dyDescent="0.35">
      <c r="A933">
        <v>363</v>
      </c>
      <c r="B933">
        <v>5</v>
      </c>
      <c r="C933" t="s">
        <v>25</v>
      </c>
      <c r="D933" t="s">
        <v>26</v>
      </c>
      <c r="E933">
        <v>20</v>
      </c>
      <c r="F933">
        <v>33</v>
      </c>
      <c r="G933">
        <v>2</v>
      </c>
      <c r="H933">
        <v>18</v>
      </c>
      <c r="I933" t="s">
        <v>11</v>
      </c>
    </row>
    <row r="934" spans="1:9" x14ac:dyDescent="0.35">
      <c r="A934">
        <v>364</v>
      </c>
      <c r="B934">
        <v>15</v>
      </c>
      <c r="C934" t="s">
        <v>27</v>
      </c>
      <c r="D934" t="s">
        <v>28</v>
      </c>
      <c r="E934">
        <v>16</v>
      </c>
      <c r="F934">
        <v>28</v>
      </c>
      <c r="G934">
        <v>2</v>
      </c>
      <c r="H934">
        <v>52</v>
      </c>
      <c r="I934" t="s">
        <v>11</v>
      </c>
    </row>
    <row r="935" spans="1:9" x14ac:dyDescent="0.35">
      <c r="A935">
        <v>364</v>
      </c>
      <c r="B935">
        <v>15</v>
      </c>
      <c r="C935" t="s">
        <v>35</v>
      </c>
      <c r="D935" t="s">
        <v>36</v>
      </c>
      <c r="E935">
        <v>13</v>
      </c>
      <c r="F935">
        <v>22</v>
      </c>
      <c r="G935">
        <v>1</v>
      </c>
      <c r="H935">
        <v>20</v>
      </c>
      <c r="I935" t="s">
        <v>11</v>
      </c>
    </row>
    <row r="936" spans="1:9" x14ac:dyDescent="0.35">
      <c r="A936">
        <v>364</v>
      </c>
      <c r="B936">
        <v>15</v>
      </c>
      <c r="C936" t="s">
        <v>49</v>
      </c>
      <c r="D936" t="s">
        <v>50</v>
      </c>
      <c r="E936">
        <v>15</v>
      </c>
      <c r="F936">
        <v>25</v>
      </c>
      <c r="G936">
        <v>2</v>
      </c>
      <c r="H936">
        <v>14</v>
      </c>
      <c r="I936" t="s">
        <v>11</v>
      </c>
    </row>
    <row r="937" spans="1:9" x14ac:dyDescent="0.35">
      <c r="A937">
        <v>364</v>
      </c>
      <c r="B937">
        <v>15</v>
      </c>
      <c r="C937" t="s">
        <v>23</v>
      </c>
      <c r="D937" t="s">
        <v>24</v>
      </c>
      <c r="E937">
        <v>17</v>
      </c>
      <c r="F937">
        <v>29</v>
      </c>
      <c r="G937">
        <v>1</v>
      </c>
      <c r="H937">
        <v>26</v>
      </c>
      <c r="I937" t="s">
        <v>11</v>
      </c>
    </row>
    <row r="938" spans="1:9" x14ac:dyDescent="0.35">
      <c r="A938">
        <v>365</v>
      </c>
      <c r="B938">
        <v>4</v>
      </c>
      <c r="C938" t="s">
        <v>21</v>
      </c>
      <c r="D938" t="s">
        <v>22</v>
      </c>
      <c r="E938">
        <v>22</v>
      </c>
      <c r="F938">
        <v>36</v>
      </c>
      <c r="G938">
        <v>3</v>
      </c>
      <c r="H938">
        <v>25</v>
      </c>
      <c r="I938" t="s">
        <v>14</v>
      </c>
    </row>
    <row r="939" spans="1:9" x14ac:dyDescent="0.35">
      <c r="A939">
        <v>366</v>
      </c>
      <c r="B939">
        <v>17</v>
      </c>
      <c r="C939" t="s">
        <v>17</v>
      </c>
      <c r="D939" t="s">
        <v>18</v>
      </c>
      <c r="E939">
        <v>16</v>
      </c>
      <c r="F939">
        <v>27</v>
      </c>
      <c r="G939">
        <v>2</v>
      </c>
      <c r="H939">
        <v>30</v>
      </c>
      <c r="I939" t="s">
        <v>11</v>
      </c>
    </row>
    <row r="940" spans="1:9" x14ac:dyDescent="0.35">
      <c r="A940">
        <v>366</v>
      </c>
      <c r="B940">
        <v>17</v>
      </c>
      <c r="C940" t="s">
        <v>31</v>
      </c>
      <c r="D940" t="s">
        <v>32</v>
      </c>
      <c r="E940">
        <v>21</v>
      </c>
      <c r="F940">
        <v>35</v>
      </c>
      <c r="G940">
        <v>3</v>
      </c>
      <c r="H940">
        <v>51</v>
      </c>
      <c r="I940" t="s">
        <v>14</v>
      </c>
    </row>
    <row r="941" spans="1:9" x14ac:dyDescent="0.35">
      <c r="A941">
        <v>366</v>
      </c>
      <c r="B941">
        <v>17</v>
      </c>
      <c r="C941" t="s">
        <v>19</v>
      </c>
      <c r="D941" t="s">
        <v>20</v>
      </c>
      <c r="E941">
        <v>25</v>
      </c>
      <c r="F941">
        <v>40</v>
      </c>
      <c r="G941">
        <v>2</v>
      </c>
      <c r="H941">
        <v>9</v>
      </c>
      <c r="I941" t="s">
        <v>11</v>
      </c>
    </row>
    <row r="942" spans="1:9" x14ac:dyDescent="0.35">
      <c r="A942">
        <v>367</v>
      </c>
      <c r="B942">
        <v>12</v>
      </c>
      <c r="C942" t="s">
        <v>47</v>
      </c>
      <c r="D942" t="s">
        <v>48</v>
      </c>
      <c r="E942">
        <v>15</v>
      </c>
      <c r="F942">
        <v>26</v>
      </c>
      <c r="G942">
        <v>2</v>
      </c>
      <c r="H942">
        <v>34</v>
      </c>
      <c r="I942" t="s">
        <v>14</v>
      </c>
    </row>
    <row r="943" spans="1:9" x14ac:dyDescent="0.35">
      <c r="A943">
        <v>367</v>
      </c>
      <c r="B943">
        <v>12</v>
      </c>
      <c r="C943" t="s">
        <v>23</v>
      </c>
      <c r="D943" t="s">
        <v>24</v>
      </c>
      <c r="E943">
        <v>17</v>
      </c>
      <c r="F943">
        <v>29</v>
      </c>
      <c r="G943">
        <v>1</v>
      </c>
      <c r="H943">
        <v>26</v>
      </c>
      <c r="I943" t="s">
        <v>14</v>
      </c>
    </row>
    <row r="944" spans="1:9" x14ac:dyDescent="0.35">
      <c r="A944">
        <v>367</v>
      </c>
      <c r="B944">
        <v>12</v>
      </c>
      <c r="C944" t="s">
        <v>39</v>
      </c>
      <c r="D944" t="s">
        <v>40</v>
      </c>
      <c r="E944">
        <v>12</v>
      </c>
      <c r="F944">
        <v>20</v>
      </c>
      <c r="G944">
        <v>1</v>
      </c>
      <c r="H944">
        <v>13</v>
      </c>
      <c r="I944" t="s">
        <v>14</v>
      </c>
    </row>
    <row r="945" spans="1:9" x14ac:dyDescent="0.35">
      <c r="A945">
        <v>368</v>
      </c>
      <c r="B945">
        <v>13</v>
      </c>
      <c r="C945" t="s">
        <v>25</v>
      </c>
      <c r="D945" t="s">
        <v>26</v>
      </c>
      <c r="E945">
        <v>20</v>
      </c>
      <c r="F945">
        <v>33</v>
      </c>
      <c r="G945">
        <v>3</v>
      </c>
      <c r="H945">
        <v>45</v>
      </c>
      <c r="I945" t="s">
        <v>11</v>
      </c>
    </row>
    <row r="946" spans="1:9" x14ac:dyDescent="0.35">
      <c r="A946">
        <v>368</v>
      </c>
      <c r="B946">
        <v>13</v>
      </c>
      <c r="C946" t="s">
        <v>9</v>
      </c>
      <c r="D946" t="s">
        <v>10</v>
      </c>
      <c r="E946">
        <v>14</v>
      </c>
      <c r="F946">
        <v>24</v>
      </c>
      <c r="G946">
        <v>1</v>
      </c>
      <c r="H946">
        <v>40</v>
      </c>
      <c r="I946" t="s">
        <v>14</v>
      </c>
    </row>
    <row r="947" spans="1:9" x14ac:dyDescent="0.35">
      <c r="A947">
        <v>369</v>
      </c>
      <c r="B947">
        <v>20</v>
      </c>
      <c r="C947" t="s">
        <v>15</v>
      </c>
      <c r="D947" t="s">
        <v>16</v>
      </c>
      <c r="E947">
        <v>19</v>
      </c>
      <c r="F947">
        <v>31</v>
      </c>
      <c r="G947">
        <v>2</v>
      </c>
      <c r="H947">
        <v>7</v>
      </c>
      <c r="I947" t="s">
        <v>14</v>
      </c>
    </row>
    <row r="948" spans="1:9" x14ac:dyDescent="0.35">
      <c r="A948">
        <v>369</v>
      </c>
      <c r="B948">
        <v>20</v>
      </c>
      <c r="C948" t="s">
        <v>41</v>
      </c>
      <c r="D948" t="s">
        <v>42</v>
      </c>
      <c r="E948">
        <v>14</v>
      </c>
      <c r="F948">
        <v>23</v>
      </c>
      <c r="G948">
        <v>2</v>
      </c>
      <c r="H948">
        <v>7</v>
      </c>
      <c r="I948" t="s">
        <v>14</v>
      </c>
    </row>
    <row r="949" spans="1:9" x14ac:dyDescent="0.35">
      <c r="A949">
        <v>369</v>
      </c>
      <c r="B949">
        <v>20</v>
      </c>
      <c r="C949" t="s">
        <v>27</v>
      </c>
      <c r="D949" t="s">
        <v>28</v>
      </c>
      <c r="E949">
        <v>16</v>
      </c>
      <c r="F949">
        <v>28</v>
      </c>
      <c r="G949">
        <v>2</v>
      </c>
      <c r="H949">
        <v>8</v>
      </c>
      <c r="I949" t="s">
        <v>14</v>
      </c>
    </row>
    <row r="950" spans="1:9" x14ac:dyDescent="0.35">
      <c r="A950">
        <v>369</v>
      </c>
      <c r="B950">
        <v>20</v>
      </c>
      <c r="C950" t="s">
        <v>47</v>
      </c>
      <c r="D950" t="s">
        <v>48</v>
      </c>
      <c r="E950">
        <v>15</v>
      </c>
      <c r="F950">
        <v>26</v>
      </c>
      <c r="G950">
        <v>3</v>
      </c>
      <c r="H950">
        <v>20</v>
      </c>
      <c r="I950" t="s">
        <v>14</v>
      </c>
    </row>
    <row r="951" spans="1:9" x14ac:dyDescent="0.35">
      <c r="A951">
        <v>370</v>
      </c>
      <c r="B951">
        <v>13</v>
      </c>
      <c r="C951" t="s">
        <v>21</v>
      </c>
      <c r="D951" t="s">
        <v>22</v>
      </c>
      <c r="E951">
        <v>22</v>
      </c>
      <c r="F951">
        <v>36</v>
      </c>
      <c r="G951">
        <v>2</v>
      </c>
      <c r="H951">
        <v>33</v>
      </c>
      <c r="I951" t="s">
        <v>14</v>
      </c>
    </row>
    <row r="952" spans="1:9" x14ac:dyDescent="0.35">
      <c r="A952">
        <v>371</v>
      </c>
      <c r="B952">
        <v>4</v>
      </c>
      <c r="C952" t="s">
        <v>15</v>
      </c>
      <c r="D952" t="s">
        <v>16</v>
      </c>
      <c r="E952">
        <v>19</v>
      </c>
      <c r="F952">
        <v>31</v>
      </c>
      <c r="G952">
        <v>2</v>
      </c>
      <c r="H952">
        <v>11</v>
      </c>
      <c r="I952" t="s">
        <v>14</v>
      </c>
    </row>
    <row r="953" spans="1:9" x14ac:dyDescent="0.35">
      <c r="A953">
        <v>371</v>
      </c>
      <c r="B953">
        <v>4</v>
      </c>
      <c r="C953" t="s">
        <v>21</v>
      </c>
      <c r="D953" t="s">
        <v>22</v>
      </c>
      <c r="E953">
        <v>22</v>
      </c>
      <c r="F953">
        <v>36</v>
      </c>
      <c r="G953">
        <v>1</v>
      </c>
      <c r="H953">
        <v>13</v>
      </c>
      <c r="I953" t="s">
        <v>11</v>
      </c>
    </row>
    <row r="954" spans="1:9" x14ac:dyDescent="0.35">
      <c r="A954">
        <v>371</v>
      </c>
      <c r="B954">
        <v>4</v>
      </c>
      <c r="C954" t="s">
        <v>27</v>
      </c>
      <c r="D954" t="s">
        <v>28</v>
      </c>
      <c r="E954">
        <v>16</v>
      </c>
      <c r="F954">
        <v>28</v>
      </c>
      <c r="G954">
        <v>2</v>
      </c>
      <c r="H954">
        <v>11</v>
      </c>
      <c r="I954" t="s">
        <v>11</v>
      </c>
    </row>
    <row r="955" spans="1:9" x14ac:dyDescent="0.35">
      <c r="A955">
        <v>371</v>
      </c>
      <c r="B955">
        <v>4</v>
      </c>
      <c r="C955" t="s">
        <v>41</v>
      </c>
      <c r="D955" t="s">
        <v>42</v>
      </c>
      <c r="E955">
        <v>14</v>
      </c>
      <c r="F955">
        <v>23</v>
      </c>
      <c r="G955">
        <v>2</v>
      </c>
      <c r="H955">
        <v>14</v>
      </c>
      <c r="I955" t="s">
        <v>14</v>
      </c>
    </row>
    <row r="956" spans="1:9" x14ac:dyDescent="0.35">
      <c r="A956">
        <v>372</v>
      </c>
      <c r="B956">
        <v>14</v>
      </c>
      <c r="C956" t="s">
        <v>45</v>
      </c>
      <c r="D956" t="s">
        <v>46</v>
      </c>
      <c r="E956">
        <v>10</v>
      </c>
      <c r="F956">
        <v>18</v>
      </c>
      <c r="G956">
        <v>2</v>
      </c>
      <c r="H956">
        <v>22</v>
      </c>
      <c r="I956" t="s">
        <v>11</v>
      </c>
    </row>
    <row r="957" spans="1:9" x14ac:dyDescent="0.35">
      <c r="A957">
        <v>373</v>
      </c>
      <c r="B957">
        <v>19</v>
      </c>
      <c r="C957" t="s">
        <v>43</v>
      </c>
      <c r="D957" t="s">
        <v>44</v>
      </c>
      <c r="E957">
        <v>13</v>
      </c>
      <c r="F957">
        <v>21</v>
      </c>
      <c r="G957">
        <v>1</v>
      </c>
      <c r="H957">
        <v>41</v>
      </c>
      <c r="I957" t="s">
        <v>14</v>
      </c>
    </row>
    <row r="958" spans="1:9" x14ac:dyDescent="0.35">
      <c r="A958">
        <v>373</v>
      </c>
      <c r="B958">
        <v>19</v>
      </c>
      <c r="C958" t="s">
        <v>31</v>
      </c>
      <c r="D958" t="s">
        <v>32</v>
      </c>
      <c r="E958">
        <v>21</v>
      </c>
      <c r="F958">
        <v>35</v>
      </c>
      <c r="G958">
        <v>1</v>
      </c>
      <c r="H958">
        <v>49</v>
      </c>
      <c r="I958" t="s">
        <v>11</v>
      </c>
    </row>
    <row r="959" spans="1:9" x14ac:dyDescent="0.35">
      <c r="A959">
        <v>373</v>
      </c>
      <c r="B959">
        <v>19</v>
      </c>
      <c r="C959" t="s">
        <v>35</v>
      </c>
      <c r="D959" t="s">
        <v>36</v>
      </c>
      <c r="E959">
        <v>13</v>
      </c>
      <c r="F959">
        <v>22</v>
      </c>
      <c r="G959">
        <v>2</v>
      </c>
      <c r="H959">
        <v>17</v>
      </c>
      <c r="I959" t="s">
        <v>14</v>
      </c>
    </row>
    <row r="960" spans="1:9" x14ac:dyDescent="0.35">
      <c r="A960">
        <v>373</v>
      </c>
      <c r="B960">
        <v>19</v>
      </c>
      <c r="C960" t="s">
        <v>39</v>
      </c>
      <c r="D960" t="s">
        <v>40</v>
      </c>
      <c r="E960">
        <v>12</v>
      </c>
      <c r="F960">
        <v>20</v>
      </c>
      <c r="G960">
        <v>3</v>
      </c>
      <c r="H960">
        <v>9</v>
      </c>
      <c r="I960" t="s">
        <v>14</v>
      </c>
    </row>
    <row r="961" spans="1:9" x14ac:dyDescent="0.35">
      <c r="A961">
        <v>374</v>
      </c>
      <c r="B961">
        <v>18</v>
      </c>
      <c r="C961" t="s">
        <v>31</v>
      </c>
      <c r="D961" t="s">
        <v>32</v>
      </c>
      <c r="E961">
        <v>21</v>
      </c>
      <c r="F961">
        <v>35</v>
      </c>
      <c r="G961">
        <v>1</v>
      </c>
      <c r="H961">
        <v>9</v>
      </c>
      <c r="I961" t="s">
        <v>14</v>
      </c>
    </row>
    <row r="962" spans="1:9" x14ac:dyDescent="0.35">
      <c r="A962">
        <v>375</v>
      </c>
      <c r="B962">
        <v>18</v>
      </c>
      <c r="C962" t="s">
        <v>15</v>
      </c>
      <c r="D962" t="s">
        <v>16</v>
      </c>
      <c r="E962">
        <v>19</v>
      </c>
      <c r="F962">
        <v>31</v>
      </c>
      <c r="G962">
        <v>3</v>
      </c>
      <c r="H962">
        <v>27</v>
      </c>
      <c r="I962" t="s">
        <v>11</v>
      </c>
    </row>
    <row r="963" spans="1:9" x14ac:dyDescent="0.35">
      <c r="A963">
        <v>376</v>
      </c>
      <c r="B963">
        <v>16</v>
      </c>
      <c r="C963" t="s">
        <v>41</v>
      </c>
      <c r="D963" t="s">
        <v>42</v>
      </c>
      <c r="E963">
        <v>14</v>
      </c>
      <c r="F963">
        <v>23</v>
      </c>
      <c r="G963">
        <v>2</v>
      </c>
      <c r="H963">
        <v>5</v>
      </c>
      <c r="I963" t="s">
        <v>14</v>
      </c>
    </row>
    <row r="964" spans="1:9" x14ac:dyDescent="0.35">
      <c r="A964">
        <v>377</v>
      </c>
      <c r="B964">
        <v>5</v>
      </c>
      <c r="C964" t="s">
        <v>37</v>
      </c>
      <c r="D964" t="s">
        <v>38</v>
      </c>
      <c r="E964">
        <v>20</v>
      </c>
      <c r="F964">
        <v>34</v>
      </c>
      <c r="G964">
        <v>2</v>
      </c>
      <c r="H964">
        <v>13</v>
      </c>
      <c r="I964" t="s">
        <v>11</v>
      </c>
    </row>
    <row r="965" spans="1:9" x14ac:dyDescent="0.35">
      <c r="A965">
        <v>377</v>
      </c>
      <c r="B965">
        <v>5</v>
      </c>
      <c r="C965" t="s">
        <v>33</v>
      </c>
      <c r="D965" t="s">
        <v>34</v>
      </c>
      <c r="E965">
        <v>19</v>
      </c>
      <c r="F965">
        <v>32</v>
      </c>
      <c r="G965">
        <v>1</v>
      </c>
      <c r="H965">
        <v>33</v>
      </c>
      <c r="I965" t="s">
        <v>11</v>
      </c>
    </row>
    <row r="966" spans="1:9" x14ac:dyDescent="0.35">
      <c r="A966">
        <v>378</v>
      </c>
      <c r="B966">
        <v>3</v>
      </c>
      <c r="C966" t="s">
        <v>12</v>
      </c>
      <c r="D966" t="s">
        <v>13</v>
      </c>
      <c r="E966">
        <v>18</v>
      </c>
      <c r="F966">
        <v>30</v>
      </c>
      <c r="G966">
        <v>1</v>
      </c>
      <c r="H966">
        <v>14</v>
      </c>
      <c r="I966" t="s">
        <v>14</v>
      </c>
    </row>
    <row r="967" spans="1:9" x14ac:dyDescent="0.35">
      <c r="A967">
        <v>378</v>
      </c>
      <c r="B967">
        <v>3</v>
      </c>
      <c r="C967" t="s">
        <v>29</v>
      </c>
      <c r="D967" t="s">
        <v>30</v>
      </c>
      <c r="E967">
        <v>11</v>
      </c>
      <c r="F967">
        <v>19</v>
      </c>
      <c r="G967">
        <v>1</v>
      </c>
      <c r="H967">
        <v>7</v>
      </c>
      <c r="I967" t="s">
        <v>14</v>
      </c>
    </row>
    <row r="968" spans="1:9" x14ac:dyDescent="0.35">
      <c r="A968">
        <v>379</v>
      </c>
      <c r="B968">
        <v>4</v>
      </c>
      <c r="C968" t="s">
        <v>31</v>
      </c>
      <c r="D968" t="s">
        <v>32</v>
      </c>
      <c r="E968">
        <v>21</v>
      </c>
      <c r="F968">
        <v>35</v>
      </c>
      <c r="G968">
        <v>2</v>
      </c>
      <c r="H968">
        <v>6</v>
      </c>
      <c r="I968" t="s">
        <v>11</v>
      </c>
    </row>
    <row r="969" spans="1:9" x14ac:dyDescent="0.35">
      <c r="A969">
        <v>380</v>
      </c>
      <c r="B969">
        <v>5</v>
      </c>
      <c r="C969" t="s">
        <v>25</v>
      </c>
      <c r="D969" t="s">
        <v>26</v>
      </c>
      <c r="E969">
        <v>20</v>
      </c>
      <c r="F969">
        <v>33</v>
      </c>
      <c r="G969">
        <v>3</v>
      </c>
      <c r="H969">
        <v>58</v>
      </c>
      <c r="I969" t="s">
        <v>11</v>
      </c>
    </row>
    <row r="970" spans="1:9" x14ac:dyDescent="0.35">
      <c r="A970">
        <v>380</v>
      </c>
      <c r="B970">
        <v>5</v>
      </c>
      <c r="C970" t="s">
        <v>29</v>
      </c>
      <c r="D970" t="s">
        <v>30</v>
      </c>
      <c r="E970">
        <v>11</v>
      </c>
      <c r="F970">
        <v>19</v>
      </c>
      <c r="G970">
        <v>2</v>
      </c>
      <c r="H970">
        <v>35</v>
      </c>
      <c r="I970" t="s">
        <v>11</v>
      </c>
    </row>
    <row r="971" spans="1:9" x14ac:dyDescent="0.35">
      <c r="A971">
        <v>381</v>
      </c>
      <c r="B971">
        <v>4</v>
      </c>
      <c r="C971" t="s">
        <v>47</v>
      </c>
      <c r="D971" t="s">
        <v>48</v>
      </c>
      <c r="E971">
        <v>15</v>
      </c>
      <c r="F971">
        <v>26</v>
      </c>
      <c r="G971">
        <v>3</v>
      </c>
      <c r="H971">
        <v>35</v>
      </c>
      <c r="I971" t="s">
        <v>11</v>
      </c>
    </row>
    <row r="972" spans="1:9" x14ac:dyDescent="0.35">
      <c r="A972">
        <v>381</v>
      </c>
      <c r="B972">
        <v>4</v>
      </c>
      <c r="C972" t="s">
        <v>25</v>
      </c>
      <c r="D972" t="s">
        <v>26</v>
      </c>
      <c r="E972">
        <v>20</v>
      </c>
      <c r="F972">
        <v>33</v>
      </c>
      <c r="G972">
        <v>2</v>
      </c>
      <c r="H972">
        <v>12</v>
      </c>
      <c r="I972" t="s">
        <v>11</v>
      </c>
    </row>
    <row r="973" spans="1:9" x14ac:dyDescent="0.35">
      <c r="A973">
        <v>382</v>
      </c>
      <c r="B973">
        <v>20</v>
      </c>
      <c r="C973" t="s">
        <v>23</v>
      </c>
      <c r="D973" t="s">
        <v>24</v>
      </c>
      <c r="E973">
        <v>17</v>
      </c>
      <c r="F973">
        <v>29</v>
      </c>
      <c r="G973">
        <v>3</v>
      </c>
      <c r="H973">
        <v>54</v>
      </c>
      <c r="I973" t="s">
        <v>14</v>
      </c>
    </row>
    <row r="974" spans="1:9" x14ac:dyDescent="0.35">
      <c r="A974">
        <v>383</v>
      </c>
      <c r="B974">
        <v>6</v>
      </c>
      <c r="C974" t="s">
        <v>21</v>
      </c>
      <c r="D974" t="s">
        <v>22</v>
      </c>
      <c r="E974">
        <v>22</v>
      </c>
      <c r="F974">
        <v>36</v>
      </c>
      <c r="G974">
        <v>3</v>
      </c>
      <c r="H974">
        <v>9</v>
      </c>
      <c r="I974" t="s">
        <v>14</v>
      </c>
    </row>
    <row r="975" spans="1:9" x14ac:dyDescent="0.35">
      <c r="A975">
        <v>384</v>
      </c>
      <c r="B975">
        <v>1</v>
      </c>
      <c r="C975" t="s">
        <v>45</v>
      </c>
      <c r="D975" t="s">
        <v>46</v>
      </c>
      <c r="E975">
        <v>10</v>
      </c>
      <c r="F975">
        <v>18</v>
      </c>
      <c r="G975">
        <v>2</v>
      </c>
      <c r="H975">
        <v>26</v>
      </c>
      <c r="I975" t="s">
        <v>11</v>
      </c>
    </row>
    <row r="976" spans="1:9" x14ac:dyDescent="0.35">
      <c r="A976">
        <v>384</v>
      </c>
      <c r="B976">
        <v>1</v>
      </c>
      <c r="C976" t="s">
        <v>29</v>
      </c>
      <c r="D976" t="s">
        <v>30</v>
      </c>
      <c r="E976">
        <v>11</v>
      </c>
      <c r="F976">
        <v>19</v>
      </c>
      <c r="G976">
        <v>3</v>
      </c>
      <c r="H976">
        <v>35</v>
      </c>
      <c r="I976" t="s">
        <v>14</v>
      </c>
    </row>
    <row r="977" spans="1:9" x14ac:dyDescent="0.35">
      <c r="A977">
        <v>384</v>
      </c>
      <c r="B977">
        <v>1</v>
      </c>
      <c r="C977" t="s">
        <v>17</v>
      </c>
      <c r="D977" t="s">
        <v>18</v>
      </c>
      <c r="E977">
        <v>16</v>
      </c>
      <c r="F977">
        <v>27</v>
      </c>
      <c r="G977">
        <v>1</v>
      </c>
      <c r="H977">
        <v>49</v>
      </c>
      <c r="I977" t="s">
        <v>14</v>
      </c>
    </row>
    <row r="978" spans="1:9" x14ac:dyDescent="0.35">
      <c r="A978">
        <v>385</v>
      </c>
      <c r="B978">
        <v>6</v>
      </c>
      <c r="C978" t="s">
        <v>12</v>
      </c>
      <c r="D978" t="s">
        <v>13</v>
      </c>
      <c r="E978">
        <v>18</v>
      </c>
      <c r="F978">
        <v>30</v>
      </c>
      <c r="G978">
        <v>2</v>
      </c>
      <c r="H978">
        <v>22</v>
      </c>
      <c r="I978" t="s">
        <v>11</v>
      </c>
    </row>
    <row r="979" spans="1:9" x14ac:dyDescent="0.35">
      <c r="A979">
        <v>386</v>
      </c>
      <c r="B979">
        <v>5</v>
      </c>
      <c r="C979" t="s">
        <v>25</v>
      </c>
      <c r="D979" t="s">
        <v>26</v>
      </c>
      <c r="E979">
        <v>20</v>
      </c>
      <c r="F979">
        <v>33</v>
      </c>
      <c r="G979">
        <v>3</v>
      </c>
      <c r="H979">
        <v>40</v>
      </c>
      <c r="I979" t="s">
        <v>14</v>
      </c>
    </row>
    <row r="980" spans="1:9" x14ac:dyDescent="0.35">
      <c r="A980">
        <v>387</v>
      </c>
      <c r="B980">
        <v>6</v>
      </c>
      <c r="C980" t="s">
        <v>15</v>
      </c>
      <c r="D980" t="s">
        <v>16</v>
      </c>
      <c r="E980">
        <v>19</v>
      </c>
      <c r="F980">
        <v>31</v>
      </c>
      <c r="G980">
        <v>3</v>
      </c>
      <c r="H980">
        <v>18</v>
      </c>
      <c r="I980" t="s">
        <v>14</v>
      </c>
    </row>
    <row r="981" spans="1:9" x14ac:dyDescent="0.35">
      <c r="A981">
        <v>388</v>
      </c>
      <c r="B981">
        <v>18</v>
      </c>
      <c r="C981" t="s">
        <v>15</v>
      </c>
      <c r="D981" t="s">
        <v>16</v>
      </c>
      <c r="E981">
        <v>19</v>
      </c>
      <c r="F981">
        <v>31</v>
      </c>
      <c r="G981">
        <v>2</v>
      </c>
      <c r="H981">
        <v>52</v>
      </c>
      <c r="I981" t="s">
        <v>14</v>
      </c>
    </row>
    <row r="982" spans="1:9" x14ac:dyDescent="0.35">
      <c r="A982">
        <v>388</v>
      </c>
      <c r="B982">
        <v>18</v>
      </c>
      <c r="C982" t="s">
        <v>21</v>
      </c>
      <c r="D982" t="s">
        <v>22</v>
      </c>
      <c r="E982">
        <v>22</v>
      </c>
      <c r="F982">
        <v>36</v>
      </c>
      <c r="G982">
        <v>2</v>
      </c>
      <c r="H982">
        <v>37</v>
      </c>
      <c r="I982" t="s">
        <v>11</v>
      </c>
    </row>
    <row r="983" spans="1:9" x14ac:dyDescent="0.35">
      <c r="A983">
        <v>388</v>
      </c>
      <c r="B983">
        <v>18</v>
      </c>
      <c r="C983" t="s">
        <v>23</v>
      </c>
      <c r="D983" t="s">
        <v>24</v>
      </c>
      <c r="E983">
        <v>17</v>
      </c>
      <c r="F983">
        <v>29</v>
      </c>
      <c r="G983">
        <v>2</v>
      </c>
      <c r="H983">
        <v>31</v>
      </c>
      <c r="I983" t="s">
        <v>14</v>
      </c>
    </row>
    <row r="984" spans="1:9" x14ac:dyDescent="0.35">
      <c r="A984">
        <v>388</v>
      </c>
      <c r="B984">
        <v>18</v>
      </c>
      <c r="C984" t="s">
        <v>25</v>
      </c>
      <c r="D984" t="s">
        <v>26</v>
      </c>
      <c r="E984">
        <v>20</v>
      </c>
      <c r="F984">
        <v>33</v>
      </c>
      <c r="G984">
        <v>3</v>
      </c>
      <c r="H984">
        <v>51</v>
      </c>
      <c r="I984" t="s">
        <v>14</v>
      </c>
    </row>
    <row r="985" spans="1:9" x14ac:dyDescent="0.35">
      <c r="A985">
        <v>389</v>
      </c>
      <c r="B985">
        <v>19</v>
      </c>
      <c r="C985" t="s">
        <v>25</v>
      </c>
      <c r="D985" t="s">
        <v>26</v>
      </c>
      <c r="E985">
        <v>20</v>
      </c>
      <c r="F985">
        <v>33</v>
      </c>
      <c r="G985">
        <v>1</v>
      </c>
      <c r="H985">
        <v>24</v>
      </c>
      <c r="I985" t="s">
        <v>11</v>
      </c>
    </row>
    <row r="986" spans="1:9" x14ac:dyDescent="0.35">
      <c r="A986">
        <v>390</v>
      </c>
      <c r="B986">
        <v>9</v>
      </c>
      <c r="C986" t="s">
        <v>35</v>
      </c>
      <c r="D986" t="s">
        <v>36</v>
      </c>
      <c r="E986">
        <v>13</v>
      </c>
      <c r="F986">
        <v>22</v>
      </c>
      <c r="G986">
        <v>2</v>
      </c>
      <c r="H986">
        <v>52</v>
      </c>
      <c r="I986" t="s">
        <v>14</v>
      </c>
    </row>
    <row r="987" spans="1:9" x14ac:dyDescent="0.35">
      <c r="A987">
        <v>390</v>
      </c>
      <c r="B987">
        <v>9</v>
      </c>
      <c r="C987" t="s">
        <v>47</v>
      </c>
      <c r="D987" t="s">
        <v>48</v>
      </c>
      <c r="E987">
        <v>15</v>
      </c>
      <c r="F987">
        <v>26</v>
      </c>
      <c r="G987">
        <v>3</v>
      </c>
      <c r="H987">
        <v>13</v>
      </c>
      <c r="I987" t="s">
        <v>14</v>
      </c>
    </row>
    <row r="988" spans="1:9" x14ac:dyDescent="0.35">
      <c r="A988">
        <v>390</v>
      </c>
      <c r="B988">
        <v>9</v>
      </c>
      <c r="C988" t="s">
        <v>43</v>
      </c>
      <c r="D988" t="s">
        <v>44</v>
      </c>
      <c r="E988">
        <v>13</v>
      </c>
      <c r="F988">
        <v>21</v>
      </c>
      <c r="G988">
        <v>1</v>
      </c>
      <c r="H988">
        <v>28</v>
      </c>
      <c r="I988" t="s">
        <v>14</v>
      </c>
    </row>
    <row r="989" spans="1:9" x14ac:dyDescent="0.35">
      <c r="A989">
        <v>391</v>
      </c>
      <c r="B989">
        <v>15</v>
      </c>
      <c r="C989" t="s">
        <v>35</v>
      </c>
      <c r="D989" t="s">
        <v>36</v>
      </c>
      <c r="E989">
        <v>13</v>
      </c>
      <c r="F989">
        <v>22</v>
      </c>
      <c r="G989">
        <v>1</v>
      </c>
      <c r="H989">
        <v>35</v>
      </c>
      <c r="I989" t="s">
        <v>11</v>
      </c>
    </row>
    <row r="990" spans="1:9" x14ac:dyDescent="0.35">
      <c r="A990">
        <v>392</v>
      </c>
      <c r="B990">
        <v>14</v>
      </c>
      <c r="C990" t="s">
        <v>33</v>
      </c>
      <c r="D990" t="s">
        <v>34</v>
      </c>
      <c r="E990">
        <v>19</v>
      </c>
      <c r="F990">
        <v>32</v>
      </c>
      <c r="G990">
        <v>3</v>
      </c>
      <c r="H990">
        <v>17</v>
      </c>
      <c r="I990" t="s">
        <v>11</v>
      </c>
    </row>
    <row r="991" spans="1:9" x14ac:dyDescent="0.35">
      <c r="A991">
        <v>392</v>
      </c>
      <c r="B991">
        <v>14</v>
      </c>
      <c r="C991" t="s">
        <v>9</v>
      </c>
      <c r="D991" t="s">
        <v>10</v>
      </c>
      <c r="E991">
        <v>14</v>
      </c>
      <c r="F991">
        <v>24</v>
      </c>
      <c r="G991">
        <v>1</v>
      </c>
      <c r="H991">
        <v>37</v>
      </c>
      <c r="I991" t="s">
        <v>14</v>
      </c>
    </row>
    <row r="992" spans="1:9" x14ac:dyDescent="0.35">
      <c r="A992">
        <v>393</v>
      </c>
      <c r="B992">
        <v>13</v>
      </c>
      <c r="C992" t="s">
        <v>29</v>
      </c>
      <c r="D992" t="s">
        <v>30</v>
      </c>
      <c r="E992">
        <v>11</v>
      </c>
      <c r="F992">
        <v>19</v>
      </c>
      <c r="G992">
        <v>2</v>
      </c>
      <c r="H992">
        <v>40</v>
      </c>
      <c r="I992" t="s">
        <v>11</v>
      </c>
    </row>
    <row r="993" spans="1:9" x14ac:dyDescent="0.35">
      <c r="A993">
        <v>393</v>
      </c>
      <c r="B993">
        <v>13</v>
      </c>
      <c r="C993" t="s">
        <v>31</v>
      </c>
      <c r="D993" t="s">
        <v>32</v>
      </c>
      <c r="E993">
        <v>21</v>
      </c>
      <c r="F993">
        <v>35</v>
      </c>
      <c r="G993">
        <v>3</v>
      </c>
      <c r="H993">
        <v>23</v>
      </c>
      <c r="I993" t="s">
        <v>11</v>
      </c>
    </row>
    <row r="994" spans="1:9" x14ac:dyDescent="0.35">
      <c r="A994">
        <v>393</v>
      </c>
      <c r="B994">
        <v>13</v>
      </c>
      <c r="C994" t="s">
        <v>43</v>
      </c>
      <c r="D994" t="s">
        <v>44</v>
      </c>
      <c r="E994">
        <v>13</v>
      </c>
      <c r="F994">
        <v>21</v>
      </c>
      <c r="G994">
        <v>1</v>
      </c>
      <c r="H994">
        <v>20</v>
      </c>
      <c r="I994" t="s">
        <v>14</v>
      </c>
    </row>
    <row r="995" spans="1:9" x14ac:dyDescent="0.35">
      <c r="A995">
        <v>393</v>
      </c>
      <c r="B995">
        <v>13</v>
      </c>
      <c r="C995" t="s">
        <v>35</v>
      </c>
      <c r="D995" t="s">
        <v>36</v>
      </c>
      <c r="E995">
        <v>13</v>
      </c>
      <c r="F995">
        <v>22</v>
      </c>
      <c r="G995">
        <v>2</v>
      </c>
      <c r="H995">
        <v>26</v>
      </c>
      <c r="I995" t="s">
        <v>14</v>
      </c>
    </row>
    <row r="996" spans="1:9" x14ac:dyDescent="0.35">
      <c r="A996">
        <v>394</v>
      </c>
      <c r="B996">
        <v>17</v>
      </c>
      <c r="C996" t="s">
        <v>9</v>
      </c>
      <c r="D996" t="s">
        <v>10</v>
      </c>
      <c r="E996">
        <v>14</v>
      </c>
      <c r="F996">
        <v>24</v>
      </c>
      <c r="G996">
        <v>2</v>
      </c>
      <c r="H996">
        <v>5</v>
      </c>
      <c r="I996" t="s">
        <v>11</v>
      </c>
    </row>
    <row r="997" spans="1:9" x14ac:dyDescent="0.35">
      <c r="A997">
        <v>394</v>
      </c>
      <c r="B997">
        <v>17</v>
      </c>
      <c r="C997" t="s">
        <v>23</v>
      </c>
      <c r="D997" t="s">
        <v>24</v>
      </c>
      <c r="E997">
        <v>17</v>
      </c>
      <c r="F997">
        <v>29</v>
      </c>
      <c r="G997">
        <v>1</v>
      </c>
      <c r="H997">
        <v>42</v>
      </c>
      <c r="I997" t="s">
        <v>14</v>
      </c>
    </row>
    <row r="998" spans="1:9" x14ac:dyDescent="0.35">
      <c r="A998">
        <v>395</v>
      </c>
      <c r="B998">
        <v>2</v>
      </c>
      <c r="C998" t="s">
        <v>29</v>
      </c>
      <c r="D998" t="s">
        <v>30</v>
      </c>
      <c r="E998">
        <v>11</v>
      </c>
      <c r="F998">
        <v>19</v>
      </c>
      <c r="G998">
        <v>2</v>
      </c>
      <c r="H998">
        <v>8</v>
      </c>
      <c r="I998" t="s">
        <v>11</v>
      </c>
    </row>
    <row r="999" spans="1:9" x14ac:dyDescent="0.35">
      <c r="A999">
        <v>396</v>
      </c>
      <c r="B999">
        <v>11</v>
      </c>
      <c r="C999" t="s">
        <v>39</v>
      </c>
      <c r="D999" t="s">
        <v>40</v>
      </c>
      <c r="E999">
        <v>12</v>
      </c>
      <c r="F999">
        <v>20</v>
      </c>
      <c r="G999">
        <v>1</v>
      </c>
      <c r="H999">
        <v>31</v>
      </c>
      <c r="I999" t="s">
        <v>14</v>
      </c>
    </row>
    <row r="1000" spans="1:9" x14ac:dyDescent="0.35">
      <c r="A1000">
        <v>396</v>
      </c>
      <c r="B1000">
        <v>11</v>
      </c>
      <c r="C1000" t="s">
        <v>43</v>
      </c>
      <c r="D1000" t="s">
        <v>44</v>
      </c>
      <c r="E1000">
        <v>13</v>
      </c>
      <c r="F1000">
        <v>21</v>
      </c>
      <c r="G1000">
        <v>3</v>
      </c>
      <c r="H1000">
        <v>26</v>
      </c>
      <c r="I1000" t="s">
        <v>14</v>
      </c>
    </row>
    <row r="1001" spans="1:9" x14ac:dyDescent="0.35">
      <c r="A1001">
        <v>397</v>
      </c>
      <c r="B1001">
        <v>4</v>
      </c>
      <c r="C1001" t="s">
        <v>17</v>
      </c>
      <c r="D1001" t="s">
        <v>18</v>
      </c>
      <c r="E1001">
        <v>16</v>
      </c>
      <c r="F1001">
        <v>27</v>
      </c>
      <c r="G1001">
        <v>2</v>
      </c>
      <c r="H1001">
        <v>10</v>
      </c>
      <c r="I1001" t="s">
        <v>14</v>
      </c>
    </row>
    <row r="1002" spans="1:9" x14ac:dyDescent="0.35">
      <c r="A1002">
        <v>397</v>
      </c>
      <c r="B1002">
        <v>4</v>
      </c>
      <c r="C1002" t="s">
        <v>15</v>
      </c>
      <c r="D1002" t="s">
        <v>16</v>
      </c>
      <c r="E1002">
        <v>19</v>
      </c>
      <c r="F1002">
        <v>31</v>
      </c>
      <c r="G1002">
        <v>3</v>
      </c>
      <c r="H1002">
        <v>59</v>
      </c>
      <c r="I1002" t="s">
        <v>14</v>
      </c>
    </row>
    <row r="1003" spans="1:9" x14ac:dyDescent="0.35">
      <c r="A1003">
        <v>398</v>
      </c>
      <c r="B1003">
        <v>9</v>
      </c>
      <c r="C1003" t="s">
        <v>27</v>
      </c>
      <c r="D1003" t="s">
        <v>28</v>
      </c>
      <c r="E1003">
        <v>16</v>
      </c>
      <c r="F1003">
        <v>28</v>
      </c>
      <c r="G1003">
        <v>2</v>
      </c>
      <c r="H1003">
        <v>50</v>
      </c>
      <c r="I1003" t="s">
        <v>11</v>
      </c>
    </row>
    <row r="1004" spans="1:9" x14ac:dyDescent="0.35">
      <c r="A1004">
        <v>398</v>
      </c>
      <c r="B1004">
        <v>9</v>
      </c>
      <c r="C1004" t="s">
        <v>25</v>
      </c>
      <c r="D1004" t="s">
        <v>26</v>
      </c>
      <c r="E1004">
        <v>20</v>
      </c>
      <c r="F1004">
        <v>33</v>
      </c>
      <c r="G1004">
        <v>2</v>
      </c>
      <c r="H1004">
        <v>21</v>
      </c>
      <c r="I1004" t="s">
        <v>14</v>
      </c>
    </row>
    <row r="1005" spans="1:9" x14ac:dyDescent="0.35">
      <c r="A1005">
        <v>399</v>
      </c>
      <c r="B1005">
        <v>7</v>
      </c>
      <c r="C1005" t="s">
        <v>25</v>
      </c>
      <c r="D1005" t="s">
        <v>26</v>
      </c>
      <c r="E1005">
        <v>20</v>
      </c>
      <c r="F1005">
        <v>33</v>
      </c>
      <c r="G1005">
        <v>3</v>
      </c>
      <c r="H1005">
        <v>45</v>
      </c>
      <c r="I1005" t="s">
        <v>11</v>
      </c>
    </row>
    <row r="1006" spans="1:9" x14ac:dyDescent="0.35">
      <c r="A1006">
        <v>399</v>
      </c>
      <c r="B1006">
        <v>7</v>
      </c>
      <c r="C1006" t="s">
        <v>21</v>
      </c>
      <c r="D1006" t="s">
        <v>22</v>
      </c>
      <c r="E1006">
        <v>22</v>
      </c>
      <c r="F1006">
        <v>36</v>
      </c>
      <c r="G1006">
        <v>3</v>
      </c>
      <c r="H1006">
        <v>46</v>
      </c>
      <c r="I1006" t="s">
        <v>14</v>
      </c>
    </row>
    <row r="1007" spans="1:9" x14ac:dyDescent="0.35">
      <c r="A1007">
        <v>400</v>
      </c>
      <c r="B1007">
        <v>9</v>
      </c>
      <c r="C1007" t="s">
        <v>19</v>
      </c>
      <c r="D1007" t="s">
        <v>20</v>
      </c>
      <c r="E1007">
        <v>25</v>
      </c>
      <c r="F1007">
        <v>40</v>
      </c>
      <c r="G1007">
        <v>2</v>
      </c>
      <c r="H1007">
        <v>28</v>
      </c>
      <c r="I1007" t="s">
        <v>11</v>
      </c>
    </row>
    <row r="1008" spans="1:9" x14ac:dyDescent="0.35">
      <c r="A1008">
        <v>400</v>
      </c>
      <c r="B1008">
        <v>9</v>
      </c>
      <c r="C1008" t="s">
        <v>27</v>
      </c>
      <c r="D1008" t="s">
        <v>28</v>
      </c>
      <c r="E1008">
        <v>16</v>
      </c>
      <c r="F1008">
        <v>28</v>
      </c>
      <c r="G1008">
        <v>2</v>
      </c>
      <c r="H1008">
        <v>13</v>
      </c>
      <c r="I1008" t="s">
        <v>11</v>
      </c>
    </row>
    <row r="1009" spans="1:9" x14ac:dyDescent="0.35">
      <c r="A1009">
        <v>400</v>
      </c>
      <c r="B1009">
        <v>9</v>
      </c>
      <c r="C1009" t="s">
        <v>15</v>
      </c>
      <c r="D1009" t="s">
        <v>16</v>
      </c>
      <c r="E1009">
        <v>19</v>
      </c>
      <c r="F1009">
        <v>31</v>
      </c>
      <c r="G1009">
        <v>2</v>
      </c>
      <c r="H1009">
        <v>38</v>
      </c>
      <c r="I1009" t="s">
        <v>14</v>
      </c>
    </row>
    <row r="1010" spans="1:9" x14ac:dyDescent="0.35">
      <c r="A1010">
        <v>401</v>
      </c>
      <c r="B1010">
        <v>16</v>
      </c>
      <c r="C1010" t="s">
        <v>43</v>
      </c>
      <c r="D1010" t="s">
        <v>44</v>
      </c>
      <c r="E1010">
        <v>13</v>
      </c>
      <c r="F1010">
        <v>21</v>
      </c>
      <c r="G1010">
        <v>2</v>
      </c>
      <c r="H1010">
        <v>20</v>
      </c>
      <c r="I1010" t="s">
        <v>11</v>
      </c>
    </row>
    <row r="1011" spans="1:9" x14ac:dyDescent="0.35">
      <c r="A1011">
        <v>402</v>
      </c>
      <c r="B1011">
        <v>18</v>
      </c>
      <c r="C1011" t="s">
        <v>49</v>
      </c>
      <c r="D1011" t="s">
        <v>50</v>
      </c>
      <c r="E1011">
        <v>15</v>
      </c>
      <c r="F1011">
        <v>25</v>
      </c>
      <c r="G1011">
        <v>2</v>
      </c>
      <c r="H1011">
        <v>16</v>
      </c>
      <c r="I1011" t="s">
        <v>14</v>
      </c>
    </row>
    <row r="1012" spans="1:9" x14ac:dyDescent="0.35">
      <c r="A1012">
        <v>402</v>
      </c>
      <c r="B1012">
        <v>18</v>
      </c>
      <c r="C1012" t="s">
        <v>29</v>
      </c>
      <c r="D1012" t="s">
        <v>30</v>
      </c>
      <c r="E1012">
        <v>11</v>
      </c>
      <c r="F1012">
        <v>19</v>
      </c>
      <c r="G1012">
        <v>3</v>
      </c>
      <c r="H1012">
        <v>29</v>
      </c>
      <c r="I1012" t="s">
        <v>14</v>
      </c>
    </row>
    <row r="1013" spans="1:9" x14ac:dyDescent="0.35">
      <c r="A1013">
        <v>402</v>
      </c>
      <c r="B1013">
        <v>18</v>
      </c>
      <c r="C1013" t="s">
        <v>35</v>
      </c>
      <c r="D1013" t="s">
        <v>36</v>
      </c>
      <c r="E1013">
        <v>13</v>
      </c>
      <c r="F1013">
        <v>22</v>
      </c>
      <c r="G1013">
        <v>2</v>
      </c>
      <c r="H1013">
        <v>21</v>
      </c>
      <c r="I1013" t="s">
        <v>11</v>
      </c>
    </row>
    <row r="1014" spans="1:9" x14ac:dyDescent="0.35">
      <c r="A1014">
        <v>403</v>
      </c>
      <c r="B1014">
        <v>14</v>
      </c>
      <c r="C1014" t="s">
        <v>35</v>
      </c>
      <c r="D1014" t="s">
        <v>36</v>
      </c>
      <c r="E1014">
        <v>13</v>
      </c>
      <c r="F1014">
        <v>22</v>
      </c>
      <c r="G1014">
        <v>3</v>
      </c>
      <c r="H1014">
        <v>17</v>
      </c>
      <c r="I1014" t="s">
        <v>11</v>
      </c>
    </row>
    <row r="1015" spans="1:9" x14ac:dyDescent="0.35">
      <c r="A1015">
        <v>403</v>
      </c>
      <c r="B1015">
        <v>14</v>
      </c>
      <c r="C1015" t="s">
        <v>45</v>
      </c>
      <c r="D1015" t="s">
        <v>46</v>
      </c>
      <c r="E1015">
        <v>10</v>
      </c>
      <c r="F1015">
        <v>18</v>
      </c>
      <c r="G1015">
        <v>2</v>
      </c>
      <c r="H1015">
        <v>5</v>
      </c>
      <c r="I1015" t="s">
        <v>14</v>
      </c>
    </row>
    <row r="1016" spans="1:9" x14ac:dyDescent="0.35">
      <c r="A1016">
        <v>403</v>
      </c>
      <c r="B1016">
        <v>14</v>
      </c>
      <c r="C1016" t="s">
        <v>33</v>
      </c>
      <c r="D1016" t="s">
        <v>34</v>
      </c>
      <c r="E1016">
        <v>19</v>
      </c>
      <c r="F1016">
        <v>32</v>
      </c>
      <c r="G1016">
        <v>2</v>
      </c>
      <c r="H1016">
        <v>8</v>
      </c>
      <c r="I1016" t="s">
        <v>14</v>
      </c>
    </row>
    <row r="1017" spans="1:9" x14ac:dyDescent="0.35">
      <c r="A1017">
        <v>403</v>
      </c>
      <c r="B1017">
        <v>14</v>
      </c>
      <c r="C1017" t="s">
        <v>9</v>
      </c>
      <c r="D1017" t="s">
        <v>10</v>
      </c>
      <c r="E1017">
        <v>14</v>
      </c>
      <c r="F1017">
        <v>24</v>
      </c>
      <c r="G1017">
        <v>1</v>
      </c>
      <c r="H1017">
        <v>55</v>
      </c>
      <c r="I1017" t="s">
        <v>14</v>
      </c>
    </row>
    <row r="1018" spans="1:9" x14ac:dyDescent="0.35">
      <c r="A1018">
        <v>404</v>
      </c>
      <c r="B1018">
        <v>17</v>
      </c>
      <c r="C1018" t="s">
        <v>43</v>
      </c>
      <c r="D1018" t="s">
        <v>44</v>
      </c>
      <c r="E1018">
        <v>13</v>
      </c>
      <c r="F1018">
        <v>21</v>
      </c>
      <c r="G1018">
        <v>2</v>
      </c>
      <c r="H1018">
        <v>20</v>
      </c>
      <c r="I1018" t="s">
        <v>11</v>
      </c>
    </row>
    <row r="1019" spans="1:9" x14ac:dyDescent="0.35">
      <c r="A1019">
        <v>404</v>
      </c>
      <c r="B1019">
        <v>17</v>
      </c>
      <c r="C1019" t="s">
        <v>39</v>
      </c>
      <c r="D1019" t="s">
        <v>40</v>
      </c>
      <c r="E1019">
        <v>12</v>
      </c>
      <c r="F1019">
        <v>20</v>
      </c>
      <c r="G1019">
        <v>1</v>
      </c>
      <c r="H1019">
        <v>53</v>
      </c>
      <c r="I1019" t="s">
        <v>14</v>
      </c>
    </row>
    <row r="1020" spans="1:9" x14ac:dyDescent="0.35">
      <c r="A1020">
        <v>404</v>
      </c>
      <c r="B1020">
        <v>17</v>
      </c>
      <c r="C1020" t="s">
        <v>19</v>
      </c>
      <c r="D1020" t="s">
        <v>20</v>
      </c>
      <c r="E1020">
        <v>25</v>
      </c>
      <c r="F1020">
        <v>40</v>
      </c>
      <c r="G1020">
        <v>3</v>
      </c>
      <c r="H1020">
        <v>29</v>
      </c>
      <c r="I1020" t="s">
        <v>14</v>
      </c>
    </row>
    <row r="1021" spans="1:9" x14ac:dyDescent="0.35">
      <c r="A1021">
        <v>405</v>
      </c>
      <c r="B1021">
        <v>5</v>
      </c>
      <c r="C1021" t="s">
        <v>47</v>
      </c>
      <c r="D1021" t="s">
        <v>48</v>
      </c>
      <c r="E1021">
        <v>15</v>
      </c>
      <c r="F1021">
        <v>26</v>
      </c>
      <c r="G1021">
        <v>1</v>
      </c>
      <c r="H1021">
        <v>41</v>
      </c>
      <c r="I1021" t="s">
        <v>14</v>
      </c>
    </row>
    <row r="1022" spans="1:9" x14ac:dyDescent="0.35">
      <c r="A1022">
        <v>405</v>
      </c>
      <c r="B1022">
        <v>5</v>
      </c>
      <c r="C1022" t="s">
        <v>19</v>
      </c>
      <c r="D1022" t="s">
        <v>20</v>
      </c>
      <c r="E1022">
        <v>25</v>
      </c>
      <c r="F1022">
        <v>40</v>
      </c>
      <c r="G1022">
        <v>1</v>
      </c>
      <c r="H1022">
        <v>44</v>
      </c>
      <c r="I1022" t="s">
        <v>11</v>
      </c>
    </row>
    <row r="1023" spans="1:9" x14ac:dyDescent="0.35">
      <c r="A1023">
        <v>405</v>
      </c>
      <c r="B1023">
        <v>5</v>
      </c>
      <c r="C1023" t="s">
        <v>39</v>
      </c>
      <c r="D1023" t="s">
        <v>40</v>
      </c>
      <c r="E1023">
        <v>12</v>
      </c>
      <c r="F1023">
        <v>20</v>
      </c>
      <c r="G1023">
        <v>2</v>
      </c>
      <c r="H1023">
        <v>13</v>
      </c>
      <c r="I1023" t="s">
        <v>14</v>
      </c>
    </row>
    <row r="1024" spans="1:9" x14ac:dyDescent="0.35">
      <c r="A1024">
        <v>406</v>
      </c>
      <c r="B1024">
        <v>14</v>
      </c>
      <c r="C1024" t="s">
        <v>39</v>
      </c>
      <c r="D1024" t="s">
        <v>40</v>
      </c>
      <c r="E1024">
        <v>12</v>
      </c>
      <c r="F1024">
        <v>20</v>
      </c>
      <c r="G1024">
        <v>3</v>
      </c>
      <c r="H1024">
        <v>6</v>
      </c>
      <c r="I1024" t="s">
        <v>11</v>
      </c>
    </row>
    <row r="1025" spans="1:9" x14ac:dyDescent="0.35">
      <c r="A1025">
        <v>406</v>
      </c>
      <c r="B1025">
        <v>14</v>
      </c>
      <c r="C1025" t="s">
        <v>31</v>
      </c>
      <c r="D1025" t="s">
        <v>32</v>
      </c>
      <c r="E1025">
        <v>21</v>
      </c>
      <c r="F1025">
        <v>35</v>
      </c>
      <c r="G1025">
        <v>2</v>
      </c>
      <c r="H1025">
        <v>56</v>
      </c>
      <c r="I1025" t="s">
        <v>11</v>
      </c>
    </row>
    <row r="1026" spans="1:9" x14ac:dyDescent="0.35">
      <c r="A1026">
        <v>406</v>
      </c>
      <c r="B1026">
        <v>14</v>
      </c>
      <c r="C1026" t="s">
        <v>49</v>
      </c>
      <c r="D1026" t="s">
        <v>50</v>
      </c>
      <c r="E1026">
        <v>15</v>
      </c>
      <c r="F1026">
        <v>25</v>
      </c>
      <c r="G1026">
        <v>1</v>
      </c>
      <c r="H1026">
        <v>55</v>
      </c>
      <c r="I1026" t="s">
        <v>14</v>
      </c>
    </row>
    <row r="1027" spans="1:9" x14ac:dyDescent="0.35">
      <c r="A1027">
        <v>407</v>
      </c>
      <c r="B1027">
        <v>4</v>
      </c>
      <c r="C1027" t="s">
        <v>39</v>
      </c>
      <c r="D1027" t="s">
        <v>40</v>
      </c>
      <c r="E1027">
        <v>12</v>
      </c>
      <c r="F1027">
        <v>20</v>
      </c>
      <c r="G1027">
        <v>3</v>
      </c>
      <c r="H1027">
        <v>32</v>
      </c>
      <c r="I1027" t="s">
        <v>11</v>
      </c>
    </row>
    <row r="1028" spans="1:9" x14ac:dyDescent="0.35">
      <c r="A1028">
        <v>407</v>
      </c>
      <c r="B1028">
        <v>4</v>
      </c>
      <c r="C1028" t="s">
        <v>31</v>
      </c>
      <c r="D1028" t="s">
        <v>32</v>
      </c>
      <c r="E1028">
        <v>21</v>
      </c>
      <c r="F1028">
        <v>35</v>
      </c>
      <c r="G1028">
        <v>1</v>
      </c>
      <c r="H1028">
        <v>18</v>
      </c>
      <c r="I1028" t="s">
        <v>14</v>
      </c>
    </row>
    <row r="1029" spans="1:9" x14ac:dyDescent="0.35">
      <c r="A1029">
        <v>408</v>
      </c>
      <c r="B1029">
        <v>17</v>
      </c>
      <c r="C1029" t="s">
        <v>49</v>
      </c>
      <c r="D1029" t="s">
        <v>50</v>
      </c>
      <c r="E1029">
        <v>15</v>
      </c>
      <c r="F1029">
        <v>25</v>
      </c>
      <c r="G1029">
        <v>1</v>
      </c>
      <c r="H1029">
        <v>58</v>
      </c>
      <c r="I1029" t="s">
        <v>14</v>
      </c>
    </row>
    <row r="1030" spans="1:9" x14ac:dyDescent="0.35">
      <c r="A1030">
        <v>408</v>
      </c>
      <c r="B1030">
        <v>17</v>
      </c>
      <c r="C1030" t="s">
        <v>9</v>
      </c>
      <c r="D1030" t="s">
        <v>10</v>
      </c>
      <c r="E1030">
        <v>14</v>
      </c>
      <c r="F1030">
        <v>24</v>
      </c>
      <c r="G1030">
        <v>3</v>
      </c>
      <c r="H1030">
        <v>11</v>
      </c>
      <c r="I1030" t="s">
        <v>11</v>
      </c>
    </row>
    <row r="1031" spans="1:9" x14ac:dyDescent="0.35">
      <c r="A1031">
        <v>408</v>
      </c>
      <c r="B1031">
        <v>17</v>
      </c>
      <c r="C1031" t="s">
        <v>37</v>
      </c>
      <c r="D1031" t="s">
        <v>38</v>
      </c>
      <c r="E1031">
        <v>20</v>
      </c>
      <c r="F1031">
        <v>34</v>
      </c>
      <c r="G1031">
        <v>1</v>
      </c>
      <c r="H1031">
        <v>37</v>
      </c>
      <c r="I1031" t="s">
        <v>14</v>
      </c>
    </row>
    <row r="1032" spans="1:9" x14ac:dyDescent="0.35">
      <c r="A1032">
        <v>409</v>
      </c>
      <c r="B1032">
        <v>15</v>
      </c>
      <c r="C1032" t="s">
        <v>43</v>
      </c>
      <c r="D1032" t="s">
        <v>44</v>
      </c>
      <c r="E1032">
        <v>13</v>
      </c>
      <c r="F1032">
        <v>21</v>
      </c>
      <c r="G1032">
        <v>3</v>
      </c>
      <c r="H1032">
        <v>44</v>
      </c>
      <c r="I1032" t="s">
        <v>14</v>
      </c>
    </row>
    <row r="1033" spans="1:9" x14ac:dyDescent="0.35">
      <c r="A1033">
        <v>409</v>
      </c>
      <c r="B1033">
        <v>15</v>
      </c>
      <c r="C1033" t="s">
        <v>19</v>
      </c>
      <c r="D1033" t="s">
        <v>20</v>
      </c>
      <c r="E1033">
        <v>25</v>
      </c>
      <c r="F1033">
        <v>40</v>
      </c>
      <c r="G1033">
        <v>1</v>
      </c>
      <c r="H1033">
        <v>43</v>
      </c>
      <c r="I1033" t="s">
        <v>11</v>
      </c>
    </row>
    <row r="1034" spans="1:9" x14ac:dyDescent="0.35">
      <c r="A1034">
        <v>409</v>
      </c>
      <c r="B1034">
        <v>15</v>
      </c>
      <c r="C1034" t="s">
        <v>27</v>
      </c>
      <c r="D1034" t="s">
        <v>28</v>
      </c>
      <c r="E1034">
        <v>16</v>
      </c>
      <c r="F1034">
        <v>28</v>
      </c>
      <c r="G1034">
        <v>1</v>
      </c>
      <c r="H1034">
        <v>47</v>
      </c>
      <c r="I1034" t="s">
        <v>11</v>
      </c>
    </row>
    <row r="1035" spans="1:9" x14ac:dyDescent="0.35">
      <c r="A1035">
        <v>409</v>
      </c>
      <c r="B1035">
        <v>15</v>
      </c>
      <c r="C1035" t="s">
        <v>9</v>
      </c>
      <c r="D1035" t="s">
        <v>10</v>
      </c>
      <c r="E1035">
        <v>14</v>
      </c>
      <c r="F1035">
        <v>24</v>
      </c>
      <c r="G1035">
        <v>3</v>
      </c>
      <c r="H1035">
        <v>29</v>
      </c>
      <c r="I1035" t="s">
        <v>11</v>
      </c>
    </row>
    <row r="1036" spans="1:9" x14ac:dyDescent="0.35">
      <c r="A1036">
        <v>410</v>
      </c>
      <c r="B1036">
        <v>1</v>
      </c>
      <c r="C1036" t="s">
        <v>39</v>
      </c>
      <c r="D1036" t="s">
        <v>40</v>
      </c>
      <c r="E1036">
        <v>12</v>
      </c>
      <c r="F1036">
        <v>20</v>
      </c>
      <c r="G1036">
        <v>1</v>
      </c>
      <c r="H1036">
        <v>50</v>
      </c>
      <c r="I1036" t="s">
        <v>14</v>
      </c>
    </row>
    <row r="1037" spans="1:9" x14ac:dyDescent="0.35">
      <c r="A1037">
        <v>410</v>
      </c>
      <c r="B1037">
        <v>1</v>
      </c>
      <c r="C1037" t="s">
        <v>21</v>
      </c>
      <c r="D1037" t="s">
        <v>22</v>
      </c>
      <c r="E1037">
        <v>22</v>
      </c>
      <c r="F1037">
        <v>36</v>
      </c>
      <c r="G1037">
        <v>1</v>
      </c>
      <c r="H1037">
        <v>41</v>
      </c>
      <c r="I1037" t="s">
        <v>11</v>
      </c>
    </row>
    <row r="1038" spans="1:9" x14ac:dyDescent="0.35">
      <c r="A1038">
        <v>411</v>
      </c>
      <c r="B1038">
        <v>3</v>
      </c>
      <c r="C1038" t="s">
        <v>19</v>
      </c>
      <c r="D1038" t="s">
        <v>20</v>
      </c>
      <c r="E1038">
        <v>25</v>
      </c>
      <c r="F1038">
        <v>40</v>
      </c>
      <c r="G1038">
        <v>3</v>
      </c>
      <c r="H1038">
        <v>36</v>
      </c>
      <c r="I1038" t="s">
        <v>14</v>
      </c>
    </row>
    <row r="1039" spans="1:9" x14ac:dyDescent="0.35">
      <c r="A1039">
        <v>411</v>
      </c>
      <c r="B1039">
        <v>3</v>
      </c>
      <c r="C1039" t="s">
        <v>45</v>
      </c>
      <c r="D1039" t="s">
        <v>46</v>
      </c>
      <c r="E1039">
        <v>10</v>
      </c>
      <c r="F1039">
        <v>18</v>
      </c>
      <c r="G1039">
        <v>1</v>
      </c>
      <c r="H1039">
        <v>33</v>
      </c>
      <c r="I1039" t="s">
        <v>11</v>
      </c>
    </row>
    <row r="1040" spans="1:9" x14ac:dyDescent="0.35">
      <c r="A1040">
        <v>411</v>
      </c>
      <c r="B1040">
        <v>3</v>
      </c>
      <c r="C1040" t="s">
        <v>17</v>
      </c>
      <c r="D1040" t="s">
        <v>18</v>
      </c>
      <c r="E1040">
        <v>16</v>
      </c>
      <c r="F1040">
        <v>27</v>
      </c>
      <c r="G1040">
        <v>3</v>
      </c>
      <c r="H1040">
        <v>9</v>
      </c>
      <c r="I1040" t="s">
        <v>11</v>
      </c>
    </row>
    <row r="1041" spans="1:9" x14ac:dyDescent="0.35">
      <c r="A1041">
        <v>412</v>
      </c>
      <c r="B1041">
        <v>11</v>
      </c>
      <c r="C1041" t="s">
        <v>15</v>
      </c>
      <c r="D1041" t="s">
        <v>16</v>
      </c>
      <c r="E1041">
        <v>19</v>
      </c>
      <c r="F1041">
        <v>31</v>
      </c>
      <c r="G1041">
        <v>3</v>
      </c>
      <c r="H1041">
        <v>57</v>
      </c>
      <c r="I1041" t="s">
        <v>14</v>
      </c>
    </row>
    <row r="1042" spans="1:9" x14ac:dyDescent="0.35">
      <c r="A1042">
        <v>413</v>
      </c>
      <c r="B1042">
        <v>13</v>
      </c>
      <c r="C1042" t="s">
        <v>31</v>
      </c>
      <c r="D1042" t="s">
        <v>32</v>
      </c>
      <c r="E1042">
        <v>21</v>
      </c>
      <c r="F1042">
        <v>35</v>
      </c>
      <c r="G1042">
        <v>1</v>
      </c>
      <c r="H1042">
        <v>12</v>
      </c>
      <c r="I1042" t="s">
        <v>14</v>
      </c>
    </row>
    <row r="1043" spans="1:9" x14ac:dyDescent="0.35">
      <c r="A1043">
        <v>414</v>
      </c>
      <c r="B1043">
        <v>14</v>
      </c>
      <c r="C1043" t="s">
        <v>25</v>
      </c>
      <c r="D1043" t="s">
        <v>26</v>
      </c>
      <c r="E1043">
        <v>20</v>
      </c>
      <c r="F1043">
        <v>33</v>
      </c>
      <c r="G1043">
        <v>1</v>
      </c>
      <c r="H1043">
        <v>38</v>
      </c>
      <c r="I1043" t="s">
        <v>11</v>
      </c>
    </row>
    <row r="1044" spans="1:9" x14ac:dyDescent="0.35">
      <c r="A1044">
        <v>415</v>
      </c>
      <c r="B1044">
        <v>14</v>
      </c>
      <c r="C1044" t="s">
        <v>17</v>
      </c>
      <c r="D1044" t="s">
        <v>18</v>
      </c>
      <c r="E1044">
        <v>16</v>
      </c>
      <c r="F1044">
        <v>27</v>
      </c>
      <c r="G1044">
        <v>2</v>
      </c>
      <c r="H1044">
        <v>32</v>
      </c>
      <c r="I1044" t="s">
        <v>11</v>
      </c>
    </row>
    <row r="1045" spans="1:9" x14ac:dyDescent="0.35">
      <c r="A1045">
        <v>415</v>
      </c>
      <c r="B1045">
        <v>14</v>
      </c>
      <c r="C1045" t="s">
        <v>37</v>
      </c>
      <c r="D1045" t="s">
        <v>38</v>
      </c>
      <c r="E1045">
        <v>20</v>
      </c>
      <c r="F1045">
        <v>34</v>
      </c>
      <c r="G1045">
        <v>2</v>
      </c>
      <c r="H1045">
        <v>16</v>
      </c>
      <c r="I1045" t="s">
        <v>14</v>
      </c>
    </row>
    <row r="1046" spans="1:9" x14ac:dyDescent="0.35">
      <c r="A1046">
        <v>415</v>
      </c>
      <c r="B1046">
        <v>14</v>
      </c>
      <c r="C1046" t="s">
        <v>21</v>
      </c>
      <c r="D1046" t="s">
        <v>22</v>
      </c>
      <c r="E1046">
        <v>22</v>
      </c>
      <c r="F1046">
        <v>36</v>
      </c>
      <c r="G1046">
        <v>1</v>
      </c>
      <c r="H1046">
        <v>39</v>
      </c>
      <c r="I1046" t="s">
        <v>11</v>
      </c>
    </row>
    <row r="1047" spans="1:9" x14ac:dyDescent="0.35">
      <c r="A1047">
        <v>416</v>
      </c>
      <c r="B1047">
        <v>20</v>
      </c>
      <c r="C1047" t="s">
        <v>49</v>
      </c>
      <c r="D1047" t="s">
        <v>50</v>
      </c>
      <c r="E1047">
        <v>15</v>
      </c>
      <c r="F1047">
        <v>25</v>
      </c>
      <c r="G1047">
        <v>1</v>
      </c>
      <c r="H1047">
        <v>9</v>
      </c>
      <c r="I1047" t="s">
        <v>14</v>
      </c>
    </row>
    <row r="1048" spans="1:9" x14ac:dyDescent="0.35">
      <c r="A1048">
        <v>417</v>
      </c>
      <c r="B1048">
        <v>7</v>
      </c>
      <c r="C1048" t="s">
        <v>23</v>
      </c>
      <c r="D1048" t="s">
        <v>24</v>
      </c>
      <c r="E1048">
        <v>17</v>
      </c>
      <c r="F1048">
        <v>29</v>
      </c>
      <c r="G1048">
        <v>1</v>
      </c>
      <c r="H1048">
        <v>23</v>
      </c>
      <c r="I1048" t="s">
        <v>11</v>
      </c>
    </row>
    <row r="1049" spans="1:9" x14ac:dyDescent="0.35">
      <c r="A1049">
        <v>417</v>
      </c>
      <c r="B1049">
        <v>7</v>
      </c>
      <c r="C1049" t="s">
        <v>19</v>
      </c>
      <c r="D1049" t="s">
        <v>20</v>
      </c>
      <c r="E1049">
        <v>25</v>
      </c>
      <c r="F1049">
        <v>40</v>
      </c>
      <c r="G1049">
        <v>1</v>
      </c>
      <c r="H1049">
        <v>17</v>
      </c>
      <c r="I1049" t="s">
        <v>11</v>
      </c>
    </row>
    <row r="1050" spans="1:9" x14ac:dyDescent="0.35">
      <c r="A1050">
        <v>417</v>
      </c>
      <c r="B1050">
        <v>7</v>
      </c>
      <c r="C1050" t="s">
        <v>29</v>
      </c>
      <c r="D1050" t="s">
        <v>30</v>
      </c>
      <c r="E1050">
        <v>11</v>
      </c>
      <c r="F1050">
        <v>19</v>
      </c>
      <c r="G1050">
        <v>1</v>
      </c>
      <c r="H1050">
        <v>16</v>
      </c>
      <c r="I1050" t="s">
        <v>14</v>
      </c>
    </row>
    <row r="1051" spans="1:9" x14ac:dyDescent="0.35">
      <c r="A1051">
        <v>417</v>
      </c>
      <c r="B1051">
        <v>7</v>
      </c>
      <c r="C1051" t="s">
        <v>17</v>
      </c>
      <c r="D1051" t="s">
        <v>18</v>
      </c>
      <c r="E1051">
        <v>16</v>
      </c>
      <c r="F1051">
        <v>27</v>
      </c>
      <c r="G1051">
        <v>2</v>
      </c>
      <c r="H1051">
        <v>34</v>
      </c>
      <c r="I1051" t="s">
        <v>14</v>
      </c>
    </row>
    <row r="1052" spans="1:9" x14ac:dyDescent="0.35">
      <c r="A1052">
        <v>418</v>
      </c>
      <c r="B1052">
        <v>17</v>
      </c>
      <c r="C1052" t="s">
        <v>49</v>
      </c>
      <c r="D1052" t="s">
        <v>50</v>
      </c>
      <c r="E1052">
        <v>15</v>
      </c>
      <c r="F1052">
        <v>25</v>
      </c>
      <c r="G1052">
        <v>1</v>
      </c>
      <c r="H1052">
        <v>45</v>
      </c>
      <c r="I1052" t="s">
        <v>11</v>
      </c>
    </row>
    <row r="1053" spans="1:9" x14ac:dyDescent="0.35">
      <c r="A1053">
        <v>418</v>
      </c>
      <c r="B1053">
        <v>17</v>
      </c>
      <c r="C1053" t="s">
        <v>15</v>
      </c>
      <c r="D1053" t="s">
        <v>16</v>
      </c>
      <c r="E1053">
        <v>19</v>
      </c>
      <c r="F1053">
        <v>31</v>
      </c>
      <c r="G1053">
        <v>3</v>
      </c>
      <c r="H1053">
        <v>55</v>
      </c>
      <c r="I1053" t="s">
        <v>14</v>
      </c>
    </row>
    <row r="1054" spans="1:9" x14ac:dyDescent="0.35">
      <c r="A1054">
        <v>419</v>
      </c>
      <c r="B1054">
        <v>11</v>
      </c>
      <c r="C1054" t="s">
        <v>37</v>
      </c>
      <c r="D1054" t="s">
        <v>38</v>
      </c>
      <c r="E1054">
        <v>20</v>
      </c>
      <c r="F1054">
        <v>34</v>
      </c>
      <c r="G1054">
        <v>1</v>
      </c>
      <c r="H1054">
        <v>7</v>
      </c>
      <c r="I1054" t="s">
        <v>14</v>
      </c>
    </row>
    <row r="1055" spans="1:9" x14ac:dyDescent="0.35">
      <c r="A1055">
        <v>419</v>
      </c>
      <c r="B1055">
        <v>11</v>
      </c>
      <c r="C1055" t="s">
        <v>25</v>
      </c>
      <c r="D1055" t="s">
        <v>26</v>
      </c>
      <c r="E1055">
        <v>20</v>
      </c>
      <c r="F1055">
        <v>33</v>
      </c>
      <c r="G1055">
        <v>1</v>
      </c>
      <c r="H1055">
        <v>57</v>
      </c>
      <c r="I1055" t="s">
        <v>11</v>
      </c>
    </row>
    <row r="1056" spans="1:9" x14ac:dyDescent="0.35">
      <c r="A1056">
        <v>420</v>
      </c>
      <c r="B1056">
        <v>18</v>
      </c>
      <c r="C1056" t="s">
        <v>37</v>
      </c>
      <c r="D1056" t="s">
        <v>38</v>
      </c>
      <c r="E1056">
        <v>20</v>
      </c>
      <c r="F1056">
        <v>34</v>
      </c>
      <c r="G1056">
        <v>2</v>
      </c>
      <c r="H1056">
        <v>33</v>
      </c>
      <c r="I1056" t="s">
        <v>11</v>
      </c>
    </row>
    <row r="1057" spans="1:9" x14ac:dyDescent="0.35">
      <c r="A1057">
        <v>420</v>
      </c>
      <c r="B1057">
        <v>18</v>
      </c>
      <c r="C1057" t="s">
        <v>39</v>
      </c>
      <c r="D1057" t="s">
        <v>40</v>
      </c>
      <c r="E1057">
        <v>12</v>
      </c>
      <c r="F1057">
        <v>20</v>
      </c>
      <c r="G1057">
        <v>3</v>
      </c>
      <c r="H1057">
        <v>10</v>
      </c>
      <c r="I1057" t="s">
        <v>11</v>
      </c>
    </row>
    <row r="1058" spans="1:9" x14ac:dyDescent="0.35">
      <c r="A1058">
        <v>420</v>
      </c>
      <c r="B1058">
        <v>18</v>
      </c>
      <c r="C1058" t="s">
        <v>49</v>
      </c>
      <c r="D1058" t="s">
        <v>50</v>
      </c>
      <c r="E1058">
        <v>15</v>
      </c>
      <c r="F1058">
        <v>25</v>
      </c>
      <c r="G1058">
        <v>2</v>
      </c>
      <c r="H1058">
        <v>28</v>
      </c>
      <c r="I1058" t="s">
        <v>11</v>
      </c>
    </row>
    <row r="1059" spans="1:9" x14ac:dyDescent="0.35">
      <c r="A1059">
        <v>420</v>
      </c>
      <c r="B1059">
        <v>18</v>
      </c>
      <c r="C1059" t="s">
        <v>33</v>
      </c>
      <c r="D1059" t="s">
        <v>34</v>
      </c>
      <c r="E1059">
        <v>19</v>
      </c>
      <c r="F1059">
        <v>32</v>
      </c>
      <c r="G1059">
        <v>2</v>
      </c>
      <c r="H1059">
        <v>34</v>
      </c>
      <c r="I1059" t="s">
        <v>11</v>
      </c>
    </row>
    <row r="1060" spans="1:9" x14ac:dyDescent="0.35">
      <c r="A1060">
        <v>421</v>
      </c>
      <c r="B1060">
        <v>10</v>
      </c>
      <c r="C1060" t="s">
        <v>15</v>
      </c>
      <c r="D1060" t="s">
        <v>16</v>
      </c>
      <c r="E1060">
        <v>19</v>
      </c>
      <c r="F1060">
        <v>31</v>
      </c>
      <c r="G1060">
        <v>1</v>
      </c>
      <c r="H1060">
        <v>18</v>
      </c>
      <c r="I1060" t="s">
        <v>14</v>
      </c>
    </row>
    <row r="1061" spans="1:9" x14ac:dyDescent="0.35">
      <c r="A1061">
        <v>421</v>
      </c>
      <c r="B1061">
        <v>10</v>
      </c>
      <c r="C1061" t="s">
        <v>45</v>
      </c>
      <c r="D1061" t="s">
        <v>46</v>
      </c>
      <c r="E1061">
        <v>10</v>
      </c>
      <c r="F1061">
        <v>18</v>
      </c>
      <c r="G1061">
        <v>3</v>
      </c>
      <c r="H1061">
        <v>53</v>
      </c>
      <c r="I1061" t="s">
        <v>14</v>
      </c>
    </row>
    <row r="1062" spans="1:9" x14ac:dyDescent="0.35">
      <c r="A1062">
        <v>422</v>
      </c>
      <c r="B1062">
        <v>12</v>
      </c>
      <c r="C1062" t="s">
        <v>47</v>
      </c>
      <c r="D1062" t="s">
        <v>48</v>
      </c>
      <c r="E1062">
        <v>15</v>
      </c>
      <c r="F1062">
        <v>26</v>
      </c>
      <c r="G1062">
        <v>2</v>
      </c>
      <c r="H1062">
        <v>7</v>
      </c>
      <c r="I1062" t="s">
        <v>14</v>
      </c>
    </row>
    <row r="1063" spans="1:9" x14ac:dyDescent="0.35">
      <c r="A1063">
        <v>422</v>
      </c>
      <c r="B1063">
        <v>12</v>
      </c>
      <c r="C1063" t="s">
        <v>21</v>
      </c>
      <c r="D1063" t="s">
        <v>22</v>
      </c>
      <c r="E1063">
        <v>22</v>
      </c>
      <c r="F1063">
        <v>36</v>
      </c>
      <c r="G1063">
        <v>1</v>
      </c>
      <c r="H1063">
        <v>27</v>
      </c>
      <c r="I1063" t="s">
        <v>11</v>
      </c>
    </row>
    <row r="1064" spans="1:9" x14ac:dyDescent="0.35">
      <c r="A1064">
        <v>423</v>
      </c>
      <c r="B1064">
        <v>4</v>
      </c>
      <c r="C1064" t="s">
        <v>27</v>
      </c>
      <c r="D1064" t="s">
        <v>28</v>
      </c>
      <c r="E1064">
        <v>16</v>
      </c>
      <c r="F1064">
        <v>28</v>
      </c>
      <c r="G1064">
        <v>2</v>
      </c>
      <c r="H1064">
        <v>24</v>
      </c>
      <c r="I1064" t="s">
        <v>11</v>
      </c>
    </row>
    <row r="1065" spans="1:9" x14ac:dyDescent="0.35">
      <c r="A1065">
        <v>423</v>
      </c>
      <c r="B1065">
        <v>4</v>
      </c>
      <c r="C1065" t="s">
        <v>33</v>
      </c>
      <c r="D1065" t="s">
        <v>34</v>
      </c>
      <c r="E1065">
        <v>19</v>
      </c>
      <c r="F1065">
        <v>32</v>
      </c>
      <c r="G1065">
        <v>3</v>
      </c>
      <c r="H1065">
        <v>7</v>
      </c>
      <c r="I1065" t="s">
        <v>14</v>
      </c>
    </row>
    <row r="1066" spans="1:9" x14ac:dyDescent="0.35">
      <c r="A1066">
        <v>424</v>
      </c>
      <c r="B1066">
        <v>13</v>
      </c>
      <c r="C1066" t="s">
        <v>35</v>
      </c>
      <c r="D1066" t="s">
        <v>36</v>
      </c>
      <c r="E1066">
        <v>13</v>
      </c>
      <c r="F1066">
        <v>22</v>
      </c>
      <c r="G1066">
        <v>3</v>
      </c>
      <c r="H1066">
        <v>43</v>
      </c>
      <c r="I1066" t="s">
        <v>11</v>
      </c>
    </row>
    <row r="1067" spans="1:9" x14ac:dyDescent="0.35">
      <c r="A1067">
        <v>424</v>
      </c>
      <c r="B1067">
        <v>13</v>
      </c>
      <c r="C1067" t="s">
        <v>17</v>
      </c>
      <c r="D1067" t="s">
        <v>18</v>
      </c>
      <c r="E1067">
        <v>16</v>
      </c>
      <c r="F1067">
        <v>27</v>
      </c>
      <c r="G1067">
        <v>3</v>
      </c>
      <c r="H1067">
        <v>45</v>
      </c>
      <c r="I1067" t="s">
        <v>14</v>
      </c>
    </row>
    <row r="1068" spans="1:9" x14ac:dyDescent="0.35">
      <c r="A1068">
        <v>425</v>
      </c>
      <c r="B1068">
        <v>18</v>
      </c>
      <c r="C1068" t="s">
        <v>29</v>
      </c>
      <c r="D1068" t="s">
        <v>30</v>
      </c>
      <c r="E1068">
        <v>11</v>
      </c>
      <c r="F1068">
        <v>19</v>
      </c>
      <c r="G1068">
        <v>1</v>
      </c>
      <c r="H1068">
        <v>28</v>
      </c>
      <c r="I1068" t="s">
        <v>14</v>
      </c>
    </row>
    <row r="1069" spans="1:9" x14ac:dyDescent="0.35">
      <c r="A1069">
        <v>426</v>
      </c>
      <c r="B1069">
        <v>5</v>
      </c>
      <c r="C1069" t="s">
        <v>25</v>
      </c>
      <c r="D1069" t="s">
        <v>26</v>
      </c>
      <c r="E1069">
        <v>20</v>
      </c>
      <c r="F1069">
        <v>33</v>
      </c>
      <c r="G1069">
        <v>1</v>
      </c>
      <c r="H1069">
        <v>8</v>
      </c>
      <c r="I1069" t="s">
        <v>14</v>
      </c>
    </row>
    <row r="1070" spans="1:9" x14ac:dyDescent="0.35">
      <c r="A1070">
        <v>426</v>
      </c>
      <c r="B1070">
        <v>5</v>
      </c>
      <c r="C1070" t="s">
        <v>27</v>
      </c>
      <c r="D1070" t="s">
        <v>28</v>
      </c>
      <c r="E1070">
        <v>16</v>
      </c>
      <c r="F1070">
        <v>28</v>
      </c>
      <c r="G1070">
        <v>2</v>
      </c>
      <c r="H1070">
        <v>38</v>
      </c>
      <c r="I1070" t="s">
        <v>14</v>
      </c>
    </row>
    <row r="1071" spans="1:9" x14ac:dyDescent="0.35">
      <c r="A1071">
        <v>426</v>
      </c>
      <c r="B1071">
        <v>5</v>
      </c>
      <c r="C1071" t="s">
        <v>49</v>
      </c>
      <c r="D1071" t="s">
        <v>50</v>
      </c>
      <c r="E1071">
        <v>15</v>
      </c>
      <c r="F1071">
        <v>25</v>
      </c>
      <c r="G1071">
        <v>2</v>
      </c>
      <c r="H1071">
        <v>23</v>
      </c>
      <c r="I1071" t="s">
        <v>11</v>
      </c>
    </row>
    <row r="1072" spans="1:9" x14ac:dyDescent="0.35">
      <c r="A1072">
        <v>426</v>
      </c>
      <c r="B1072">
        <v>5</v>
      </c>
      <c r="C1072" t="s">
        <v>21</v>
      </c>
      <c r="D1072" t="s">
        <v>22</v>
      </c>
      <c r="E1072">
        <v>22</v>
      </c>
      <c r="F1072">
        <v>36</v>
      </c>
      <c r="G1072">
        <v>3</v>
      </c>
      <c r="H1072">
        <v>47</v>
      </c>
      <c r="I1072" t="s">
        <v>14</v>
      </c>
    </row>
    <row r="1073" spans="1:9" x14ac:dyDescent="0.35">
      <c r="A1073">
        <v>427</v>
      </c>
      <c r="B1073">
        <v>2</v>
      </c>
      <c r="C1073" t="s">
        <v>49</v>
      </c>
      <c r="D1073" t="s">
        <v>50</v>
      </c>
      <c r="E1073">
        <v>15</v>
      </c>
      <c r="F1073">
        <v>25</v>
      </c>
      <c r="G1073">
        <v>3</v>
      </c>
      <c r="H1073">
        <v>34</v>
      </c>
      <c r="I1073" t="s">
        <v>14</v>
      </c>
    </row>
    <row r="1074" spans="1:9" x14ac:dyDescent="0.35">
      <c r="A1074">
        <v>427</v>
      </c>
      <c r="B1074">
        <v>2</v>
      </c>
      <c r="C1074" t="s">
        <v>31</v>
      </c>
      <c r="D1074" t="s">
        <v>32</v>
      </c>
      <c r="E1074">
        <v>21</v>
      </c>
      <c r="F1074">
        <v>35</v>
      </c>
      <c r="G1074">
        <v>2</v>
      </c>
      <c r="H1074">
        <v>52</v>
      </c>
      <c r="I1074" t="s">
        <v>11</v>
      </c>
    </row>
    <row r="1075" spans="1:9" x14ac:dyDescent="0.35">
      <c r="A1075">
        <v>427</v>
      </c>
      <c r="B1075">
        <v>2</v>
      </c>
      <c r="C1075" t="s">
        <v>41</v>
      </c>
      <c r="D1075" t="s">
        <v>42</v>
      </c>
      <c r="E1075">
        <v>14</v>
      </c>
      <c r="F1075">
        <v>23</v>
      </c>
      <c r="G1075">
        <v>1</v>
      </c>
      <c r="H1075">
        <v>24</v>
      </c>
      <c r="I1075" t="s">
        <v>14</v>
      </c>
    </row>
    <row r="1076" spans="1:9" x14ac:dyDescent="0.35">
      <c r="A1076">
        <v>427</v>
      </c>
      <c r="B1076">
        <v>2</v>
      </c>
      <c r="C1076" t="s">
        <v>29</v>
      </c>
      <c r="D1076" t="s">
        <v>30</v>
      </c>
      <c r="E1076">
        <v>11</v>
      </c>
      <c r="F1076">
        <v>19</v>
      </c>
      <c r="G1076">
        <v>2</v>
      </c>
      <c r="H1076">
        <v>56</v>
      </c>
      <c r="I1076" t="s">
        <v>11</v>
      </c>
    </row>
    <row r="1077" spans="1:9" x14ac:dyDescent="0.35">
      <c r="A1077">
        <v>428</v>
      </c>
      <c r="B1077">
        <v>7</v>
      </c>
      <c r="C1077" t="s">
        <v>19</v>
      </c>
      <c r="D1077" t="s">
        <v>20</v>
      </c>
      <c r="E1077">
        <v>25</v>
      </c>
      <c r="F1077">
        <v>40</v>
      </c>
      <c r="G1077">
        <v>1</v>
      </c>
      <c r="H1077">
        <v>38</v>
      </c>
      <c r="I1077" t="s">
        <v>11</v>
      </c>
    </row>
    <row r="1078" spans="1:9" x14ac:dyDescent="0.35">
      <c r="A1078">
        <v>428</v>
      </c>
      <c r="B1078">
        <v>7</v>
      </c>
      <c r="C1078" t="s">
        <v>41</v>
      </c>
      <c r="D1078" t="s">
        <v>42</v>
      </c>
      <c r="E1078">
        <v>14</v>
      </c>
      <c r="F1078">
        <v>23</v>
      </c>
      <c r="G1078">
        <v>1</v>
      </c>
      <c r="H1078">
        <v>46</v>
      </c>
      <c r="I1078" t="s">
        <v>11</v>
      </c>
    </row>
    <row r="1079" spans="1:9" x14ac:dyDescent="0.35">
      <c r="A1079">
        <v>428</v>
      </c>
      <c r="B1079">
        <v>7</v>
      </c>
      <c r="C1079" t="s">
        <v>49</v>
      </c>
      <c r="D1079" t="s">
        <v>50</v>
      </c>
      <c r="E1079">
        <v>15</v>
      </c>
      <c r="F1079">
        <v>25</v>
      </c>
      <c r="G1079">
        <v>2</v>
      </c>
      <c r="H1079">
        <v>48</v>
      </c>
      <c r="I1079" t="s">
        <v>11</v>
      </c>
    </row>
    <row r="1080" spans="1:9" x14ac:dyDescent="0.35">
      <c r="A1080">
        <v>428</v>
      </c>
      <c r="B1080">
        <v>7</v>
      </c>
      <c r="C1080" t="s">
        <v>15</v>
      </c>
      <c r="D1080" t="s">
        <v>16</v>
      </c>
      <c r="E1080">
        <v>19</v>
      </c>
      <c r="F1080">
        <v>31</v>
      </c>
      <c r="G1080">
        <v>2</v>
      </c>
      <c r="H1080">
        <v>47</v>
      </c>
      <c r="I1080" t="s">
        <v>11</v>
      </c>
    </row>
    <row r="1081" spans="1:9" x14ac:dyDescent="0.35">
      <c r="A1081">
        <v>429</v>
      </c>
      <c r="B1081">
        <v>8</v>
      </c>
      <c r="C1081" t="s">
        <v>47</v>
      </c>
      <c r="D1081" t="s">
        <v>48</v>
      </c>
      <c r="E1081">
        <v>15</v>
      </c>
      <c r="F1081">
        <v>26</v>
      </c>
      <c r="G1081">
        <v>3</v>
      </c>
      <c r="H1081">
        <v>27</v>
      </c>
      <c r="I1081" t="s">
        <v>11</v>
      </c>
    </row>
    <row r="1082" spans="1:9" x14ac:dyDescent="0.35">
      <c r="A1082">
        <v>430</v>
      </c>
      <c r="B1082">
        <v>7</v>
      </c>
      <c r="C1082" t="s">
        <v>49</v>
      </c>
      <c r="D1082" t="s">
        <v>50</v>
      </c>
      <c r="E1082">
        <v>15</v>
      </c>
      <c r="F1082">
        <v>25</v>
      </c>
      <c r="G1082">
        <v>1</v>
      </c>
      <c r="H1082">
        <v>49</v>
      </c>
      <c r="I1082" t="s">
        <v>11</v>
      </c>
    </row>
    <row r="1083" spans="1:9" x14ac:dyDescent="0.35">
      <c r="A1083">
        <v>431</v>
      </c>
      <c r="B1083">
        <v>15</v>
      </c>
      <c r="C1083" t="s">
        <v>12</v>
      </c>
      <c r="D1083" t="s">
        <v>13</v>
      </c>
      <c r="E1083">
        <v>18</v>
      </c>
      <c r="F1083">
        <v>30</v>
      </c>
      <c r="G1083">
        <v>2</v>
      </c>
      <c r="H1083">
        <v>20</v>
      </c>
      <c r="I1083" t="s">
        <v>11</v>
      </c>
    </row>
    <row r="1084" spans="1:9" x14ac:dyDescent="0.35">
      <c r="A1084">
        <v>432</v>
      </c>
      <c r="B1084">
        <v>10</v>
      </c>
      <c r="C1084" t="s">
        <v>39</v>
      </c>
      <c r="D1084" t="s">
        <v>40</v>
      </c>
      <c r="E1084">
        <v>12</v>
      </c>
      <c r="F1084">
        <v>20</v>
      </c>
      <c r="G1084">
        <v>3</v>
      </c>
      <c r="H1084">
        <v>16</v>
      </c>
      <c r="I1084" t="s">
        <v>14</v>
      </c>
    </row>
    <row r="1085" spans="1:9" x14ac:dyDescent="0.35">
      <c r="A1085">
        <v>432</v>
      </c>
      <c r="B1085">
        <v>10</v>
      </c>
      <c r="C1085" t="s">
        <v>43</v>
      </c>
      <c r="D1085" t="s">
        <v>44</v>
      </c>
      <c r="E1085">
        <v>13</v>
      </c>
      <c r="F1085">
        <v>21</v>
      </c>
      <c r="G1085">
        <v>1</v>
      </c>
      <c r="H1085">
        <v>27</v>
      </c>
      <c r="I1085" t="s">
        <v>11</v>
      </c>
    </row>
    <row r="1086" spans="1:9" x14ac:dyDescent="0.35">
      <c r="A1086">
        <v>432</v>
      </c>
      <c r="B1086">
        <v>10</v>
      </c>
      <c r="C1086" t="s">
        <v>27</v>
      </c>
      <c r="D1086" t="s">
        <v>28</v>
      </c>
      <c r="E1086">
        <v>16</v>
      </c>
      <c r="F1086">
        <v>28</v>
      </c>
      <c r="G1086">
        <v>1</v>
      </c>
      <c r="H1086">
        <v>31</v>
      </c>
      <c r="I1086" t="s">
        <v>11</v>
      </c>
    </row>
    <row r="1087" spans="1:9" x14ac:dyDescent="0.35">
      <c r="A1087">
        <v>433</v>
      </c>
      <c r="B1087">
        <v>10</v>
      </c>
      <c r="C1087" t="s">
        <v>12</v>
      </c>
      <c r="D1087" t="s">
        <v>13</v>
      </c>
      <c r="E1087">
        <v>18</v>
      </c>
      <c r="F1087">
        <v>30</v>
      </c>
      <c r="G1087">
        <v>1</v>
      </c>
      <c r="H1087">
        <v>56</v>
      </c>
      <c r="I1087" t="s">
        <v>14</v>
      </c>
    </row>
    <row r="1088" spans="1:9" x14ac:dyDescent="0.35">
      <c r="A1088">
        <v>433</v>
      </c>
      <c r="B1088">
        <v>10</v>
      </c>
      <c r="C1088" t="s">
        <v>9</v>
      </c>
      <c r="D1088" t="s">
        <v>10</v>
      </c>
      <c r="E1088">
        <v>14</v>
      </c>
      <c r="F1088">
        <v>24</v>
      </c>
      <c r="G1088">
        <v>3</v>
      </c>
      <c r="H1088">
        <v>18</v>
      </c>
      <c r="I1088" t="s">
        <v>11</v>
      </c>
    </row>
    <row r="1089" spans="1:9" x14ac:dyDescent="0.35">
      <c r="A1089">
        <v>434</v>
      </c>
      <c r="B1089">
        <v>15</v>
      </c>
      <c r="C1089" t="s">
        <v>47</v>
      </c>
      <c r="D1089" t="s">
        <v>48</v>
      </c>
      <c r="E1089">
        <v>15</v>
      </c>
      <c r="F1089">
        <v>26</v>
      </c>
      <c r="G1089">
        <v>2</v>
      </c>
      <c r="H1089">
        <v>26</v>
      </c>
      <c r="I1089" t="s">
        <v>11</v>
      </c>
    </row>
    <row r="1090" spans="1:9" x14ac:dyDescent="0.35">
      <c r="A1090">
        <v>434</v>
      </c>
      <c r="B1090">
        <v>15</v>
      </c>
      <c r="C1090" t="s">
        <v>35</v>
      </c>
      <c r="D1090" t="s">
        <v>36</v>
      </c>
      <c r="E1090">
        <v>13</v>
      </c>
      <c r="F1090">
        <v>22</v>
      </c>
      <c r="G1090">
        <v>2</v>
      </c>
      <c r="H1090">
        <v>32</v>
      </c>
      <c r="I1090" t="s">
        <v>14</v>
      </c>
    </row>
    <row r="1091" spans="1:9" x14ac:dyDescent="0.35">
      <c r="A1091">
        <v>435</v>
      </c>
      <c r="B1091">
        <v>17</v>
      </c>
      <c r="C1091" t="s">
        <v>47</v>
      </c>
      <c r="D1091" t="s">
        <v>48</v>
      </c>
      <c r="E1091">
        <v>15</v>
      </c>
      <c r="F1091">
        <v>26</v>
      </c>
      <c r="G1091">
        <v>2</v>
      </c>
      <c r="H1091">
        <v>14</v>
      </c>
      <c r="I1091" t="s">
        <v>11</v>
      </c>
    </row>
    <row r="1092" spans="1:9" x14ac:dyDescent="0.35">
      <c r="A1092">
        <v>435</v>
      </c>
      <c r="B1092">
        <v>17</v>
      </c>
      <c r="C1092" t="s">
        <v>43</v>
      </c>
      <c r="D1092" t="s">
        <v>44</v>
      </c>
      <c r="E1092">
        <v>13</v>
      </c>
      <c r="F1092">
        <v>21</v>
      </c>
      <c r="G1092">
        <v>2</v>
      </c>
      <c r="H1092">
        <v>42</v>
      </c>
      <c r="I1092" t="s">
        <v>11</v>
      </c>
    </row>
    <row r="1093" spans="1:9" x14ac:dyDescent="0.35">
      <c r="A1093">
        <v>435</v>
      </c>
      <c r="B1093">
        <v>17</v>
      </c>
      <c r="C1093" t="s">
        <v>12</v>
      </c>
      <c r="D1093" t="s">
        <v>13</v>
      </c>
      <c r="E1093">
        <v>18</v>
      </c>
      <c r="F1093">
        <v>30</v>
      </c>
      <c r="G1093">
        <v>2</v>
      </c>
      <c r="H1093">
        <v>55</v>
      </c>
      <c r="I1093" t="s">
        <v>14</v>
      </c>
    </row>
    <row r="1094" spans="1:9" x14ac:dyDescent="0.35">
      <c r="A1094">
        <v>436</v>
      </c>
      <c r="B1094">
        <v>10</v>
      </c>
      <c r="C1094" t="s">
        <v>27</v>
      </c>
      <c r="D1094" t="s">
        <v>28</v>
      </c>
      <c r="E1094">
        <v>16</v>
      </c>
      <c r="F1094">
        <v>28</v>
      </c>
      <c r="G1094">
        <v>2</v>
      </c>
      <c r="H1094">
        <v>45</v>
      </c>
      <c r="I1094" t="s">
        <v>14</v>
      </c>
    </row>
    <row r="1095" spans="1:9" x14ac:dyDescent="0.35">
      <c r="A1095">
        <v>437</v>
      </c>
      <c r="B1095">
        <v>16</v>
      </c>
      <c r="C1095" t="s">
        <v>31</v>
      </c>
      <c r="D1095" t="s">
        <v>32</v>
      </c>
      <c r="E1095">
        <v>21</v>
      </c>
      <c r="F1095">
        <v>35</v>
      </c>
      <c r="G1095">
        <v>2</v>
      </c>
      <c r="H1095">
        <v>51</v>
      </c>
      <c r="I1095" t="s">
        <v>14</v>
      </c>
    </row>
    <row r="1096" spans="1:9" x14ac:dyDescent="0.35">
      <c r="A1096">
        <v>438</v>
      </c>
      <c r="B1096">
        <v>2</v>
      </c>
      <c r="C1096" t="s">
        <v>25</v>
      </c>
      <c r="D1096" t="s">
        <v>26</v>
      </c>
      <c r="E1096">
        <v>20</v>
      </c>
      <c r="F1096">
        <v>33</v>
      </c>
      <c r="G1096">
        <v>1</v>
      </c>
      <c r="H1096">
        <v>51</v>
      </c>
      <c r="I1096" t="s">
        <v>14</v>
      </c>
    </row>
    <row r="1097" spans="1:9" x14ac:dyDescent="0.35">
      <c r="A1097">
        <v>439</v>
      </c>
      <c r="B1097">
        <v>15</v>
      </c>
      <c r="C1097" t="s">
        <v>25</v>
      </c>
      <c r="D1097" t="s">
        <v>26</v>
      </c>
      <c r="E1097">
        <v>20</v>
      </c>
      <c r="F1097">
        <v>33</v>
      </c>
      <c r="G1097">
        <v>3</v>
      </c>
      <c r="H1097">
        <v>35</v>
      </c>
      <c r="I1097" t="s">
        <v>11</v>
      </c>
    </row>
    <row r="1098" spans="1:9" x14ac:dyDescent="0.35">
      <c r="A1098">
        <v>439</v>
      </c>
      <c r="B1098">
        <v>15</v>
      </c>
      <c r="C1098" t="s">
        <v>47</v>
      </c>
      <c r="D1098" t="s">
        <v>48</v>
      </c>
      <c r="E1098">
        <v>15</v>
      </c>
      <c r="F1098">
        <v>26</v>
      </c>
      <c r="G1098">
        <v>3</v>
      </c>
      <c r="H1098">
        <v>29</v>
      </c>
      <c r="I1098" t="s">
        <v>14</v>
      </c>
    </row>
    <row r="1099" spans="1:9" x14ac:dyDescent="0.35">
      <c r="A1099">
        <v>440</v>
      </c>
      <c r="B1099">
        <v>13</v>
      </c>
      <c r="C1099" t="s">
        <v>41</v>
      </c>
      <c r="D1099" t="s">
        <v>42</v>
      </c>
      <c r="E1099">
        <v>14</v>
      </c>
      <c r="F1099">
        <v>23</v>
      </c>
      <c r="G1099">
        <v>2</v>
      </c>
      <c r="H1099">
        <v>36</v>
      </c>
      <c r="I1099" t="s">
        <v>11</v>
      </c>
    </row>
    <row r="1100" spans="1:9" x14ac:dyDescent="0.35">
      <c r="A1100">
        <v>440</v>
      </c>
      <c r="B1100">
        <v>13</v>
      </c>
      <c r="C1100" t="s">
        <v>29</v>
      </c>
      <c r="D1100" t="s">
        <v>30</v>
      </c>
      <c r="E1100">
        <v>11</v>
      </c>
      <c r="F1100">
        <v>19</v>
      </c>
      <c r="G1100">
        <v>2</v>
      </c>
      <c r="H1100">
        <v>9</v>
      </c>
      <c r="I1100" t="s">
        <v>11</v>
      </c>
    </row>
    <row r="1101" spans="1:9" x14ac:dyDescent="0.35">
      <c r="A1101">
        <v>441</v>
      </c>
      <c r="B1101">
        <v>13</v>
      </c>
      <c r="C1101" t="s">
        <v>31</v>
      </c>
      <c r="D1101" t="s">
        <v>32</v>
      </c>
      <c r="E1101">
        <v>21</v>
      </c>
      <c r="F1101">
        <v>35</v>
      </c>
      <c r="G1101">
        <v>3</v>
      </c>
      <c r="H1101">
        <v>54</v>
      </c>
      <c r="I1101" t="s">
        <v>11</v>
      </c>
    </row>
    <row r="1102" spans="1:9" x14ac:dyDescent="0.35">
      <c r="A1102">
        <v>441</v>
      </c>
      <c r="B1102">
        <v>13</v>
      </c>
      <c r="C1102" t="s">
        <v>47</v>
      </c>
      <c r="D1102" t="s">
        <v>48</v>
      </c>
      <c r="E1102">
        <v>15</v>
      </c>
      <c r="F1102">
        <v>26</v>
      </c>
      <c r="G1102">
        <v>3</v>
      </c>
      <c r="H1102">
        <v>36</v>
      </c>
      <c r="I1102" t="s">
        <v>14</v>
      </c>
    </row>
    <row r="1103" spans="1:9" x14ac:dyDescent="0.35">
      <c r="A1103">
        <v>442</v>
      </c>
      <c r="B1103">
        <v>15</v>
      </c>
      <c r="C1103" t="s">
        <v>37</v>
      </c>
      <c r="D1103" t="s">
        <v>38</v>
      </c>
      <c r="E1103">
        <v>20</v>
      </c>
      <c r="F1103">
        <v>34</v>
      </c>
      <c r="G1103">
        <v>3</v>
      </c>
      <c r="H1103">
        <v>29</v>
      </c>
      <c r="I1103" t="s">
        <v>14</v>
      </c>
    </row>
    <row r="1104" spans="1:9" x14ac:dyDescent="0.35">
      <c r="A1104">
        <v>442</v>
      </c>
      <c r="B1104">
        <v>15</v>
      </c>
      <c r="C1104" t="s">
        <v>49</v>
      </c>
      <c r="D1104" t="s">
        <v>50</v>
      </c>
      <c r="E1104">
        <v>15</v>
      </c>
      <c r="F1104">
        <v>25</v>
      </c>
      <c r="G1104">
        <v>1</v>
      </c>
      <c r="H1104">
        <v>57</v>
      </c>
      <c r="I1104" t="s">
        <v>11</v>
      </c>
    </row>
    <row r="1105" spans="1:9" x14ac:dyDescent="0.35">
      <c r="A1105">
        <v>442</v>
      </c>
      <c r="B1105">
        <v>15</v>
      </c>
      <c r="C1105" t="s">
        <v>21</v>
      </c>
      <c r="D1105" t="s">
        <v>22</v>
      </c>
      <c r="E1105">
        <v>22</v>
      </c>
      <c r="F1105">
        <v>36</v>
      </c>
      <c r="G1105">
        <v>3</v>
      </c>
      <c r="H1105">
        <v>45</v>
      </c>
      <c r="I1105" t="s">
        <v>11</v>
      </c>
    </row>
    <row r="1106" spans="1:9" x14ac:dyDescent="0.35">
      <c r="A1106">
        <v>443</v>
      </c>
      <c r="B1106">
        <v>4</v>
      </c>
      <c r="C1106" t="s">
        <v>41</v>
      </c>
      <c r="D1106" t="s">
        <v>42</v>
      </c>
      <c r="E1106">
        <v>14</v>
      </c>
      <c r="F1106">
        <v>23</v>
      </c>
      <c r="G1106">
        <v>1</v>
      </c>
      <c r="H1106">
        <v>30</v>
      </c>
      <c r="I1106" t="s">
        <v>11</v>
      </c>
    </row>
    <row r="1107" spans="1:9" x14ac:dyDescent="0.35">
      <c r="A1107">
        <v>443</v>
      </c>
      <c r="B1107">
        <v>4</v>
      </c>
      <c r="C1107" t="s">
        <v>33</v>
      </c>
      <c r="D1107" t="s">
        <v>34</v>
      </c>
      <c r="E1107">
        <v>19</v>
      </c>
      <c r="F1107">
        <v>32</v>
      </c>
      <c r="G1107">
        <v>1</v>
      </c>
      <c r="H1107">
        <v>52</v>
      </c>
      <c r="I1107" t="s">
        <v>11</v>
      </c>
    </row>
    <row r="1108" spans="1:9" x14ac:dyDescent="0.35">
      <c r="A1108">
        <v>443</v>
      </c>
      <c r="B1108">
        <v>4</v>
      </c>
      <c r="C1108" t="s">
        <v>47</v>
      </c>
      <c r="D1108" t="s">
        <v>48</v>
      </c>
      <c r="E1108">
        <v>15</v>
      </c>
      <c r="F1108">
        <v>26</v>
      </c>
      <c r="G1108">
        <v>3</v>
      </c>
      <c r="H1108">
        <v>55</v>
      </c>
      <c r="I1108" t="s">
        <v>11</v>
      </c>
    </row>
    <row r="1109" spans="1:9" x14ac:dyDescent="0.35">
      <c r="A1109">
        <v>443</v>
      </c>
      <c r="B1109">
        <v>4</v>
      </c>
      <c r="C1109" t="s">
        <v>27</v>
      </c>
      <c r="D1109" t="s">
        <v>28</v>
      </c>
      <c r="E1109">
        <v>16</v>
      </c>
      <c r="F1109">
        <v>28</v>
      </c>
      <c r="G1109">
        <v>3</v>
      </c>
      <c r="H1109">
        <v>18</v>
      </c>
      <c r="I1109" t="s">
        <v>11</v>
      </c>
    </row>
    <row r="1110" spans="1:9" x14ac:dyDescent="0.35">
      <c r="A1110">
        <v>444</v>
      </c>
      <c r="B1110">
        <v>8</v>
      </c>
      <c r="C1110" t="s">
        <v>41</v>
      </c>
      <c r="D1110" t="s">
        <v>42</v>
      </c>
      <c r="E1110">
        <v>14</v>
      </c>
      <c r="F1110">
        <v>23</v>
      </c>
      <c r="G1110">
        <v>1</v>
      </c>
      <c r="H1110">
        <v>32</v>
      </c>
      <c r="I1110" t="s">
        <v>14</v>
      </c>
    </row>
    <row r="1111" spans="1:9" x14ac:dyDescent="0.35">
      <c r="A1111">
        <v>444</v>
      </c>
      <c r="B1111">
        <v>8</v>
      </c>
      <c r="C1111" t="s">
        <v>9</v>
      </c>
      <c r="D1111" t="s">
        <v>10</v>
      </c>
      <c r="E1111">
        <v>14</v>
      </c>
      <c r="F1111">
        <v>24</v>
      </c>
      <c r="G1111">
        <v>3</v>
      </c>
      <c r="H1111">
        <v>49</v>
      </c>
      <c r="I1111" t="s">
        <v>14</v>
      </c>
    </row>
    <row r="1112" spans="1:9" x14ac:dyDescent="0.35">
      <c r="A1112">
        <v>445</v>
      </c>
      <c r="B1112">
        <v>6</v>
      </c>
      <c r="C1112" t="s">
        <v>17</v>
      </c>
      <c r="D1112" t="s">
        <v>18</v>
      </c>
      <c r="E1112">
        <v>16</v>
      </c>
      <c r="F1112">
        <v>27</v>
      </c>
      <c r="G1112">
        <v>3</v>
      </c>
      <c r="H1112">
        <v>26</v>
      </c>
      <c r="I1112" t="s">
        <v>11</v>
      </c>
    </row>
    <row r="1113" spans="1:9" x14ac:dyDescent="0.35">
      <c r="A1113">
        <v>446</v>
      </c>
      <c r="B1113">
        <v>12</v>
      </c>
      <c r="C1113" t="s">
        <v>43</v>
      </c>
      <c r="D1113" t="s">
        <v>44</v>
      </c>
      <c r="E1113">
        <v>13</v>
      </c>
      <c r="F1113">
        <v>21</v>
      </c>
      <c r="G1113">
        <v>1</v>
      </c>
      <c r="H1113">
        <v>8</v>
      </c>
      <c r="I1113" t="s">
        <v>14</v>
      </c>
    </row>
    <row r="1114" spans="1:9" x14ac:dyDescent="0.35">
      <c r="A1114">
        <v>447</v>
      </c>
      <c r="B1114">
        <v>8</v>
      </c>
      <c r="C1114" t="s">
        <v>39</v>
      </c>
      <c r="D1114" t="s">
        <v>40</v>
      </c>
      <c r="E1114">
        <v>12</v>
      </c>
      <c r="F1114">
        <v>20</v>
      </c>
      <c r="G1114">
        <v>2</v>
      </c>
      <c r="H1114">
        <v>29</v>
      </c>
      <c r="I1114" t="s">
        <v>14</v>
      </c>
    </row>
    <row r="1115" spans="1:9" x14ac:dyDescent="0.35">
      <c r="A1115">
        <v>447</v>
      </c>
      <c r="B1115">
        <v>8</v>
      </c>
      <c r="C1115" t="s">
        <v>29</v>
      </c>
      <c r="D1115" t="s">
        <v>30</v>
      </c>
      <c r="E1115">
        <v>11</v>
      </c>
      <c r="F1115">
        <v>19</v>
      </c>
      <c r="G1115">
        <v>3</v>
      </c>
      <c r="H1115">
        <v>50</v>
      </c>
      <c r="I1115" t="s">
        <v>14</v>
      </c>
    </row>
    <row r="1116" spans="1:9" x14ac:dyDescent="0.35">
      <c r="A1116">
        <v>447</v>
      </c>
      <c r="B1116">
        <v>8</v>
      </c>
      <c r="C1116" t="s">
        <v>27</v>
      </c>
      <c r="D1116" t="s">
        <v>28</v>
      </c>
      <c r="E1116">
        <v>16</v>
      </c>
      <c r="F1116">
        <v>28</v>
      </c>
      <c r="G1116">
        <v>3</v>
      </c>
      <c r="H1116">
        <v>7</v>
      </c>
      <c r="I1116" t="s">
        <v>11</v>
      </c>
    </row>
    <row r="1117" spans="1:9" x14ac:dyDescent="0.35">
      <c r="A1117">
        <v>448</v>
      </c>
      <c r="B1117">
        <v>4</v>
      </c>
      <c r="C1117" t="s">
        <v>29</v>
      </c>
      <c r="D1117" t="s">
        <v>30</v>
      </c>
      <c r="E1117">
        <v>11</v>
      </c>
      <c r="F1117">
        <v>19</v>
      </c>
      <c r="G1117">
        <v>2</v>
      </c>
      <c r="H1117">
        <v>26</v>
      </c>
      <c r="I1117" t="s">
        <v>14</v>
      </c>
    </row>
    <row r="1118" spans="1:9" x14ac:dyDescent="0.35">
      <c r="A1118">
        <v>448</v>
      </c>
      <c r="B1118">
        <v>4</v>
      </c>
      <c r="C1118" t="s">
        <v>25</v>
      </c>
      <c r="D1118" t="s">
        <v>26</v>
      </c>
      <c r="E1118">
        <v>20</v>
      </c>
      <c r="F1118">
        <v>33</v>
      </c>
      <c r="G1118">
        <v>3</v>
      </c>
      <c r="H1118">
        <v>40</v>
      </c>
      <c r="I1118" t="s">
        <v>14</v>
      </c>
    </row>
    <row r="1119" spans="1:9" x14ac:dyDescent="0.35">
      <c r="A1119">
        <v>449</v>
      </c>
      <c r="B1119">
        <v>3</v>
      </c>
      <c r="C1119" t="s">
        <v>33</v>
      </c>
      <c r="D1119" t="s">
        <v>34</v>
      </c>
      <c r="E1119">
        <v>19</v>
      </c>
      <c r="F1119">
        <v>32</v>
      </c>
      <c r="G1119">
        <v>2</v>
      </c>
      <c r="H1119">
        <v>33</v>
      </c>
      <c r="I1119" t="s">
        <v>14</v>
      </c>
    </row>
    <row r="1120" spans="1:9" x14ac:dyDescent="0.35">
      <c r="A1120">
        <v>450</v>
      </c>
      <c r="B1120">
        <v>9</v>
      </c>
      <c r="C1120" t="s">
        <v>45</v>
      </c>
      <c r="D1120" t="s">
        <v>46</v>
      </c>
      <c r="E1120">
        <v>10</v>
      </c>
      <c r="F1120">
        <v>18</v>
      </c>
      <c r="G1120">
        <v>2</v>
      </c>
      <c r="H1120">
        <v>13</v>
      </c>
      <c r="I1120" t="s">
        <v>14</v>
      </c>
    </row>
    <row r="1121" spans="1:9" x14ac:dyDescent="0.35">
      <c r="A1121">
        <v>450</v>
      </c>
      <c r="B1121">
        <v>9</v>
      </c>
      <c r="C1121" t="s">
        <v>21</v>
      </c>
      <c r="D1121" t="s">
        <v>22</v>
      </c>
      <c r="E1121">
        <v>22</v>
      </c>
      <c r="F1121">
        <v>36</v>
      </c>
      <c r="G1121">
        <v>1</v>
      </c>
      <c r="H1121">
        <v>21</v>
      </c>
      <c r="I1121" t="s">
        <v>11</v>
      </c>
    </row>
    <row r="1122" spans="1:9" x14ac:dyDescent="0.35">
      <c r="A1122">
        <v>451</v>
      </c>
      <c r="B1122">
        <v>3</v>
      </c>
      <c r="C1122" t="s">
        <v>31</v>
      </c>
      <c r="D1122" t="s">
        <v>32</v>
      </c>
      <c r="E1122">
        <v>21</v>
      </c>
      <c r="F1122">
        <v>35</v>
      </c>
      <c r="G1122">
        <v>1</v>
      </c>
      <c r="H1122">
        <v>23</v>
      </c>
      <c r="I1122" t="s">
        <v>14</v>
      </c>
    </row>
    <row r="1123" spans="1:9" x14ac:dyDescent="0.35">
      <c r="A1123">
        <v>451</v>
      </c>
      <c r="B1123">
        <v>3</v>
      </c>
      <c r="C1123" t="s">
        <v>41</v>
      </c>
      <c r="D1123" t="s">
        <v>42</v>
      </c>
      <c r="E1123">
        <v>14</v>
      </c>
      <c r="F1123">
        <v>23</v>
      </c>
      <c r="G1123">
        <v>1</v>
      </c>
      <c r="H1123">
        <v>41</v>
      </c>
      <c r="I1123" t="s">
        <v>14</v>
      </c>
    </row>
    <row r="1124" spans="1:9" x14ac:dyDescent="0.35">
      <c r="A1124">
        <v>451</v>
      </c>
      <c r="B1124">
        <v>3</v>
      </c>
      <c r="C1124" t="s">
        <v>37</v>
      </c>
      <c r="D1124" t="s">
        <v>38</v>
      </c>
      <c r="E1124">
        <v>20</v>
      </c>
      <c r="F1124">
        <v>34</v>
      </c>
      <c r="G1124">
        <v>1</v>
      </c>
      <c r="H1124">
        <v>39</v>
      </c>
      <c r="I1124" t="s">
        <v>11</v>
      </c>
    </row>
    <row r="1125" spans="1:9" x14ac:dyDescent="0.35">
      <c r="A1125">
        <v>452</v>
      </c>
      <c r="B1125">
        <v>9</v>
      </c>
      <c r="C1125" t="s">
        <v>15</v>
      </c>
      <c r="D1125" t="s">
        <v>16</v>
      </c>
      <c r="E1125">
        <v>19</v>
      </c>
      <c r="F1125">
        <v>31</v>
      </c>
      <c r="G1125">
        <v>3</v>
      </c>
      <c r="H1125">
        <v>53</v>
      </c>
      <c r="I1125" t="s">
        <v>11</v>
      </c>
    </row>
    <row r="1126" spans="1:9" x14ac:dyDescent="0.35">
      <c r="A1126">
        <v>452</v>
      </c>
      <c r="B1126">
        <v>9</v>
      </c>
      <c r="C1126" t="s">
        <v>35</v>
      </c>
      <c r="D1126" t="s">
        <v>36</v>
      </c>
      <c r="E1126">
        <v>13</v>
      </c>
      <c r="F1126">
        <v>22</v>
      </c>
      <c r="G1126">
        <v>2</v>
      </c>
      <c r="H1126">
        <v>28</v>
      </c>
      <c r="I1126" t="s">
        <v>11</v>
      </c>
    </row>
    <row r="1127" spans="1:9" x14ac:dyDescent="0.35">
      <c r="A1127">
        <v>452</v>
      </c>
      <c r="B1127">
        <v>9</v>
      </c>
      <c r="C1127" t="s">
        <v>43</v>
      </c>
      <c r="D1127" t="s">
        <v>44</v>
      </c>
      <c r="E1127">
        <v>13</v>
      </c>
      <c r="F1127">
        <v>21</v>
      </c>
      <c r="G1127">
        <v>1</v>
      </c>
      <c r="H1127">
        <v>42</v>
      </c>
      <c r="I1127" t="s">
        <v>14</v>
      </c>
    </row>
    <row r="1128" spans="1:9" x14ac:dyDescent="0.35">
      <c r="A1128">
        <v>453</v>
      </c>
      <c r="B1128">
        <v>6</v>
      </c>
      <c r="C1128" t="s">
        <v>37</v>
      </c>
      <c r="D1128" t="s">
        <v>38</v>
      </c>
      <c r="E1128">
        <v>20</v>
      </c>
      <c r="F1128">
        <v>34</v>
      </c>
      <c r="G1128">
        <v>1</v>
      </c>
      <c r="H1128">
        <v>42</v>
      </c>
      <c r="I1128" t="s">
        <v>11</v>
      </c>
    </row>
    <row r="1129" spans="1:9" x14ac:dyDescent="0.35">
      <c r="A1129">
        <v>453</v>
      </c>
      <c r="B1129">
        <v>6</v>
      </c>
      <c r="C1129" t="s">
        <v>33</v>
      </c>
      <c r="D1129" t="s">
        <v>34</v>
      </c>
      <c r="E1129">
        <v>19</v>
      </c>
      <c r="F1129">
        <v>32</v>
      </c>
      <c r="G1129">
        <v>3</v>
      </c>
      <c r="H1129">
        <v>58</v>
      </c>
      <c r="I1129" t="s">
        <v>11</v>
      </c>
    </row>
    <row r="1130" spans="1:9" x14ac:dyDescent="0.35">
      <c r="A1130">
        <v>454</v>
      </c>
      <c r="B1130">
        <v>1</v>
      </c>
      <c r="C1130" t="s">
        <v>17</v>
      </c>
      <c r="D1130" t="s">
        <v>18</v>
      </c>
      <c r="E1130">
        <v>16</v>
      </c>
      <c r="F1130">
        <v>27</v>
      </c>
      <c r="G1130">
        <v>2</v>
      </c>
      <c r="H1130">
        <v>49</v>
      </c>
      <c r="I1130" t="s">
        <v>11</v>
      </c>
    </row>
    <row r="1131" spans="1:9" x14ac:dyDescent="0.35">
      <c r="A1131">
        <v>454</v>
      </c>
      <c r="B1131">
        <v>1</v>
      </c>
      <c r="C1131" t="s">
        <v>29</v>
      </c>
      <c r="D1131" t="s">
        <v>30</v>
      </c>
      <c r="E1131">
        <v>11</v>
      </c>
      <c r="F1131">
        <v>19</v>
      </c>
      <c r="G1131">
        <v>3</v>
      </c>
      <c r="H1131">
        <v>18</v>
      </c>
      <c r="I1131" t="s">
        <v>14</v>
      </c>
    </row>
    <row r="1132" spans="1:9" x14ac:dyDescent="0.35">
      <c r="A1132">
        <v>454</v>
      </c>
      <c r="B1132">
        <v>1</v>
      </c>
      <c r="C1132" t="s">
        <v>21</v>
      </c>
      <c r="D1132" t="s">
        <v>22</v>
      </c>
      <c r="E1132">
        <v>22</v>
      </c>
      <c r="F1132">
        <v>36</v>
      </c>
      <c r="G1132">
        <v>2</v>
      </c>
      <c r="H1132">
        <v>42</v>
      </c>
      <c r="I1132" t="s">
        <v>14</v>
      </c>
    </row>
    <row r="1133" spans="1:9" x14ac:dyDescent="0.35">
      <c r="A1133">
        <v>454</v>
      </c>
      <c r="B1133">
        <v>1</v>
      </c>
      <c r="C1133" t="s">
        <v>49</v>
      </c>
      <c r="D1133" t="s">
        <v>50</v>
      </c>
      <c r="E1133">
        <v>15</v>
      </c>
      <c r="F1133">
        <v>25</v>
      </c>
      <c r="G1133">
        <v>2</v>
      </c>
      <c r="H1133">
        <v>44</v>
      </c>
      <c r="I1133" t="s">
        <v>11</v>
      </c>
    </row>
    <row r="1134" spans="1:9" x14ac:dyDescent="0.35">
      <c r="A1134">
        <v>455</v>
      </c>
      <c r="B1134">
        <v>12</v>
      </c>
      <c r="C1134" t="s">
        <v>9</v>
      </c>
      <c r="D1134" t="s">
        <v>10</v>
      </c>
      <c r="E1134">
        <v>14</v>
      </c>
      <c r="F1134">
        <v>24</v>
      </c>
      <c r="G1134">
        <v>2</v>
      </c>
      <c r="H1134">
        <v>11</v>
      </c>
      <c r="I1134" t="s">
        <v>11</v>
      </c>
    </row>
    <row r="1135" spans="1:9" x14ac:dyDescent="0.35">
      <c r="A1135">
        <v>456</v>
      </c>
      <c r="B1135">
        <v>13</v>
      </c>
      <c r="C1135" t="s">
        <v>19</v>
      </c>
      <c r="D1135" t="s">
        <v>20</v>
      </c>
      <c r="E1135">
        <v>25</v>
      </c>
      <c r="F1135">
        <v>40</v>
      </c>
      <c r="G1135">
        <v>2</v>
      </c>
      <c r="H1135">
        <v>47</v>
      </c>
      <c r="I1135" t="s">
        <v>14</v>
      </c>
    </row>
    <row r="1136" spans="1:9" x14ac:dyDescent="0.35">
      <c r="A1136">
        <v>456</v>
      </c>
      <c r="B1136">
        <v>13</v>
      </c>
      <c r="C1136" t="s">
        <v>37</v>
      </c>
      <c r="D1136" t="s">
        <v>38</v>
      </c>
      <c r="E1136">
        <v>20</v>
      </c>
      <c r="F1136">
        <v>34</v>
      </c>
      <c r="G1136">
        <v>2</v>
      </c>
      <c r="H1136">
        <v>24</v>
      </c>
      <c r="I1136" t="s">
        <v>11</v>
      </c>
    </row>
    <row r="1137" spans="1:9" x14ac:dyDescent="0.35">
      <c r="A1137">
        <v>457</v>
      </c>
      <c r="B1137">
        <v>18</v>
      </c>
      <c r="C1137" t="s">
        <v>25</v>
      </c>
      <c r="D1137" t="s">
        <v>26</v>
      </c>
      <c r="E1137">
        <v>20</v>
      </c>
      <c r="F1137">
        <v>33</v>
      </c>
      <c r="G1137">
        <v>3</v>
      </c>
      <c r="H1137">
        <v>43</v>
      </c>
      <c r="I1137" t="s">
        <v>14</v>
      </c>
    </row>
    <row r="1138" spans="1:9" x14ac:dyDescent="0.35">
      <c r="A1138">
        <v>457</v>
      </c>
      <c r="B1138">
        <v>18</v>
      </c>
      <c r="C1138" t="s">
        <v>29</v>
      </c>
      <c r="D1138" t="s">
        <v>30</v>
      </c>
      <c r="E1138">
        <v>11</v>
      </c>
      <c r="F1138">
        <v>19</v>
      </c>
      <c r="G1138">
        <v>2</v>
      </c>
      <c r="H1138">
        <v>15</v>
      </c>
      <c r="I1138" t="s">
        <v>14</v>
      </c>
    </row>
    <row r="1139" spans="1:9" x14ac:dyDescent="0.35">
      <c r="A1139">
        <v>458</v>
      </c>
      <c r="B1139">
        <v>4</v>
      </c>
      <c r="C1139" t="s">
        <v>27</v>
      </c>
      <c r="D1139" t="s">
        <v>28</v>
      </c>
      <c r="E1139">
        <v>16</v>
      </c>
      <c r="F1139">
        <v>28</v>
      </c>
      <c r="G1139">
        <v>2</v>
      </c>
      <c r="H1139">
        <v>11</v>
      </c>
      <c r="I1139" t="s">
        <v>14</v>
      </c>
    </row>
    <row r="1140" spans="1:9" x14ac:dyDescent="0.35">
      <c r="A1140">
        <v>458</v>
      </c>
      <c r="B1140">
        <v>4</v>
      </c>
      <c r="C1140" t="s">
        <v>37</v>
      </c>
      <c r="D1140" t="s">
        <v>38</v>
      </c>
      <c r="E1140">
        <v>20</v>
      </c>
      <c r="F1140">
        <v>34</v>
      </c>
      <c r="G1140">
        <v>3</v>
      </c>
      <c r="H1140">
        <v>28</v>
      </c>
      <c r="I1140" t="s">
        <v>11</v>
      </c>
    </row>
    <row r="1141" spans="1:9" x14ac:dyDescent="0.35">
      <c r="A1141">
        <v>458</v>
      </c>
      <c r="B1141">
        <v>4</v>
      </c>
      <c r="C1141" t="s">
        <v>25</v>
      </c>
      <c r="D1141" t="s">
        <v>26</v>
      </c>
      <c r="E1141">
        <v>20</v>
      </c>
      <c r="F1141">
        <v>33</v>
      </c>
      <c r="G1141">
        <v>2</v>
      </c>
      <c r="H1141">
        <v>6</v>
      </c>
      <c r="I1141" t="s">
        <v>11</v>
      </c>
    </row>
    <row r="1142" spans="1:9" x14ac:dyDescent="0.35">
      <c r="A1142">
        <v>458</v>
      </c>
      <c r="B1142">
        <v>4</v>
      </c>
      <c r="C1142" t="s">
        <v>35</v>
      </c>
      <c r="D1142" t="s">
        <v>36</v>
      </c>
      <c r="E1142">
        <v>13</v>
      </c>
      <c r="F1142">
        <v>22</v>
      </c>
      <c r="G1142">
        <v>2</v>
      </c>
      <c r="H1142">
        <v>44</v>
      </c>
      <c r="I1142" t="s">
        <v>11</v>
      </c>
    </row>
    <row r="1143" spans="1:9" x14ac:dyDescent="0.35">
      <c r="A1143">
        <v>459</v>
      </c>
      <c r="B1143">
        <v>20</v>
      </c>
      <c r="C1143" t="s">
        <v>27</v>
      </c>
      <c r="D1143" t="s">
        <v>28</v>
      </c>
      <c r="E1143">
        <v>16</v>
      </c>
      <c r="F1143">
        <v>28</v>
      </c>
      <c r="G1143">
        <v>3</v>
      </c>
      <c r="H1143">
        <v>30</v>
      </c>
      <c r="I1143" t="s">
        <v>11</v>
      </c>
    </row>
    <row r="1144" spans="1:9" x14ac:dyDescent="0.35">
      <c r="A1144">
        <v>460</v>
      </c>
      <c r="B1144">
        <v>19</v>
      </c>
      <c r="C1144" t="s">
        <v>27</v>
      </c>
      <c r="D1144" t="s">
        <v>28</v>
      </c>
      <c r="E1144">
        <v>16</v>
      </c>
      <c r="F1144">
        <v>28</v>
      </c>
      <c r="G1144">
        <v>1</v>
      </c>
      <c r="H1144">
        <v>40</v>
      </c>
      <c r="I1144" t="s">
        <v>14</v>
      </c>
    </row>
    <row r="1145" spans="1:9" x14ac:dyDescent="0.35">
      <c r="A1145">
        <v>460</v>
      </c>
      <c r="B1145">
        <v>19</v>
      </c>
      <c r="C1145" t="s">
        <v>47</v>
      </c>
      <c r="D1145" t="s">
        <v>48</v>
      </c>
      <c r="E1145">
        <v>15</v>
      </c>
      <c r="F1145">
        <v>26</v>
      </c>
      <c r="G1145">
        <v>1</v>
      </c>
      <c r="H1145">
        <v>8</v>
      </c>
      <c r="I1145" t="s">
        <v>14</v>
      </c>
    </row>
    <row r="1146" spans="1:9" x14ac:dyDescent="0.35">
      <c r="A1146">
        <v>460</v>
      </c>
      <c r="B1146">
        <v>19</v>
      </c>
      <c r="C1146" t="s">
        <v>49</v>
      </c>
      <c r="D1146" t="s">
        <v>50</v>
      </c>
      <c r="E1146">
        <v>15</v>
      </c>
      <c r="F1146">
        <v>25</v>
      </c>
      <c r="G1146">
        <v>2</v>
      </c>
      <c r="H1146">
        <v>43</v>
      </c>
      <c r="I1146" t="s">
        <v>11</v>
      </c>
    </row>
    <row r="1147" spans="1:9" x14ac:dyDescent="0.35">
      <c r="A1147">
        <v>460</v>
      </c>
      <c r="B1147">
        <v>19</v>
      </c>
      <c r="C1147" t="s">
        <v>9</v>
      </c>
      <c r="D1147" t="s">
        <v>10</v>
      </c>
      <c r="E1147">
        <v>14</v>
      </c>
      <c r="F1147">
        <v>24</v>
      </c>
      <c r="G1147">
        <v>3</v>
      </c>
      <c r="H1147">
        <v>33</v>
      </c>
      <c r="I1147" t="s">
        <v>11</v>
      </c>
    </row>
    <row r="1148" spans="1:9" x14ac:dyDescent="0.35">
      <c r="A1148">
        <v>461</v>
      </c>
      <c r="B1148">
        <v>4</v>
      </c>
      <c r="C1148" t="s">
        <v>31</v>
      </c>
      <c r="D1148" t="s">
        <v>32</v>
      </c>
      <c r="E1148">
        <v>21</v>
      </c>
      <c r="F1148">
        <v>35</v>
      </c>
      <c r="G1148">
        <v>2</v>
      </c>
      <c r="H1148">
        <v>38</v>
      </c>
      <c r="I1148" t="s">
        <v>14</v>
      </c>
    </row>
    <row r="1149" spans="1:9" x14ac:dyDescent="0.35">
      <c r="A1149">
        <v>461</v>
      </c>
      <c r="B1149">
        <v>4</v>
      </c>
      <c r="C1149" t="s">
        <v>23</v>
      </c>
      <c r="D1149" t="s">
        <v>24</v>
      </c>
      <c r="E1149">
        <v>17</v>
      </c>
      <c r="F1149">
        <v>29</v>
      </c>
      <c r="G1149">
        <v>1</v>
      </c>
      <c r="H1149">
        <v>28</v>
      </c>
      <c r="I1149" t="s">
        <v>11</v>
      </c>
    </row>
    <row r="1150" spans="1:9" x14ac:dyDescent="0.35">
      <c r="A1150">
        <v>462</v>
      </c>
      <c r="B1150">
        <v>9</v>
      </c>
      <c r="C1150" t="s">
        <v>25</v>
      </c>
      <c r="D1150" t="s">
        <v>26</v>
      </c>
      <c r="E1150">
        <v>20</v>
      </c>
      <c r="F1150">
        <v>33</v>
      </c>
      <c r="G1150">
        <v>3</v>
      </c>
      <c r="H1150">
        <v>11</v>
      </c>
      <c r="I1150" t="s">
        <v>11</v>
      </c>
    </row>
    <row r="1151" spans="1:9" x14ac:dyDescent="0.35">
      <c r="A1151">
        <v>463</v>
      </c>
      <c r="B1151">
        <v>7</v>
      </c>
      <c r="C1151" t="s">
        <v>15</v>
      </c>
      <c r="D1151" t="s">
        <v>16</v>
      </c>
      <c r="E1151">
        <v>19</v>
      </c>
      <c r="F1151">
        <v>31</v>
      </c>
      <c r="G1151">
        <v>3</v>
      </c>
      <c r="H1151">
        <v>14</v>
      </c>
      <c r="I1151" t="s">
        <v>14</v>
      </c>
    </row>
    <row r="1152" spans="1:9" x14ac:dyDescent="0.35">
      <c r="A1152">
        <v>464</v>
      </c>
      <c r="B1152">
        <v>16</v>
      </c>
      <c r="C1152" t="s">
        <v>47</v>
      </c>
      <c r="D1152" t="s">
        <v>48</v>
      </c>
      <c r="E1152">
        <v>15</v>
      </c>
      <c r="F1152">
        <v>26</v>
      </c>
      <c r="G1152">
        <v>3</v>
      </c>
      <c r="H1152">
        <v>50</v>
      </c>
      <c r="I1152" t="s">
        <v>14</v>
      </c>
    </row>
    <row r="1153" spans="1:9" x14ac:dyDescent="0.35">
      <c r="A1153">
        <v>464</v>
      </c>
      <c r="B1153">
        <v>16</v>
      </c>
      <c r="C1153" t="s">
        <v>17</v>
      </c>
      <c r="D1153" t="s">
        <v>18</v>
      </c>
      <c r="E1153">
        <v>16</v>
      </c>
      <c r="F1153">
        <v>27</v>
      </c>
      <c r="G1153">
        <v>2</v>
      </c>
      <c r="H1153">
        <v>24</v>
      </c>
      <c r="I1153" t="s">
        <v>11</v>
      </c>
    </row>
    <row r="1154" spans="1:9" x14ac:dyDescent="0.35">
      <c r="A1154">
        <v>464</v>
      </c>
      <c r="B1154">
        <v>16</v>
      </c>
      <c r="C1154" t="s">
        <v>35</v>
      </c>
      <c r="D1154" t="s">
        <v>36</v>
      </c>
      <c r="E1154">
        <v>13</v>
      </c>
      <c r="F1154">
        <v>22</v>
      </c>
      <c r="G1154">
        <v>1</v>
      </c>
      <c r="H1154">
        <v>10</v>
      </c>
      <c r="I1154" t="s">
        <v>11</v>
      </c>
    </row>
    <row r="1155" spans="1:9" x14ac:dyDescent="0.35">
      <c r="A1155">
        <v>465</v>
      </c>
      <c r="B1155">
        <v>4</v>
      </c>
      <c r="C1155" t="s">
        <v>49</v>
      </c>
      <c r="D1155" t="s">
        <v>50</v>
      </c>
      <c r="E1155">
        <v>15</v>
      </c>
      <c r="F1155">
        <v>25</v>
      </c>
      <c r="G1155">
        <v>3</v>
      </c>
      <c r="H1155">
        <v>37</v>
      </c>
      <c r="I1155" t="s">
        <v>11</v>
      </c>
    </row>
    <row r="1156" spans="1:9" x14ac:dyDescent="0.35">
      <c r="A1156">
        <v>465</v>
      </c>
      <c r="B1156">
        <v>4</v>
      </c>
      <c r="C1156" t="s">
        <v>41</v>
      </c>
      <c r="D1156" t="s">
        <v>42</v>
      </c>
      <c r="E1156">
        <v>14</v>
      </c>
      <c r="F1156">
        <v>23</v>
      </c>
      <c r="G1156">
        <v>2</v>
      </c>
      <c r="H1156">
        <v>23</v>
      </c>
      <c r="I1156" t="s">
        <v>14</v>
      </c>
    </row>
    <row r="1157" spans="1:9" x14ac:dyDescent="0.35">
      <c r="A1157">
        <v>466</v>
      </c>
      <c r="B1157">
        <v>4</v>
      </c>
      <c r="C1157" t="s">
        <v>35</v>
      </c>
      <c r="D1157" t="s">
        <v>36</v>
      </c>
      <c r="E1157">
        <v>13</v>
      </c>
      <c r="F1157">
        <v>22</v>
      </c>
      <c r="G1157">
        <v>1</v>
      </c>
      <c r="H1157">
        <v>50</v>
      </c>
      <c r="I1157" t="s">
        <v>14</v>
      </c>
    </row>
    <row r="1158" spans="1:9" x14ac:dyDescent="0.35">
      <c r="A1158">
        <v>466</v>
      </c>
      <c r="B1158">
        <v>4</v>
      </c>
      <c r="C1158" t="s">
        <v>12</v>
      </c>
      <c r="D1158" t="s">
        <v>13</v>
      </c>
      <c r="E1158">
        <v>18</v>
      </c>
      <c r="F1158">
        <v>30</v>
      </c>
      <c r="G1158">
        <v>3</v>
      </c>
      <c r="H1158">
        <v>52</v>
      </c>
      <c r="I1158" t="s">
        <v>11</v>
      </c>
    </row>
    <row r="1159" spans="1:9" x14ac:dyDescent="0.35">
      <c r="A1159">
        <v>466</v>
      </c>
      <c r="B1159">
        <v>4</v>
      </c>
      <c r="C1159" t="s">
        <v>27</v>
      </c>
      <c r="D1159" t="s">
        <v>28</v>
      </c>
      <c r="E1159">
        <v>16</v>
      </c>
      <c r="F1159">
        <v>28</v>
      </c>
      <c r="G1159">
        <v>1</v>
      </c>
      <c r="H1159">
        <v>43</v>
      </c>
      <c r="I1159" t="s">
        <v>11</v>
      </c>
    </row>
    <row r="1160" spans="1:9" x14ac:dyDescent="0.35">
      <c r="A1160">
        <v>467</v>
      </c>
      <c r="B1160">
        <v>15</v>
      </c>
      <c r="C1160" t="s">
        <v>25</v>
      </c>
      <c r="D1160" t="s">
        <v>26</v>
      </c>
      <c r="E1160">
        <v>20</v>
      </c>
      <c r="F1160">
        <v>33</v>
      </c>
      <c r="G1160">
        <v>3</v>
      </c>
      <c r="H1160">
        <v>13</v>
      </c>
      <c r="I1160" t="s">
        <v>11</v>
      </c>
    </row>
    <row r="1161" spans="1:9" x14ac:dyDescent="0.35">
      <c r="A1161">
        <v>467</v>
      </c>
      <c r="B1161">
        <v>15</v>
      </c>
      <c r="C1161" t="s">
        <v>35</v>
      </c>
      <c r="D1161" t="s">
        <v>36</v>
      </c>
      <c r="E1161">
        <v>13</v>
      </c>
      <c r="F1161">
        <v>22</v>
      </c>
      <c r="G1161">
        <v>2</v>
      </c>
      <c r="H1161">
        <v>59</v>
      </c>
      <c r="I1161" t="s">
        <v>11</v>
      </c>
    </row>
    <row r="1162" spans="1:9" x14ac:dyDescent="0.35">
      <c r="A1162">
        <v>468</v>
      </c>
      <c r="B1162">
        <v>14</v>
      </c>
      <c r="C1162" t="s">
        <v>29</v>
      </c>
      <c r="D1162" t="s">
        <v>30</v>
      </c>
      <c r="E1162">
        <v>11</v>
      </c>
      <c r="F1162">
        <v>19</v>
      </c>
      <c r="G1162">
        <v>2</v>
      </c>
      <c r="H1162">
        <v>38</v>
      </c>
      <c r="I1162" t="s">
        <v>14</v>
      </c>
    </row>
    <row r="1163" spans="1:9" x14ac:dyDescent="0.35">
      <c r="A1163">
        <v>468</v>
      </c>
      <c r="B1163">
        <v>14</v>
      </c>
      <c r="C1163" t="s">
        <v>39</v>
      </c>
      <c r="D1163" t="s">
        <v>40</v>
      </c>
      <c r="E1163">
        <v>12</v>
      </c>
      <c r="F1163">
        <v>20</v>
      </c>
      <c r="G1163">
        <v>2</v>
      </c>
      <c r="H1163">
        <v>16</v>
      </c>
      <c r="I1163" t="s">
        <v>14</v>
      </c>
    </row>
    <row r="1164" spans="1:9" x14ac:dyDescent="0.35">
      <c r="A1164">
        <v>468</v>
      </c>
      <c r="B1164">
        <v>14</v>
      </c>
      <c r="C1164" t="s">
        <v>27</v>
      </c>
      <c r="D1164" t="s">
        <v>28</v>
      </c>
      <c r="E1164">
        <v>16</v>
      </c>
      <c r="F1164">
        <v>28</v>
      </c>
      <c r="G1164">
        <v>1</v>
      </c>
      <c r="H1164">
        <v>9</v>
      </c>
      <c r="I1164" t="s">
        <v>14</v>
      </c>
    </row>
    <row r="1165" spans="1:9" x14ac:dyDescent="0.35">
      <c r="A1165">
        <v>469</v>
      </c>
      <c r="B1165">
        <v>1</v>
      </c>
      <c r="C1165" t="s">
        <v>31</v>
      </c>
      <c r="D1165" t="s">
        <v>32</v>
      </c>
      <c r="E1165">
        <v>21</v>
      </c>
      <c r="F1165">
        <v>35</v>
      </c>
      <c r="G1165">
        <v>3</v>
      </c>
      <c r="H1165">
        <v>22</v>
      </c>
      <c r="I1165" t="s">
        <v>14</v>
      </c>
    </row>
    <row r="1166" spans="1:9" x14ac:dyDescent="0.35">
      <c r="A1166">
        <v>469</v>
      </c>
      <c r="B1166">
        <v>1</v>
      </c>
      <c r="C1166" t="s">
        <v>33</v>
      </c>
      <c r="D1166" t="s">
        <v>34</v>
      </c>
      <c r="E1166">
        <v>19</v>
      </c>
      <c r="F1166">
        <v>32</v>
      </c>
      <c r="G1166">
        <v>1</v>
      </c>
      <c r="H1166">
        <v>44</v>
      </c>
      <c r="I1166" t="s">
        <v>11</v>
      </c>
    </row>
    <row r="1167" spans="1:9" x14ac:dyDescent="0.35">
      <c r="A1167">
        <v>470</v>
      </c>
      <c r="B1167">
        <v>17</v>
      </c>
      <c r="C1167" t="s">
        <v>9</v>
      </c>
      <c r="D1167" t="s">
        <v>10</v>
      </c>
      <c r="E1167">
        <v>14</v>
      </c>
      <c r="F1167">
        <v>24</v>
      </c>
      <c r="G1167">
        <v>1</v>
      </c>
      <c r="H1167">
        <v>44</v>
      </c>
      <c r="I1167" t="s">
        <v>11</v>
      </c>
    </row>
    <row r="1168" spans="1:9" x14ac:dyDescent="0.35">
      <c r="A1168">
        <v>470</v>
      </c>
      <c r="B1168">
        <v>17</v>
      </c>
      <c r="C1168" t="s">
        <v>45</v>
      </c>
      <c r="D1168" t="s">
        <v>46</v>
      </c>
      <c r="E1168">
        <v>10</v>
      </c>
      <c r="F1168">
        <v>18</v>
      </c>
      <c r="G1168">
        <v>3</v>
      </c>
      <c r="H1168">
        <v>28</v>
      </c>
      <c r="I1168" t="s">
        <v>11</v>
      </c>
    </row>
    <row r="1169" spans="1:9" x14ac:dyDescent="0.35">
      <c r="A1169">
        <v>471</v>
      </c>
      <c r="B1169">
        <v>7</v>
      </c>
      <c r="C1169" t="s">
        <v>31</v>
      </c>
      <c r="D1169" t="s">
        <v>32</v>
      </c>
      <c r="E1169">
        <v>21</v>
      </c>
      <c r="F1169">
        <v>35</v>
      </c>
      <c r="G1169">
        <v>3</v>
      </c>
      <c r="H1169">
        <v>57</v>
      </c>
      <c r="I1169" t="s">
        <v>11</v>
      </c>
    </row>
    <row r="1170" spans="1:9" x14ac:dyDescent="0.35">
      <c r="A1170">
        <v>472</v>
      </c>
      <c r="B1170">
        <v>20</v>
      </c>
      <c r="C1170" t="s">
        <v>31</v>
      </c>
      <c r="D1170" t="s">
        <v>32</v>
      </c>
      <c r="E1170">
        <v>21</v>
      </c>
      <c r="F1170">
        <v>35</v>
      </c>
      <c r="G1170">
        <v>2</v>
      </c>
      <c r="H1170">
        <v>42</v>
      </c>
      <c r="I1170" t="s">
        <v>11</v>
      </c>
    </row>
    <row r="1171" spans="1:9" x14ac:dyDescent="0.35">
      <c r="A1171">
        <v>472</v>
      </c>
      <c r="B1171">
        <v>20</v>
      </c>
      <c r="C1171" t="s">
        <v>35</v>
      </c>
      <c r="D1171" t="s">
        <v>36</v>
      </c>
      <c r="E1171">
        <v>13</v>
      </c>
      <c r="F1171">
        <v>22</v>
      </c>
      <c r="G1171">
        <v>2</v>
      </c>
      <c r="H1171">
        <v>31</v>
      </c>
      <c r="I1171" t="s">
        <v>14</v>
      </c>
    </row>
    <row r="1172" spans="1:9" x14ac:dyDescent="0.35">
      <c r="A1172">
        <v>473</v>
      </c>
      <c r="B1172">
        <v>13</v>
      </c>
      <c r="C1172" t="s">
        <v>35</v>
      </c>
      <c r="D1172" t="s">
        <v>36</v>
      </c>
      <c r="E1172">
        <v>13</v>
      </c>
      <c r="F1172">
        <v>22</v>
      </c>
      <c r="G1172">
        <v>2</v>
      </c>
      <c r="H1172">
        <v>51</v>
      </c>
      <c r="I1172" t="s">
        <v>14</v>
      </c>
    </row>
    <row r="1173" spans="1:9" x14ac:dyDescent="0.35">
      <c r="A1173">
        <v>473</v>
      </c>
      <c r="B1173">
        <v>13</v>
      </c>
      <c r="C1173" t="s">
        <v>31</v>
      </c>
      <c r="D1173" t="s">
        <v>32</v>
      </c>
      <c r="E1173">
        <v>21</v>
      </c>
      <c r="F1173">
        <v>35</v>
      </c>
      <c r="G1173">
        <v>1</v>
      </c>
      <c r="H1173">
        <v>10</v>
      </c>
      <c r="I1173" t="s">
        <v>11</v>
      </c>
    </row>
    <row r="1174" spans="1:9" x14ac:dyDescent="0.35">
      <c r="A1174">
        <v>474</v>
      </c>
      <c r="B1174">
        <v>2</v>
      </c>
      <c r="C1174" t="s">
        <v>37</v>
      </c>
      <c r="D1174" t="s">
        <v>38</v>
      </c>
      <c r="E1174">
        <v>20</v>
      </c>
      <c r="F1174">
        <v>34</v>
      </c>
      <c r="G1174">
        <v>1</v>
      </c>
      <c r="H1174">
        <v>55</v>
      </c>
      <c r="I1174" t="s">
        <v>14</v>
      </c>
    </row>
    <row r="1175" spans="1:9" x14ac:dyDescent="0.35">
      <c r="A1175">
        <v>474</v>
      </c>
      <c r="B1175">
        <v>2</v>
      </c>
      <c r="C1175" t="s">
        <v>23</v>
      </c>
      <c r="D1175" t="s">
        <v>24</v>
      </c>
      <c r="E1175">
        <v>17</v>
      </c>
      <c r="F1175">
        <v>29</v>
      </c>
      <c r="G1175">
        <v>1</v>
      </c>
      <c r="H1175">
        <v>37</v>
      </c>
      <c r="I1175" t="s">
        <v>11</v>
      </c>
    </row>
    <row r="1176" spans="1:9" x14ac:dyDescent="0.35">
      <c r="A1176">
        <v>474</v>
      </c>
      <c r="B1176">
        <v>2</v>
      </c>
      <c r="C1176" t="s">
        <v>15</v>
      </c>
      <c r="D1176" t="s">
        <v>16</v>
      </c>
      <c r="E1176">
        <v>19</v>
      </c>
      <c r="F1176">
        <v>31</v>
      </c>
      <c r="G1176">
        <v>1</v>
      </c>
      <c r="H1176">
        <v>34</v>
      </c>
      <c r="I1176" t="s">
        <v>14</v>
      </c>
    </row>
    <row r="1177" spans="1:9" x14ac:dyDescent="0.35">
      <c r="A1177">
        <v>474</v>
      </c>
      <c r="B1177">
        <v>2</v>
      </c>
      <c r="C1177" t="s">
        <v>27</v>
      </c>
      <c r="D1177" t="s">
        <v>28</v>
      </c>
      <c r="E1177">
        <v>16</v>
      </c>
      <c r="F1177">
        <v>28</v>
      </c>
      <c r="G1177">
        <v>3</v>
      </c>
      <c r="H1177">
        <v>35</v>
      </c>
      <c r="I1177" t="s">
        <v>11</v>
      </c>
    </row>
    <row r="1178" spans="1:9" x14ac:dyDescent="0.35">
      <c r="A1178">
        <v>475</v>
      </c>
      <c r="B1178">
        <v>18</v>
      </c>
      <c r="C1178" t="s">
        <v>9</v>
      </c>
      <c r="D1178" t="s">
        <v>10</v>
      </c>
      <c r="E1178">
        <v>14</v>
      </c>
      <c r="F1178">
        <v>24</v>
      </c>
      <c r="G1178">
        <v>3</v>
      </c>
      <c r="H1178">
        <v>21</v>
      </c>
      <c r="I1178" t="s">
        <v>14</v>
      </c>
    </row>
    <row r="1179" spans="1:9" x14ac:dyDescent="0.35">
      <c r="A1179">
        <v>475</v>
      </c>
      <c r="B1179">
        <v>18</v>
      </c>
      <c r="C1179" t="s">
        <v>37</v>
      </c>
      <c r="D1179" t="s">
        <v>38</v>
      </c>
      <c r="E1179">
        <v>20</v>
      </c>
      <c r="F1179">
        <v>34</v>
      </c>
      <c r="G1179">
        <v>3</v>
      </c>
      <c r="H1179">
        <v>14</v>
      </c>
      <c r="I1179" t="s">
        <v>14</v>
      </c>
    </row>
    <row r="1180" spans="1:9" x14ac:dyDescent="0.35">
      <c r="A1180">
        <v>476</v>
      </c>
      <c r="B1180">
        <v>13</v>
      </c>
      <c r="C1180" t="s">
        <v>9</v>
      </c>
      <c r="D1180" t="s">
        <v>10</v>
      </c>
      <c r="E1180">
        <v>14</v>
      </c>
      <c r="F1180">
        <v>24</v>
      </c>
      <c r="G1180">
        <v>2</v>
      </c>
      <c r="H1180">
        <v>55</v>
      </c>
      <c r="I1180" t="s">
        <v>14</v>
      </c>
    </row>
    <row r="1181" spans="1:9" x14ac:dyDescent="0.35">
      <c r="A1181">
        <v>476</v>
      </c>
      <c r="B1181">
        <v>13</v>
      </c>
      <c r="C1181" t="s">
        <v>37</v>
      </c>
      <c r="D1181" t="s">
        <v>38</v>
      </c>
      <c r="E1181">
        <v>20</v>
      </c>
      <c r="F1181">
        <v>34</v>
      </c>
      <c r="G1181">
        <v>1</v>
      </c>
      <c r="H1181">
        <v>34</v>
      </c>
      <c r="I1181" t="s">
        <v>11</v>
      </c>
    </row>
    <row r="1182" spans="1:9" x14ac:dyDescent="0.35">
      <c r="A1182">
        <v>476</v>
      </c>
      <c r="B1182">
        <v>13</v>
      </c>
      <c r="C1182" t="s">
        <v>33</v>
      </c>
      <c r="D1182" t="s">
        <v>34</v>
      </c>
      <c r="E1182">
        <v>19</v>
      </c>
      <c r="F1182">
        <v>32</v>
      </c>
      <c r="G1182">
        <v>3</v>
      </c>
      <c r="H1182">
        <v>5</v>
      </c>
      <c r="I1182" t="s">
        <v>14</v>
      </c>
    </row>
    <row r="1183" spans="1:9" x14ac:dyDescent="0.35">
      <c r="A1183">
        <v>476</v>
      </c>
      <c r="B1183">
        <v>13</v>
      </c>
      <c r="C1183" t="s">
        <v>19</v>
      </c>
      <c r="D1183" t="s">
        <v>20</v>
      </c>
      <c r="E1183">
        <v>25</v>
      </c>
      <c r="F1183">
        <v>40</v>
      </c>
      <c r="G1183">
        <v>1</v>
      </c>
      <c r="H1183">
        <v>21</v>
      </c>
      <c r="I1183" t="s">
        <v>11</v>
      </c>
    </row>
    <row r="1184" spans="1:9" x14ac:dyDescent="0.35">
      <c r="A1184">
        <v>477</v>
      </c>
      <c r="B1184">
        <v>8</v>
      </c>
      <c r="C1184" t="s">
        <v>37</v>
      </c>
      <c r="D1184" t="s">
        <v>38</v>
      </c>
      <c r="E1184">
        <v>20</v>
      </c>
      <c r="F1184">
        <v>34</v>
      </c>
      <c r="G1184">
        <v>2</v>
      </c>
      <c r="H1184">
        <v>34</v>
      </c>
      <c r="I1184" t="s">
        <v>14</v>
      </c>
    </row>
    <row r="1185" spans="1:9" x14ac:dyDescent="0.35">
      <c r="A1185">
        <v>477</v>
      </c>
      <c r="B1185">
        <v>8</v>
      </c>
      <c r="C1185" t="s">
        <v>41</v>
      </c>
      <c r="D1185" t="s">
        <v>42</v>
      </c>
      <c r="E1185">
        <v>14</v>
      </c>
      <c r="F1185">
        <v>23</v>
      </c>
      <c r="G1185">
        <v>2</v>
      </c>
      <c r="H1185">
        <v>13</v>
      </c>
      <c r="I1185" t="s">
        <v>14</v>
      </c>
    </row>
    <row r="1186" spans="1:9" x14ac:dyDescent="0.35">
      <c r="A1186">
        <v>477</v>
      </c>
      <c r="B1186">
        <v>8</v>
      </c>
      <c r="C1186" t="s">
        <v>9</v>
      </c>
      <c r="D1186" t="s">
        <v>10</v>
      </c>
      <c r="E1186">
        <v>14</v>
      </c>
      <c r="F1186">
        <v>24</v>
      </c>
      <c r="G1186">
        <v>2</v>
      </c>
      <c r="H1186">
        <v>47</v>
      </c>
      <c r="I1186" t="s">
        <v>14</v>
      </c>
    </row>
    <row r="1187" spans="1:9" x14ac:dyDescent="0.35">
      <c r="A1187">
        <v>477</v>
      </c>
      <c r="B1187">
        <v>8</v>
      </c>
      <c r="C1187" t="s">
        <v>43</v>
      </c>
      <c r="D1187" t="s">
        <v>44</v>
      </c>
      <c r="E1187">
        <v>13</v>
      </c>
      <c r="F1187">
        <v>21</v>
      </c>
      <c r="G1187">
        <v>2</v>
      </c>
      <c r="H1187">
        <v>21</v>
      </c>
      <c r="I1187" t="s">
        <v>11</v>
      </c>
    </row>
    <row r="1188" spans="1:9" x14ac:dyDescent="0.35">
      <c r="A1188">
        <v>478</v>
      </c>
      <c r="B1188">
        <v>7</v>
      </c>
      <c r="C1188" t="s">
        <v>12</v>
      </c>
      <c r="D1188" t="s">
        <v>13</v>
      </c>
      <c r="E1188">
        <v>18</v>
      </c>
      <c r="F1188">
        <v>30</v>
      </c>
      <c r="G1188">
        <v>2</v>
      </c>
      <c r="H1188">
        <v>54</v>
      </c>
      <c r="I1188" t="s">
        <v>14</v>
      </c>
    </row>
    <row r="1189" spans="1:9" x14ac:dyDescent="0.35">
      <c r="A1189">
        <v>478</v>
      </c>
      <c r="B1189">
        <v>7</v>
      </c>
      <c r="C1189" t="s">
        <v>23</v>
      </c>
      <c r="D1189" t="s">
        <v>24</v>
      </c>
      <c r="E1189">
        <v>17</v>
      </c>
      <c r="F1189">
        <v>29</v>
      </c>
      <c r="G1189">
        <v>2</v>
      </c>
      <c r="H1189">
        <v>36</v>
      </c>
      <c r="I1189" t="s">
        <v>14</v>
      </c>
    </row>
    <row r="1190" spans="1:9" x14ac:dyDescent="0.35">
      <c r="A1190">
        <v>479</v>
      </c>
      <c r="B1190">
        <v>1</v>
      </c>
      <c r="C1190" t="s">
        <v>45</v>
      </c>
      <c r="D1190" t="s">
        <v>46</v>
      </c>
      <c r="E1190">
        <v>10</v>
      </c>
      <c r="F1190">
        <v>18</v>
      </c>
      <c r="G1190">
        <v>1</v>
      </c>
      <c r="H1190">
        <v>45</v>
      </c>
      <c r="I1190" t="s">
        <v>11</v>
      </c>
    </row>
    <row r="1191" spans="1:9" x14ac:dyDescent="0.35">
      <c r="A1191">
        <v>479</v>
      </c>
      <c r="B1191">
        <v>1</v>
      </c>
      <c r="C1191" t="s">
        <v>37</v>
      </c>
      <c r="D1191" t="s">
        <v>38</v>
      </c>
      <c r="E1191">
        <v>20</v>
      </c>
      <c r="F1191">
        <v>34</v>
      </c>
      <c r="G1191">
        <v>1</v>
      </c>
      <c r="H1191">
        <v>38</v>
      </c>
      <c r="I1191" t="s">
        <v>14</v>
      </c>
    </row>
    <row r="1192" spans="1:9" x14ac:dyDescent="0.35">
      <c r="A1192">
        <v>480</v>
      </c>
      <c r="B1192">
        <v>1</v>
      </c>
      <c r="C1192" t="s">
        <v>31</v>
      </c>
      <c r="D1192" t="s">
        <v>32</v>
      </c>
      <c r="E1192">
        <v>21</v>
      </c>
      <c r="F1192">
        <v>35</v>
      </c>
      <c r="G1192">
        <v>3</v>
      </c>
      <c r="H1192">
        <v>57</v>
      </c>
      <c r="I1192" t="s">
        <v>14</v>
      </c>
    </row>
    <row r="1193" spans="1:9" x14ac:dyDescent="0.35">
      <c r="A1193">
        <v>480</v>
      </c>
      <c r="B1193">
        <v>1</v>
      </c>
      <c r="C1193" t="s">
        <v>17</v>
      </c>
      <c r="D1193" t="s">
        <v>18</v>
      </c>
      <c r="E1193">
        <v>16</v>
      </c>
      <c r="F1193">
        <v>27</v>
      </c>
      <c r="G1193">
        <v>2</v>
      </c>
      <c r="H1193">
        <v>8</v>
      </c>
      <c r="I1193" t="s">
        <v>11</v>
      </c>
    </row>
    <row r="1194" spans="1:9" x14ac:dyDescent="0.35">
      <c r="A1194">
        <v>481</v>
      </c>
      <c r="B1194">
        <v>9</v>
      </c>
      <c r="C1194" t="s">
        <v>47</v>
      </c>
      <c r="D1194" t="s">
        <v>48</v>
      </c>
      <c r="E1194">
        <v>15</v>
      </c>
      <c r="F1194">
        <v>26</v>
      </c>
      <c r="G1194">
        <v>2</v>
      </c>
      <c r="H1194">
        <v>58</v>
      </c>
      <c r="I1194" t="s">
        <v>14</v>
      </c>
    </row>
    <row r="1195" spans="1:9" x14ac:dyDescent="0.35">
      <c r="A1195">
        <v>482</v>
      </c>
      <c r="B1195">
        <v>9</v>
      </c>
      <c r="C1195" t="s">
        <v>43</v>
      </c>
      <c r="D1195" t="s">
        <v>44</v>
      </c>
      <c r="E1195">
        <v>13</v>
      </c>
      <c r="F1195">
        <v>21</v>
      </c>
      <c r="G1195">
        <v>3</v>
      </c>
      <c r="H1195">
        <v>21</v>
      </c>
      <c r="I1195" t="s">
        <v>14</v>
      </c>
    </row>
    <row r="1196" spans="1:9" x14ac:dyDescent="0.35">
      <c r="A1196">
        <v>483</v>
      </c>
      <c r="B1196">
        <v>2</v>
      </c>
      <c r="C1196" t="s">
        <v>17</v>
      </c>
      <c r="D1196" t="s">
        <v>18</v>
      </c>
      <c r="E1196">
        <v>16</v>
      </c>
      <c r="F1196">
        <v>27</v>
      </c>
      <c r="G1196">
        <v>3</v>
      </c>
      <c r="H1196">
        <v>53</v>
      </c>
      <c r="I1196" t="s">
        <v>11</v>
      </c>
    </row>
    <row r="1197" spans="1:9" x14ac:dyDescent="0.35">
      <c r="A1197">
        <v>484</v>
      </c>
      <c r="B1197">
        <v>18</v>
      </c>
      <c r="C1197" t="s">
        <v>49</v>
      </c>
      <c r="D1197" t="s">
        <v>50</v>
      </c>
      <c r="E1197">
        <v>15</v>
      </c>
      <c r="F1197">
        <v>25</v>
      </c>
      <c r="G1197">
        <v>3</v>
      </c>
      <c r="H1197">
        <v>34</v>
      </c>
      <c r="I1197" t="s">
        <v>14</v>
      </c>
    </row>
    <row r="1198" spans="1:9" x14ac:dyDescent="0.35">
      <c r="A1198">
        <v>485</v>
      </c>
      <c r="B1198">
        <v>6</v>
      </c>
      <c r="C1198" t="s">
        <v>9</v>
      </c>
      <c r="D1198" t="s">
        <v>10</v>
      </c>
      <c r="E1198">
        <v>14</v>
      </c>
      <c r="F1198">
        <v>24</v>
      </c>
      <c r="G1198">
        <v>3</v>
      </c>
      <c r="H1198">
        <v>23</v>
      </c>
      <c r="I1198" t="s">
        <v>11</v>
      </c>
    </row>
    <row r="1199" spans="1:9" x14ac:dyDescent="0.35">
      <c r="A1199">
        <v>485</v>
      </c>
      <c r="B1199">
        <v>6</v>
      </c>
      <c r="C1199" t="s">
        <v>21</v>
      </c>
      <c r="D1199" t="s">
        <v>22</v>
      </c>
      <c r="E1199">
        <v>22</v>
      </c>
      <c r="F1199">
        <v>36</v>
      </c>
      <c r="G1199">
        <v>2</v>
      </c>
      <c r="H1199">
        <v>56</v>
      </c>
      <c r="I1199" t="s">
        <v>11</v>
      </c>
    </row>
    <row r="1200" spans="1:9" x14ac:dyDescent="0.35">
      <c r="A1200">
        <v>486</v>
      </c>
      <c r="B1200">
        <v>15</v>
      </c>
      <c r="C1200" t="s">
        <v>21</v>
      </c>
      <c r="D1200" t="s">
        <v>22</v>
      </c>
      <c r="E1200">
        <v>22</v>
      </c>
      <c r="F1200">
        <v>36</v>
      </c>
      <c r="G1200">
        <v>2</v>
      </c>
      <c r="H1200">
        <v>7</v>
      </c>
      <c r="I1200" t="s">
        <v>11</v>
      </c>
    </row>
    <row r="1201" spans="1:9" x14ac:dyDescent="0.35">
      <c r="A1201">
        <v>486</v>
      </c>
      <c r="B1201">
        <v>15</v>
      </c>
      <c r="C1201" t="s">
        <v>39</v>
      </c>
      <c r="D1201" t="s">
        <v>40</v>
      </c>
      <c r="E1201">
        <v>12</v>
      </c>
      <c r="F1201">
        <v>20</v>
      </c>
      <c r="G1201">
        <v>1</v>
      </c>
      <c r="H1201">
        <v>19</v>
      </c>
      <c r="I1201" t="s">
        <v>11</v>
      </c>
    </row>
    <row r="1202" spans="1:9" x14ac:dyDescent="0.35">
      <c r="A1202">
        <v>486</v>
      </c>
      <c r="B1202">
        <v>15</v>
      </c>
      <c r="C1202" t="s">
        <v>37</v>
      </c>
      <c r="D1202" t="s">
        <v>38</v>
      </c>
      <c r="E1202">
        <v>20</v>
      </c>
      <c r="F1202">
        <v>34</v>
      </c>
      <c r="G1202">
        <v>1</v>
      </c>
      <c r="H1202">
        <v>9</v>
      </c>
      <c r="I1202" t="s">
        <v>11</v>
      </c>
    </row>
    <row r="1203" spans="1:9" x14ac:dyDescent="0.35">
      <c r="A1203">
        <v>486</v>
      </c>
      <c r="B1203">
        <v>15</v>
      </c>
      <c r="C1203" t="s">
        <v>9</v>
      </c>
      <c r="D1203" t="s">
        <v>10</v>
      </c>
      <c r="E1203">
        <v>14</v>
      </c>
      <c r="F1203">
        <v>24</v>
      </c>
      <c r="G1203">
        <v>1</v>
      </c>
      <c r="H1203">
        <v>24</v>
      </c>
      <c r="I1203" t="s">
        <v>11</v>
      </c>
    </row>
    <row r="1204" spans="1:9" x14ac:dyDescent="0.35">
      <c r="A1204">
        <v>487</v>
      </c>
      <c r="B1204">
        <v>17</v>
      </c>
      <c r="C1204" t="s">
        <v>37</v>
      </c>
      <c r="D1204" t="s">
        <v>38</v>
      </c>
      <c r="E1204">
        <v>20</v>
      </c>
      <c r="F1204">
        <v>34</v>
      </c>
      <c r="G1204">
        <v>2</v>
      </c>
      <c r="H1204">
        <v>58</v>
      </c>
      <c r="I1204" t="s">
        <v>14</v>
      </c>
    </row>
    <row r="1205" spans="1:9" x14ac:dyDescent="0.35">
      <c r="A1205">
        <v>487</v>
      </c>
      <c r="B1205">
        <v>17</v>
      </c>
      <c r="C1205" t="s">
        <v>15</v>
      </c>
      <c r="D1205" t="s">
        <v>16</v>
      </c>
      <c r="E1205">
        <v>19</v>
      </c>
      <c r="F1205">
        <v>31</v>
      </c>
      <c r="G1205">
        <v>2</v>
      </c>
      <c r="H1205">
        <v>29</v>
      </c>
      <c r="I1205" t="s">
        <v>14</v>
      </c>
    </row>
    <row r="1206" spans="1:9" x14ac:dyDescent="0.35">
      <c r="A1206">
        <v>487</v>
      </c>
      <c r="B1206">
        <v>17</v>
      </c>
      <c r="C1206" t="s">
        <v>35</v>
      </c>
      <c r="D1206" t="s">
        <v>36</v>
      </c>
      <c r="E1206">
        <v>13</v>
      </c>
      <c r="F1206">
        <v>22</v>
      </c>
      <c r="G1206">
        <v>1</v>
      </c>
      <c r="H1206">
        <v>5</v>
      </c>
      <c r="I1206" t="s">
        <v>14</v>
      </c>
    </row>
    <row r="1207" spans="1:9" x14ac:dyDescent="0.35">
      <c r="A1207">
        <v>488</v>
      </c>
      <c r="B1207">
        <v>10</v>
      </c>
      <c r="C1207" t="s">
        <v>45</v>
      </c>
      <c r="D1207" t="s">
        <v>46</v>
      </c>
      <c r="E1207">
        <v>10</v>
      </c>
      <c r="F1207">
        <v>18</v>
      </c>
      <c r="G1207">
        <v>3</v>
      </c>
      <c r="H1207">
        <v>54</v>
      </c>
      <c r="I1207" t="s">
        <v>11</v>
      </c>
    </row>
    <row r="1208" spans="1:9" x14ac:dyDescent="0.35">
      <c r="A1208">
        <v>488</v>
      </c>
      <c r="B1208">
        <v>10</v>
      </c>
      <c r="C1208" t="s">
        <v>41</v>
      </c>
      <c r="D1208" t="s">
        <v>42</v>
      </c>
      <c r="E1208">
        <v>14</v>
      </c>
      <c r="F1208">
        <v>23</v>
      </c>
      <c r="G1208">
        <v>3</v>
      </c>
      <c r="H1208">
        <v>52</v>
      </c>
      <c r="I1208" t="s">
        <v>11</v>
      </c>
    </row>
    <row r="1209" spans="1:9" x14ac:dyDescent="0.35">
      <c r="A1209">
        <v>488</v>
      </c>
      <c r="B1209">
        <v>10</v>
      </c>
      <c r="C1209" t="s">
        <v>15</v>
      </c>
      <c r="D1209" t="s">
        <v>16</v>
      </c>
      <c r="E1209">
        <v>19</v>
      </c>
      <c r="F1209">
        <v>31</v>
      </c>
      <c r="G1209">
        <v>2</v>
      </c>
      <c r="H1209">
        <v>18</v>
      </c>
      <c r="I1209" t="s">
        <v>14</v>
      </c>
    </row>
    <row r="1210" spans="1:9" x14ac:dyDescent="0.35">
      <c r="A1210">
        <v>489</v>
      </c>
      <c r="B1210">
        <v>3</v>
      </c>
      <c r="C1210" t="s">
        <v>19</v>
      </c>
      <c r="D1210" t="s">
        <v>20</v>
      </c>
      <c r="E1210">
        <v>25</v>
      </c>
      <c r="F1210">
        <v>40</v>
      </c>
      <c r="G1210">
        <v>2</v>
      </c>
      <c r="H1210">
        <v>28</v>
      </c>
      <c r="I1210" t="s">
        <v>14</v>
      </c>
    </row>
    <row r="1211" spans="1:9" x14ac:dyDescent="0.35">
      <c r="A1211">
        <v>489</v>
      </c>
      <c r="B1211">
        <v>3</v>
      </c>
      <c r="C1211" t="s">
        <v>41</v>
      </c>
      <c r="D1211" t="s">
        <v>42</v>
      </c>
      <c r="E1211">
        <v>14</v>
      </c>
      <c r="F1211">
        <v>23</v>
      </c>
      <c r="G1211">
        <v>3</v>
      </c>
      <c r="H1211">
        <v>6</v>
      </c>
      <c r="I1211" t="s">
        <v>14</v>
      </c>
    </row>
    <row r="1212" spans="1:9" x14ac:dyDescent="0.35">
      <c r="A1212">
        <v>490</v>
      </c>
      <c r="B1212">
        <v>1</v>
      </c>
      <c r="C1212" t="s">
        <v>47</v>
      </c>
      <c r="D1212" t="s">
        <v>48</v>
      </c>
      <c r="E1212">
        <v>15</v>
      </c>
      <c r="F1212">
        <v>26</v>
      </c>
      <c r="G1212">
        <v>3</v>
      </c>
      <c r="H1212">
        <v>34</v>
      </c>
      <c r="I1212" t="s">
        <v>11</v>
      </c>
    </row>
    <row r="1213" spans="1:9" x14ac:dyDescent="0.35">
      <c r="A1213">
        <v>490</v>
      </c>
      <c r="B1213">
        <v>1</v>
      </c>
      <c r="C1213" t="s">
        <v>33</v>
      </c>
      <c r="D1213" t="s">
        <v>34</v>
      </c>
      <c r="E1213">
        <v>19</v>
      </c>
      <c r="F1213">
        <v>32</v>
      </c>
      <c r="G1213">
        <v>1</v>
      </c>
      <c r="H1213">
        <v>55</v>
      </c>
      <c r="I1213" t="s">
        <v>11</v>
      </c>
    </row>
    <row r="1214" spans="1:9" x14ac:dyDescent="0.35">
      <c r="A1214">
        <v>490</v>
      </c>
      <c r="B1214">
        <v>1</v>
      </c>
      <c r="C1214" t="s">
        <v>37</v>
      </c>
      <c r="D1214" t="s">
        <v>38</v>
      </c>
      <c r="E1214">
        <v>20</v>
      </c>
      <c r="F1214">
        <v>34</v>
      </c>
      <c r="G1214">
        <v>3</v>
      </c>
      <c r="H1214">
        <v>42</v>
      </c>
      <c r="I1214" t="s">
        <v>11</v>
      </c>
    </row>
    <row r="1215" spans="1:9" x14ac:dyDescent="0.35">
      <c r="A1215">
        <v>491</v>
      </c>
      <c r="B1215">
        <v>7</v>
      </c>
      <c r="C1215" t="s">
        <v>23</v>
      </c>
      <c r="D1215" t="s">
        <v>24</v>
      </c>
      <c r="E1215">
        <v>17</v>
      </c>
      <c r="F1215">
        <v>29</v>
      </c>
      <c r="G1215">
        <v>2</v>
      </c>
      <c r="H1215">
        <v>30</v>
      </c>
      <c r="I1215" t="s">
        <v>11</v>
      </c>
    </row>
    <row r="1216" spans="1:9" x14ac:dyDescent="0.35">
      <c r="A1216">
        <v>491</v>
      </c>
      <c r="B1216">
        <v>7</v>
      </c>
      <c r="C1216" t="s">
        <v>12</v>
      </c>
      <c r="D1216" t="s">
        <v>13</v>
      </c>
      <c r="E1216">
        <v>18</v>
      </c>
      <c r="F1216">
        <v>30</v>
      </c>
      <c r="G1216">
        <v>2</v>
      </c>
      <c r="H1216">
        <v>11</v>
      </c>
      <c r="I1216" t="s">
        <v>11</v>
      </c>
    </row>
    <row r="1217" spans="1:9" x14ac:dyDescent="0.35">
      <c r="A1217">
        <v>492</v>
      </c>
      <c r="B1217">
        <v>4</v>
      </c>
      <c r="C1217" t="s">
        <v>25</v>
      </c>
      <c r="D1217" t="s">
        <v>26</v>
      </c>
      <c r="E1217">
        <v>20</v>
      </c>
      <c r="F1217">
        <v>33</v>
      </c>
      <c r="G1217">
        <v>3</v>
      </c>
      <c r="H1217">
        <v>15</v>
      </c>
      <c r="I1217" t="s">
        <v>11</v>
      </c>
    </row>
    <row r="1218" spans="1:9" x14ac:dyDescent="0.35">
      <c r="A1218">
        <v>492</v>
      </c>
      <c r="B1218">
        <v>4</v>
      </c>
      <c r="C1218" t="s">
        <v>43</v>
      </c>
      <c r="D1218" t="s">
        <v>44</v>
      </c>
      <c r="E1218">
        <v>13</v>
      </c>
      <c r="F1218">
        <v>21</v>
      </c>
      <c r="G1218">
        <v>3</v>
      </c>
      <c r="H1218">
        <v>8</v>
      </c>
      <c r="I1218" t="s">
        <v>11</v>
      </c>
    </row>
    <row r="1219" spans="1:9" x14ac:dyDescent="0.35">
      <c r="A1219">
        <v>492</v>
      </c>
      <c r="B1219">
        <v>4</v>
      </c>
      <c r="C1219" t="s">
        <v>9</v>
      </c>
      <c r="D1219" t="s">
        <v>10</v>
      </c>
      <c r="E1219">
        <v>14</v>
      </c>
      <c r="F1219">
        <v>24</v>
      </c>
      <c r="G1219">
        <v>2</v>
      </c>
      <c r="H1219">
        <v>26</v>
      </c>
      <c r="I1219" t="s">
        <v>11</v>
      </c>
    </row>
    <row r="1220" spans="1:9" x14ac:dyDescent="0.35">
      <c r="A1220">
        <v>493</v>
      </c>
      <c r="B1220">
        <v>2</v>
      </c>
      <c r="C1220" t="s">
        <v>45</v>
      </c>
      <c r="D1220" t="s">
        <v>46</v>
      </c>
      <c r="E1220">
        <v>10</v>
      </c>
      <c r="F1220">
        <v>18</v>
      </c>
      <c r="G1220">
        <v>3</v>
      </c>
      <c r="H1220">
        <v>8</v>
      </c>
      <c r="I1220" t="s">
        <v>14</v>
      </c>
    </row>
    <row r="1221" spans="1:9" x14ac:dyDescent="0.35">
      <c r="A1221">
        <v>494</v>
      </c>
      <c r="B1221">
        <v>20</v>
      </c>
      <c r="C1221" t="s">
        <v>33</v>
      </c>
      <c r="D1221" t="s">
        <v>34</v>
      </c>
      <c r="E1221">
        <v>19</v>
      </c>
      <c r="F1221">
        <v>32</v>
      </c>
      <c r="G1221">
        <v>2</v>
      </c>
      <c r="H1221">
        <v>9</v>
      </c>
      <c r="I1221" t="s">
        <v>11</v>
      </c>
    </row>
    <row r="1222" spans="1:9" x14ac:dyDescent="0.35">
      <c r="A1222">
        <v>494</v>
      </c>
      <c r="B1222">
        <v>20</v>
      </c>
      <c r="C1222" t="s">
        <v>21</v>
      </c>
      <c r="D1222" t="s">
        <v>22</v>
      </c>
      <c r="E1222">
        <v>22</v>
      </c>
      <c r="F1222">
        <v>36</v>
      </c>
      <c r="G1222">
        <v>3</v>
      </c>
      <c r="H1222">
        <v>22</v>
      </c>
      <c r="I1222" t="s">
        <v>11</v>
      </c>
    </row>
    <row r="1223" spans="1:9" x14ac:dyDescent="0.35">
      <c r="A1223">
        <v>495</v>
      </c>
      <c r="B1223">
        <v>11</v>
      </c>
      <c r="C1223" t="s">
        <v>19</v>
      </c>
      <c r="D1223" t="s">
        <v>20</v>
      </c>
      <c r="E1223">
        <v>25</v>
      </c>
      <c r="F1223">
        <v>40</v>
      </c>
      <c r="G1223">
        <v>3</v>
      </c>
      <c r="H1223">
        <v>13</v>
      </c>
      <c r="I1223" t="s">
        <v>14</v>
      </c>
    </row>
    <row r="1224" spans="1:9" x14ac:dyDescent="0.35">
      <c r="A1224">
        <v>495</v>
      </c>
      <c r="B1224">
        <v>11</v>
      </c>
      <c r="C1224" t="s">
        <v>17</v>
      </c>
      <c r="D1224" t="s">
        <v>18</v>
      </c>
      <c r="E1224">
        <v>16</v>
      </c>
      <c r="F1224">
        <v>27</v>
      </c>
      <c r="G1224">
        <v>2</v>
      </c>
      <c r="H1224">
        <v>9</v>
      </c>
      <c r="I1224" t="s">
        <v>14</v>
      </c>
    </row>
    <row r="1225" spans="1:9" x14ac:dyDescent="0.35">
      <c r="A1225">
        <v>495</v>
      </c>
      <c r="B1225">
        <v>11</v>
      </c>
      <c r="C1225" t="s">
        <v>27</v>
      </c>
      <c r="D1225" t="s">
        <v>28</v>
      </c>
      <c r="E1225">
        <v>16</v>
      </c>
      <c r="F1225">
        <v>28</v>
      </c>
      <c r="G1225">
        <v>2</v>
      </c>
      <c r="H1225">
        <v>44</v>
      </c>
      <c r="I1225" t="s">
        <v>11</v>
      </c>
    </row>
    <row r="1226" spans="1:9" x14ac:dyDescent="0.35">
      <c r="A1226">
        <v>495</v>
      </c>
      <c r="B1226">
        <v>11</v>
      </c>
      <c r="C1226" t="s">
        <v>25</v>
      </c>
      <c r="D1226" t="s">
        <v>26</v>
      </c>
      <c r="E1226">
        <v>20</v>
      </c>
      <c r="F1226">
        <v>33</v>
      </c>
      <c r="G1226">
        <v>1</v>
      </c>
      <c r="H1226">
        <v>36</v>
      </c>
      <c r="I1226" t="s">
        <v>14</v>
      </c>
    </row>
    <row r="1227" spans="1:9" x14ac:dyDescent="0.35">
      <c r="A1227">
        <v>496</v>
      </c>
      <c r="B1227">
        <v>1</v>
      </c>
      <c r="C1227" t="s">
        <v>25</v>
      </c>
      <c r="D1227" t="s">
        <v>26</v>
      </c>
      <c r="E1227">
        <v>20</v>
      </c>
      <c r="F1227">
        <v>33</v>
      </c>
      <c r="G1227">
        <v>1</v>
      </c>
      <c r="H1227">
        <v>28</v>
      </c>
      <c r="I1227" t="s">
        <v>11</v>
      </c>
    </row>
    <row r="1228" spans="1:9" x14ac:dyDescent="0.35">
      <c r="A1228">
        <v>496</v>
      </c>
      <c r="B1228">
        <v>1</v>
      </c>
      <c r="C1228" t="s">
        <v>37</v>
      </c>
      <c r="D1228" t="s">
        <v>38</v>
      </c>
      <c r="E1228">
        <v>20</v>
      </c>
      <c r="F1228">
        <v>34</v>
      </c>
      <c r="G1228">
        <v>3</v>
      </c>
      <c r="H1228">
        <v>23</v>
      </c>
      <c r="I1228" t="s">
        <v>11</v>
      </c>
    </row>
    <row r="1229" spans="1:9" x14ac:dyDescent="0.35">
      <c r="A1229">
        <v>496</v>
      </c>
      <c r="B1229">
        <v>1</v>
      </c>
      <c r="C1229" t="s">
        <v>29</v>
      </c>
      <c r="D1229" t="s">
        <v>30</v>
      </c>
      <c r="E1229">
        <v>11</v>
      </c>
      <c r="F1229">
        <v>19</v>
      </c>
      <c r="G1229">
        <v>3</v>
      </c>
      <c r="H1229">
        <v>41</v>
      </c>
      <c r="I1229" t="s">
        <v>14</v>
      </c>
    </row>
    <row r="1230" spans="1:9" x14ac:dyDescent="0.35">
      <c r="A1230">
        <v>496</v>
      </c>
      <c r="B1230">
        <v>1</v>
      </c>
      <c r="C1230" t="s">
        <v>15</v>
      </c>
      <c r="D1230" t="s">
        <v>16</v>
      </c>
      <c r="E1230">
        <v>19</v>
      </c>
      <c r="F1230">
        <v>31</v>
      </c>
      <c r="G1230">
        <v>1</v>
      </c>
      <c r="H1230">
        <v>41</v>
      </c>
      <c r="I1230" t="s">
        <v>14</v>
      </c>
    </row>
    <row r="1231" spans="1:9" x14ac:dyDescent="0.35">
      <c r="A1231">
        <v>497</v>
      </c>
      <c r="B1231">
        <v>13</v>
      </c>
      <c r="C1231" t="s">
        <v>12</v>
      </c>
      <c r="D1231" t="s">
        <v>13</v>
      </c>
      <c r="E1231">
        <v>18</v>
      </c>
      <c r="F1231">
        <v>30</v>
      </c>
      <c r="G1231">
        <v>1</v>
      </c>
      <c r="H1231">
        <v>6</v>
      </c>
      <c r="I1231" t="s">
        <v>14</v>
      </c>
    </row>
    <row r="1232" spans="1:9" x14ac:dyDescent="0.35">
      <c r="A1232">
        <v>497</v>
      </c>
      <c r="B1232">
        <v>13</v>
      </c>
      <c r="C1232" t="s">
        <v>19</v>
      </c>
      <c r="D1232" t="s">
        <v>20</v>
      </c>
      <c r="E1232">
        <v>25</v>
      </c>
      <c r="F1232">
        <v>40</v>
      </c>
      <c r="G1232">
        <v>3</v>
      </c>
      <c r="H1232">
        <v>32</v>
      </c>
      <c r="I1232" t="s">
        <v>14</v>
      </c>
    </row>
    <row r="1233" spans="1:9" x14ac:dyDescent="0.35">
      <c r="A1233">
        <v>498</v>
      </c>
      <c r="B1233">
        <v>20</v>
      </c>
      <c r="C1233" t="s">
        <v>29</v>
      </c>
      <c r="D1233" t="s">
        <v>30</v>
      </c>
      <c r="E1233">
        <v>11</v>
      </c>
      <c r="F1233">
        <v>19</v>
      </c>
      <c r="G1233">
        <v>1</v>
      </c>
      <c r="H1233">
        <v>32</v>
      </c>
      <c r="I1233" t="s">
        <v>11</v>
      </c>
    </row>
    <row r="1234" spans="1:9" x14ac:dyDescent="0.35">
      <c r="A1234">
        <v>499</v>
      </c>
      <c r="B1234">
        <v>5</v>
      </c>
      <c r="C1234" t="s">
        <v>47</v>
      </c>
      <c r="D1234" t="s">
        <v>48</v>
      </c>
      <c r="E1234">
        <v>15</v>
      </c>
      <c r="F1234">
        <v>26</v>
      </c>
      <c r="G1234">
        <v>3</v>
      </c>
      <c r="H1234">
        <v>52</v>
      </c>
      <c r="I1234" t="s">
        <v>11</v>
      </c>
    </row>
    <row r="1235" spans="1:9" x14ac:dyDescent="0.35">
      <c r="A1235">
        <v>499</v>
      </c>
      <c r="B1235">
        <v>5</v>
      </c>
      <c r="C1235" t="s">
        <v>12</v>
      </c>
      <c r="D1235" t="s">
        <v>13</v>
      </c>
      <c r="E1235">
        <v>18</v>
      </c>
      <c r="F1235">
        <v>30</v>
      </c>
      <c r="G1235">
        <v>1</v>
      </c>
      <c r="H1235">
        <v>36</v>
      </c>
      <c r="I1235" t="s">
        <v>14</v>
      </c>
    </row>
    <row r="1236" spans="1:9" x14ac:dyDescent="0.35">
      <c r="A1236">
        <v>499</v>
      </c>
      <c r="B1236">
        <v>5</v>
      </c>
      <c r="C1236" t="s">
        <v>49</v>
      </c>
      <c r="D1236" t="s">
        <v>50</v>
      </c>
      <c r="E1236">
        <v>15</v>
      </c>
      <c r="F1236">
        <v>25</v>
      </c>
      <c r="G1236">
        <v>2</v>
      </c>
      <c r="H1236">
        <v>42</v>
      </c>
      <c r="I1236" t="s">
        <v>14</v>
      </c>
    </row>
    <row r="1237" spans="1:9" x14ac:dyDescent="0.35">
      <c r="A1237">
        <v>500</v>
      </c>
      <c r="B1237">
        <v>4</v>
      </c>
      <c r="C1237" t="s">
        <v>17</v>
      </c>
      <c r="D1237" t="s">
        <v>18</v>
      </c>
      <c r="E1237">
        <v>16</v>
      </c>
      <c r="F1237">
        <v>27</v>
      </c>
      <c r="G1237">
        <v>1</v>
      </c>
      <c r="H1237">
        <v>22</v>
      </c>
      <c r="I1237" t="s">
        <v>14</v>
      </c>
    </row>
    <row r="1238" spans="1:9" x14ac:dyDescent="0.35">
      <c r="A1238">
        <v>500</v>
      </c>
      <c r="B1238">
        <v>4</v>
      </c>
      <c r="C1238" t="s">
        <v>35</v>
      </c>
      <c r="D1238" t="s">
        <v>36</v>
      </c>
      <c r="E1238">
        <v>13</v>
      </c>
      <c r="F1238">
        <v>22</v>
      </c>
      <c r="G1238">
        <v>3</v>
      </c>
      <c r="H1238">
        <v>20</v>
      </c>
      <c r="I1238" t="s">
        <v>11</v>
      </c>
    </row>
    <row r="1239" spans="1:9" x14ac:dyDescent="0.35">
      <c r="A1239">
        <v>501</v>
      </c>
      <c r="B1239">
        <v>7</v>
      </c>
      <c r="C1239" t="s">
        <v>19</v>
      </c>
      <c r="D1239" t="s">
        <v>20</v>
      </c>
      <c r="E1239">
        <v>25</v>
      </c>
      <c r="F1239">
        <v>40</v>
      </c>
      <c r="G1239">
        <v>1</v>
      </c>
      <c r="H1239">
        <v>18</v>
      </c>
      <c r="I1239" t="s">
        <v>14</v>
      </c>
    </row>
    <row r="1240" spans="1:9" x14ac:dyDescent="0.35">
      <c r="A1240">
        <v>501</v>
      </c>
      <c r="B1240">
        <v>7</v>
      </c>
      <c r="C1240" t="s">
        <v>43</v>
      </c>
      <c r="D1240" t="s">
        <v>44</v>
      </c>
      <c r="E1240">
        <v>13</v>
      </c>
      <c r="F1240">
        <v>21</v>
      </c>
      <c r="G1240">
        <v>2</v>
      </c>
      <c r="H1240">
        <v>15</v>
      </c>
      <c r="I1240" t="s">
        <v>14</v>
      </c>
    </row>
    <row r="1241" spans="1:9" x14ac:dyDescent="0.35">
      <c r="A1241">
        <v>501</v>
      </c>
      <c r="B1241">
        <v>7</v>
      </c>
      <c r="C1241" t="s">
        <v>27</v>
      </c>
      <c r="D1241" t="s">
        <v>28</v>
      </c>
      <c r="E1241">
        <v>16</v>
      </c>
      <c r="F1241">
        <v>28</v>
      </c>
      <c r="G1241">
        <v>2</v>
      </c>
      <c r="H1241">
        <v>6</v>
      </c>
      <c r="I1241" t="s">
        <v>11</v>
      </c>
    </row>
    <row r="1242" spans="1:9" x14ac:dyDescent="0.35">
      <c r="A1242">
        <v>502</v>
      </c>
      <c r="B1242">
        <v>5</v>
      </c>
      <c r="C1242" t="s">
        <v>35</v>
      </c>
      <c r="D1242" t="s">
        <v>36</v>
      </c>
      <c r="E1242">
        <v>13</v>
      </c>
      <c r="F1242">
        <v>22</v>
      </c>
      <c r="G1242">
        <v>1</v>
      </c>
      <c r="H1242">
        <v>33</v>
      </c>
      <c r="I1242" t="s">
        <v>11</v>
      </c>
    </row>
    <row r="1243" spans="1:9" x14ac:dyDescent="0.35">
      <c r="A1243">
        <v>502</v>
      </c>
      <c r="B1243">
        <v>5</v>
      </c>
      <c r="C1243" t="s">
        <v>45</v>
      </c>
      <c r="D1243" t="s">
        <v>46</v>
      </c>
      <c r="E1243">
        <v>10</v>
      </c>
      <c r="F1243">
        <v>18</v>
      </c>
      <c r="G1243">
        <v>1</v>
      </c>
      <c r="H1243">
        <v>5</v>
      </c>
      <c r="I1243" t="s">
        <v>11</v>
      </c>
    </row>
    <row r="1244" spans="1:9" x14ac:dyDescent="0.35">
      <c r="A1244">
        <v>502</v>
      </c>
      <c r="B1244">
        <v>5</v>
      </c>
      <c r="C1244" t="s">
        <v>25</v>
      </c>
      <c r="D1244" t="s">
        <v>26</v>
      </c>
      <c r="E1244">
        <v>20</v>
      </c>
      <c r="F1244">
        <v>33</v>
      </c>
      <c r="G1244">
        <v>3</v>
      </c>
      <c r="H1244">
        <v>35</v>
      </c>
      <c r="I1244" t="s">
        <v>14</v>
      </c>
    </row>
    <row r="1245" spans="1:9" x14ac:dyDescent="0.35">
      <c r="A1245">
        <v>503</v>
      </c>
      <c r="B1245">
        <v>3</v>
      </c>
      <c r="C1245" t="s">
        <v>19</v>
      </c>
      <c r="D1245" t="s">
        <v>20</v>
      </c>
      <c r="E1245">
        <v>25</v>
      </c>
      <c r="F1245">
        <v>40</v>
      </c>
      <c r="G1245">
        <v>2</v>
      </c>
      <c r="H1245">
        <v>52</v>
      </c>
      <c r="I1245" t="s">
        <v>11</v>
      </c>
    </row>
    <row r="1246" spans="1:9" x14ac:dyDescent="0.35">
      <c r="A1246">
        <v>503</v>
      </c>
      <c r="B1246">
        <v>3</v>
      </c>
      <c r="C1246" t="s">
        <v>29</v>
      </c>
      <c r="D1246" t="s">
        <v>30</v>
      </c>
      <c r="E1246">
        <v>11</v>
      </c>
      <c r="F1246">
        <v>19</v>
      </c>
      <c r="G1246">
        <v>3</v>
      </c>
      <c r="H1246">
        <v>33</v>
      </c>
      <c r="I1246" t="s">
        <v>14</v>
      </c>
    </row>
    <row r="1247" spans="1:9" x14ac:dyDescent="0.35">
      <c r="A1247">
        <v>504</v>
      </c>
      <c r="B1247">
        <v>2</v>
      </c>
      <c r="C1247" t="s">
        <v>17</v>
      </c>
      <c r="D1247" t="s">
        <v>18</v>
      </c>
      <c r="E1247">
        <v>16</v>
      </c>
      <c r="F1247">
        <v>27</v>
      </c>
      <c r="G1247">
        <v>2</v>
      </c>
      <c r="H1247">
        <v>19</v>
      </c>
      <c r="I1247" t="s">
        <v>11</v>
      </c>
    </row>
    <row r="1248" spans="1:9" x14ac:dyDescent="0.35">
      <c r="A1248">
        <v>505</v>
      </c>
      <c r="B1248">
        <v>5</v>
      </c>
      <c r="C1248" t="s">
        <v>19</v>
      </c>
      <c r="D1248" t="s">
        <v>20</v>
      </c>
      <c r="E1248">
        <v>25</v>
      </c>
      <c r="F1248">
        <v>40</v>
      </c>
      <c r="G1248">
        <v>2</v>
      </c>
      <c r="H1248">
        <v>56</v>
      </c>
      <c r="I1248" t="s">
        <v>11</v>
      </c>
    </row>
    <row r="1249" spans="1:9" x14ac:dyDescent="0.35">
      <c r="A1249">
        <v>505</v>
      </c>
      <c r="B1249">
        <v>5</v>
      </c>
      <c r="C1249" t="s">
        <v>49</v>
      </c>
      <c r="D1249" t="s">
        <v>50</v>
      </c>
      <c r="E1249">
        <v>15</v>
      </c>
      <c r="F1249">
        <v>25</v>
      </c>
      <c r="G1249">
        <v>3</v>
      </c>
      <c r="H1249">
        <v>59</v>
      </c>
      <c r="I1249" t="s">
        <v>11</v>
      </c>
    </row>
    <row r="1250" spans="1:9" x14ac:dyDescent="0.35">
      <c r="A1250">
        <v>506</v>
      </c>
      <c r="B1250">
        <v>18</v>
      </c>
      <c r="C1250" t="s">
        <v>31</v>
      </c>
      <c r="D1250" t="s">
        <v>32</v>
      </c>
      <c r="E1250">
        <v>21</v>
      </c>
      <c r="F1250">
        <v>35</v>
      </c>
      <c r="G1250">
        <v>2</v>
      </c>
      <c r="H1250">
        <v>5</v>
      </c>
      <c r="I1250" t="s">
        <v>14</v>
      </c>
    </row>
    <row r="1251" spans="1:9" x14ac:dyDescent="0.35">
      <c r="A1251">
        <v>507</v>
      </c>
      <c r="B1251">
        <v>18</v>
      </c>
      <c r="C1251" t="s">
        <v>37</v>
      </c>
      <c r="D1251" t="s">
        <v>38</v>
      </c>
      <c r="E1251">
        <v>20</v>
      </c>
      <c r="F1251">
        <v>34</v>
      </c>
      <c r="G1251">
        <v>3</v>
      </c>
      <c r="H1251">
        <v>53</v>
      </c>
      <c r="I1251" t="s">
        <v>11</v>
      </c>
    </row>
    <row r="1252" spans="1:9" x14ac:dyDescent="0.35">
      <c r="A1252">
        <v>507</v>
      </c>
      <c r="B1252">
        <v>18</v>
      </c>
      <c r="C1252" t="s">
        <v>21</v>
      </c>
      <c r="D1252" t="s">
        <v>22</v>
      </c>
      <c r="E1252">
        <v>22</v>
      </c>
      <c r="F1252">
        <v>36</v>
      </c>
      <c r="G1252">
        <v>3</v>
      </c>
      <c r="H1252">
        <v>16</v>
      </c>
      <c r="I1252" t="s">
        <v>14</v>
      </c>
    </row>
    <row r="1253" spans="1:9" x14ac:dyDescent="0.35">
      <c r="A1253">
        <v>508</v>
      </c>
      <c r="B1253">
        <v>6</v>
      </c>
      <c r="C1253" t="s">
        <v>33</v>
      </c>
      <c r="D1253" t="s">
        <v>34</v>
      </c>
      <c r="E1253">
        <v>19</v>
      </c>
      <c r="F1253">
        <v>32</v>
      </c>
      <c r="G1253">
        <v>1</v>
      </c>
      <c r="H1253">
        <v>34</v>
      </c>
      <c r="I1253" t="s">
        <v>14</v>
      </c>
    </row>
    <row r="1254" spans="1:9" x14ac:dyDescent="0.35">
      <c r="A1254">
        <v>509</v>
      </c>
      <c r="B1254">
        <v>5</v>
      </c>
      <c r="C1254" t="s">
        <v>19</v>
      </c>
      <c r="D1254" t="s">
        <v>20</v>
      </c>
      <c r="E1254">
        <v>25</v>
      </c>
      <c r="F1254">
        <v>40</v>
      </c>
      <c r="G1254">
        <v>2</v>
      </c>
      <c r="H1254">
        <v>47</v>
      </c>
      <c r="I1254" t="s">
        <v>11</v>
      </c>
    </row>
    <row r="1255" spans="1:9" x14ac:dyDescent="0.35">
      <c r="A1255">
        <v>510</v>
      </c>
      <c r="B1255">
        <v>6</v>
      </c>
      <c r="C1255" t="s">
        <v>21</v>
      </c>
      <c r="D1255" t="s">
        <v>22</v>
      </c>
      <c r="E1255">
        <v>22</v>
      </c>
      <c r="F1255">
        <v>36</v>
      </c>
      <c r="G1255">
        <v>1</v>
      </c>
      <c r="H1255">
        <v>48</v>
      </c>
      <c r="I1255" t="s">
        <v>11</v>
      </c>
    </row>
    <row r="1256" spans="1:9" x14ac:dyDescent="0.35">
      <c r="A1256">
        <v>511</v>
      </c>
      <c r="B1256">
        <v>2</v>
      </c>
      <c r="C1256" t="s">
        <v>41</v>
      </c>
      <c r="D1256" t="s">
        <v>42</v>
      </c>
      <c r="E1256">
        <v>14</v>
      </c>
      <c r="F1256">
        <v>23</v>
      </c>
      <c r="G1256">
        <v>3</v>
      </c>
      <c r="H1256">
        <v>14</v>
      </c>
      <c r="I1256" t="s">
        <v>11</v>
      </c>
    </row>
    <row r="1257" spans="1:9" x14ac:dyDescent="0.35">
      <c r="A1257">
        <v>511</v>
      </c>
      <c r="B1257">
        <v>2</v>
      </c>
      <c r="C1257" t="s">
        <v>37</v>
      </c>
      <c r="D1257" t="s">
        <v>38</v>
      </c>
      <c r="E1257">
        <v>20</v>
      </c>
      <c r="F1257">
        <v>34</v>
      </c>
      <c r="G1257">
        <v>2</v>
      </c>
      <c r="H1257">
        <v>24</v>
      </c>
      <c r="I1257" t="s">
        <v>11</v>
      </c>
    </row>
    <row r="1258" spans="1:9" x14ac:dyDescent="0.35">
      <c r="A1258">
        <v>512</v>
      </c>
      <c r="B1258">
        <v>2</v>
      </c>
      <c r="C1258" t="s">
        <v>39</v>
      </c>
      <c r="D1258" t="s">
        <v>40</v>
      </c>
      <c r="E1258">
        <v>12</v>
      </c>
      <c r="F1258">
        <v>20</v>
      </c>
      <c r="G1258">
        <v>1</v>
      </c>
      <c r="H1258">
        <v>6</v>
      </c>
      <c r="I1258" t="s">
        <v>14</v>
      </c>
    </row>
    <row r="1259" spans="1:9" x14ac:dyDescent="0.35">
      <c r="A1259">
        <v>512</v>
      </c>
      <c r="B1259">
        <v>2</v>
      </c>
      <c r="C1259" t="s">
        <v>21</v>
      </c>
      <c r="D1259" t="s">
        <v>22</v>
      </c>
      <c r="E1259">
        <v>22</v>
      </c>
      <c r="F1259">
        <v>36</v>
      </c>
      <c r="G1259">
        <v>3</v>
      </c>
      <c r="H1259">
        <v>53</v>
      </c>
      <c r="I1259" t="s">
        <v>14</v>
      </c>
    </row>
    <row r="1260" spans="1:9" x14ac:dyDescent="0.35">
      <c r="A1260">
        <v>513</v>
      </c>
      <c r="B1260">
        <v>8</v>
      </c>
      <c r="C1260" t="s">
        <v>45</v>
      </c>
      <c r="D1260" t="s">
        <v>46</v>
      </c>
      <c r="E1260">
        <v>10</v>
      </c>
      <c r="F1260">
        <v>18</v>
      </c>
      <c r="G1260">
        <v>3</v>
      </c>
      <c r="H1260">
        <v>56</v>
      </c>
      <c r="I1260" t="s">
        <v>14</v>
      </c>
    </row>
    <row r="1261" spans="1:9" x14ac:dyDescent="0.35">
      <c r="A1261">
        <v>514</v>
      </c>
      <c r="B1261">
        <v>18</v>
      </c>
      <c r="C1261" t="s">
        <v>47</v>
      </c>
      <c r="D1261" t="s">
        <v>48</v>
      </c>
      <c r="E1261">
        <v>15</v>
      </c>
      <c r="F1261">
        <v>26</v>
      </c>
      <c r="G1261">
        <v>2</v>
      </c>
      <c r="H1261">
        <v>21</v>
      </c>
      <c r="I1261" t="s">
        <v>11</v>
      </c>
    </row>
    <row r="1262" spans="1:9" x14ac:dyDescent="0.35">
      <c r="A1262">
        <v>514</v>
      </c>
      <c r="B1262">
        <v>18</v>
      </c>
      <c r="C1262" t="s">
        <v>29</v>
      </c>
      <c r="D1262" t="s">
        <v>30</v>
      </c>
      <c r="E1262">
        <v>11</v>
      </c>
      <c r="F1262">
        <v>19</v>
      </c>
      <c r="G1262">
        <v>2</v>
      </c>
      <c r="H1262">
        <v>56</v>
      </c>
      <c r="I1262" t="s">
        <v>14</v>
      </c>
    </row>
    <row r="1263" spans="1:9" x14ac:dyDescent="0.35">
      <c r="A1263">
        <v>514</v>
      </c>
      <c r="B1263">
        <v>18</v>
      </c>
      <c r="C1263" t="s">
        <v>39</v>
      </c>
      <c r="D1263" t="s">
        <v>40</v>
      </c>
      <c r="E1263">
        <v>12</v>
      </c>
      <c r="F1263">
        <v>20</v>
      </c>
      <c r="G1263">
        <v>1</v>
      </c>
      <c r="H1263">
        <v>25</v>
      </c>
      <c r="I1263" t="s">
        <v>14</v>
      </c>
    </row>
    <row r="1264" spans="1:9" x14ac:dyDescent="0.35">
      <c r="A1264">
        <v>514</v>
      </c>
      <c r="B1264">
        <v>18</v>
      </c>
      <c r="C1264" t="s">
        <v>33</v>
      </c>
      <c r="D1264" t="s">
        <v>34</v>
      </c>
      <c r="E1264">
        <v>19</v>
      </c>
      <c r="F1264">
        <v>32</v>
      </c>
      <c r="G1264">
        <v>2</v>
      </c>
      <c r="H1264">
        <v>10</v>
      </c>
      <c r="I1264" t="s">
        <v>11</v>
      </c>
    </row>
    <row r="1265" spans="1:9" x14ac:dyDescent="0.35">
      <c r="A1265">
        <v>515</v>
      </c>
      <c r="B1265">
        <v>19</v>
      </c>
      <c r="C1265" t="s">
        <v>45</v>
      </c>
      <c r="D1265" t="s">
        <v>46</v>
      </c>
      <c r="E1265">
        <v>10</v>
      </c>
      <c r="F1265">
        <v>18</v>
      </c>
      <c r="G1265">
        <v>1</v>
      </c>
      <c r="H1265">
        <v>13</v>
      </c>
      <c r="I1265" t="s">
        <v>14</v>
      </c>
    </row>
    <row r="1266" spans="1:9" x14ac:dyDescent="0.35">
      <c r="A1266">
        <v>516</v>
      </c>
      <c r="B1266">
        <v>7</v>
      </c>
      <c r="C1266" t="s">
        <v>29</v>
      </c>
      <c r="D1266" t="s">
        <v>30</v>
      </c>
      <c r="E1266">
        <v>11</v>
      </c>
      <c r="F1266">
        <v>19</v>
      </c>
      <c r="G1266">
        <v>3</v>
      </c>
      <c r="H1266">
        <v>43</v>
      </c>
      <c r="I1266" t="s">
        <v>11</v>
      </c>
    </row>
    <row r="1267" spans="1:9" x14ac:dyDescent="0.35">
      <c r="A1267">
        <v>516</v>
      </c>
      <c r="B1267">
        <v>7</v>
      </c>
      <c r="C1267" t="s">
        <v>41</v>
      </c>
      <c r="D1267" t="s">
        <v>42</v>
      </c>
      <c r="E1267">
        <v>14</v>
      </c>
      <c r="F1267">
        <v>23</v>
      </c>
      <c r="G1267">
        <v>3</v>
      </c>
      <c r="H1267">
        <v>40</v>
      </c>
      <c r="I1267" t="s">
        <v>11</v>
      </c>
    </row>
    <row r="1268" spans="1:9" x14ac:dyDescent="0.35">
      <c r="A1268">
        <v>516</v>
      </c>
      <c r="B1268">
        <v>7</v>
      </c>
      <c r="C1268" t="s">
        <v>39</v>
      </c>
      <c r="D1268" t="s">
        <v>40</v>
      </c>
      <c r="E1268">
        <v>12</v>
      </c>
      <c r="F1268">
        <v>20</v>
      </c>
      <c r="G1268">
        <v>1</v>
      </c>
      <c r="H1268">
        <v>14</v>
      </c>
      <c r="I1268" t="s">
        <v>11</v>
      </c>
    </row>
    <row r="1269" spans="1:9" x14ac:dyDescent="0.35">
      <c r="A1269">
        <v>517</v>
      </c>
      <c r="B1269">
        <v>4</v>
      </c>
      <c r="C1269" t="s">
        <v>9</v>
      </c>
      <c r="D1269" t="s">
        <v>10</v>
      </c>
      <c r="E1269">
        <v>14</v>
      </c>
      <c r="F1269">
        <v>24</v>
      </c>
      <c r="G1269">
        <v>1</v>
      </c>
      <c r="H1269">
        <v>6</v>
      </c>
      <c r="I1269" t="s">
        <v>11</v>
      </c>
    </row>
    <row r="1270" spans="1:9" x14ac:dyDescent="0.35">
      <c r="A1270">
        <v>517</v>
      </c>
      <c r="B1270">
        <v>4</v>
      </c>
      <c r="C1270" t="s">
        <v>29</v>
      </c>
      <c r="D1270" t="s">
        <v>30</v>
      </c>
      <c r="E1270">
        <v>11</v>
      </c>
      <c r="F1270">
        <v>19</v>
      </c>
      <c r="G1270">
        <v>3</v>
      </c>
      <c r="H1270">
        <v>44</v>
      </c>
      <c r="I1270" t="s">
        <v>11</v>
      </c>
    </row>
    <row r="1271" spans="1:9" x14ac:dyDescent="0.35">
      <c r="A1271">
        <v>517</v>
      </c>
      <c r="B1271">
        <v>4</v>
      </c>
      <c r="C1271" t="s">
        <v>35</v>
      </c>
      <c r="D1271" t="s">
        <v>36</v>
      </c>
      <c r="E1271">
        <v>13</v>
      </c>
      <c r="F1271">
        <v>22</v>
      </c>
      <c r="G1271">
        <v>1</v>
      </c>
      <c r="H1271">
        <v>15</v>
      </c>
      <c r="I1271" t="s">
        <v>14</v>
      </c>
    </row>
    <row r="1272" spans="1:9" x14ac:dyDescent="0.35">
      <c r="A1272">
        <v>518</v>
      </c>
      <c r="B1272">
        <v>5</v>
      </c>
      <c r="C1272" t="s">
        <v>25</v>
      </c>
      <c r="D1272" t="s">
        <v>26</v>
      </c>
      <c r="E1272">
        <v>20</v>
      </c>
      <c r="F1272">
        <v>33</v>
      </c>
      <c r="G1272">
        <v>1</v>
      </c>
      <c r="H1272">
        <v>48</v>
      </c>
      <c r="I1272" t="s">
        <v>11</v>
      </c>
    </row>
    <row r="1273" spans="1:9" x14ac:dyDescent="0.35">
      <c r="A1273">
        <v>518</v>
      </c>
      <c r="B1273">
        <v>5</v>
      </c>
      <c r="C1273" t="s">
        <v>35</v>
      </c>
      <c r="D1273" t="s">
        <v>36</v>
      </c>
      <c r="E1273">
        <v>13</v>
      </c>
      <c r="F1273">
        <v>22</v>
      </c>
      <c r="G1273">
        <v>2</v>
      </c>
      <c r="H1273">
        <v>5</v>
      </c>
      <c r="I1273" t="s">
        <v>14</v>
      </c>
    </row>
    <row r="1274" spans="1:9" x14ac:dyDescent="0.35">
      <c r="A1274">
        <v>519</v>
      </c>
      <c r="B1274">
        <v>6</v>
      </c>
      <c r="C1274" t="s">
        <v>17</v>
      </c>
      <c r="D1274" t="s">
        <v>18</v>
      </c>
      <c r="E1274">
        <v>16</v>
      </c>
      <c r="F1274">
        <v>27</v>
      </c>
      <c r="G1274">
        <v>3</v>
      </c>
      <c r="H1274">
        <v>49</v>
      </c>
      <c r="I1274" t="s">
        <v>11</v>
      </c>
    </row>
    <row r="1275" spans="1:9" x14ac:dyDescent="0.35">
      <c r="A1275">
        <v>519</v>
      </c>
      <c r="B1275">
        <v>6</v>
      </c>
      <c r="C1275" t="s">
        <v>19</v>
      </c>
      <c r="D1275" t="s">
        <v>20</v>
      </c>
      <c r="E1275">
        <v>25</v>
      </c>
      <c r="F1275">
        <v>40</v>
      </c>
      <c r="G1275">
        <v>3</v>
      </c>
      <c r="H1275">
        <v>51</v>
      </c>
      <c r="I1275" t="s">
        <v>14</v>
      </c>
    </row>
    <row r="1276" spans="1:9" x14ac:dyDescent="0.35">
      <c r="A1276">
        <v>519</v>
      </c>
      <c r="B1276">
        <v>6</v>
      </c>
      <c r="C1276" t="s">
        <v>35</v>
      </c>
      <c r="D1276" t="s">
        <v>36</v>
      </c>
      <c r="E1276">
        <v>13</v>
      </c>
      <c r="F1276">
        <v>22</v>
      </c>
      <c r="G1276">
        <v>2</v>
      </c>
      <c r="H1276">
        <v>56</v>
      </c>
      <c r="I1276" t="s">
        <v>11</v>
      </c>
    </row>
    <row r="1277" spans="1:9" x14ac:dyDescent="0.35">
      <c r="A1277">
        <v>520</v>
      </c>
      <c r="B1277">
        <v>4</v>
      </c>
      <c r="C1277" t="s">
        <v>23</v>
      </c>
      <c r="D1277" t="s">
        <v>24</v>
      </c>
      <c r="E1277">
        <v>17</v>
      </c>
      <c r="F1277">
        <v>29</v>
      </c>
      <c r="G1277">
        <v>1</v>
      </c>
      <c r="H1277">
        <v>46</v>
      </c>
      <c r="I1277" t="s">
        <v>11</v>
      </c>
    </row>
    <row r="1278" spans="1:9" x14ac:dyDescent="0.35">
      <c r="A1278">
        <v>520</v>
      </c>
      <c r="B1278">
        <v>4</v>
      </c>
      <c r="C1278" t="s">
        <v>37</v>
      </c>
      <c r="D1278" t="s">
        <v>38</v>
      </c>
      <c r="E1278">
        <v>20</v>
      </c>
      <c r="F1278">
        <v>34</v>
      </c>
      <c r="G1278">
        <v>2</v>
      </c>
      <c r="H1278">
        <v>21</v>
      </c>
      <c r="I1278" t="s">
        <v>11</v>
      </c>
    </row>
    <row r="1279" spans="1:9" x14ac:dyDescent="0.35">
      <c r="A1279">
        <v>520</v>
      </c>
      <c r="B1279">
        <v>4</v>
      </c>
      <c r="C1279" t="s">
        <v>15</v>
      </c>
      <c r="D1279" t="s">
        <v>16</v>
      </c>
      <c r="E1279">
        <v>19</v>
      </c>
      <c r="F1279">
        <v>31</v>
      </c>
      <c r="G1279">
        <v>3</v>
      </c>
      <c r="H1279">
        <v>22</v>
      </c>
      <c r="I1279" t="s">
        <v>14</v>
      </c>
    </row>
    <row r="1280" spans="1:9" x14ac:dyDescent="0.35">
      <c r="A1280">
        <v>520</v>
      </c>
      <c r="B1280">
        <v>4</v>
      </c>
      <c r="C1280" t="s">
        <v>12</v>
      </c>
      <c r="D1280" t="s">
        <v>13</v>
      </c>
      <c r="E1280">
        <v>18</v>
      </c>
      <c r="F1280">
        <v>30</v>
      </c>
      <c r="G1280">
        <v>3</v>
      </c>
      <c r="H1280">
        <v>32</v>
      </c>
      <c r="I1280" t="s">
        <v>11</v>
      </c>
    </row>
    <row r="1281" spans="1:9" x14ac:dyDescent="0.35">
      <c r="A1281">
        <v>521</v>
      </c>
      <c r="B1281">
        <v>18</v>
      </c>
      <c r="C1281" t="s">
        <v>49</v>
      </c>
      <c r="D1281" t="s">
        <v>50</v>
      </c>
      <c r="E1281">
        <v>15</v>
      </c>
      <c r="F1281">
        <v>25</v>
      </c>
      <c r="G1281">
        <v>2</v>
      </c>
      <c r="H1281">
        <v>52</v>
      </c>
      <c r="I1281" t="s">
        <v>14</v>
      </c>
    </row>
    <row r="1282" spans="1:9" x14ac:dyDescent="0.35">
      <c r="A1282">
        <v>521</v>
      </c>
      <c r="B1282">
        <v>18</v>
      </c>
      <c r="C1282" t="s">
        <v>23</v>
      </c>
      <c r="D1282" t="s">
        <v>24</v>
      </c>
      <c r="E1282">
        <v>17</v>
      </c>
      <c r="F1282">
        <v>29</v>
      </c>
      <c r="G1282">
        <v>2</v>
      </c>
      <c r="H1282">
        <v>18</v>
      </c>
      <c r="I1282" t="s">
        <v>11</v>
      </c>
    </row>
    <row r="1283" spans="1:9" x14ac:dyDescent="0.35">
      <c r="A1283">
        <v>521</v>
      </c>
      <c r="B1283">
        <v>18</v>
      </c>
      <c r="C1283" t="s">
        <v>37</v>
      </c>
      <c r="D1283" t="s">
        <v>38</v>
      </c>
      <c r="E1283">
        <v>20</v>
      </c>
      <c r="F1283">
        <v>34</v>
      </c>
      <c r="G1283">
        <v>3</v>
      </c>
      <c r="H1283">
        <v>21</v>
      </c>
      <c r="I1283" t="s">
        <v>14</v>
      </c>
    </row>
    <row r="1284" spans="1:9" x14ac:dyDescent="0.35">
      <c r="A1284">
        <v>522</v>
      </c>
      <c r="B1284">
        <v>2</v>
      </c>
      <c r="C1284" t="s">
        <v>27</v>
      </c>
      <c r="D1284" t="s">
        <v>28</v>
      </c>
      <c r="E1284">
        <v>16</v>
      </c>
      <c r="F1284">
        <v>28</v>
      </c>
      <c r="G1284">
        <v>3</v>
      </c>
      <c r="H1284">
        <v>47</v>
      </c>
      <c r="I1284" t="s">
        <v>14</v>
      </c>
    </row>
    <row r="1285" spans="1:9" x14ac:dyDescent="0.35">
      <c r="A1285">
        <v>523</v>
      </c>
      <c r="B1285">
        <v>4</v>
      </c>
      <c r="C1285" t="s">
        <v>17</v>
      </c>
      <c r="D1285" t="s">
        <v>18</v>
      </c>
      <c r="E1285">
        <v>16</v>
      </c>
      <c r="F1285">
        <v>27</v>
      </c>
      <c r="G1285">
        <v>3</v>
      </c>
      <c r="H1285">
        <v>51</v>
      </c>
      <c r="I1285" t="s">
        <v>11</v>
      </c>
    </row>
    <row r="1286" spans="1:9" x14ac:dyDescent="0.35">
      <c r="A1286">
        <v>524</v>
      </c>
      <c r="B1286">
        <v>16</v>
      </c>
      <c r="C1286" t="s">
        <v>35</v>
      </c>
      <c r="D1286" t="s">
        <v>36</v>
      </c>
      <c r="E1286">
        <v>13</v>
      </c>
      <c r="F1286">
        <v>22</v>
      </c>
      <c r="G1286">
        <v>1</v>
      </c>
      <c r="H1286">
        <v>46</v>
      </c>
      <c r="I1286" t="s">
        <v>14</v>
      </c>
    </row>
    <row r="1287" spans="1:9" x14ac:dyDescent="0.35">
      <c r="A1287">
        <v>524</v>
      </c>
      <c r="B1287">
        <v>16</v>
      </c>
      <c r="C1287" t="s">
        <v>17</v>
      </c>
      <c r="D1287" t="s">
        <v>18</v>
      </c>
      <c r="E1287">
        <v>16</v>
      </c>
      <c r="F1287">
        <v>27</v>
      </c>
      <c r="G1287">
        <v>2</v>
      </c>
      <c r="H1287">
        <v>15</v>
      </c>
      <c r="I1287" t="s">
        <v>11</v>
      </c>
    </row>
    <row r="1288" spans="1:9" x14ac:dyDescent="0.35">
      <c r="A1288">
        <v>525</v>
      </c>
      <c r="B1288">
        <v>16</v>
      </c>
      <c r="C1288" t="s">
        <v>41</v>
      </c>
      <c r="D1288" t="s">
        <v>42</v>
      </c>
      <c r="E1288">
        <v>14</v>
      </c>
      <c r="F1288">
        <v>23</v>
      </c>
      <c r="G1288">
        <v>3</v>
      </c>
      <c r="H1288">
        <v>23</v>
      </c>
      <c r="I1288" t="s">
        <v>14</v>
      </c>
    </row>
    <row r="1289" spans="1:9" x14ac:dyDescent="0.35">
      <c r="A1289">
        <v>525</v>
      </c>
      <c r="B1289">
        <v>16</v>
      </c>
      <c r="C1289" t="s">
        <v>31</v>
      </c>
      <c r="D1289" t="s">
        <v>32</v>
      </c>
      <c r="E1289">
        <v>21</v>
      </c>
      <c r="F1289">
        <v>35</v>
      </c>
      <c r="G1289">
        <v>1</v>
      </c>
      <c r="H1289">
        <v>14</v>
      </c>
      <c r="I1289" t="s">
        <v>11</v>
      </c>
    </row>
    <row r="1290" spans="1:9" x14ac:dyDescent="0.35">
      <c r="A1290">
        <v>525</v>
      </c>
      <c r="B1290">
        <v>16</v>
      </c>
      <c r="C1290" t="s">
        <v>15</v>
      </c>
      <c r="D1290" t="s">
        <v>16</v>
      </c>
      <c r="E1290">
        <v>19</v>
      </c>
      <c r="F1290">
        <v>31</v>
      </c>
      <c r="G1290">
        <v>3</v>
      </c>
      <c r="H1290">
        <v>40</v>
      </c>
      <c r="I1290" t="s">
        <v>14</v>
      </c>
    </row>
    <row r="1291" spans="1:9" x14ac:dyDescent="0.35">
      <c r="A1291">
        <v>526</v>
      </c>
      <c r="B1291">
        <v>4</v>
      </c>
      <c r="C1291" t="s">
        <v>25</v>
      </c>
      <c r="D1291" t="s">
        <v>26</v>
      </c>
      <c r="E1291">
        <v>20</v>
      </c>
      <c r="F1291">
        <v>33</v>
      </c>
      <c r="G1291">
        <v>1</v>
      </c>
      <c r="H1291">
        <v>22</v>
      </c>
      <c r="I1291" t="s">
        <v>11</v>
      </c>
    </row>
    <row r="1292" spans="1:9" x14ac:dyDescent="0.35">
      <c r="A1292">
        <v>527</v>
      </c>
      <c r="B1292">
        <v>19</v>
      </c>
      <c r="C1292" t="s">
        <v>17</v>
      </c>
      <c r="D1292" t="s">
        <v>18</v>
      </c>
      <c r="E1292">
        <v>16</v>
      </c>
      <c r="F1292">
        <v>27</v>
      </c>
      <c r="G1292">
        <v>2</v>
      </c>
      <c r="H1292">
        <v>31</v>
      </c>
      <c r="I1292" t="s">
        <v>11</v>
      </c>
    </row>
    <row r="1293" spans="1:9" x14ac:dyDescent="0.35">
      <c r="A1293">
        <v>528</v>
      </c>
      <c r="B1293">
        <v>14</v>
      </c>
      <c r="C1293" t="s">
        <v>39</v>
      </c>
      <c r="D1293" t="s">
        <v>40</v>
      </c>
      <c r="E1293">
        <v>12</v>
      </c>
      <c r="F1293">
        <v>20</v>
      </c>
      <c r="G1293">
        <v>1</v>
      </c>
      <c r="H1293">
        <v>29</v>
      </c>
      <c r="I1293" t="s">
        <v>11</v>
      </c>
    </row>
    <row r="1294" spans="1:9" x14ac:dyDescent="0.35">
      <c r="A1294">
        <v>528</v>
      </c>
      <c r="B1294">
        <v>14</v>
      </c>
      <c r="C1294" t="s">
        <v>19</v>
      </c>
      <c r="D1294" t="s">
        <v>20</v>
      </c>
      <c r="E1294">
        <v>25</v>
      </c>
      <c r="F1294">
        <v>40</v>
      </c>
      <c r="G1294">
        <v>1</v>
      </c>
      <c r="H1294">
        <v>47</v>
      </c>
      <c r="I1294" t="s">
        <v>11</v>
      </c>
    </row>
    <row r="1295" spans="1:9" x14ac:dyDescent="0.35">
      <c r="A1295">
        <v>528</v>
      </c>
      <c r="B1295">
        <v>14</v>
      </c>
      <c r="C1295" t="s">
        <v>45</v>
      </c>
      <c r="D1295" t="s">
        <v>46</v>
      </c>
      <c r="E1295">
        <v>10</v>
      </c>
      <c r="F1295">
        <v>18</v>
      </c>
      <c r="G1295">
        <v>1</v>
      </c>
      <c r="H1295">
        <v>45</v>
      </c>
      <c r="I1295" t="s">
        <v>14</v>
      </c>
    </row>
    <row r="1296" spans="1:9" x14ac:dyDescent="0.35">
      <c r="A1296">
        <v>529</v>
      </c>
      <c r="B1296">
        <v>1</v>
      </c>
      <c r="C1296" t="s">
        <v>37</v>
      </c>
      <c r="D1296" t="s">
        <v>38</v>
      </c>
      <c r="E1296">
        <v>20</v>
      </c>
      <c r="F1296">
        <v>34</v>
      </c>
      <c r="G1296">
        <v>1</v>
      </c>
      <c r="H1296">
        <v>24</v>
      </c>
      <c r="I1296" t="s">
        <v>14</v>
      </c>
    </row>
    <row r="1297" spans="1:9" x14ac:dyDescent="0.35">
      <c r="A1297">
        <v>529</v>
      </c>
      <c r="B1297">
        <v>1</v>
      </c>
      <c r="C1297" t="s">
        <v>21</v>
      </c>
      <c r="D1297" t="s">
        <v>22</v>
      </c>
      <c r="E1297">
        <v>22</v>
      </c>
      <c r="F1297">
        <v>36</v>
      </c>
      <c r="G1297">
        <v>2</v>
      </c>
      <c r="H1297">
        <v>51</v>
      </c>
      <c r="I1297" t="s">
        <v>11</v>
      </c>
    </row>
    <row r="1298" spans="1:9" x14ac:dyDescent="0.35">
      <c r="A1298">
        <v>529</v>
      </c>
      <c r="B1298">
        <v>1</v>
      </c>
      <c r="C1298" t="s">
        <v>41</v>
      </c>
      <c r="D1298" t="s">
        <v>42</v>
      </c>
      <c r="E1298">
        <v>14</v>
      </c>
      <c r="F1298">
        <v>23</v>
      </c>
      <c r="G1298">
        <v>2</v>
      </c>
      <c r="H1298">
        <v>27</v>
      </c>
      <c r="I1298" t="s">
        <v>14</v>
      </c>
    </row>
    <row r="1299" spans="1:9" x14ac:dyDescent="0.35">
      <c r="A1299">
        <v>529</v>
      </c>
      <c r="B1299">
        <v>1</v>
      </c>
      <c r="C1299" t="s">
        <v>27</v>
      </c>
      <c r="D1299" t="s">
        <v>28</v>
      </c>
      <c r="E1299">
        <v>16</v>
      </c>
      <c r="F1299">
        <v>28</v>
      </c>
      <c r="G1299">
        <v>2</v>
      </c>
      <c r="H1299">
        <v>55</v>
      </c>
      <c r="I1299" t="s">
        <v>11</v>
      </c>
    </row>
    <row r="1300" spans="1:9" x14ac:dyDescent="0.35">
      <c r="A1300">
        <v>530</v>
      </c>
      <c r="B1300">
        <v>7</v>
      </c>
      <c r="C1300" t="s">
        <v>45</v>
      </c>
      <c r="D1300" t="s">
        <v>46</v>
      </c>
      <c r="E1300">
        <v>10</v>
      </c>
      <c r="F1300">
        <v>18</v>
      </c>
      <c r="G1300">
        <v>3</v>
      </c>
      <c r="H1300">
        <v>37</v>
      </c>
      <c r="I1300" t="s">
        <v>14</v>
      </c>
    </row>
    <row r="1301" spans="1:9" x14ac:dyDescent="0.35">
      <c r="A1301">
        <v>530</v>
      </c>
      <c r="B1301">
        <v>7</v>
      </c>
      <c r="C1301" t="s">
        <v>27</v>
      </c>
      <c r="D1301" t="s">
        <v>28</v>
      </c>
      <c r="E1301">
        <v>16</v>
      </c>
      <c r="F1301">
        <v>28</v>
      </c>
      <c r="G1301">
        <v>2</v>
      </c>
      <c r="H1301">
        <v>50</v>
      </c>
      <c r="I1301" t="s">
        <v>14</v>
      </c>
    </row>
    <row r="1302" spans="1:9" x14ac:dyDescent="0.35">
      <c r="A1302">
        <v>530</v>
      </c>
      <c r="B1302">
        <v>7</v>
      </c>
      <c r="C1302" t="s">
        <v>49</v>
      </c>
      <c r="D1302" t="s">
        <v>50</v>
      </c>
      <c r="E1302">
        <v>15</v>
      </c>
      <c r="F1302">
        <v>25</v>
      </c>
      <c r="G1302">
        <v>2</v>
      </c>
      <c r="H1302">
        <v>19</v>
      </c>
      <c r="I1302" t="s">
        <v>11</v>
      </c>
    </row>
    <row r="1303" spans="1:9" x14ac:dyDescent="0.35">
      <c r="A1303">
        <v>531</v>
      </c>
      <c r="B1303">
        <v>9</v>
      </c>
      <c r="C1303" t="s">
        <v>43</v>
      </c>
      <c r="D1303" t="s">
        <v>44</v>
      </c>
      <c r="E1303">
        <v>13</v>
      </c>
      <c r="F1303">
        <v>21</v>
      </c>
      <c r="G1303">
        <v>3</v>
      </c>
      <c r="H1303">
        <v>41</v>
      </c>
      <c r="I1303" t="s">
        <v>11</v>
      </c>
    </row>
    <row r="1304" spans="1:9" x14ac:dyDescent="0.35">
      <c r="A1304">
        <v>531</v>
      </c>
      <c r="B1304">
        <v>9</v>
      </c>
      <c r="C1304" t="s">
        <v>19</v>
      </c>
      <c r="D1304" t="s">
        <v>20</v>
      </c>
      <c r="E1304">
        <v>25</v>
      </c>
      <c r="F1304">
        <v>40</v>
      </c>
      <c r="G1304">
        <v>1</v>
      </c>
      <c r="H1304">
        <v>43</v>
      </c>
      <c r="I1304" t="s">
        <v>11</v>
      </c>
    </row>
    <row r="1305" spans="1:9" x14ac:dyDescent="0.35">
      <c r="A1305">
        <v>531</v>
      </c>
      <c r="B1305">
        <v>9</v>
      </c>
      <c r="C1305" t="s">
        <v>45</v>
      </c>
      <c r="D1305" t="s">
        <v>46</v>
      </c>
      <c r="E1305">
        <v>10</v>
      </c>
      <c r="F1305">
        <v>18</v>
      </c>
      <c r="G1305">
        <v>3</v>
      </c>
      <c r="H1305">
        <v>56</v>
      </c>
      <c r="I1305" t="s">
        <v>14</v>
      </c>
    </row>
    <row r="1306" spans="1:9" x14ac:dyDescent="0.35">
      <c r="A1306">
        <v>531</v>
      </c>
      <c r="B1306">
        <v>9</v>
      </c>
      <c r="C1306" t="s">
        <v>23</v>
      </c>
      <c r="D1306" t="s">
        <v>24</v>
      </c>
      <c r="E1306">
        <v>17</v>
      </c>
      <c r="F1306">
        <v>29</v>
      </c>
      <c r="G1306">
        <v>3</v>
      </c>
      <c r="H1306">
        <v>59</v>
      </c>
      <c r="I1306" t="s">
        <v>14</v>
      </c>
    </row>
    <row r="1307" spans="1:9" x14ac:dyDescent="0.35">
      <c r="A1307">
        <v>532</v>
      </c>
      <c r="B1307">
        <v>13</v>
      </c>
      <c r="C1307" t="s">
        <v>43</v>
      </c>
      <c r="D1307" t="s">
        <v>44</v>
      </c>
      <c r="E1307">
        <v>13</v>
      </c>
      <c r="F1307">
        <v>21</v>
      </c>
      <c r="G1307">
        <v>1</v>
      </c>
      <c r="H1307">
        <v>24</v>
      </c>
      <c r="I1307" t="s">
        <v>14</v>
      </c>
    </row>
    <row r="1308" spans="1:9" x14ac:dyDescent="0.35">
      <c r="A1308">
        <v>532</v>
      </c>
      <c r="B1308">
        <v>13</v>
      </c>
      <c r="C1308" t="s">
        <v>47</v>
      </c>
      <c r="D1308" t="s">
        <v>48</v>
      </c>
      <c r="E1308">
        <v>15</v>
      </c>
      <c r="F1308">
        <v>26</v>
      </c>
      <c r="G1308">
        <v>2</v>
      </c>
      <c r="H1308">
        <v>28</v>
      </c>
      <c r="I1308" t="s">
        <v>11</v>
      </c>
    </row>
    <row r="1309" spans="1:9" x14ac:dyDescent="0.35">
      <c r="A1309">
        <v>532</v>
      </c>
      <c r="B1309">
        <v>13</v>
      </c>
      <c r="C1309" t="s">
        <v>33</v>
      </c>
      <c r="D1309" t="s">
        <v>34</v>
      </c>
      <c r="E1309">
        <v>19</v>
      </c>
      <c r="F1309">
        <v>32</v>
      </c>
      <c r="G1309">
        <v>2</v>
      </c>
      <c r="H1309">
        <v>7</v>
      </c>
      <c r="I1309" t="s">
        <v>14</v>
      </c>
    </row>
    <row r="1310" spans="1:9" x14ac:dyDescent="0.35">
      <c r="A1310">
        <v>533</v>
      </c>
      <c r="B1310">
        <v>1</v>
      </c>
      <c r="C1310" t="s">
        <v>39</v>
      </c>
      <c r="D1310" t="s">
        <v>40</v>
      </c>
      <c r="E1310">
        <v>12</v>
      </c>
      <c r="F1310">
        <v>20</v>
      </c>
      <c r="G1310">
        <v>1</v>
      </c>
      <c r="H1310">
        <v>34</v>
      </c>
      <c r="I1310" t="s">
        <v>11</v>
      </c>
    </row>
    <row r="1311" spans="1:9" x14ac:dyDescent="0.35">
      <c r="A1311">
        <v>533</v>
      </c>
      <c r="B1311">
        <v>1</v>
      </c>
      <c r="C1311" t="s">
        <v>43</v>
      </c>
      <c r="D1311" t="s">
        <v>44</v>
      </c>
      <c r="E1311">
        <v>13</v>
      </c>
      <c r="F1311">
        <v>21</v>
      </c>
      <c r="G1311">
        <v>1</v>
      </c>
      <c r="H1311">
        <v>14</v>
      </c>
      <c r="I1311" t="s">
        <v>14</v>
      </c>
    </row>
    <row r="1312" spans="1:9" x14ac:dyDescent="0.35">
      <c r="A1312">
        <v>534</v>
      </c>
      <c r="B1312">
        <v>1</v>
      </c>
      <c r="C1312" t="s">
        <v>9</v>
      </c>
      <c r="D1312" t="s">
        <v>10</v>
      </c>
      <c r="E1312">
        <v>14</v>
      </c>
      <c r="F1312">
        <v>24</v>
      </c>
      <c r="G1312">
        <v>2</v>
      </c>
      <c r="H1312">
        <v>56</v>
      </c>
      <c r="I1312" t="s">
        <v>14</v>
      </c>
    </row>
    <row r="1313" spans="1:9" x14ac:dyDescent="0.35">
      <c r="A1313">
        <v>534</v>
      </c>
      <c r="B1313">
        <v>1</v>
      </c>
      <c r="C1313" t="s">
        <v>23</v>
      </c>
      <c r="D1313" t="s">
        <v>24</v>
      </c>
      <c r="E1313">
        <v>17</v>
      </c>
      <c r="F1313">
        <v>29</v>
      </c>
      <c r="G1313">
        <v>1</v>
      </c>
      <c r="H1313">
        <v>10</v>
      </c>
      <c r="I1313" t="s">
        <v>14</v>
      </c>
    </row>
    <row r="1314" spans="1:9" x14ac:dyDescent="0.35">
      <c r="A1314">
        <v>534</v>
      </c>
      <c r="B1314">
        <v>1</v>
      </c>
      <c r="C1314" t="s">
        <v>31</v>
      </c>
      <c r="D1314" t="s">
        <v>32</v>
      </c>
      <c r="E1314">
        <v>21</v>
      </c>
      <c r="F1314">
        <v>35</v>
      </c>
      <c r="G1314">
        <v>2</v>
      </c>
      <c r="H1314">
        <v>10</v>
      </c>
      <c r="I1314" t="s">
        <v>11</v>
      </c>
    </row>
    <row r="1315" spans="1:9" x14ac:dyDescent="0.35">
      <c r="A1315">
        <v>535</v>
      </c>
      <c r="B1315">
        <v>15</v>
      </c>
      <c r="C1315" t="s">
        <v>19</v>
      </c>
      <c r="D1315" t="s">
        <v>20</v>
      </c>
      <c r="E1315">
        <v>25</v>
      </c>
      <c r="F1315">
        <v>40</v>
      </c>
      <c r="G1315">
        <v>3</v>
      </c>
      <c r="H1315">
        <v>48</v>
      </c>
      <c r="I1315" t="s">
        <v>14</v>
      </c>
    </row>
    <row r="1316" spans="1:9" x14ac:dyDescent="0.35">
      <c r="A1316">
        <v>535</v>
      </c>
      <c r="B1316">
        <v>15</v>
      </c>
      <c r="C1316" t="s">
        <v>23</v>
      </c>
      <c r="D1316" t="s">
        <v>24</v>
      </c>
      <c r="E1316">
        <v>17</v>
      </c>
      <c r="F1316">
        <v>29</v>
      </c>
      <c r="G1316">
        <v>3</v>
      </c>
      <c r="H1316">
        <v>9</v>
      </c>
      <c r="I1316" t="s">
        <v>11</v>
      </c>
    </row>
    <row r="1317" spans="1:9" x14ac:dyDescent="0.35">
      <c r="A1317">
        <v>535</v>
      </c>
      <c r="B1317">
        <v>15</v>
      </c>
      <c r="C1317" t="s">
        <v>9</v>
      </c>
      <c r="D1317" t="s">
        <v>10</v>
      </c>
      <c r="E1317">
        <v>14</v>
      </c>
      <c r="F1317">
        <v>24</v>
      </c>
      <c r="G1317">
        <v>2</v>
      </c>
      <c r="H1317">
        <v>42</v>
      </c>
      <c r="I1317" t="s">
        <v>11</v>
      </c>
    </row>
    <row r="1318" spans="1:9" x14ac:dyDescent="0.35">
      <c r="A1318">
        <v>535</v>
      </c>
      <c r="B1318">
        <v>15</v>
      </c>
      <c r="C1318" t="s">
        <v>43</v>
      </c>
      <c r="D1318" t="s">
        <v>44</v>
      </c>
      <c r="E1318">
        <v>13</v>
      </c>
      <c r="F1318">
        <v>21</v>
      </c>
      <c r="G1318">
        <v>1</v>
      </c>
      <c r="H1318">
        <v>14</v>
      </c>
      <c r="I1318" t="s">
        <v>11</v>
      </c>
    </row>
    <row r="1319" spans="1:9" x14ac:dyDescent="0.35">
      <c r="A1319">
        <v>536</v>
      </c>
      <c r="B1319">
        <v>9</v>
      </c>
      <c r="C1319" t="s">
        <v>45</v>
      </c>
      <c r="D1319" t="s">
        <v>46</v>
      </c>
      <c r="E1319">
        <v>10</v>
      </c>
      <c r="F1319">
        <v>18</v>
      </c>
      <c r="G1319">
        <v>1</v>
      </c>
      <c r="H1319">
        <v>29</v>
      </c>
      <c r="I1319" t="s">
        <v>14</v>
      </c>
    </row>
    <row r="1320" spans="1:9" x14ac:dyDescent="0.35">
      <c r="A1320">
        <v>536</v>
      </c>
      <c r="B1320">
        <v>9</v>
      </c>
      <c r="C1320" t="s">
        <v>23</v>
      </c>
      <c r="D1320" t="s">
        <v>24</v>
      </c>
      <c r="E1320">
        <v>17</v>
      </c>
      <c r="F1320">
        <v>29</v>
      </c>
      <c r="G1320">
        <v>2</v>
      </c>
      <c r="H1320">
        <v>52</v>
      </c>
      <c r="I1320" t="s">
        <v>11</v>
      </c>
    </row>
    <row r="1321" spans="1:9" x14ac:dyDescent="0.35">
      <c r="A1321">
        <v>536</v>
      </c>
      <c r="B1321">
        <v>9</v>
      </c>
      <c r="C1321" t="s">
        <v>41</v>
      </c>
      <c r="D1321" t="s">
        <v>42</v>
      </c>
      <c r="E1321">
        <v>14</v>
      </c>
      <c r="F1321">
        <v>23</v>
      </c>
      <c r="G1321">
        <v>2</v>
      </c>
      <c r="H1321">
        <v>38</v>
      </c>
      <c r="I1321" t="s">
        <v>11</v>
      </c>
    </row>
    <row r="1322" spans="1:9" x14ac:dyDescent="0.35">
      <c r="A1322">
        <v>536</v>
      </c>
      <c r="B1322">
        <v>9</v>
      </c>
      <c r="C1322" t="s">
        <v>12</v>
      </c>
      <c r="D1322" t="s">
        <v>13</v>
      </c>
      <c r="E1322">
        <v>18</v>
      </c>
      <c r="F1322">
        <v>30</v>
      </c>
      <c r="G1322">
        <v>3</v>
      </c>
      <c r="H1322">
        <v>33</v>
      </c>
      <c r="I1322" t="s">
        <v>11</v>
      </c>
    </row>
    <row r="1323" spans="1:9" x14ac:dyDescent="0.35">
      <c r="A1323">
        <v>537</v>
      </c>
      <c r="B1323">
        <v>18</v>
      </c>
      <c r="C1323" t="s">
        <v>43</v>
      </c>
      <c r="D1323" t="s">
        <v>44</v>
      </c>
      <c r="E1323">
        <v>13</v>
      </c>
      <c r="F1323">
        <v>21</v>
      </c>
      <c r="G1323">
        <v>3</v>
      </c>
      <c r="H1323">
        <v>21</v>
      </c>
      <c r="I1323" t="s">
        <v>14</v>
      </c>
    </row>
    <row r="1324" spans="1:9" x14ac:dyDescent="0.35">
      <c r="A1324">
        <v>538</v>
      </c>
      <c r="B1324">
        <v>14</v>
      </c>
      <c r="C1324" t="s">
        <v>12</v>
      </c>
      <c r="D1324" t="s">
        <v>13</v>
      </c>
      <c r="E1324">
        <v>18</v>
      </c>
      <c r="F1324">
        <v>30</v>
      </c>
      <c r="G1324">
        <v>1</v>
      </c>
      <c r="H1324">
        <v>55</v>
      </c>
      <c r="I1324" t="s">
        <v>14</v>
      </c>
    </row>
    <row r="1325" spans="1:9" x14ac:dyDescent="0.35">
      <c r="A1325">
        <v>538</v>
      </c>
      <c r="B1325">
        <v>14</v>
      </c>
      <c r="C1325" t="s">
        <v>41</v>
      </c>
      <c r="D1325" t="s">
        <v>42</v>
      </c>
      <c r="E1325">
        <v>14</v>
      </c>
      <c r="F1325">
        <v>23</v>
      </c>
      <c r="G1325">
        <v>1</v>
      </c>
      <c r="H1325">
        <v>39</v>
      </c>
      <c r="I1325" t="s">
        <v>11</v>
      </c>
    </row>
    <row r="1326" spans="1:9" x14ac:dyDescent="0.35">
      <c r="A1326">
        <v>538</v>
      </c>
      <c r="B1326">
        <v>14</v>
      </c>
      <c r="C1326" t="s">
        <v>25</v>
      </c>
      <c r="D1326" t="s">
        <v>26</v>
      </c>
      <c r="E1326">
        <v>20</v>
      </c>
      <c r="F1326">
        <v>33</v>
      </c>
      <c r="G1326">
        <v>1</v>
      </c>
      <c r="H1326">
        <v>58</v>
      </c>
      <c r="I1326" t="s">
        <v>14</v>
      </c>
    </row>
    <row r="1327" spans="1:9" x14ac:dyDescent="0.35">
      <c r="A1327">
        <v>538</v>
      </c>
      <c r="B1327">
        <v>14</v>
      </c>
      <c r="C1327" t="s">
        <v>27</v>
      </c>
      <c r="D1327" t="s">
        <v>28</v>
      </c>
      <c r="E1327">
        <v>16</v>
      </c>
      <c r="F1327">
        <v>28</v>
      </c>
      <c r="G1327">
        <v>2</v>
      </c>
      <c r="H1327">
        <v>46</v>
      </c>
      <c r="I1327" t="s">
        <v>11</v>
      </c>
    </row>
    <row r="1328" spans="1:9" x14ac:dyDescent="0.35">
      <c r="A1328">
        <v>539</v>
      </c>
      <c r="B1328">
        <v>18</v>
      </c>
      <c r="C1328" t="s">
        <v>12</v>
      </c>
      <c r="D1328" t="s">
        <v>13</v>
      </c>
      <c r="E1328">
        <v>18</v>
      </c>
      <c r="F1328">
        <v>30</v>
      </c>
      <c r="G1328">
        <v>3</v>
      </c>
      <c r="H1328">
        <v>43</v>
      </c>
      <c r="I1328" t="s">
        <v>14</v>
      </c>
    </row>
    <row r="1329" spans="1:9" x14ac:dyDescent="0.35">
      <c r="A1329">
        <v>539</v>
      </c>
      <c r="B1329">
        <v>18</v>
      </c>
      <c r="C1329" t="s">
        <v>17</v>
      </c>
      <c r="D1329" t="s">
        <v>18</v>
      </c>
      <c r="E1329">
        <v>16</v>
      </c>
      <c r="F1329">
        <v>27</v>
      </c>
      <c r="G1329">
        <v>1</v>
      </c>
      <c r="H1329">
        <v>40</v>
      </c>
      <c r="I1329" t="s">
        <v>14</v>
      </c>
    </row>
    <row r="1330" spans="1:9" x14ac:dyDescent="0.35">
      <c r="A1330">
        <v>539</v>
      </c>
      <c r="B1330">
        <v>18</v>
      </c>
      <c r="C1330" t="s">
        <v>23</v>
      </c>
      <c r="D1330" t="s">
        <v>24</v>
      </c>
      <c r="E1330">
        <v>17</v>
      </c>
      <c r="F1330">
        <v>29</v>
      </c>
      <c r="G1330">
        <v>3</v>
      </c>
      <c r="H1330">
        <v>18</v>
      </c>
      <c r="I1330" t="s">
        <v>11</v>
      </c>
    </row>
    <row r="1331" spans="1:9" x14ac:dyDescent="0.35">
      <c r="A1331">
        <v>539</v>
      </c>
      <c r="B1331">
        <v>18</v>
      </c>
      <c r="C1331" t="s">
        <v>45</v>
      </c>
      <c r="D1331" t="s">
        <v>46</v>
      </c>
      <c r="E1331">
        <v>10</v>
      </c>
      <c r="F1331">
        <v>18</v>
      </c>
      <c r="G1331">
        <v>2</v>
      </c>
      <c r="H1331">
        <v>28</v>
      </c>
      <c r="I1331" t="s">
        <v>11</v>
      </c>
    </row>
    <row r="1332" spans="1:9" x14ac:dyDescent="0.35">
      <c r="A1332">
        <v>540</v>
      </c>
      <c r="B1332">
        <v>6</v>
      </c>
      <c r="C1332" t="s">
        <v>45</v>
      </c>
      <c r="D1332" t="s">
        <v>46</v>
      </c>
      <c r="E1332">
        <v>10</v>
      </c>
      <c r="F1332">
        <v>18</v>
      </c>
      <c r="G1332">
        <v>3</v>
      </c>
      <c r="H1332">
        <v>47</v>
      </c>
      <c r="I1332" t="s">
        <v>11</v>
      </c>
    </row>
    <row r="1333" spans="1:9" x14ac:dyDescent="0.35">
      <c r="A1333">
        <v>540</v>
      </c>
      <c r="B1333">
        <v>6</v>
      </c>
      <c r="C1333" t="s">
        <v>31</v>
      </c>
      <c r="D1333" t="s">
        <v>32</v>
      </c>
      <c r="E1333">
        <v>21</v>
      </c>
      <c r="F1333">
        <v>35</v>
      </c>
      <c r="G1333">
        <v>2</v>
      </c>
      <c r="H1333">
        <v>35</v>
      </c>
      <c r="I1333" t="s">
        <v>11</v>
      </c>
    </row>
    <row r="1334" spans="1:9" x14ac:dyDescent="0.35">
      <c r="A1334">
        <v>541</v>
      </c>
      <c r="B1334">
        <v>19</v>
      </c>
      <c r="C1334" t="s">
        <v>29</v>
      </c>
      <c r="D1334" t="s">
        <v>30</v>
      </c>
      <c r="E1334">
        <v>11</v>
      </c>
      <c r="F1334">
        <v>19</v>
      </c>
      <c r="G1334">
        <v>2</v>
      </c>
      <c r="H1334">
        <v>31</v>
      </c>
      <c r="I1334" t="s">
        <v>11</v>
      </c>
    </row>
    <row r="1335" spans="1:9" x14ac:dyDescent="0.35">
      <c r="A1335">
        <v>541</v>
      </c>
      <c r="B1335">
        <v>19</v>
      </c>
      <c r="C1335" t="s">
        <v>25</v>
      </c>
      <c r="D1335" t="s">
        <v>26</v>
      </c>
      <c r="E1335">
        <v>20</v>
      </c>
      <c r="F1335">
        <v>33</v>
      </c>
      <c r="G1335">
        <v>2</v>
      </c>
      <c r="H1335">
        <v>21</v>
      </c>
      <c r="I1335" t="s">
        <v>11</v>
      </c>
    </row>
    <row r="1336" spans="1:9" x14ac:dyDescent="0.35">
      <c r="A1336">
        <v>541</v>
      </c>
      <c r="B1336">
        <v>19</v>
      </c>
      <c r="C1336" t="s">
        <v>23</v>
      </c>
      <c r="D1336" t="s">
        <v>24</v>
      </c>
      <c r="E1336">
        <v>17</v>
      </c>
      <c r="F1336">
        <v>29</v>
      </c>
      <c r="G1336">
        <v>1</v>
      </c>
      <c r="H1336">
        <v>35</v>
      </c>
      <c r="I1336" t="s">
        <v>11</v>
      </c>
    </row>
    <row r="1337" spans="1:9" x14ac:dyDescent="0.35">
      <c r="A1337">
        <v>541</v>
      </c>
      <c r="B1337">
        <v>19</v>
      </c>
      <c r="C1337" t="s">
        <v>41</v>
      </c>
      <c r="D1337" t="s">
        <v>42</v>
      </c>
      <c r="E1337">
        <v>14</v>
      </c>
      <c r="F1337">
        <v>23</v>
      </c>
      <c r="G1337">
        <v>3</v>
      </c>
      <c r="H1337">
        <v>37</v>
      </c>
      <c r="I1337" t="s">
        <v>11</v>
      </c>
    </row>
    <row r="1338" spans="1:9" x14ac:dyDescent="0.35">
      <c r="A1338">
        <v>542</v>
      </c>
      <c r="B1338">
        <v>9</v>
      </c>
      <c r="C1338" t="s">
        <v>37</v>
      </c>
      <c r="D1338" t="s">
        <v>38</v>
      </c>
      <c r="E1338">
        <v>20</v>
      </c>
      <c r="F1338">
        <v>34</v>
      </c>
      <c r="G1338">
        <v>2</v>
      </c>
      <c r="H1338">
        <v>17</v>
      </c>
      <c r="I1338" t="s">
        <v>14</v>
      </c>
    </row>
    <row r="1339" spans="1:9" x14ac:dyDescent="0.35">
      <c r="A1339">
        <v>542</v>
      </c>
      <c r="B1339">
        <v>9</v>
      </c>
      <c r="C1339" t="s">
        <v>47</v>
      </c>
      <c r="D1339" t="s">
        <v>48</v>
      </c>
      <c r="E1339">
        <v>15</v>
      </c>
      <c r="F1339">
        <v>26</v>
      </c>
      <c r="G1339">
        <v>1</v>
      </c>
      <c r="H1339">
        <v>46</v>
      </c>
      <c r="I1339" t="s">
        <v>11</v>
      </c>
    </row>
    <row r="1340" spans="1:9" x14ac:dyDescent="0.35">
      <c r="A1340">
        <v>542</v>
      </c>
      <c r="B1340">
        <v>9</v>
      </c>
      <c r="C1340" t="s">
        <v>17</v>
      </c>
      <c r="D1340" t="s">
        <v>18</v>
      </c>
      <c r="E1340">
        <v>16</v>
      </c>
      <c r="F1340">
        <v>27</v>
      </c>
      <c r="G1340">
        <v>2</v>
      </c>
      <c r="H1340">
        <v>52</v>
      </c>
      <c r="I1340" t="s">
        <v>14</v>
      </c>
    </row>
    <row r="1341" spans="1:9" x14ac:dyDescent="0.35">
      <c r="A1341">
        <v>543</v>
      </c>
      <c r="B1341">
        <v>19</v>
      </c>
      <c r="C1341" t="s">
        <v>27</v>
      </c>
      <c r="D1341" t="s">
        <v>28</v>
      </c>
      <c r="E1341">
        <v>16</v>
      </c>
      <c r="F1341">
        <v>28</v>
      </c>
      <c r="G1341">
        <v>2</v>
      </c>
      <c r="H1341">
        <v>27</v>
      </c>
      <c r="I1341" t="s">
        <v>14</v>
      </c>
    </row>
    <row r="1342" spans="1:9" x14ac:dyDescent="0.35">
      <c r="A1342">
        <v>543</v>
      </c>
      <c r="B1342">
        <v>19</v>
      </c>
      <c r="C1342" t="s">
        <v>17</v>
      </c>
      <c r="D1342" t="s">
        <v>18</v>
      </c>
      <c r="E1342">
        <v>16</v>
      </c>
      <c r="F1342">
        <v>27</v>
      </c>
      <c r="G1342">
        <v>2</v>
      </c>
      <c r="H1342">
        <v>5</v>
      </c>
      <c r="I1342" t="s">
        <v>11</v>
      </c>
    </row>
    <row r="1343" spans="1:9" x14ac:dyDescent="0.35">
      <c r="A1343">
        <v>543</v>
      </c>
      <c r="B1343">
        <v>19</v>
      </c>
      <c r="C1343" t="s">
        <v>33</v>
      </c>
      <c r="D1343" t="s">
        <v>34</v>
      </c>
      <c r="E1343">
        <v>19</v>
      </c>
      <c r="F1343">
        <v>32</v>
      </c>
      <c r="G1343">
        <v>3</v>
      </c>
      <c r="H1343">
        <v>42</v>
      </c>
      <c r="I1343" t="s">
        <v>14</v>
      </c>
    </row>
    <row r="1344" spans="1:9" x14ac:dyDescent="0.35">
      <c r="A1344">
        <v>544</v>
      </c>
      <c r="B1344">
        <v>7</v>
      </c>
      <c r="C1344" t="s">
        <v>31</v>
      </c>
      <c r="D1344" t="s">
        <v>32</v>
      </c>
      <c r="E1344">
        <v>21</v>
      </c>
      <c r="F1344">
        <v>35</v>
      </c>
      <c r="G1344">
        <v>2</v>
      </c>
      <c r="H1344">
        <v>48</v>
      </c>
      <c r="I1344" t="s">
        <v>11</v>
      </c>
    </row>
    <row r="1345" spans="1:9" x14ac:dyDescent="0.35">
      <c r="A1345">
        <v>545</v>
      </c>
      <c r="B1345">
        <v>20</v>
      </c>
      <c r="C1345" t="s">
        <v>25</v>
      </c>
      <c r="D1345" t="s">
        <v>26</v>
      </c>
      <c r="E1345">
        <v>20</v>
      </c>
      <c r="F1345">
        <v>33</v>
      </c>
      <c r="G1345">
        <v>3</v>
      </c>
      <c r="H1345">
        <v>57</v>
      </c>
      <c r="I1345" t="s">
        <v>14</v>
      </c>
    </row>
    <row r="1346" spans="1:9" x14ac:dyDescent="0.35">
      <c r="A1346">
        <v>545</v>
      </c>
      <c r="B1346">
        <v>20</v>
      </c>
      <c r="C1346" t="s">
        <v>15</v>
      </c>
      <c r="D1346" t="s">
        <v>16</v>
      </c>
      <c r="E1346">
        <v>19</v>
      </c>
      <c r="F1346">
        <v>31</v>
      </c>
      <c r="G1346">
        <v>1</v>
      </c>
      <c r="H1346">
        <v>42</v>
      </c>
      <c r="I1346" t="s">
        <v>14</v>
      </c>
    </row>
    <row r="1347" spans="1:9" x14ac:dyDescent="0.35">
      <c r="A1347">
        <v>546</v>
      </c>
      <c r="B1347">
        <v>5</v>
      </c>
      <c r="C1347" t="s">
        <v>33</v>
      </c>
      <c r="D1347" t="s">
        <v>34</v>
      </c>
      <c r="E1347">
        <v>19</v>
      </c>
      <c r="F1347">
        <v>32</v>
      </c>
      <c r="G1347">
        <v>2</v>
      </c>
      <c r="H1347">
        <v>33</v>
      </c>
      <c r="I1347" t="s">
        <v>14</v>
      </c>
    </row>
    <row r="1348" spans="1:9" x14ac:dyDescent="0.35">
      <c r="A1348">
        <v>546</v>
      </c>
      <c r="B1348">
        <v>5</v>
      </c>
      <c r="C1348" t="s">
        <v>27</v>
      </c>
      <c r="D1348" t="s">
        <v>28</v>
      </c>
      <c r="E1348">
        <v>16</v>
      </c>
      <c r="F1348">
        <v>28</v>
      </c>
      <c r="G1348">
        <v>1</v>
      </c>
      <c r="H1348">
        <v>58</v>
      </c>
      <c r="I1348" t="s">
        <v>14</v>
      </c>
    </row>
    <row r="1349" spans="1:9" x14ac:dyDescent="0.35">
      <c r="A1349">
        <v>547</v>
      </c>
      <c r="B1349">
        <v>9</v>
      </c>
      <c r="C1349" t="s">
        <v>15</v>
      </c>
      <c r="D1349" t="s">
        <v>16</v>
      </c>
      <c r="E1349">
        <v>19</v>
      </c>
      <c r="F1349">
        <v>31</v>
      </c>
      <c r="G1349">
        <v>3</v>
      </c>
      <c r="H1349">
        <v>13</v>
      </c>
      <c r="I1349" t="s">
        <v>11</v>
      </c>
    </row>
    <row r="1350" spans="1:9" x14ac:dyDescent="0.35">
      <c r="A1350">
        <v>547</v>
      </c>
      <c r="B1350">
        <v>9</v>
      </c>
      <c r="C1350" t="s">
        <v>25</v>
      </c>
      <c r="D1350" t="s">
        <v>26</v>
      </c>
      <c r="E1350">
        <v>20</v>
      </c>
      <c r="F1350">
        <v>33</v>
      </c>
      <c r="G1350">
        <v>3</v>
      </c>
      <c r="H1350">
        <v>54</v>
      </c>
      <c r="I1350" t="s">
        <v>14</v>
      </c>
    </row>
    <row r="1351" spans="1:9" x14ac:dyDescent="0.35">
      <c r="A1351">
        <v>547</v>
      </c>
      <c r="B1351">
        <v>9</v>
      </c>
      <c r="C1351" t="s">
        <v>31</v>
      </c>
      <c r="D1351" t="s">
        <v>32</v>
      </c>
      <c r="E1351">
        <v>21</v>
      </c>
      <c r="F1351">
        <v>35</v>
      </c>
      <c r="G1351">
        <v>1</v>
      </c>
      <c r="H1351">
        <v>30</v>
      </c>
      <c r="I1351" t="s">
        <v>14</v>
      </c>
    </row>
    <row r="1352" spans="1:9" x14ac:dyDescent="0.35">
      <c r="A1352">
        <v>548</v>
      </c>
      <c r="B1352">
        <v>4</v>
      </c>
      <c r="C1352" t="s">
        <v>37</v>
      </c>
      <c r="D1352" t="s">
        <v>38</v>
      </c>
      <c r="E1352">
        <v>20</v>
      </c>
      <c r="F1352">
        <v>34</v>
      </c>
      <c r="G1352">
        <v>1</v>
      </c>
      <c r="H1352">
        <v>58</v>
      </c>
      <c r="I1352" t="s">
        <v>14</v>
      </c>
    </row>
    <row r="1353" spans="1:9" x14ac:dyDescent="0.35">
      <c r="A1353">
        <v>548</v>
      </c>
      <c r="B1353">
        <v>4</v>
      </c>
      <c r="C1353" t="s">
        <v>15</v>
      </c>
      <c r="D1353" t="s">
        <v>16</v>
      </c>
      <c r="E1353">
        <v>19</v>
      </c>
      <c r="F1353">
        <v>31</v>
      </c>
      <c r="G1353">
        <v>2</v>
      </c>
      <c r="H1353">
        <v>48</v>
      </c>
      <c r="I1353" t="s">
        <v>14</v>
      </c>
    </row>
    <row r="1354" spans="1:9" x14ac:dyDescent="0.35">
      <c r="A1354">
        <v>549</v>
      </c>
      <c r="B1354">
        <v>12</v>
      </c>
      <c r="C1354" t="s">
        <v>49</v>
      </c>
      <c r="D1354" t="s">
        <v>50</v>
      </c>
      <c r="E1354">
        <v>15</v>
      </c>
      <c r="F1354">
        <v>25</v>
      </c>
      <c r="G1354">
        <v>1</v>
      </c>
      <c r="H1354">
        <v>19</v>
      </c>
      <c r="I1354" t="s">
        <v>11</v>
      </c>
    </row>
    <row r="1355" spans="1:9" x14ac:dyDescent="0.35">
      <c r="A1355">
        <v>549</v>
      </c>
      <c r="B1355">
        <v>12</v>
      </c>
      <c r="C1355" t="s">
        <v>31</v>
      </c>
      <c r="D1355" t="s">
        <v>32</v>
      </c>
      <c r="E1355">
        <v>21</v>
      </c>
      <c r="F1355">
        <v>35</v>
      </c>
      <c r="G1355">
        <v>1</v>
      </c>
      <c r="H1355">
        <v>20</v>
      </c>
      <c r="I1355" t="s">
        <v>14</v>
      </c>
    </row>
    <row r="1356" spans="1:9" x14ac:dyDescent="0.35">
      <c r="A1356">
        <v>549</v>
      </c>
      <c r="B1356">
        <v>12</v>
      </c>
      <c r="C1356" t="s">
        <v>37</v>
      </c>
      <c r="D1356" t="s">
        <v>38</v>
      </c>
      <c r="E1356">
        <v>20</v>
      </c>
      <c r="F1356">
        <v>34</v>
      </c>
      <c r="G1356">
        <v>3</v>
      </c>
      <c r="H1356">
        <v>59</v>
      </c>
      <c r="I1356" t="s">
        <v>11</v>
      </c>
    </row>
    <row r="1357" spans="1:9" x14ac:dyDescent="0.35">
      <c r="A1357">
        <v>550</v>
      </c>
      <c r="B1357">
        <v>1</v>
      </c>
      <c r="C1357" t="s">
        <v>12</v>
      </c>
      <c r="D1357" t="s">
        <v>13</v>
      </c>
      <c r="E1357">
        <v>18</v>
      </c>
      <c r="F1357">
        <v>30</v>
      </c>
      <c r="G1357">
        <v>2</v>
      </c>
      <c r="H1357">
        <v>28</v>
      </c>
      <c r="I1357" t="s">
        <v>14</v>
      </c>
    </row>
    <row r="1358" spans="1:9" x14ac:dyDescent="0.35">
      <c r="A1358">
        <v>550</v>
      </c>
      <c r="B1358">
        <v>1</v>
      </c>
      <c r="C1358" t="s">
        <v>9</v>
      </c>
      <c r="D1358" t="s">
        <v>10</v>
      </c>
      <c r="E1358">
        <v>14</v>
      </c>
      <c r="F1358">
        <v>24</v>
      </c>
      <c r="G1358">
        <v>1</v>
      </c>
      <c r="H1358">
        <v>5</v>
      </c>
      <c r="I1358" t="s">
        <v>11</v>
      </c>
    </row>
    <row r="1359" spans="1:9" x14ac:dyDescent="0.35">
      <c r="A1359">
        <v>550</v>
      </c>
      <c r="B1359">
        <v>1</v>
      </c>
      <c r="C1359" t="s">
        <v>39</v>
      </c>
      <c r="D1359" t="s">
        <v>40</v>
      </c>
      <c r="E1359">
        <v>12</v>
      </c>
      <c r="F1359">
        <v>20</v>
      </c>
      <c r="G1359">
        <v>2</v>
      </c>
      <c r="H1359">
        <v>24</v>
      </c>
      <c r="I1359" t="s">
        <v>11</v>
      </c>
    </row>
    <row r="1360" spans="1:9" x14ac:dyDescent="0.35">
      <c r="A1360">
        <v>551</v>
      </c>
      <c r="B1360">
        <v>4</v>
      </c>
      <c r="C1360" t="s">
        <v>12</v>
      </c>
      <c r="D1360" t="s">
        <v>13</v>
      </c>
      <c r="E1360">
        <v>18</v>
      </c>
      <c r="F1360">
        <v>30</v>
      </c>
      <c r="G1360">
        <v>1</v>
      </c>
      <c r="H1360">
        <v>32</v>
      </c>
      <c r="I1360" t="s">
        <v>14</v>
      </c>
    </row>
    <row r="1361" spans="1:9" x14ac:dyDescent="0.35">
      <c r="A1361">
        <v>551</v>
      </c>
      <c r="B1361">
        <v>4</v>
      </c>
      <c r="C1361" t="s">
        <v>39</v>
      </c>
      <c r="D1361" t="s">
        <v>40</v>
      </c>
      <c r="E1361">
        <v>12</v>
      </c>
      <c r="F1361">
        <v>20</v>
      </c>
      <c r="G1361">
        <v>3</v>
      </c>
      <c r="H1361">
        <v>11</v>
      </c>
      <c r="I1361" t="s">
        <v>11</v>
      </c>
    </row>
    <row r="1362" spans="1:9" x14ac:dyDescent="0.35">
      <c r="A1362">
        <v>551</v>
      </c>
      <c r="B1362">
        <v>4</v>
      </c>
      <c r="C1362" t="s">
        <v>45</v>
      </c>
      <c r="D1362" t="s">
        <v>46</v>
      </c>
      <c r="E1362">
        <v>10</v>
      </c>
      <c r="F1362">
        <v>18</v>
      </c>
      <c r="G1362">
        <v>1</v>
      </c>
      <c r="H1362">
        <v>29</v>
      </c>
      <c r="I1362" t="s">
        <v>11</v>
      </c>
    </row>
    <row r="1363" spans="1:9" x14ac:dyDescent="0.35">
      <c r="A1363">
        <v>551</v>
      </c>
      <c r="B1363">
        <v>4</v>
      </c>
      <c r="C1363" t="s">
        <v>43</v>
      </c>
      <c r="D1363" t="s">
        <v>44</v>
      </c>
      <c r="E1363">
        <v>13</v>
      </c>
      <c r="F1363">
        <v>21</v>
      </c>
      <c r="G1363">
        <v>3</v>
      </c>
      <c r="H1363">
        <v>51</v>
      </c>
      <c r="I1363" t="s">
        <v>14</v>
      </c>
    </row>
    <row r="1364" spans="1:9" x14ac:dyDescent="0.35">
      <c r="A1364">
        <v>552</v>
      </c>
      <c r="B1364">
        <v>11</v>
      </c>
      <c r="C1364" t="s">
        <v>19</v>
      </c>
      <c r="D1364" t="s">
        <v>20</v>
      </c>
      <c r="E1364">
        <v>25</v>
      </c>
      <c r="F1364">
        <v>40</v>
      </c>
      <c r="G1364">
        <v>3</v>
      </c>
      <c r="H1364">
        <v>26</v>
      </c>
      <c r="I1364" t="s">
        <v>14</v>
      </c>
    </row>
    <row r="1365" spans="1:9" x14ac:dyDescent="0.35">
      <c r="A1365">
        <v>552</v>
      </c>
      <c r="B1365">
        <v>11</v>
      </c>
      <c r="C1365" t="s">
        <v>43</v>
      </c>
      <c r="D1365" t="s">
        <v>44</v>
      </c>
      <c r="E1365">
        <v>13</v>
      </c>
      <c r="F1365">
        <v>21</v>
      </c>
      <c r="G1365">
        <v>3</v>
      </c>
      <c r="H1365">
        <v>57</v>
      </c>
      <c r="I1365" t="s">
        <v>14</v>
      </c>
    </row>
    <row r="1366" spans="1:9" x14ac:dyDescent="0.35">
      <c r="A1366">
        <v>552</v>
      </c>
      <c r="B1366">
        <v>11</v>
      </c>
      <c r="C1366" t="s">
        <v>39</v>
      </c>
      <c r="D1366" t="s">
        <v>40</v>
      </c>
      <c r="E1366">
        <v>12</v>
      </c>
      <c r="F1366">
        <v>20</v>
      </c>
      <c r="G1366">
        <v>3</v>
      </c>
      <c r="H1366">
        <v>32</v>
      </c>
      <c r="I1366" t="s">
        <v>14</v>
      </c>
    </row>
    <row r="1367" spans="1:9" x14ac:dyDescent="0.35">
      <c r="A1367">
        <v>553</v>
      </c>
      <c r="B1367">
        <v>14</v>
      </c>
      <c r="C1367" t="s">
        <v>12</v>
      </c>
      <c r="D1367" t="s">
        <v>13</v>
      </c>
      <c r="E1367">
        <v>18</v>
      </c>
      <c r="F1367">
        <v>30</v>
      </c>
      <c r="G1367">
        <v>3</v>
      </c>
      <c r="H1367">
        <v>26</v>
      </c>
      <c r="I1367" t="s">
        <v>14</v>
      </c>
    </row>
    <row r="1368" spans="1:9" x14ac:dyDescent="0.35">
      <c r="A1368">
        <v>553</v>
      </c>
      <c r="B1368">
        <v>14</v>
      </c>
      <c r="C1368" t="s">
        <v>49</v>
      </c>
      <c r="D1368" t="s">
        <v>50</v>
      </c>
      <c r="E1368">
        <v>15</v>
      </c>
      <c r="F1368">
        <v>25</v>
      </c>
      <c r="G1368">
        <v>2</v>
      </c>
      <c r="H1368">
        <v>56</v>
      </c>
      <c r="I1368" t="s">
        <v>11</v>
      </c>
    </row>
    <row r="1369" spans="1:9" x14ac:dyDescent="0.35">
      <c r="A1369">
        <v>553</v>
      </c>
      <c r="B1369">
        <v>14</v>
      </c>
      <c r="C1369" t="s">
        <v>35</v>
      </c>
      <c r="D1369" t="s">
        <v>36</v>
      </c>
      <c r="E1369">
        <v>13</v>
      </c>
      <c r="F1369">
        <v>22</v>
      </c>
      <c r="G1369">
        <v>2</v>
      </c>
      <c r="H1369">
        <v>54</v>
      </c>
      <c r="I1369" t="s">
        <v>11</v>
      </c>
    </row>
    <row r="1370" spans="1:9" x14ac:dyDescent="0.35">
      <c r="A1370">
        <v>553</v>
      </c>
      <c r="B1370">
        <v>14</v>
      </c>
      <c r="C1370" t="s">
        <v>29</v>
      </c>
      <c r="D1370" t="s">
        <v>30</v>
      </c>
      <c r="E1370">
        <v>11</v>
      </c>
      <c r="F1370">
        <v>19</v>
      </c>
      <c r="G1370">
        <v>1</v>
      </c>
      <c r="H1370">
        <v>42</v>
      </c>
      <c r="I1370" t="s">
        <v>14</v>
      </c>
    </row>
    <row r="1371" spans="1:9" x14ac:dyDescent="0.35">
      <c r="A1371">
        <v>554</v>
      </c>
      <c r="B1371">
        <v>10</v>
      </c>
      <c r="C1371" t="s">
        <v>41</v>
      </c>
      <c r="D1371" t="s">
        <v>42</v>
      </c>
      <c r="E1371">
        <v>14</v>
      </c>
      <c r="F1371">
        <v>23</v>
      </c>
      <c r="G1371">
        <v>2</v>
      </c>
      <c r="H1371">
        <v>55</v>
      </c>
      <c r="I1371" t="s">
        <v>14</v>
      </c>
    </row>
    <row r="1372" spans="1:9" x14ac:dyDescent="0.35">
      <c r="A1372">
        <v>554</v>
      </c>
      <c r="B1372">
        <v>10</v>
      </c>
      <c r="C1372" t="s">
        <v>19</v>
      </c>
      <c r="D1372" t="s">
        <v>20</v>
      </c>
      <c r="E1372">
        <v>25</v>
      </c>
      <c r="F1372">
        <v>40</v>
      </c>
      <c r="G1372">
        <v>3</v>
      </c>
      <c r="H1372">
        <v>16</v>
      </c>
      <c r="I1372" t="s">
        <v>11</v>
      </c>
    </row>
    <row r="1373" spans="1:9" x14ac:dyDescent="0.35">
      <c r="A1373">
        <v>555</v>
      </c>
      <c r="B1373">
        <v>20</v>
      </c>
      <c r="C1373" t="s">
        <v>12</v>
      </c>
      <c r="D1373" t="s">
        <v>13</v>
      </c>
      <c r="E1373">
        <v>18</v>
      </c>
      <c r="F1373">
        <v>30</v>
      </c>
      <c r="G1373">
        <v>1</v>
      </c>
      <c r="H1373">
        <v>46</v>
      </c>
      <c r="I1373" t="s">
        <v>11</v>
      </c>
    </row>
    <row r="1374" spans="1:9" x14ac:dyDescent="0.35">
      <c r="A1374">
        <v>556</v>
      </c>
      <c r="B1374">
        <v>9</v>
      </c>
      <c r="C1374" t="s">
        <v>35</v>
      </c>
      <c r="D1374" t="s">
        <v>36</v>
      </c>
      <c r="E1374">
        <v>13</v>
      </c>
      <c r="F1374">
        <v>22</v>
      </c>
      <c r="G1374">
        <v>1</v>
      </c>
      <c r="H1374">
        <v>36</v>
      </c>
      <c r="I1374" t="s">
        <v>11</v>
      </c>
    </row>
    <row r="1375" spans="1:9" x14ac:dyDescent="0.35">
      <c r="A1375">
        <v>556</v>
      </c>
      <c r="B1375">
        <v>9</v>
      </c>
      <c r="C1375" t="s">
        <v>45</v>
      </c>
      <c r="D1375" t="s">
        <v>46</v>
      </c>
      <c r="E1375">
        <v>10</v>
      </c>
      <c r="F1375">
        <v>18</v>
      </c>
      <c r="G1375">
        <v>3</v>
      </c>
      <c r="H1375">
        <v>30</v>
      </c>
      <c r="I1375" t="s">
        <v>14</v>
      </c>
    </row>
    <row r="1376" spans="1:9" x14ac:dyDescent="0.35">
      <c r="A1376">
        <v>557</v>
      </c>
      <c r="B1376">
        <v>7</v>
      </c>
      <c r="C1376" t="s">
        <v>33</v>
      </c>
      <c r="D1376" t="s">
        <v>34</v>
      </c>
      <c r="E1376">
        <v>19</v>
      </c>
      <c r="F1376">
        <v>32</v>
      </c>
      <c r="G1376">
        <v>2</v>
      </c>
      <c r="H1376">
        <v>47</v>
      </c>
      <c r="I1376" t="s">
        <v>14</v>
      </c>
    </row>
    <row r="1377" spans="1:9" x14ac:dyDescent="0.35">
      <c r="A1377">
        <v>557</v>
      </c>
      <c r="B1377">
        <v>7</v>
      </c>
      <c r="C1377" t="s">
        <v>43</v>
      </c>
      <c r="D1377" t="s">
        <v>44</v>
      </c>
      <c r="E1377">
        <v>13</v>
      </c>
      <c r="F1377">
        <v>21</v>
      </c>
      <c r="G1377">
        <v>3</v>
      </c>
      <c r="H1377">
        <v>22</v>
      </c>
      <c r="I1377" t="s">
        <v>14</v>
      </c>
    </row>
    <row r="1378" spans="1:9" x14ac:dyDescent="0.35">
      <c r="A1378">
        <v>557</v>
      </c>
      <c r="B1378">
        <v>7</v>
      </c>
      <c r="C1378" t="s">
        <v>49</v>
      </c>
      <c r="D1378" t="s">
        <v>50</v>
      </c>
      <c r="E1378">
        <v>15</v>
      </c>
      <c r="F1378">
        <v>25</v>
      </c>
      <c r="G1378">
        <v>2</v>
      </c>
      <c r="H1378">
        <v>38</v>
      </c>
      <c r="I1378" t="s">
        <v>11</v>
      </c>
    </row>
    <row r="1379" spans="1:9" x14ac:dyDescent="0.35">
      <c r="A1379">
        <v>558</v>
      </c>
      <c r="B1379">
        <v>6</v>
      </c>
      <c r="C1379" t="s">
        <v>33</v>
      </c>
      <c r="D1379" t="s">
        <v>34</v>
      </c>
      <c r="E1379">
        <v>19</v>
      </c>
      <c r="F1379">
        <v>32</v>
      </c>
      <c r="G1379">
        <v>3</v>
      </c>
      <c r="H1379">
        <v>56</v>
      </c>
      <c r="I1379" t="s">
        <v>11</v>
      </c>
    </row>
    <row r="1380" spans="1:9" x14ac:dyDescent="0.35">
      <c r="A1380">
        <v>558</v>
      </c>
      <c r="B1380">
        <v>6</v>
      </c>
      <c r="C1380" t="s">
        <v>49</v>
      </c>
      <c r="D1380" t="s">
        <v>50</v>
      </c>
      <c r="E1380">
        <v>15</v>
      </c>
      <c r="F1380">
        <v>25</v>
      </c>
      <c r="G1380">
        <v>2</v>
      </c>
      <c r="H1380">
        <v>54</v>
      </c>
      <c r="I1380" t="s">
        <v>14</v>
      </c>
    </row>
    <row r="1381" spans="1:9" x14ac:dyDescent="0.35">
      <c r="A1381">
        <v>558</v>
      </c>
      <c r="B1381">
        <v>6</v>
      </c>
      <c r="C1381" t="s">
        <v>25</v>
      </c>
      <c r="D1381" t="s">
        <v>26</v>
      </c>
      <c r="E1381">
        <v>20</v>
      </c>
      <c r="F1381">
        <v>33</v>
      </c>
      <c r="G1381">
        <v>1</v>
      </c>
      <c r="H1381">
        <v>57</v>
      </c>
      <c r="I1381" t="s">
        <v>11</v>
      </c>
    </row>
    <row r="1382" spans="1:9" x14ac:dyDescent="0.35">
      <c r="A1382">
        <v>559</v>
      </c>
      <c r="B1382">
        <v>11</v>
      </c>
      <c r="C1382" t="s">
        <v>25</v>
      </c>
      <c r="D1382" t="s">
        <v>26</v>
      </c>
      <c r="E1382">
        <v>20</v>
      </c>
      <c r="F1382">
        <v>33</v>
      </c>
      <c r="G1382">
        <v>3</v>
      </c>
      <c r="H1382">
        <v>41</v>
      </c>
      <c r="I1382" t="s">
        <v>14</v>
      </c>
    </row>
    <row r="1383" spans="1:9" x14ac:dyDescent="0.35">
      <c r="A1383">
        <v>560</v>
      </c>
      <c r="B1383">
        <v>6</v>
      </c>
      <c r="C1383" t="s">
        <v>45</v>
      </c>
      <c r="D1383" t="s">
        <v>46</v>
      </c>
      <c r="E1383">
        <v>10</v>
      </c>
      <c r="F1383">
        <v>18</v>
      </c>
      <c r="G1383">
        <v>2</v>
      </c>
      <c r="H1383">
        <v>36</v>
      </c>
      <c r="I1383" t="s">
        <v>14</v>
      </c>
    </row>
    <row r="1384" spans="1:9" x14ac:dyDescent="0.35">
      <c r="A1384">
        <v>560</v>
      </c>
      <c r="B1384">
        <v>6</v>
      </c>
      <c r="C1384" t="s">
        <v>49</v>
      </c>
      <c r="D1384" t="s">
        <v>50</v>
      </c>
      <c r="E1384">
        <v>15</v>
      </c>
      <c r="F1384">
        <v>25</v>
      </c>
      <c r="G1384">
        <v>3</v>
      </c>
      <c r="H1384">
        <v>12</v>
      </c>
      <c r="I1384" t="s">
        <v>14</v>
      </c>
    </row>
    <row r="1385" spans="1:9" x14ac:dyDescent="0.35">
      <c r="A1385">
        <v>561</v>
      </c>
      <c r="B1385">
        <v>4</v>
      </c>
      <c r="C1385" t="s">
        <v>45</v>
      </c>
      <c r="D1385" t="s">
        <v>46</v>
      </c>
      <c r="E1385">
        <v>10</v>
      </c>
      <c r="F1385">
        <v>18</v>
      </c>
      <c r="G1385">
        <v>1</v>
      </c>
      <c r="H1385">
        <v>56</v>
      </c>
      <c r="I1385" t="s">
        <v>14</v>
      </c>
    </row>
    <row r="1386" spans="1:9" x14ac:dyDescent="0.35">
      <c r="A1386">
        <v>561</v>
      </c>
      <c r="B1386">
        <v>4</v>
      </c>
      <c r="C1386" t="s">
        <v>41</v>
      </c>
      <c r="D1386" t="s">
        <v>42</v>
      </c>
      <c r="E1386">
        <v>14</v>
      </c>
      <c r="F1386">
        <v>23</v>
      </c>
      <c r="G1386">
        <v>2</v>
      </c>
      <c r="H1386">
        <v>8</v>
      </c>
      <c r="I1386" t="s">
        <v>14</v>
      </c>
    </row>
    <row r="1387" spans="1:9" x14ac:dyDescent="0.35">
      <c r="A1387">
        <v>562</v>
      </c>
      <c r="B1387">
        <v>20</v>
      </c>
      <c r="C1387" t="s">
        <v>19</v>
      </c>
      <c r="D1387" t="s">
        <v>20</v>
      </c>
      <c r="E1387">
        <v>25</v>
      </c>
      <c r="F1387">
        <v>40</v>
      </c>
      <c r="G1387">
        <v>3</v>
      </c>
      <c r="H1387">
        <v>41</v>
      </c>
      <c r="I1387" t="s">
        <v>11</v>
      </c>
    </row>
    <row r="1388" spans="1:9" x14ac:dyDescent="0.35">
      <c r="A1388">
        <v>562</v>
      </c>
      <c r="B1388">
        <v>20</v>
      </c>
      <c r="C1388" t="s">
        <v>23</v>
      </c>
      <c r="D1388" t="s">
        <v>24</v>
      </c>
      <c r="E1388">
        <v>17</v>
      </c>
      <c r="F1388">
        <v>29</v>
      </c>
      <c r="G1388">
        <v>2</v>
      </c>
      <c r="H1388">
        <v>7</v>
      </c>
      <c r="I1388" t="s">
        <v>11</v>
      </c>
    </row>
    <row r="1389" spans="1:9" x14ac:dyDescent="0.35">
      <c r="A1389">
        <v>562</v>
      </c>
      <c r="B1389">
        <v>20</v>
      </c>
      <c r="C1389" t="s">
        <v>9</v>
      </c>
      <c r="D1389" t="s">
        <v>10</v>
      </c>
      <c r="E1389">
        <v>14</v>
      </c>
      <c r="F1389">
        <v>24</v>
      </c>
      <c r="G1389">
        <v>2</v>
      </c>
      <c r="H1389">
        <v>22</v>
      </c>
      <c r="I1389" t="s">
        <v>11</v>
      </c>
    </row>
    <row r="1390" spans="1:9" x14ac:dyDescent="0.35">
      <c r="A1390">
        <v>562</v>
      </c>
      <c r="B1390">
        <v>20</v>
      </c>
      <c r="C1390" t="s">
        <v>15</v>
      </c>
      <c r="D1390" t="s">
        <v>16</v>
      </c>
      <c r="E1390">
        <v>19</v>
      </c>
      <c r="F1390">
        <v>31</v>
      </c>
      <c r="G1390">
        <v>2</v>
      </c>
      <c r="H1390">
        <v>42</v>
      </c>
      <c r="I1390" t="s">
        <v>14</v>
      </c>
    </row>
    <row r="1391" spans="1:9" x14ac:dyDescent="0.35">
      <c r="A1391">
        <v>563</v>
      </c>
      <c r="B1391">
        <v>12</v>
      </c>
      <c r="C1391" t="s">
        <v>17</v>
      </c>
      <c r="D1391" t="s">
        <v>18</v>
      </c>
      <c r="E1391">
        <v>16</v>
      </c>
      <c r="F1391">
        <v>27</v>
      </c>
      <c r="G1391">
        <v>2</v>
      </c>
      <c r="H1391">
        <v>37</v>
      </c>
      <c r="I1391" t="s">
        <v>14</v>
      </c>
    </row>
    <row r="1392" spans="1:9" x14ac:dyDescent="0.35">
      <c r="A1392">
        <v>564</v>
      </c>
      <c r="B1392">
        <v>9</v>
      </c>
      <c r="C1392" t="s">
        <v>21</v>
      </c>
      <c r="D1392" t="s">
        <v>22</v>
      </c>
      <c r="E1392">
        <v>22</v>
      </c>
      <c r="F1392">
        <v>36</v>
      </c>
      <c r="G1392">
        <v>1</v>
      </c>
      <c r="H1392">
        <v>7</v>
      </c>
      <c r="I1392" t="s">
        <v>14</v>
      </c>
    </row>
    <row r="1393" spans="1:9" x14ac:dyDescent="0.35">
      <c r="A1393">
        <v>564</v>
      </c>
      <c r="B1393">
        <v>9</v>
      </c>
      <c r="C1393" t="s">
        <v>19</v>
      </c>
      <c r="D1393" t="s">
        <v>20</v>
      </c>
      <c r="E1393">
        <v>25</v>
      </c>
      <c r="F1393">
        <v>40</v>
      </c>
      <c r="G1393">
        <v>2</v>
      </c>
      <c r="H1393">
        <v>36</v>
      </c>
      <c r="I1393" t="s">
        <v>14</v>
      </c>
    </row>
    <row r="1394" spans="1:9" x14ac:dyDescent="0.35">
      <c r="A1394">
        <v>564</v>
      </c>
      <c r="B1394">
        <v>9</v>
      </c>
      <c r="C1394" t="s">
        <v>39</v>
      </c>
      <c r="D1394" t="s">
        <v>40</v>
      </c>
      <c r="E1394">
        <v>12</v>
      </c>
      <c r="F1394">
        <v>20</v>
      </c>
      <c r="G1394">
        <v>2</v>
      </c>
      <c r="H1394">
        <v>11</v>
      </c>
      <c r="I1394" t="s">
        <v>14</v>
      </c>
    </row>
    <row r="1395" spans="1:9" x14ac:dyDescent="0.35">
      <c r="A1395">
        <v>565</v>
      </c>
      <c r="B1395">
        <v>3</v>
      </c>
      <c r="C1395" t="s">
        <v>33</v>
      </c>
      <c r="D1395" t="s">
        <v>34</v>
      </c>
      <c r="E1395">
        <v>19</v>
      </c>
      <c r="F1395">
        <v>32</v>
      </c>
      <c r="G1395">
        <v>3</v>
      </c>
      <c r="H1395">
        <v>19</v>
      </c>
      <c r="I1395" t="s">
        <v>11</v>
      </c>
    </row>
    <row r="1396" spans="1:9" x14ac:dyDescent="0.35">
      <c r="A1396">
        <v>565</v>
      </c>
      <c r="B1396">
        <v>3</v>
      </c>
      <c r="C1396" t="s">
        <v>45</v>
      </c>
      <c r="D1396" t="s">
        <v>46</v>
      </c>
      <c r="E1396">
        <v>10</v>
      </c>
      <c r="F1396">
        <v>18</v>
      </c>
      <c r="G1396">
        <v>3</v>
      </c>
      <c r="H1396">
        <v>53</v>
      </c>
      <c r="I1396" t="s">
        <v>14</v>
      </c>
    </row>
    <row r="1397" spans="1:9" x14ac:dyDescent="0.35">
      <c r="A1397">
        <v>565</v>
      </c>
      <c r="B1397">
        <v>3</v>
      </c>
      <c r="C1397" t="s">
        <v>25</v>
      </c>
      <c r="D1397" t="s">
        <v>26</v>
      </c>
      <c r="E1397">
        <v>20</v>
      </c>
      <c r="F1397">
        <v>33</v>
      </c>
      <c r="G1397">
        <v>2</v>
      </c>
      <c r="H1397">
        <v>21</v>
      </c>
      <c r="I1397" t="s">
        <v>14</v>
      </c>
    </row>
    <row r="1398" spans="1:9" x14ac:dyDescent="0.35">
      <c r="A1398">
        <v>565</v>
      </c>
      <c r="B1398">
        <v>3</v>
      </c>
      <c r="C1398" t="s">
        <v>31</v>
      </c>
      <c r="D1398" t="s">
        <v>32</v>
      </c>
      <c r="E1398">
        <v>21</v>
      </c>
      <c r="F1398">
        <v>35</v>
      </c>
      <c r="G1398">
        <v>1</v>
      </c>
      <c r="H1398">
        <v>5</v>
      </c>
      <c r="I1398" t="s">
        <v>14</v>
      </c>
    </row>
    <row r="1399" spans="1:9" x14ac:dyDescent="0.35">
      <c r="A1399">
        <v>566</v>
      </c>
      <c r="B1399">
        <v>4</v>
      </c>
      <c r="C1399" t="s">
        <v>47</v>
      </c>
      <c r="D1399" t="s">
        <v>48</v>
      </c>
      <c r="E1399">
        <v>15</v>
      </c>
      <c r="F1399">
        <v>26</v>
      </c>
      <c r="G1399">
        <v>3</v>
      </c>
      <c r="H1399">
        <v>56</v>
      </c>
      <c r="I1399" t="s">
        <v>11</v>
      </c>
    </row>
    <row r="1400" spans="1:9" x14ac:dyDescent="0.35">
      <c r="A1400">
        <v>567</v>
      </c>
      <c r="B1400">
        <v>15</v>
      </c>
      <c r="C1400" t="s">
        <v>27</v>
      </c>
      <c r="D1400" t="s">
        <v>28</v>
      </c>
      <c r="E1400">
        <v>16</v>
      </c>
      <c r="F1400">
        <v>28</v>
      </c>
      <c r="G1400">
        <v>2</v>
      </c>
      <c r="H1400">
        <v>9</v>
      </c>
      <c r="I1400" t="s">
        <v>11</v>
      </c>
    </row>
    <row r="1401" spans="1:9" x14ac:dyDescent="0.35">
      <c r="A1401">
        <v>567</v>
      </c>
      <c r="B1401">
        <v>15</v>
      </c>
      <c r="C1401" t="s">
        <v>25</v>
      </c>
      <c r="D1401" t="s">
        <v>26</v>
      </c>
      <c r="E1401">
        <v>20</v>
      </c>
      <c r="F1401">
        <v>33</v>
      </c>
      <c r="G1401">
        <v>2</v>
      </c>
      <c r="H1401">
        <v>34</v>
      </c>
      <c r="I1401" t="s">
        <v>14</v>
      </c>
    </row>
    <row r="1402" spans="1:9" x14ac:dyDescent="0.35">
      <c r="A1402">
        <v>567</v>
      </c>
      <c r="B1402">
        <v>15</v>
      </c>
      <c r="C1402" t="s">
        <v>37</v>
      </c>
      <c r="D1402" t="s">
        <v>38</v>
      </c>
      <c r="E1402">
        <v>20</v>
      </c>
      <c r="F1402">
        <v>34</v>
      </c>
      <c r="G1402">
        <v>2</v>
      </c>
      <c r="H1402">
        <v>18</v>
      </c>
      <c r="I1402" t="s">
        <v>11</v>
      </c>
    </row>
    <row r="1403" spans="1:9" x14ac:dyDescent="0.35">
      <c r="A1403">
        <v>567</v>
      </c>
      <c r="B1403">
        <v>15</v>
      </c>
      <c r="C1403" t="s">
        <v>43</v>
      </c>
      <c r="D1403" t="s">
        <v>44</v>
      </c>
      <c r="E1403">
        <v>13</v>
      </c>
      <c r="F1403">
        <v>21</v>
      </c>
      <c r="G1403">
        <v>3</v>
      </c>
      <c r="H1403">
        <v>41</v>
      </c>
      <c r="I1403" t="s">
        <v>14</v>
      </c>
    </row>
    <row r="1404" spans="1:9" x14ac:dyDescent="0.35">
      <c r="A1404">
        <v>568</v>
      </c>
      <c r="B1404">
        <v>5</v>
      </c>
      <c r="C1404" t="s">
        <v>37</v>
      </c>
      <c r="D1404" t="s">
        <v>38</v>
      </c>
      <c r="E1404">
        <v>20</v>
      </c>
      <c r="F1404">
        <v>34</v>
      </c>
      <c r="G1404">
        <v>3</v>
      </c>
      <c r="H1404">
        <v>40</v>
      </c>
      <c r="I1404" t="s">
        <v>11</v>
      </c>
    </row>
    <row r="1405" spans="1:9" x14ac:dyDescent="0.35">
      <c r="A1405">
        <v>568</v>
      </c>
      <c r="B1405">
        <v>5</v>
      </c>
      <c r="C1405" t="s">
        <v>19</v>
      </c>
      <c r="D1405" t="s">
        <v>20</v>
      </c>
      <c r="E1405">
        <v>25</v>
      </c>
      <c r="F1405">
        <v>40</v>
      </c>
      <c r="G1405">
        <v>2</v>
      </c>
      <c r="H1405">
        <v>44</v>
      </c>
      <c r="I1405" t="s">
        <v>14</v>
      </c>
    </row>
    <row r="1406" spans="1:9" x14ac:dyDescent="0.35">
      <c r="A1406">
        <v>569</v>
      </c>
      <c r="B1406">
        <v>12</v>
      </c>
      <c r="C1406" t="s">
        <v>37</v>
      </c>
      <c r="D1406" t="s">
        <v>38</v>
      </c>
      <c r="E1406">
        <v>20</v>
      </c>
      <c r="F1406">
        <v>34</v>
      </c>
      <c r="G1406">
        <v>2</v>
      </c>
      <c r="H1406">
        <v>26</v>
      </c>
      <c r="I1406" t="s">
        <v>11</v>
      </c>
    </row>
    <row r="1407" spans="1:9" x14ac:dyDescent="0.35">
      <c r="A1407">
        <v>569</v>
      </c>
      <c r="B1407">
        <v>12</v>
      </c>
      <c r="C1407" t="s">
        <v>43</v>
      </c>
      <c r="D1407" t="s">
        <v>44</v>
      </c>
      <c r="E1407">
        <v>13</v>
      </c>
      <c r="F1407">
        <v>21</v>
      </c>
      <c r="G1407">
        <v>3</v>
      </c>
      <c r="H1407">
        <v>32</v>
      </c>
      <c r="I1407" t="s">
        <v>14</v>
      </c>
    </row>
    <row r="1408" spans="1:9" x14ac:dyDescent="0.35">
      <c r="A1408">
        <v>570</v>
      </c>
      <c r="B1408">
        <v>1</v>
      </c>
      <c r="C1408" t="s">
        <v>25</v>
      </c>
      <c r="D1408" t="s">
        <v>26</v>
      </c>
      <c r="E1408">
        <v>20</v>
      </c>
      <c r="F1408">
        <v>33</v>
      </c>
      <c r="G1408">
        <v>1</v>
      </c>
      <c r="H1408">
        <v>38</v>
      </c>
      <c r="I1408" t="s">
        <v>11</v>
      </c>
    </row>
    <row r="1409" spans="1:9" x14ac:dyDescent="0.35">
      <c r="A1409">
        <v>570</v>
      </c>
      <c r="B1409">
        <v>1</v>
      </c>
      <c r="C1409" t="s">
        <v>47</v>
      </c>
      <c r="D1409" t="s">
        <v>48</v>
      </c>
      <c r="E1409">
        <v>15</v>
      </c>
      <c r="F1409">
        <v>26</v>
      </c>
      <c r="G1409">
        <v>2</v>
      </c>
      <c r="H1409">
        <v>8</v>
      </c>
      <c r="I1409" t="s">
        <v>14</v>
      </c>
    </row>
    <row r="1410" spans="1:9" x14ac:dyDescent="0.35">
      <c r="A1410">
        <v>571</v>
      </c>
      <c r="B1410">
        <v>15</v>
      </c>
      <c r="C1410" t="s">
        <v>17</v>
      </c>
      <c r="D1410" t="s">
        <v>18</v>
      </c>
      <c r="E1410">
        <v>16</v>
      </c>
      <c r="F1410">
        <v>27</v>
      </c>
      <c r="G1410">
        <v>2</v>
      </c>
      <c r="H1410">
        <v>26</v>
      </c>
      <c r="I1410" t="s">
        <v>11</v>
      </c>
    </row>
    <row r="1411" spans="1:9" x14ac:dyDescent="0.35">
      <c r="A1411">
        <v>572</v>
      </c>
      <c r="B1411">
        <v>19</v>
      </c>
      <c r="C1411" t="s">
        <v>12</v>
      </c>
      <c r="D1411" t="s">
        <v>13</v>
      </c>
      <c r="E1411">
        <v>18</v>
      </c>
      <c r="F1411">
        <v>30</v>
      </c>
      <c r="G1411">
        <v>1</v>
      </c>
      <c r="H1411">
        <v>34</v>
      </c>
      <c r="I1411" t="s">
        <v>14</v>
      </c>
    </row>
    <row r="1412" spans="1:9" x14ac:dyDescent="0.35">
      <c r="A1412">
        <v>572</v>
      </c>
      <c r="B1412">
        <v>19</v>
      </c>
      <c r="C1412" t="s">
        <v>35</v>
      </c>
      <c r="D1412" t="s">
        <v>36</v>
      </c>
      <c r="E1412">
        <v>13</v>
      </c>
      <c r="F1412">
        <v>22</v>
      </c>
      <c r="G1412">
        <v>2</v>
      </c>
      <c r="H1412">
        <v>10</v>
      </c>
      <c r="I1412" t="s">
        <v>14</v>
      </c>
    </row>
    <row r="1413" spans="1:9" x14ac:dyDescent="0.35">
      <c r="A1413">
        <v>573</v>
      </c>
      <c r="B1413">
        <v>7</v>
      </c>
      <c r="C1413" t="s">
        <v>43</v>
      </c>
      <c r="D1413" t="s">
        <v>44</v>
      </c>
      <c r="E1413">
        <v>13</v>
      </c>
      <c r="F1413">
        <v>21</v>
      </c>
      <c r="G1413">
        <v>3</v>
      </c>
      <c r="H1413">
        <v>41</v>
      </c>
      <c r="I1413" t="s">
        <v>11</v>
      </c>
    </row>
    <row r="1414" spans="1:9" x14ac:dyDescent="0.35">
      <c r="A1414">
        <v>573</v>
      </c>
      <c r="B1414">
        <v>7</v>
      </c>
      <c r="C1414" t="s">
        <v>37</v>
      </c>
      <c r="D1414" t="s">
        <v>38</v>
      </c>
      <c r="E1414">
        <v>20</v>
      </c>
      <c r="F1414">
        <v>34</v>
      </c>
      <c r="G1414">
        <v>3</v>
      </c>
      <c r="H1414">
        <v>28</v>
      </c>
      <c r="I1414" t="s">
        <v>14</v>
      </c>
    </row>
    <row r="1415" spans="1:9" x14ac:dyDescent="0.35">
      <c r="A1415">
        <v>574</v>
      </c>
      <c r="B1415">
        <v>20</v>
      </c>
      <c r="C1415" t="s">
        <v>47</v>
      </c>
      <c r="D1415" t="s">
        <v>48</v>
      </c>
      <c r="E1415">
        <v>15</v>
      </c>
      <c r="F1415">
        <v>26</v>
      </c>
      <c r="G1415">
        <v>3</v>
      </c>
      <c r="H1415">
        <v>50</v>
      </c>
      <c r="I1415" t="s">
        <v>14</v>
      </c>
    </row>
    <row r="1416" spans="1:9" x14ac:dyDescent="0.35">
      <c r="A1416">
        <v>574</v>
      </c>
      <c r="B1416">
        <v>20</v>
      </c>
      <c r="C1416" t="s">
        <v>21</v>
      </c>
      <c r="D1416" t="s">
        <v>22</v>
      </c>
      <c r="E1416">
        <v>22</v>
      </c>
      <c r="F1416">
        <v>36</v>
      </c>
      <c r="G1416">
        <v>2</v>
      </c>
      <c r="H1416">
        <v>40</v>
      </c>
      <c r="I1416" t="s">
        <v>11</v>
      </c>
    </row>
    <row r="1417" spans="1:9" x14ac:dyDescent="0.35">
      <c r="A1417">
        <v>574</v>
      </c>
      <c r="B1417">
        <v>20</v>
      </c>
      <c r="C1417" t="s">
        <v>45</v>
      </c>
      <c r="D1417" t="s">
        <v>46</v>
      </c>
      <c r="E1417">
        <v>10</v>
      </c>
      <c r="F1417">
        <v>18</v>
      </c>
      <c r="G1417">
        <v>2</v>
      </c>
      <c r="H1417">
        <v>37</v>
      </c>
      <c r="I1417" t="s">
        <v>14</v>
      </c>
    </row>
    <row r="1418" spans="1:9" x14ac:dyDescent="0.35">
      <c r="A1418">
        <v>574</v>
      </c>
      <c r="B1418">
        <v>20</v>
      </c>
      <c r="C1418" t="s">
        <v>43</v>
      </c>
      <c r="D1418" t="s">
        <v>44</v>
      </c>
      <c r="E1418">
        <v>13</v>
      </c>
      <c r="F1418">
        <v>21</v>
      </c>
      <c r="G1418">
        <v>1</v>
      </c>
      <c r="H1418">
        <v>41</v>
      </c>
      <c r="I1418" t="s">
        <v>14</v>
      </c>
    </row>
    <row r="1419" spans="1:9" x14ac:dyDescent="0.35">
      <c r="A1419">
        <v>575</v>
      </c>
      <c r="B1419">
        <v>15</v>
      </c>
      <c r="C1419" t="s">
        <v>45</v>
      </c>
      <c r="D1419" t="s">
        <v>46</v>
      </c>
      <c r="E1419">
        <v>10</v>
      </c>
      <c r="F1419">
        <v>18</v>
      </c>
      <c r="G1419">
        <v>1</v>
      </c>
      <c r="H1419">
        <v>44</v>
      </c>
      <c r="I1419" t="s">
        <v>11</v>
      </c>
    </row>
    <row r="1420" spans="1:9" x14ac:dyDescent="0.35">
      <c r="A1420">
        <v>576</v>
      </c>
      <c r="B1420">
        <v>9</v>
      </c>
      <c r="C1420" t="s">
        <v>25</v>
      </c>
      <c r="D1420" t="s">
        <v>26</v>
      </c>
      <c r="E1420">
        <v>20</v>
      </c>
      <c r="F1420">
        <v>33</v>
      </c>
      <c r="G1420">
        <v>1</v>
      </c>
      <c r="H1420">
        <v>46</v>
      </c>
      <c r="I1420" t="s">
        <v>11</v>
      </c>
    </row>
    <row r="1421" spans="1:9" x14ac:dyDescent="0.35">
      <c r="A1421">
        <v>576</v>
      </c>
      <c r="B1421">
        <v>9</v>
      </c>
      <c r="C1421" t="s">
        <v>15</v>
      </c>
      <c r="D1421" t="s">
        <v>16</v>
      </c>
      <c r="E1421">
        <v>19</v>
      </c>
      <c r="F1421">
        <v>31</v>
      </c>
      <c r="G1421">
        <v>3</v>
      </c>
      <c r="H1421">
        <v>32</v>
      </c>
      <c r="I1421" t="s">
        <v>11</v>
      </c>
    </row>
    <row r="1422" spans="1:9" x14ac:dyDescent="0.35">
      <c r="A1422">
        <v>576</v>
      </c>
      <c r="B1422">
        <v>9</v>
      </c>
      <c r="C1422" t="s">
        <v>21</v>
      </c>
      <c r="D1422" t="s">
        <v>22</v>
      </c>
      <c r="E1422">
        <v>22</v>
      </c>
      <c r="F1422">
        <v>36</v>
      </c>
      <c r="G1422">
        <v>3</v>
      </c>
      <c r="H1422">
        <v>37</v>
      </c>
      <c r="I1422" t="s">
        <v>14</v>
      </c>
    </row>
    <row r="1423" spans="1:9" x14ac:dyDescent="0.35">
      <c r="A1423">
        <v>577</v>
      </c>
      <c r="B1423">
        <v>5</v>
      </c>
      <c r="C1423" t="s">
        <v>45</v>
      </c>
      <c r="D1423" t="s">
        <v>46</v>
      </c>
      <c r="E1423">
        <v>10</v>
      </c>
      <c r="F1423">
        <v>18</v>
      </c>
      <c r="G1423">
        <v>1</v>
      </c>
      <c r="H1423">
        <v>10</v>
      </c>
      <c r="I1423" t="s">
        <v>14</v>
      </c>
    </row>
    <row r="1424" spans="1:9" x14ac:dyDescent="0.35">
      <c r="A1424">
        <v>577</v>
      </c>
      <c r="B1424">
        <v>5</v>
      </c>
      <c r="C1424" t="s">
        <v>35</v>
      </c>
      <c r="D1424" t="s">
        <v>36</v>
      </c>
      <c r="E1424">
        <v>13</v>
      </c>
      <c r="F1424">
        <v>22</v>
      </c>
      <c r="G1424">
        <v>1</v>
      </c>
      <c r="H1424">
        <v>15</v>
      </c>
      <c r="I1424" t="s">
        <v>11</v>
      </c>
    </row>
    <row r="1425" spans="1:9" x14ac:dyDescent="0.35">
      <c r="A1425">
        <v>578</v>
      </c>
      <c r="B1425">
        <v>11</v>
      </c>
      <c r="C1425" t="s">
        <v>12</v>
      </c>
      <c r="D1425" t="s">
        <v>13</v>
      </c>
      <c r="E1425">
        <v>18</v>
      </c>
      <c r="F1425">
        <v>30</v>
      </c>
      <c r="G1425">
        <v>3</v>
      </c>
      <c r="H1425">
        <v>44</v>
      </c>
      <c r="I1425" t="s">
        <v>11</v>
      </c>
    </row>
    <row r="1426" spans="1:9" x14ac:dyDescent="0.35">
      <c r="A1426">
        <v>579</v>
      </c>
      <c r="B1426">
        <v>9</v>
      </c>
      <c r="C1426" t="s">
        <v>49</v>
      </c>
      <c r="D1426" t="s">
        <v>50</v>
      </c>
      <c r="E1426">
        <v>15</v>
      </c>
      <c r="F1426">
        <v>25</v>
      </c>
      <c r="G1426">
        <v>2</v>
      </c>
      <c r="H1426">
        <v>48</v>
      </c>
      <c r="I1426" t="s">
        <v>11</v>
      </c>
    </row>
    <row r="1427" spans="1:9" x14ac:dyDescent="0.35">
      <c r="A1427">
        <v>580</v>
      </c>
      <c r="B1427">
        <v>10</v>
      </c>
      <c r="C1427" t="s">
        <v>25</v>
      </c>
      <c r="D1427" t="s">
        <v>26</v>
      </c>
      <c r="E1427">
        <v>20</v>
      </c>
      <c r="F1427">
        <v>33</v>
      </c>
      <c r="G1427">
        <v>1</v>
      </c>
      <c r="H1427">
        <v>30</v>
      </c>
      <c r="I1427" t="s">
        <v>11</v>
      </c>
    </row>
    <row r="1428" spans="1:9" x14ac:dyDescent="0.35">
      <c r="A1428">
        <v>581</v>
      </c>
      <c r="B1428">
        <v>18</v>
      </c>
      <c r="C1428" t="s">
        <v>25</v>
      </c>
      <c r="D1428" t="s">
        <v>26</v>
      </c>
      <c r="E1428">
        <v>20</v>
      </c>
      <c r="F1428">
        <v>33</v>
      </c>
      <c r="G1428">
        <v>1</v>
      </c>
      <c r="H1428">
        <v>15</v>
      </c>
      <c r="I1428" t="s">
        <v>11</v>
      </c>
    </row>
    <row r="1429" spans="1:9" x14ac:dyDescent="0.35">
      <c r="A1429">
        <v>581</v>
      </c>
      <c r="B1429">
        <v>18</v>
      </c>
      <c r="C1429" t="s">
        <v>12</v>
      </c>
      <c r="D1429" t="s">
        <v>13</v>
      </c>
      <c r="E1429">
        <v>18</v>
      </c>
      <c r="F1429">
        <v>30</v>
      </c>
      <c r="G1429">
        <v>3</v>
      </c>
      <c r="H1429">
        <v>40</v>
      </c>
      <c r="I1429" t="s">
        <v>11</v>
      </c>
    </row>
    <row r="1430" spans="1:9" x14ac:dyDescent="0.35">
      <c r="A1430">
        <v>582</v>
      </c>
      <c r="B1430">
        <v>3</v>
      </c>
      <c r="C1430" t="s">
        <v>17</v>
      </c>
      <c r="D1430" t="s">
        <v>18</v>
      </c>
      <c r="E1430">
        <v>16</v>
      </c>
      <c r="F1430">
        <v>27</v>
      </c>
      <c r="G1430">
        <v>2</v>
      </c>
      <c r="H1430">
        <v>42</v>
      </c>
      <c r="I1430" t="s">
        <v>14</v>
      </c>
    </row>
    <row r="1431" spans="1:9" x14ac:dyDescent="0.35">
      <c r="A1431">
        <v>583</v>
      </c>
      <c r="B1431">
        <v>9</v>
      </c>
      <c r="C1431" t="s">
        <v>29</v>
      </c>
      <c r="D1431" t="s">
        <v>30</v>
      </c>
      <c r="E1431">
        <v>11</v>
      </c>
      <c r="F1431">
        <v>19</v>
      </c>
      <c r="G1431">
        <v>3</v>
      </c>
      <c r="H1431">
        <v>15</v>
      </c>
      <c r="I1431" t="s">
        <v>11</v>
      </c>
    </row>
    <row r="1432" spans="1:9" x14ac:dyDescent="0.35">
      <c r="A1432">
        <v>583</v>
      </c>
      <c r="B1432">
        <v>9</v>
      </c>
      <c r="C1432" t="s">
        <v>45</v>
      </c>
      <c r="D1432" t="s">
        <v>46</v>
      </c>
      <c r="E1432">
        <v>10</v>
      </c>
      <c r="F1432">
        <v>18</v>
      </c>
      <c r="G1432">
        <v>1</v>
      </c>
      <c r="H1432">
        <v>11</v>
      </c>
      <c r="I1432" t="s">
        <v>11</v>
      </c>
    </row>
    <row r="1433" spans="1:9" x14ac:dyDescent="0.35">
      <c r="A1433">
        <v>583</v>
      </c>
      <c r="B1433">
        <v>9</v>
      </c>
      <c r="C1433" t="s">
        <v>9</v>
      </c>
      <c r="D1433" t="s">
        <v>10</v>
      </c>
      <c r="E1433">
        <v>14</v>
      </c>
      <c r="F1433">
        <v>24</v>
      </c>
      <c r="G1433">
        <v>2</v>
      </c>
      <c r="H1433">
        <v>29</v>
      </c>
      <c r="I1433" t="s">
        <v>14</v>
      </c>
    </row>
    <row r="1434" spans="1:9" x14ac:dyDescent="0.35">
      <c r="A1434">
        <v>583</v>
      </c>
      <c r="B1434">
        <v>9</v>
      </c>
      <c r="C1434" t="s">
        <v>19</v>
      </c>
      <c r="D1434" t="s">
        <v>20</v>
      </c>
      <c r="E1434">
        <v>25</v>
      </c>
      <c r="F1434">
        <v>40</v>
      </c>
      <c r="G1434">
        <v>3</v>
      </c>
      <c r="H1434">
        <v>50</v>
      </c>
      <c r="I1434" t="s">
        <v>14</v>
      </c>
    </row>
    <row r="1435" spans="1:9" x14ac:dyDescent="0.35">
      <c r="A1435">
        <v>584</v>
      </c>
      <c r="B1435">
        <v>9</v>
      </c>
      <c r="C1435" t="s">
        <v>43</v>
      </c>
      <c r="D1435" t="s">
        <v>44</v>
      </c>
      <c r="E1435">
        <v>13</v>
      </c>
      <c r="F1435">
        <v>21</v>
      </c>
      <c r="G1435">
        <v>1</v>
      </c>
      <c r="H1435">
        <v>57</v>
      </c>
      <c r="I1435" t="s">
        <v>14</v>
      </c>
    </row>
    <row r="1436" spans="1:9" x14ac:dyDescent="0.35">
      <c r="A1436">
        <v>584</v>
      </c>
      <c r="B1436">
        <v>9</v>
      </c>
      <c r="C1436" t="s">
        <v>15</v>
      </c>
      <c r="D1436" t="s">
        <v>16</v>
      </c>
      <c r="E1436">
        <v>19</v>
      </c>
      <c r="F1436">
        <v>31</v>
      </c>
      <c r="G1436">
        <v>2</v>
      </c>
      <c r="H1436">
        <v>34</v>
      </c>
      <c r="I1436" t="s">
        <v>11</v>
      </c>
    </row>
    <row r="1437" spans="1:9" x14ac:dyDescent="0.35">
      <c r="A1437">
        <v>584</v>
      </c>
      <c r="B1437">
        <v>9</v>
      </c>
      <c r="C1437" t="s">
        <v>27</v>
      </c>
      <c r="D1437" t="s">
        <v>28</v>
      </c>
      <c r="E1437">
        <v>16</v>
      </c>
      <c r="F1437">
        <v>28</v>
      </c>
      <c r="G1437">
        <v>2</v>
      </c>
      <c r="H1437">
        <v>23</v>
      </c>
      <c r="I1437" t="s">
        <v>11</v>
      </c>
    </row>
    <row r="1438" spans="1:9" x14ac:dyDescent="0.35">
      <c r="A1438">
        <v>585</v>
      </c>
      <c r="B1438">
        <v>3</v>
      </c>
      <c r="C1438" t="s">
        <v>33</v>
      </c>
      <c r="D1438" t="s">
        <v>34</v>
      </c>
      <c r="E1438">
        <v>19</v>
      </c>
      <c r="F1438">
        <v>32</v>
      </c>
      <c r="G1438">
        <v>1</v>
      </c>
      <c r="H1438">
        <v>35</v>
      </c>
      <c r="I1438" t="s">
        <v>14</v>
      </c>
    </row>
    <row r="1439" spans="1:9" x14ac:dyDescent="0.35">
      <c r="A1439">
        <v>585</v>
      </c>
      <c r="B1439">
        <v>3</v>
      </c>
      <c r="C1439" t="s">
        <v>31</v>
      </c>
      <c r="D1439" t="s">
        <v>32</v>
      </c>
      <c r="E1439">
        <v>21</v>
      </c>
      <c r="F1439">
        <v>35</v>
      </c>
      <c r="G1439">
        <v>1</v>
      </c>
      <c r="H1439">
        <v>8</v>
      </c>
      <c r="I1439" t="s">
        <v>14</v>
      </c>
    </row>
    <row r="1440" spans="1:9" x14ac:dyDescent="0.35">
      <c r="A1440">
        <v>585</v>
      </c>
      <c r="B1440">
        <v>3</v>
      </c>
      <c r="C1440" t="s">
        <v>45</v>
      </c>
      <c r="D1440" t="s">
        <v>46</v>
      </c>
      <c r="E1440">
        <v>10</v>
      </c>
      <c r="F1440">
        <v>18</v>
      </c>
      <c r="G1440">
        <v>2</v>
      </c>
      <c r="H1440">
        <v>22</v>
      </c>
      <c r="I1440" t="s">
        <v>11</v>
      </c>
    </row>
    <row r="1441" spans="1:9" x14ac:dyDescent="0.35">
      <c r="A1441">
        <v>585</v>
      </c>
      <c r="B1441">
        <v>3</v>
      </c>
      <c r="C1441" t="s">
        <v>49</v>
      </c>
      <c r="D1441" t="s">
        <v>50</v>
      </c>
      <c r="E1441">
        <v>15</v>
      </c>
      <c r="F1441">
        <v>25</v>
      </c>
      <c r="G1441">
        <v>1</v>
      </c>
      <c r="H1441">
        <v>30</v>
      </c>
      <c r="I1441" t="s">
        <v>14</v>
      </c>
    </row>
    <row r="1442" spans="1:9" x14ac:dyDescent="0.35">
      <c r="A1442">
        <v>586</v>
      </c>
      <c r="B1442">
        <v>17</v>
      </c>
      <c r="C1442" t="s">
        <v>25</v>
      </c>
      <c r="D1442" t="s">
        <v>26</v>
      </c>
      <c r="E1442">
        <v>20</v>
      </c>
      <c r="F1442">
        <v>33</v>
      </c>
      <c r="G1442">
        <v>3</v>
      </c>
      <c r="H1442">
        <v>47</v>
      </c>
      <c r="I1442" t="s">
        <v>14</v>
      </c>
    </row>
    <row r="1443" spans="1:9" x14ac:dyDescent="0.35">
      <c r="A1443">
        <v>586</v>
      </c>
      <c r="B1443">
        <v>17</v>
      </c>
      <c r="C1443" t="s">
        <v>9</v>
      </c>
      <c r="D1443" t="s">
        <v>10</v>
      </c>
      <c r="E1443">
        <v>14</v>
      </c>
      <c r="F1443">
        <v>24</v>
      </c>
      <c r="G1443">
        <v>3</v>
      </c>
      <c r="H1443">
        <v>45</v>
      </c>
      <c r="I1443" t="s">
        <v>11</v>
      </c>
    </row>
    <row r="1444" spans="1:9" x14ac:dyDescent="0.35">
      <c r="A1444">
        <v>587</v>
      </c>
      <c r="B1444">
        <v>7</v>
      </c>
      <c r="C1444" t="s">
        <v>9</v>
      </c>
      <c r="D1444" t="s">
        <v>10</v>
      </c>
      <c r="E1444">
        <v>14</v>
      </c>
      <c r="F1444">
        <v>24</v>
      </c>
      <c r="G1444">
        <v>2</v>
      </c>
      <c r="H1444">
        <v>43</v>
      </c>
      <c r="I1444" t="s">
        <v>14</v>
      </c>
    </row>
    <row r="1445" spans="1:9" x14ac:dyDescent="0.35">
      <c r="A1445">
        <v>588</v>
      </c>
      <c r="B1445">
        <v>15</v>
      </c>
      <c r="C1445" t="s">
        <v>47</v>
      </c>
      <c r="D1445" t="s">
        <v>48</v>
      </c>
      <c r="E1445">
        <v>15</v>
      </c>
      <c r="F1445">
        <v>26</v>
      </c>
      <c r="G1445">
        <v>1</v>
      </c>
      <c r="H1445">
        <v>25</v>
      </c>
      <c r="I1445" t="s">
        <v>14</v>
      </c>
    </row>
    <row r="1446" spans="1:9" x14ac:dyDescent="0.35">
      <c r="A1446">
        <v>588</v>
      </c>
      <c r="B1446">
        <v>15</v>
      </c>
      <c r="C1446" t="s">
        <v>49</v>
      </c>
      <c r="D1446" t="s">
        <v>50</v>
      </c>
      <c r="E1446">
        <v>15</v>
      </c>
      <c r="F1446">
        <v>25</v>
      </c>
      <c r="G1446">
        <v>3</v>
      </c>
      <c r="H1446">
        <v>12</v>
      </c>
      <c r="I1446" t="s">
        <v>14</v>
      </c>
    </row>
    <row r="1447" spans="1:9" x14ac:dyDescent="0.35">
      <c r="A1447">
        <v>589</v>
      </c>
      <c r="B1447">
        <v>10</v>
      </c>
      <c r="C1447" t="s">
        <v>41</v>
      </c>
      <c r="D1447" t="s">
        <v>42</v>
      </c>
      <c r="E1447">
        <v>14</v>
      </c>
      <c r="F1447">
        <v>23</v>
      </c>
      <c r="G1447">
        <v>1</v>
      </c>
      <c r="H1447">
        <v>45</v>
      </c>
      <c r="I1447" t="s">
        <v>11</v>
      </c>
    </row>
    <row r="1448" spans="1:9" x14ac:dyDescent="0.35">
      <c r="A1448">
        <v>589</v>
      </c>
      <c r="B1448">
        <v>10</v>
      </c>
      <c r="C1448" t="s">
        <v>37</v>
      </c>
      <c r="D1448" t="s">
        <v>38</v>
      </c>
      <c r="E1448">
        <v>20</v>
      </c>
      <c r="F1448">
        <v>34</v>
      </c>
      <c r="G1448">
        <v>3</v>
      </c>
      <c r="H1448">
        <v>59</v>
      </c>
      <c r="I1448" t="s">
        <v>11</v>
      </c>
    </row>
    <row r="1449" spans="1:9" x14ac:dyDescent="0.35">
      <c r="A1449">
        <v>589</v>
      </c>
      <c r="B1449">
        <v>10</v>
      </c>
      <c r="C1449" t="s">
        <v>43</v>
      </c>
      <c r="D1449" t="s">
        <v>44</v>
      </c>
      <c r="E1449">
        <v>13</v>
      </c>
      <c r="F1449">
        <v>21</v>
      </c>
      <c r="G1449">
        <v>3</v>
      </c>
      <c r="H1449">
        <v>7</v>
      </c>
      <c r="I1449" t="s">
        <v>11</v>
      </c>
    </row>
    <row r="1450" spans="1:9" x14ac:dyDescent="0.35">
      <c r="A1450">
        <v>589</v>
      </c>
      <c r="B1450">
        <v>10</v>
      </c>
      <c r="C1450" t="s">
        <v>33</v>
      </c>
      <c r="D1450" t="s">
        <v>34</v>
      </c>
      <c r="E1450">
        <v>19</v>
      </c>
      <c r="F1450">
        <v>32</v>
      </c>
      <c r="G1450">
        <v>3</v>
      </c>
      <c r="H1450">
        <v>9</v>
      </c>
      <c r="I1450" t="s">
        <v>11</v>
      </c>
    </row>
    <row r="1451" spans="1:9" x14ac:dyDescent="0.35">
      <c r="A1451">
        <v>590</v>
      </c>
      <c r="B1451">
        <v>3</v>
      </c>
      <c r="C1451" t="s">
        <v>37</v>
      </c>
      <c r="D1451" t="s">
        <v>38</v>
      </c>
      <c r="E1451">
        <v>20</v>
      </c>
      <c r="F1451">
        <v>34</v>
      </c>
      <c r="G1451">
        <v>3</v>
      </c>
      <c r="H1451">
        <v>43</v>
      </c>
      <c r="I1451" t="s">
        <v>14</v>
      </c>
    </row>
    <row r="1452" spans="1:9" x14ac:dyDescent="0.35">
      <c r="A1452">
        <v>590</v>
      </c>
      <c r="B1452">
        <v>3</v>
      </c>
      <c r="C1452" t="s">
        <v>39</v>
      </c>
      <c r="D1452" t="s">
        <v>40</v>
      </c>
      <c r="E1452">
        <v>12</v>
      </c>
      <c r="F1452">
        <v>20</v>
      </c>
      <c r="G1452">
        <v>1</v>
      </c>
      <c r="H1452">
        <v>21</v>
      </c>
      <c r="I1452" t="s">
        <v>14</v>
      </c>
    </row>
    <row r="1453" spans="1:9" x14ac:dyDescent="0.35">
      <c r="A1453">
        <v>591</v>
      </c>
      <c r="B1453">
        <v>11</v>
      </c>
      <c r="C1453" t="s">
        <v>19</v>
      </c>
      <c r="D1453" t="s">
        <v>20</v>
      </c>
      <c r="E1453">
        <v>25</v>
      </c>
      <c r="F1453">
        <v>40</v>
      </c>
      <c r="G1453">
        <v>3</v>
      </c>
      <c r="H1453">
        <v>51</v>
      </c>
      <c r="I1453" t="s">
        <v>11</v>
      </c>
    </row>
    <row r="1454" spans="1:9" x14ac:dyDescent="0.35">
      <c r="A1454">
        <v>592</v>
      </c>
      <c r="B1454">
        <v>5</v>
      </c>
      <c r="C1454" t="s">
        <v>35</v>
      </c>
      <c r="D1454" t="s">
        <v>36</v>
      </c>
      <c r="E1454">
        <v>13</v>
      </c>
      <c r="F1454">
        <v>22</v>
      </c>
      <c r="G1454">
        <v>2</v>
      </c>
      <c r="H1454">
        <v>59</v>
      </c>
      <c r="I1454" t="s">
        <v>11</v>
      </c>
    </row>
    <row r="1455" spans="1:9" x14ac:dyDescent="0.35">
      <c r="A1455">
        <v>592</v>
      </c>
      <c r="B1455">
        <v>5</v>
      </c>
      <c r="C1455" t="s">
        <v>49</v>
      </c>
      <c r="D1455" t="s">
        <v>50</v>
      </c>
      <c r="E1455">
        <v>15</v>
      </c>
      <c r="F1455">
        <v>25</v>
      </c>
      <c r="G1455">
        <v>2</v>
      </c>
      <c r="H1455">
        <v>42</v>
      </c>
      <c r="I1455" t="s">
        <v>11</v>
      </c>
    </row>
    <row r="1456" spans="1:9" x14ac:dyDescent="0.35">
      <c r="A1456">
        <v>593</v>
      </c>
      <c r="B1456">
        <v>17</v>
      </c>
      <c r="C1456" t="s">
        <v>19</v>
      </c>
      <c r="D1456" t="s">
        <v>20</v>
      </c>
      <c r="E1456">
        <v>25</v>
      </c>
      <c r="F1456">
        <v>40</v>
      </c>
      <c r="G1456">
        <v>1</v>
      </c>
      <c r="H1456">
        <v>30</v>
      </c>
      <c r="I1456" t="s">
        <v>11</v>
      </c>
    </row>
    <row r="1457" spans="1:9" x14ac:dyDescent="0.35">
      <c r="A1457">
        <v>593</v>
      </c>
      <c r="B1457">
        <v>17</v>
      </c>
      <c r="C1457" t="s">
        <v>15</v>
      </c>
      <c r="D1457" t="s">
        <v>16</v>
      </c>
      <c r="E1457">
        <v>19</v>
      </c>
      <c r="F1457">
        <v>31</v>
      </c>
      <c r="G1457">
        <v>1</v>
      </c>
      <c r="H1457">
        <v>8</v>
      </c>
      <c r="I1457" t="s">
        <v>11</v>
      </c>
    </row>
    <row r="1458" spans="1:9" x14ac:dyDescent="0.35">
      <c r="A1458">
        <v>593</v>
      </c>
      <c r="B1458">
        <v>17</v>
      </c>
      <c r="C1458" t="s">
        <v>25</v>
      </c>
      <c r="D1458" t="s">
        <v>26</v>
      </c>
      <c r="E1458">
        <v>20</v>
      </c>
      <c r="F1458">
        <v>33</v>
      </c>
      <c r="G1458">
        <v>2</v>
      </c>
      <c r="H1458">
        <v>5</v>
      </c>
      <c r="I1458" t="s">
        <v>14</v>
      </c>
    </row>
    <row r="1459" spans="1:9" x14ac:dyDescent="0.35">
      <c r="A1459">
        <v>593</v>
      </c>
      <c r="B1459">
        <v>17</v>
      </c>
      <c r="C1459" t="s">
        <v>21</v>
      </c>
      <c r="D1459" t="s">
        <v>22</v>
      </c>
      <c r="E1459">
        <v>22</v>
      </c>
      <c r="F1459">
        <v>36</v>
      </c>
      <c r="G1459">
        <v>2</v>
      </c>
      <c r="H1459">
        <v>5</v>
      </c>
      <c r="I1459" t="s">
        <v>11</v>
      </c>
    </row>
    <row r="1460" spans="1:9" x14ac:dyDescent="0.35">
      <c r="A1460">
        <v>594</v>
      </c>
      <c r="B1460">
        <v>17</v>
      </c>
      <c r="C1460" t="s">
        <v>25</v>
      </c>
      <c r="D1460" t="s">
        <v>26</v>
      </c>
      <c r="E1460">
        <v>20</v>
      </c>
      <c r="F1460">
        <v>33</v>
      </c>
      <c r="G1460">
        <v>1</v>
      </c>
      <c r="H1460">
        <v>5</v>
      </c>
      <c r="I1460" t="s">
        <v>11</v>
      </c>
    </row>
    <row r="1461" spans="1:9" x14ac:dyDescent="0.35">
      <c r="A1461">
        <v>594</v>
      </c>
      <c r="B1461">
        <v>17</v>
      </c>
      <c r="C1461" t="s">
        <v>35</v>
      </c>
      <c r="D1461" t="s">
        <v>36</v>
      </c>
      <c r="E1461">
        <v>13</v>
      </c>
      <c r="F1461">
        <v>22</v>
      </c>
      <c r="G1461">
        <v>3</v>
      </c>
      <c r="H1461">
        <v>44</v>
      </c>
      <c r="I1461" t="s">
        <v>11</v>
      </c>
    </row>
    <row r="1462" spans="1:9" x14ac:dyDescent="0.35">
      <c r="A1462">
        <v>594</v>
      </c>
      <c r="B1462">
        <v>17</v>
      </c>
      <c r="C1462" t="s">
        <v>39</v>
      </c>
      <c r="D1462" t="s">
        <v>40</v>
      </c>
      <c r="E1462">
        <v>12</v>
      </c>
      <c r="F1462">
        <v>20</v>
      </c>
      <c r="G1462">
        <v>2</v>
      </c>
      <c r="H1462">
        <v>49</v>
      </c>
      <c r="I1462" t="s">
        <v>11</v>
      </c>
    </row>
    <row r="1463" spans="1:9" x14ac:dyDescent="0.35">
      <c r="A1463">
        <v>595</v>
      </c>
      <c r="B1463">
        <v>9</v>
      </c>
      <c r="C1463" t="s">
        <v>43</v>
      </c>
      <c r="D1463" t="s">
        <v>44</v>
      </c>
      <c r="E1463">
        <v>13</v>
      </c>
      <c r="F1463">
        <v>21</v>
      </c>
      <c r="G1463">
        <v>2</v>
      </c>
      <c r="H1463">
        <v>5</v>
      </c>
      <c r="I1463" t="s">
        <v>11</v>
      </c>
    </row>
    <row r="1464" spans="1:9" x14ac:dyDescent="0.35">
      <c r="A1464">
        <v>595</v>
      </c>
      <c r="B1464">
        <v>9</v>
      </c>
      <c r="C1464" t="s">
        <v>12</v>
      </c>
      <c r="D1464" t="s">
        <v>13</v>
      </c>
      <c r="E1464">
        <v>18</v>
      </c>
      <c r="F1464">
        <v>30</v>
      </c>
      <c r="G1464">
        <v>1</v>
      </c>
      <c r="H1464">
        <v>44</v>
      </c>
      <c r="I1464" t="s">
        <v>14</v>
      </c>
    </row>
    <row r="1465" spans="1:9" x14ac:dyDescent="0.35">
      <c r="A1465">
        <v>596</v>
      </c>
      <c r="B1465">
        <v>18</v>
      </c>
      <c r="C1465" t="s">
        <v>41</v>
      </c>
      <c r="D1465" t="s">
        <v>42</v>
      </c>
      <c r="E1465">
        <v>14</v>
      </c>
      <c r="F1465">
        <v>23</v>
      </c>
      <c r="G1465">
        <v>2</v>
      </c>
      <c r="H1465">
        <v>47</v>
      </c>
      <c r="I1465" t="s">
        <v>14</v>
      </c>
    </row>
    <row r="1466" spans="1:9" x14ac:dyDescent="0.35">
      <c r="A1466">
        <v>596</v>
      </c>
      <c r="B1466">
        <v>18</v>
      </c>
      <c r="C1466" t="s">
        <v>9</v>
      </c>
      <c r="D1466" t="s">
        <v>10</v>
      </c>
      <c r="E1466">
        <v>14</v>
      </c>
      <c r="F1466">
        <v>24</v>
      </c>
      <c r="G1466">
        <v>2</v>
      </c>
      <c r="H1466">
        <v>50</v>
      </c>
      <c r="I1466" t="s">
        <v>14</v>
      </c>
    </row>
    <row r="1467" spans="1:9" x14ac:dyDescent="0.35">
      <c r="A1467">
        <v>596</v>
      </c>
      <c r="B1467">
        <v>18</v>
      </c>
      <c r="C1467" t="s">
        <v>33</v>
      </c>
      <c r="D1467" t="s">
        <v>34</v>
      </c>
      <c r="E1467">
        <v>19</v>
      </c>
      <c r="F1467">
        <v>32</v>
      </c>
      <c r="G1467">
        <v>3</v>
      </c>
      <c r="H1467">
        <v>42</v>
      </c>
      <c r="I1467" t="s">
        <v>14</v>
      </c>
    </row>
    <row r="1468" spans="1:9" x14ac:dyDescent="0.35">
      <c r="A1468">
        <v>596</v>
      </c>
      <c r="B1468">
        <v>18</v>
      </c>
      <c r="C1468" t="s">
        <v>49</v>
      </c>
      <c r="D1468" t="s">
        <v>50</v>
      </c>
      <c r="E1468">
        <v>15</v>
      </c>
      <c r="F1468">
        <v>25</v>
      </c>
      <c r="G1468">
        <v>2</v>
      </c>
      <c r="H1468">
        <v>19</v>
      </c>
      <c r="I1468" t="s">
        <v>11</v>
      </c>
    </row>
    <row r="1469" spans="1:9" x14ac:dyDescent="0.35">
      <c r="A1469">
        <v>597</v>
      </c>
      <c r="B1469">
        <v>16</v>
      </c>
      <c r="C1469" t="s">
        <v>27</v>
      </c>
      <c r="D1469" t="s">
        <v>28</v>
      </c>
      <c r="E1469">
        <v>16</v>
      </c>
      <c r="F1469">
        <v>28</v>
      </c>
      <c r="G1469">
        <v>1</v>
      </c>
      <c r="H1469">
        <v>39</v>
      </c>
      <c r="I1469" t="s">
        <v>14</v>
      </c>
    </row>
    <row r="1470" spans="1:9" x14ac:dyDescent="0.35">
      <c r="A1470">
        <v>597</v>
      </c>
      <c r="B1470">
        <v>16</v>
      </c>
      <c r="C1470" t="s">
        <v>45</v>
      </c>
      <c r="D1470" t="s">
        <v>46</v>
      </c>
      <c r="E1470">
        <v>10</v>
      </c>
      <c r="F1470">
        <v>18</v>
      </c>
      <c r="G1470">
        <v>1</v>
      </c>
      <c r="H1470">
        <v>55</v>
      </c>
      <c r="I1470" t="s">
        <v>14</v>
      </c>
    </row>
    <row r="1471" spans="1:9" x14ac:dyDescent="0.35">
      <c r="A1471">
        <v>597</v>
      </c>
      <c r="B1471">
        <v>16</v>
      </c>
      <c r="C1471" t="s">
        <v>19</v>
      </c>
      <c r="D1471" t="s">
        <v>20</v>
      </c>
      <c r="E1471">
        <v>25</v>
      </c>
      <c r="F1471">
        <v>40</v>
      </c>
      <c r="G1471">
        <v>2</v>
      </c>
      <c r="H1471">
        <v>39</v>
      </c>
      <c r="I1471" t="s">
        <v>14</v>
      </c>
    </row>
    <row r="1472" spans="1:9" x14ac:dyDescent="0.35">
      <c r="A1472">
        <v>597</v>
      </c>
      <c r="B1472">
        <v>16</v>
      </c>
      <c r="C1472" t="s">
        <v>9</v>
      </c>
      <c r="D1472" t="s">
        <v>10</v>
      </c>
      <c r="E1472">
        <v>14</v>
      </c>
      <c r="F1472">
        <v>24</v>
      </c>
      <c r="G1472">
        <v>1</v>
      </c>
      <c r="H1472">
        <v>8</v>
      </c>
      <c r="I1472" t="s">
        <v>14</v>
      </c>
    </row>
    <row r="1473" spans="1:9" x14ac:dyDescent="0.35">
      <c r="A1473">
        <v>598</v>
      </c>
      <c r="B1473">
        <v>9</v>
      </c>
      <c r="C1473" t="s">
        <v>47</v>
      </c>
      <c r="D1473" t="s">
        <v>48</v>
      </c>
      <c r="E1473">
        <v>15</v>
      </c>
      <c r="F1473">
        <v>26</v>
      </c>
      <c r="G1473">
        <v>2</v>
      </c>
      <c r="H1473">
        <v>44</v>
      </c>
      <c r="I1473" t="s">
        <v>11</v>
      </c>
    </row>
    <row r="1474" spans="1:9" x14ac:dyDescent="0.35">
      <c r="A1474">
        <v>598</v>
      </c>
      <c r="B1474">
        <v>9</v>
      </c>
      <c r="C1474" t="s">
        <v>33</v>
      </c>
      <c r="D1474" t="s">
        <v>34</v>
      </c>
      <c r="E1474">
        <v>19</v>
      </c>
      <c r="F1474">
        <v>32</v>
      </c>
      <c r="G1474">
        <v>2</v>
      </c>
      <c r="H1474">
        <v>22</v>
      </c>
      <c r="I1474" t="s">
        <v>11</v>
      </c>
    </row>
    <row r="1475" spans="1:9" x14ac:dyDescent="0.35">
      <c r="A1475">
        <v>598</v>
      </c>
      <c r="B1475">
        <v>9</v>
      </c>
      <c r="C1475" t="s">
        <v>15</v>
      </c>
      <c r="D1475" t="s">
        <v>16</v>
      </c>
      <c r="E1475">
        <v>19</v>
      </c>
      <c r="F1475">
        <v>31</v>
      </c>
      <c r="G1475">
        <v>3</v>
      </c>
      <c r="H1475">
        <v>15</v>
      </c>
      <c r="I1475" t="s">
        <v>11</v>
      </c>
    </row>
    <row r="1476" spans="1:9" x14ac:dyDescent="0.35">
      <c r="A1476">
        <v>599</v>
      </c>
      <c r="B1476">
        <v>11</v>
      </c>
      <c r="C1476" t="s">
        <v>37</v>
      </c>
      <c r="D1476" t="s">
        <v>38</v>
      </c>
      <c r="E1476">
        <v>20</v>
      </c>
      <c r="F1476">
        <v>34</v>
      </c>
      <c r="G1476">
        <v>2</v>
      </c>
      <c r="H1476">
        <v>5</v>
      </c>
      <c r="I1476" t="s">
        <v>11</v>
      </c>
    </row>
    <row r="1477" spans="1:9" x14ac:dyDescent="0.35">
      <c r="A1477">
        <v>599</v>
      </c>
      <c r="B1477">
        <v>11</v>
      </c>
      <c r="C1477" t="s">
        <v>15</v>
      </c>
      <c r="D1477" t="s">
        <v>16</v>
      </c>
      <c r="E1477">
        <v>19</v>
      </c>
      <c r="F1477">
        <v>31</v>
      </c>
      <c r="G1477">
        <v>1</v>
      </c>
      <c r="H1477">
        <v>49</v>
      </c>
      <c r="I1477" t="s">
        <v>11</v>
      </c>
    </row>
    <row r="1478" spans="1:9" x14ac:dyDescent="0.35">
      <c r="A1478">
        <v>599</v>
      </c>
      <c r="B1478">
        <v>11</v>
      </c>
      <c r="C1478" t="s">
        <v>31</v>
      </c>
      <c r="D1478" t="s">
        <v>32</v>
      </c>
      <c r="E1478">
        <v>21</v>
      </c>
      <c r="F1478">
        <v>35</v>
      </c>
      <c r="G1478">
        <v>2</v>
      </c>
      <c r="H1478">
        <v>54</v>
      </c>
      <c r="I1478" t="s">
        <v>11</v>
      </c>
    </row>
    <row r="1479" spans="1:9" x14ac:dyDescent="0.35">
      <c r="A1479">
        <v>600</v>
      </c>
      <c r="B1479">
        <v>14</v>
      </c>
      <c r="C1479" t="s">
        <v>27</v>
      </c>
      <c r="D1479" t="s">
        <v>28</v>
      </c>
      <c r="E1479">
        <v>16</v>
      </c>
      <c r="F1479">
        <v>28</v>
      </c>
      <c r="G1479">
        <v>3</v>
      </c>
      <c r="H1479">
        <v>22</v>
      </c>
      <c r="I1479" t="s">
        <v>14</v>
      </c>
    </row>
    <row r="1480" spans="1:9" x14ac:dyDescent="0.35">
      <c r="A1480">
        <v>600</v>
      </c>
      <c r="B1480">
        <v>14</v>
      </c>
      <c r="C1480" t="s">
        <v>12</v>
      </c>
      <c r="D1480" t="s">
        <v>13</v>
      </c>
      <c r="E1480">
        <v>18</v>
      </c>
      <c r="F1480">
        <v>30</v>
      </c>
      <c r="G1480">
        <v>2</v>
      </c>
      <c r="H1480">
        <v>43</v>
      </c>
      <c r="I1480" t="s">
        <v>11</v>
      </c>
    </row>
    <row r="1481" spans="1:9" x14ac:dyDescent="0.35">
      <c r="A1481">
        <v>601</v>
      </c>
      <c r="B1481">
        <v>13</v>
      </c>
      <c r="C1481" t="s">
        <v>19</v>
      </c>
      <c r="D1481" t="s">
        <v>20</v>
      </c>
      <c r="E1481">
        <v>25</v>
      </c>
      <c r="F1481">
        <v>40</v>
      </c>
      <c r="G1481">
        <v>2</v>
      </c>
      <c r="H1481">
        <v>11</v>
      </c>
      <c r="I1481" t="s">
        <v>14</v>
      </c>
    </row>
    <row r="1482" spans="1:9" x14ac:dyDescent="0.35">
      <c r="A1482">
        <v>601</v>
      </c>
      <c r="B1482">
        <v>13</v>
      </c>
      <c r="C1482" t="s">
        <v>27</v>
      </c>
      <c r="D1482" t="s">
        <v>28</v>
      </c>
      <c r="E1482">
        <v>16</v>
      </c>
      <c r="F1482">
        <v>28</v>
      </c>
      <c r="G1482">
        <v>3</v>
      </c>
      <c r="H1482">
        <v>28</v>
      </c>
      <c r="I1482" t="s">
        <v>11</v>
      </c>
    </row>
    <row r="1483" spans="1:9" x14ac:dyDescent="0.35">
      <c r="A1483">
        <v>601</v>
      </c>
      <c r="B1483">
        <v>13</v>
      </c>
      <c r="C1483" t="s">
        <v>41</v>
      </c>
      <c r="D1483" t="s">
        <v>42</v>
      </c>
      <c r="E1483">
        <v>14</v>
      </c>
      <c r="F1483">
        <v>23</v>
      </c>
      <c r="G1483">
        <v>1</v>
      </c>
      <c r="H1483">
        <v>44</v>
      </c>
      <c r="I1483" t="s">
        <v>14</v>
      </c>
    </row>
    <row r="1484" spans="1:9" x14ac:dyDescent="0.35">
      <c r="A1484">
        <v>601</v>
      </c>
      <c r="B1484">
        <v>13</v>
      </c>
      <c r="C1484" t="s">
        <v>31</v>
      </c>
      <c r="D1484" t="s">
        <v>32</v>
      </c>
      <c r="E1484">
        <v>21</v>
      </c>
      <c r="F1484">
        <v>35</v>
      </c>
      <c r="G1484">
        <v>3</v>
      </c>
      <c r="H1484">
        <v>32</v>
      </c>
      <c r="I1484" t="s">
        <v>11</v>
      </c>
    </row>
    <row r="1485" spans="1:9" x14ac:dyDescent="0.35">
      <c r="A1485">
        <v>602</v>
      </c>
      <c r="B1485">
        <v>12</v>
      </c>
      <c r="C1485" t="s">
        <v>31</v>
      </c>
      <c r="D1485" t="s">
        <v>32</v>
      </c>
      <c r="E1485">
        <v>21</v>
      </c>
      <c r="F1485">
        <v>35</v>
      </c>
      <c r="G1485">
        <v>2</v>
      </c>
      <c r="H1485">
        <v>56</v>
      </c>
      <c r="I1485" t="s">
        <v>11</v>
      </c>
    </row>
    <row r="1486" spans="1:9" x14ac:dyDescent="0.35">
      <c r="A1486">
        <v>602</v>
      </c>
      <c r="B1486">
        <v>12</v>
      </c>
      <c r="C1486" t="s">
        <v>35</v>
      </c>
      <c r="D1486" t="s">
        <v>36</v>
      </c>
      <c r="E1486">
        <v>13</v>
      </c>
      <c r="F1486">
        <v>22</v>
      </c>
      <c r="G1486">
        <v>3</v>
      </c>
      <c r="H1486">
        <v>58</v>
      </c>
      <c r="I1486" t="s">
        <v>11</v>
      </c>
    </row>
    <row r="1487" spans="1:9" x14ac:dyDescent="0.35">
      <c r="A1487">
        <v>602</v>
      </c>
      <c r="B1487">
        <v>12</v>
      </c>
      <c r="C1487" t="s">
        <v>12</v>
      </c>
      <c r="D1487" t="s">
        <v>13</v>
      </c>
      <c r="E1487">
        <v>18</v>
      </c>
      <c r="F1487">
        <v>30</v>
      </c>
      <c r="G1487">
        <v>3</v>
      </c>
      <c r="H1487">
        <v>12</v>
      </c>
      <c r="I1487" t="s">
        <v>11</v>
      </c>
    </row>
    <row r="1488" spans="1:9" x14ac:dyDescent="0.35">
      <c r="A1488">
        <v>602</v>
      </c>
      <c r="B1488">
        <v>12</v>
      </c>
      <c r="C1488" t="s">
        <v>19</v>
      </c>
      <c r="D1488" t="s">
        <v>20</v>
      </c>
      <c r="E1488">
        <v>25</v>
      </c>
      <c r="F1488">
        <v>40</v>
      </c>
      <c r="G1488">
        <v>1</v>
      </c>
      <c r="H1488">
        <v>36</v>
      </c>
      <c r="I1488" t="s">
        <v>14</v>
      </c>
    </row>
    <row r="1489" spans="1:9" x14ac:dyDescent="0.35">
      <c r="A1489">
        <v>603</v>
      </c>
      <c r="B1489">
        <v>19</v>
      </c>
      <c r="C1489" t="s">
        <v>15</v>
      </c>
      <c r="D1489" t="s">
        <v>16</v>
      </c>
      <c r="E1489">
        <v>19</v>
      </c>
      <c r="F1489">
        <v>31</v>
      </c>
      <c r="G1489">
        <v>2</v>
      </c>
      <c r="H1489">
        <v>17</v>
      </c>
      <c r="I1489" t="s">
        <v>11</v>
      </c>
    </row>
    <row r="1490" spans="1:9" x14ac:dyDescent="0.35">
      <c r="A1490">
        <v>604</v>
      </c>
      <c r="B1490">
        <v>14</v>
      </c>
      <c r="C1490" t="s">
        <v>31</v>
      </c>
      <c r="D1490" t="s">
        <v>32</v>
      </c>
      <c r="E1490">
        <v>21</v>
      </c>
      <c r="F1490">
        <v>35</v>
      </c>
      <c r="G1490">
        <v>3</v>
      </c>
      <c r="H1490">
        <v>42</v>
      </c>
      <c r="I1490" t="s">
        <v>11</v>
      </c>
    </row>
    <row r="1491" spans="1:9" x14ac:dyDescent="0.35">
      <c r="A1491">
        <v>605</v>
      </c>
      <c r="B1491">
        <v>19</v>
      </c>
      <c r="C1491" t="s">
        <v>39</v>
      </c>
      <c r="D1491" t="s">
        <v>40</v>
      </c>
      <c r="E1491">
        <v>12</v>
      </c>
      <c r="F1491">
        <v>20</v>
      </c>
      <c r="G1491">
        <v>1</v>
      </c>
      <c r="H1491">
        <v>47</v>
      </c>
      <c r="I1491" t="s">
        <v>11</v>
      </c>
    </row>
    <row r="1492" spans="1:9" x14ac:dyDescent="0.35">
      <c r="A1492">
        <v>605</v>
      </c>
      <c r="B1492">
        <v>19</v>
      </c>
      <c r="C1492" t="s">
        <v>19</v>
      </c>
      <c r="D1492" t="s">
        <v>20</v>
      </c>
      <c r="E1492">
        <v>25</v>
      </c>
      <c r="F1492">
        <v>40</v>
      </c>
      <c r="G1492">
        <v>1</v>
      </c>
      <c r="H1492">
        <v>24</v>
      </c>
      <c r="I1492" t="s">
        <v>14</v>
      </c>
    </row>
    <row r="1493" spans="1:9" x14ac:dyDescent="0.35">
      <c r="A1493">
        <v>605</v>
      </c>
      <c r="B1493">
        <v>19</v>
      </c>
      <c r="C1493" t="s">
        <v>31</v>
      </c>
      <c r="D1493" t="s">
        <v>32</v>
      </c>
      <c r="E1493">
        <v>21</v>
      </c>
      <c r="F1493">
        <v>35</v>
      </c>
      <c r="G1493">
        <v>2</v>
      </c>
      <c r="H1493">
        <v>55</v>
      </c>
      <c r="I1493" t="s">
        <v>14</v>
      </c>
    </row>
    <row r="1494" spans="1:9" x14ac:dyDescent="0.35">
      <c r="A1494">
        <v>605</v>
      </c>
      <c r="B1494">
        <v>19</v>
      </c>
      <c r="C1494" t="s">
        <v>12</v>
      </c>
      <c r="D1494" t="s">
        <v>13</v>
      </c>
      <c r="E1494">
        <v>18</v>
      </c>
      <c r="F1494">
        <v>30</v>
      </c>
      <c r="G1494">
        <v>3</v>
      </c>
      <c r="H1494">
        <v>50</v>
      </c>
      <c r="I1494" t="s">
        <v>14</v>
      </c>
    </row>
    <row r="1495" spans="1:9" x14ac:dyDescent="0.35">
      <c r="A1495">
        <v>606</v>
      </c>
      <c r="B1495">
        <v>1</v>
      </c>
      <c r="C1495" t="s">
        <v>49</v>
      </c>
      <c r="D1495" t="s">
        <v>50</v>
      </c>
      <c r="E1495">
        <v>15</v>
      </c>
      <c r="F1495">
        <v>25</v>
      </c>
      <c r="G1495">
        <v>2</v>
      </c>
      <c r="H1495">
        <v>47</v>
      </c>
      <c r="I1495" t="s">
        <v>11</v>
      </c>
    </row>
    <row r="1496" spans="1:9" x14ac:dyDescent="0.35">
      <c r="A1496">
        <v>606</v>
      </c>
      <c r="B1496">
        <v>1</v>
      </c>
      <c r="C1496" t="s">
        <v>17</v>
      </c>
      <c r="D1496" t="s">
        <v>18</v>
      </c>
      <c r="E1496">
        <v>16</v>
      </c>
      <c r="F1496">
        <v>27</v>
      </c>
      <c r="G1496">
        <v>3</v>
      </c>
      <c r="H1496">
        <v>48</v>
      </c>
      <c r="I1496" t="s">
        <v>14</v>
      </c>
    </row>
    <row r="1497" spans="1:9" x14ac:dyDescent="0.35">
      <c r="A1497">
        <v>606</v>
      </c>
      <c r="B1497">
        <v>1</v>
      </c>
      <c r="C1497" t="s">
        <v>47</v>
      </c>
      <c r="D1497" t="s">
        <v>48</v>
      </c>
      <c r="E1497">
        <v>15</v>
      </c>
      <c r="F1497">
        <v>26</v>
      </c>
      <c r="G1497">
        <v>2</v>
      </c>
      <c r="H1497">
        <v>50</v>
      </c>
      <c r="I1497" t="s">
        <v>14</v>
      </c>
    </row>
    <row r="1498" spans="1:9" x14ac:dyDescent="0.35">
      <c r="A1498">
        <v>607</v>
      </c>
      <c r="B1498">
        <v>10</v>
      </c>
      <c r="C1498" t="s">
        <v>19</v>
      </c>
      <c r="D1498" t="s">
        <v>20</v>
      </c>
      <c r="E1498">
        <v>25</v>
      </c>
      <c r="F1498">
        <v>40</v>
      </c>
      <c r="G1498">
        <v>1</v>
      </c>
      <c r="H1498">
        <v>25</v>
      </c>
      <c r="I1498" t="s">
        <v>11</v>
      </c>
    </row>
    <row r="1499" spans="1:9" x14ac:dyDescent="0.35">
      <c r="A1499">
        <v>607</v>
      </c>
      <c r="B1499">
        <v>10</v>
      </c>
      <c r="C1499" t="s">
        <v>27</v>
      </c>
      <c r="D1499" t="s">
        <v>28</v>
      </c>
      <c r="E1499">
        <v>16</v>
      </c>
      <c r="F1499">
        <v>28</v>
      </c>
      <c r="G1499">
        <v>1</v>
      </c>
      <c r="H1499">
        <v>44</v>
      </c>
      <c r="I1499" t="s">
        <v>11</v>
      </c>
    </row>
    <row r="1500" spans="1:9" x14ac:dyDescent="0.35">
      <c r="A1500">
        <v>608</v>
      </c>
      <c r="B1500">
        <v>7</v>
      </c>
      <c r="C1500" t="s">
        <v>23</v>
      </c>
      <c r="D1500" t="s">
        <v>24</v>
      </c>
      <c r="E1500">
        <v>17</v>
      </c>
      <c r="F1500">
        <v>29</v>
      </c>
      <c r="G1500">
        <v>1</v>
      </c>
      <c r="H1500">
        <v>45</v>
      </c>
      <c r="I1500" t="s">
        <v>11</v>
      </c>
    </row>
    <row r="1501" spans="1:9" x14ac:dyDescent="0.35">
      <c r="A1501">
        <v>609</v>
      </c>
      <c r="B1501">
        <v>1</v>
      </c>
      <c r="C1501" t="s">
        <v>33</v>
      </c>
      <c r="D1501" t="s">
        <v>34</v>
      </c>
      <c r="E1501">
        <v>19</v>
      </c>
      <c r="F1501">
        <v>32</v>
      </c>
      <c r="G1501">
        <v>1</v>
      </c>
      <c r="H1501">
        <v>27</v>
      </c>
      <c r="I1501" t="s">
        <v>14</v>
      </c>
    </row>
    <row r="1502" spans="1:9" x14ac:dyDescent="0.35">
      <c r="A1502">
        <v>610</v>
      </c>
      <c r="B1502">
        <v>19</v>
      </c>
      <c r="C1502" t="s">
        <v>47</v>
      </c>
      <c r="D1502" t="s">
        <v>48</v>
      </c>
      <c r="E1502">
        <v>15</v>
      </c>
      <c r="F1502">
        <v>26</v>
      </c>
      <c r="G1502">
        <v>1</v>
      </c>
      <c r="H1502">
        <v>39</v>
      </c>
      <c r="I1502" t="s">
        <v>14</v>
      </c>
    </row>
    <row r="1503" spans="1:9" x14ac:dyDescent="0.35">
      <c r="A1503">
        <v>610</v>
      </c>
      <c r="B1503">
        <v>19</v>
      </c>
      <c r="C1503" t="s">
        <v>45</v>
      </c>
      <c r="D1503" t="s">
        <v>46</v>
      </c>
      <c r="E1503">
        <v>10</v>
      </c>
      <c r="F1503">
        <v>18</v>
      </c>
      <c r="G1503">
        <v>1</v>
      </c>
      <c r="H1503">
        <v>8</v>
      </c>
      <c r="I1503" t="s">
        <v>11</v>
      </c>
    </row>
    <row r="1504" spans="1:9" x14ac:dyDescent="0.35">
      <c r="A1504">
        <v>611</v>
      </c>
      <c r="B1504">
        <v>13</v>
      </c>
      <c r="C1504" t="s">
        <v>43</v>
      </c>
      <c r="D1504" t="s">
        <v>44</v>
      </c>
      <c r="E1504">
        <v>13</v>
      </c>
      <c r="F1504">
        <v>21</v>
      </c>
      <c r="G1504">
        <v>2</v>
      </c>
      <c r="H1504">
        <v>53</v>
      </c>
      <c r="I1504" t="s">
        <v>14</v>
      </c>
    </row>
    <row r="1505" spans="1:9" x14ac:dyDescent="0.35">
      <c r="A1505">
        <v>611</v>
      </c>
      <c r="B1505">
        <v>13</v>
      </c>
      <c r="C1505" t="s">
        <v>21</v>
      </c>
      <c r="D1505" t="s">
        <v>22</v>
      </c>
      <c r="E1505">
        <v>22</v>
      </c>
      <c r="F1505">
        <v>36</v>
      </c>
      <c r="G1505">
        <v>1</v>
      </c>
      <c r="H1505">
        <v>30</v>
      </c>
      <c r="I1505" t="s">
        <v>14</v>
      </c>
    </row>
    <row r="1506" spans="1:9" x14ac:dyDescent="0.35">
      <c r="A1506">
        <v>612</v>
      </c>
      <c r="B1506">
        <v>11</v>
      </c>
      <c r="C1506" t="s">
        <v>17</v>
      </c>
      <c r="D1506" t="s">
        <v>18</v>
      </c>
      <c r="E1506">
        <v>16</v>
      </c>
      <c r="F1506">
        <v>27</v>
      </c>
      <c r="G1506">
        <v>1</v>
      </c>
      <c r="H1506">
        <v>26</v>
      </c>
      <c r="I1506" t="s">
        <v>11</v>
      </c>
    </row>
    <row r="1507" spans="1:9" x14ac:dyDescent="0.35">
      <c r="A1507">
        <v>612</v>
      </c>
      <c r="B1507">
        <v>11</v>
      </c>
      <c r="C1507" t="s">
        <v>21</v>
      </c>
      <c r="D1507" t="s">
        <v>22</v>
      </c>
      <c r="E1507">
        <v>22</v>
      </c>
      <c r="F1507">
        <v>36</v>
      </c>
      <c r="G1507">
        <v>3</v>
      </c>
      <c r="H1507">
        <v>37</v>
      </c>
      <c r="I1507" t="s">
        <v>11</v>
      </c>
    </row>
    <row r="1508" spans="1:9" x14ac:dyDescent="0.35">
      <c r="A1508">
        <v>612</v>
      </c>
      <c r="B1508">
        <v>11</v>
      </c>
      <c r="C1508" t="s">
        <v>27</v>
      </c>
      <c r="D1508" t="s">
        <v>28</v>
      </c>
      <c r="E1508">
        <v>16</v>
      </c>
      <c r="F1508">
        <v>28</v>
      </c>
      <c r="G1508">
        <v>2</v>
      </c>
      <c r="H1508">
        <v>15</v>
      </c>
      <c r="I1508" t="s">
        <v>11</v>
      </c>
    </row>
    <row r="1509" spans="1:9" x14ac:dyDescent="0.35">
      <c r="A1509">
        <v>612</v>
      </c>
      <c r="B1509">
        <v>11</v>
      </c>
      <c r="C1509" t="s">
        <v>39</v>
      </c>
      <c r="D1509" t="s">
        <v>40</v>
      </c>
      <c r="E1509">
        <v>12</v>
      </c>
      <c r="F1509">
        <v>20</v>
      </c>
      <c r="G1509">
        <v>2</v>
      </c>
      <c r="H1509">
        <v>51</v>
      </c>
      <c r="I1509" t="s">
        <v>11</v>
      </c>
    </row>
    <row r="1510" spans="1:9" x14ac:dyDescent="0.35">
      <c r="A1510">
        <v>613</v>
      </c>
      <c r="B1510">
        <v>1</v>
      </c>
      <c r="C1510" t="s">
        <v>29</v>
      </c>
      <c r="D1510" t="s">
        <v>30</v>
      </c>
      <c r="E1510">
        <v>11</v>
      </c>
      <c r="F1510">
        <v>19</v>
      </c>
      <c r="G1510">
        <v>3</v>
      </c>
      <c r="H1510">
        <v>41</v>
      </c>
      <c r="I1510" t="s">
        <v>14</v>
      </c>
    </row>
    <row r="1511" spans="1:9" x14ac:dyDescent="0.35">
      <c r="A1511">
        <v>613</v>
      </c>
      <c r="B1511">
        <v>1</v>
      </c>
      <c r="C1511" t="s">
        <v>41</v>
      </c>
      <c r="D1511" t="s">
        <v>42</v>
      </c>
      <c r="E1511">
        <v>14</v>
      </c>
      <c r="F1511">
        <v>23</v>
      </c>
      <c r="G1511">
        <v>3</v>
      </c>
      <c r="H1511">
        <v>23</v>
      </c>
      <c r="I1511" t="s">
        <v>14</v>
      </c>
    </row>
    <row r="1512" spans="1:9" x14ac:dyDescent="0.35">
      <c r="A1512">
        <v>613</v>
      </c>
      <c r="B1512">
        <v>1</v>
      </c>
      <c r="C1512" t="s">
        <v>45</v>
      </c>
      <c r="D1512" t="s">
        <v>46</v>
      </c>
      <c r="E1512">
        <v>10</v>
      </c>
      <c r="F1512">
        <v>18</v>
      </c>
      <c r="G1512">
        <v>3</v>
      </c>
      <c r="H1512">
        <v>31</v>
      </c>
      <c r="I1512" t="s">
        <v>14</v>
      </c>
    </row>
    <row r="1513" spans="1:9" x14ac:dyDescent="0.35">
      <c r="A1513">
        <v>613</v>
      </c>
      <c r="B1513">
        <v>1</v>
      </c>
      <c r="C1513" t="s">
        <v>31</v>
      </c>
      <c r="D1513" t="s">
        <v>32</v>
      </c>
      <c r="E1513">
        <v>21</v>
      </c>
      <c r="F1513">
        <v>35</v>
      </c>
      <c r="G1513">
        <v>3</v>
      </c>
      <c r="H1513">
        <v>57</v>
      </c>
      <c r="I1513" t="s">
        <v>14</v>
      </c>
    </row>
    <row r="1514" spans="1:9" x14ac:dyDescent="0.35">
      <c r="A1514">
        <v>614</v>
      </c>
      <c r="B1514">
        <v>19</v>
      </c>
      <c r="C1514" t="s">
        <v>9</v>
      </c>
      <c r="D1514" t="s">
        <v>10</v>
      </c>
      <c r="E1514">
        <v>14</v>
      </c>
      <c r="F1514">
        <v>24</v>
      </c>
      <c r="G1514">
        <v>3</v>
      </c>
      <c r="H1514">
        <v>50</v>
      </c>
      <c r="I1514" t="s">
        <v>11</v>
      </c>
    </row>
    <row r="1515" spans="1:9" x14ac:dyDescent="0.35">
      <c r="A1515">
        <v>615</v>
      </c>
      <c r="B1515">
        <v>7</v>
      </c>
      <c r="C1515" t="s">
        <v>15</v>
      </c>
      <c r="D1515" t="s">
        <v>16</v>
      </c>
      <c r="E1515">
        <v>19</v>
      </c>
      <c r="F1515">
        <v>31</v>
      </c>
      <c r="G1515">
        <v>3</v>
      </c>
      <c r="H1515">
        <v>50</v>
      </c>
      <c r="I1515" t="s">
        <v>11</v>
      </c>
    </row>
    <row r="1516" spans="1:9" x14ac:dyDescent="0.35">
      <c r="A1516">
        <v>615</v>
      </c>
      <c r="B1516">
        <v>7</v>
      </c>
      <c r="C1516" t="s">
        <v>41</v>
      </c>
      <c r="D1516" t="s">
        <v>42</v>
      </c>
      <c r="E1516">
        <v>14</v>
      </c>
      <c r="F1516">
        <v>23</v>
      </c>
      <c r="G1516">
        <v>3</v>
      </c>
      <c r="H1516">
        <v>43</v>
      </c>
      <c r="I1516" t="s">
        <v>11</v>
      </c>
    </row>
    <row r="1517" spans="1:9" x14ac:dyDescent="0.35">
      <c r="A1517">
        <v>615</v>
      </c>
      <c r="B1517">
        <v>7</v>
      </c>
      <c r="C1517" t="s">
        <v>49</v>
      </c>
      <c r="D1517" t="s">
        <v>50</v>
      </c>
      <c r="E1517">
        <v>15</v>
      </c>
      <c r="F1517">
        <v>25</v>
      </c>
      <c r="G1517">
        <v>3</v>
      </c>
      <c r="H1517">
        <v>41</v>
      </c>
      <c r="I1517" t="s">
        <v>11</v>
      </c>
    </row>
    <row r="1518" spans="1:9" x14ac:dyDescent="0.35">
      <c r="A1518">
        <v>615</v>
      </c>
      <c r="B1518">
        <v>7</v>
      </c>
      <c r="C1518" t="s">
        <v>33</v>
      </c>
      <c r="D1518" t="s">
        <v>34</v>
      </c>
      <c r="E1518">
        <v>19</v>
      </c>
      <c r="F1518">
        <v>32</v>
      </c>
      <c r="G1518">
        <v>3</v>
      </c>
      <c r="H1518">
        <v>22</v>
      </c>
      <c r="I1518" t="s">
        <v>14</v>
      </c>
    </row>
    <row r="1519" spans="1:9" x14ac:dyDescent="0.35">
      <c r="A1519">
        <v>616</v>
      </c>
      <c r="B1519">
        <v>4</v>
      </c>
      <c r="C1519" t="s">
        <v>9</v>
      </c>
      <c r="D1519" t="s">
        <v>10</v>
      </c>
      <c r="E1519">
        <v>14</v>
      </c>
      <c r="F1519">
        <v>24</v>
      </c>
      <c r="G1519">
        <v>3</v>
      </c>
      <c r="H1519">
        <v>33</v>
      </c>
      <c r="I1519" t="s">
        <v>11</v>
      </c>
    </row>
    <row r="1520" spans="1:9" x14ac:dyDescent="0.35">
      <c r="A1520">
        <v>616</v>
      </c>
      <c r="B1520">
        <v>4</v>
      </c>
      <c r="C1520" t="s">
        <v>12</v>
      </c>
      <c r="D1520" t="s">
        <v>13</v>
      </c>
      <c r="E1520">
        <v>18</v>
      </c>
      <c r="F1520">
        <v>30</v>
      </c>
      <c r="G1520">
        <v>2</v>
      </c>
      <c r="H1520">
        <v>14</v>
      </c>
      <c r="I1520" t="s">
        <v>14</v>
      </c>
    </row>
    <row r="1521" spans="1:9" x14ac:dyDescent="0.35">
      <c r="A1521">
        <v>617</v>
      </c>
      <c r="B1521">
        <v>13</v>
      </c>
      <c r="C1521" t="s">
        <v>47</v>
      </c>
      <c r="D1521" t="s">
        <v>48</v>
      </c>
      <c r="E1521">
        <v>15</v>
      </c>
      <c r="F1521">
        <v>26</v>
      </c>
      <c r="G1521">
        <v>2</v>
      </c>
      <c r="H1521">
        <v>18</v>
      </c>
      <c r="I1521" t="s">
        <v>14</v>
      </c>
    </row>
    <row r="1522" spans="1:9" x14ac:dyDescent="0.35">
      <c r="A1522">
        <v>617</v>
      </c>
      <c r="B1522">
        <v>13</v>
      </c>
      <c r="C1522" t="s">
        <v>12</v>
      </c>
      <c r="D1522" t="s">
        <v>13</v>
      </c>
      <c r="E1522">
        <v>18</v>
      </c>
      <c r="F1522">
        <v>30</v>
      </c>
      <c r="G1522">
        <v>3</v>
      </c>
      <c r="H1522">
        <v>33</v>
      </c>
      <c r="I1522" t="s">
        <v>14</v>
      </c>
    </row>
    <row r="1523" spans="1:9" x14ac:dyDescent="0.35">
      <c r="A1523">
        <v>618</v>
      </c>
      <c r="B1523">
        <v>3</v>
      </c>
      <c r="C1523" t="s">
        <v>33</v>
      </c>
      <c r="D1523" t="s">
        <v>34</v>
      </c>
      <c r="E1523">
        <v>19</v>
      </c>
      <c r="F1523">
        <v>32</v>
      </c>
      <c r="G1523">
        <v>2</v>
      </c>
      <c r="H1523">
        <v>6</v>
      </c>
      <c r="I1523" t="s">
        <v>14</v>
      </c>
    </row>
    <row r="1524" spans="1:9" x14ac:dyDescent="0.35">
      <c r="A1524">
        <v>618</v>
      </c>
      <c r="B1524">
        <v>3</v>
      </c>
      <c r="C1524" t="s">
        <v>15</v>
      </c>
      <c r="D1524" t="s">
        <v>16</v>
      </c>
      <c r="E1524">
        <v>19</v>
      </c>
      <c r="F1524">
        <v>31</v>
      </c>
      <c r="G1524">
        <v>3</v>
      </c>
      <c r="H1524">
        <v>35</v>
      </c>
      <c r="I1524" t="s">
        <v>11</v>
      </c>
    </row>
    <row r="1525" spans="1:9" x14ac:dyDescent="0.35">
      <c r="A1525">
        <v>618</v>
      </c>
      <c r="B1525">
        <v>3</v>
      </c>
      <c r="C1525" t="s">
        <v>45</v>
      </c>
      <c r="D1525" t="s">
        <v>46</v>
      </c>
      <c r="E1525">
        <v>10</v>
      </c>
      <c r="F1525">
        <v>18</v>
      </c>
      <c r="G1525">
        <v>3</v>
      </c>
      <c r="H1525">
        <v>24</v>
      </c>
      <c r="I1525" t="s">
        <v>11</v>
      </c>
    </row>
    <row r="1526" spans="1:9" x14ac:dyDescent="0.35">
      <c r="A1526">
        <v>618</v>
      </c>
      <c r="B1526">
        <v>3</v>
      </c>
      <c r="C1526" t="s">
        <v>21</v>
      </c>
      <c r="D1526" t="s">
        <v>22</v>
      </c>
      <c r="E1526">
        <v>22</v>
      </c>
      <c r="F1526">
        <v>36</v>
      </c>
      <c r="G1526">
        <v>3</v>
      </c>
      <c r="H1526">
        <v>53</v>
      </c>
      <c r="I1526" t="s">
        <v>11</v>
      </c>
    </row>
    <row r="1527" spans="1:9" x14ac:dyDescent="0.35">
      <c r="A1527">
        <v>619</v>
      </c>
      <c r="B1527">
        <v>6</v>
      </c>
      <c r="C1527" t="s">
        <v>17</v>
      </c>
      <c r="D1527" t="s">
        <v>18</v>
      </c>
      <c r="E1527">
        <v>16</v>
      </c>
      <c r="F1527">
        <v>27</v>
      </c>
      <c r="G1527">
        <v>2</v>
      </c>
      <c r="H1527">
        <v>40</v>
      </c>
      <c r="I1527" t="s">
        <v>11</v>
      </c>
    </row>
    <row r="1528" spans="1:9" x14ac:dyDescent="0.35">
      <c r="A1528">
        <v>619</v>
      </c>
      <c r="B1528">
        <v>6</v>
      </c>
      <c r="C1528" t="s">
        <v>47</v>
      </c>
      <c r="D1528" t="s">
        <v>48</v>
      </c>
      <c r="E1528">
        <v>15</v>
      </c>
      <c r="F1528">
        <v>26</v>
      </c>
      <c r="G1528">
        <v>3</v>
      </c>
      <c r="H1528">
        <v>56</v>
      </c>
      <c r="I1528" t="s">
        <v>14</v>
      </c>
    </row>
    <row r="1529" spans="1:9" x14ac:dyDescent="0.35">
      <c r="A1529">
        <v>620</v>
      </c>
      <c r="B1529">
        <v>16</v>
      </c>
      <c r="C1529" t="s">
        <v>29</v>
      </c>
      <c r="D1529" t="s">
        <v>30</v>
      </c>
      <c r="E1529">
        <v>11</v>
      </c>
      <c r="F1529">
        <v>19</v>
      </c>
      <c r="G1529">
        <v>3</v>
      </c>
      <c r="H1529">
        <v>40</v>
      </c>
      <c r="I1529" t="s">
        <v>14</v>
      </c>
    </row>
    <row r="1530" spans="1:9" x14ac:dyDescent="0.35">
      <c r="A1530">
        <v>621</v>
      </c>
      <c r="B1530">
        <v>5</v>
      </c>
      <c r="C1530" t="s">
        <v>31</v>
      </c>
      <c r="D1530" t="s">
        <v>32</v>
      </c>
      <c r="E1530">
        <v>21</v>
      </c>
      <c r="F1530">
        <v>35</v>
      </c>
      <c r="G1530">
        <v>3</v>
      </c>
      <c r="H1530">
        <v>8</v>
      </c>
      <c r="I1530" t="s">
        <v>14</v>
      </c>
    </row>
    <row r="1531" spans="1:9" x14ac:dyDescent="0.35">
      <c r="A1531">
        <v>622</v>
      </c>
      <c r="B1531">
        <v>7</v>
      </c>
      <c r="C1531" t="s">
        <v>15</v>
      </c>
      <c r="D1531" t="s">
        <v>16</v>
      </c>
      <c r="E1531">
        <v>19</v>
      </c>
      <c r="F1531">
        <v>31</v>
      </c>
      <c r="G1531">
        <v>3</v>
      </c>
      <c r="H1531">
        <v>53</v>
      </c>
      <c r="I1531" t="s">
        <v>11</v>
      </c>
    </row>
    <row r="1532" spans="1:9" x14ac:dyDescent="0.35">
      <c r="A1532">
        <v>622</v>
      </c>
      <c r="B1532">
        <v>7</v>
      </c>
      <c r="C1532" t="s">
        <v>27</v>
      </c>
      <c r="D1532" t="s">
        <v>28</v>
      </c>
      <c r="E1532">
        <v>16</v>
      </c>
      <c r="F1532">
        <v>28</v>
      </c>
      <c r="G1532">
        <v>1</v>
      </c>
      <c r="H1532">
        <v>25</v>
      </c>
      <c r="I1532" t="s">
        <v>11</v>
      </c>
    </row>
    <row r="1533" spans="1:9" x14ac:dyDescent="0.35">
      <c r="A1533">
        <v>623</v>
      </c>
      <c r="B1533">
        <v>13</v>
      </c>
      <c r="C1533" t="s">
        <v>35</v>
      </c>
      <c r="D1533" t="s">
        <v>36</v>
      </c>
      <c r="E1533">
        <v>13</v>
      </c>
      <c r="F1533">
        <v>22</v>
      </c>
      <c r="G1533">
        <v>2</v>
      </c>
      <c r="H1533">
        <v>23</v>
      </c>
      <c r="I1533" t="s">
        <v>11</v>
      </c>
    </row>
    <row r="1534" spans="1:9" x14ac:dyDescent="0.35">
      <c r="A1534">
        <v>623</v>
      </c>
      <c r="B1534">
        <v>13</v>
      </c>
      <c r="C1534" t="s">
        <v>31</v>
      </c>
      <c r="D1534" t="s">
        <v>32</v>
      </c>
      <c r="E1534">
        <v>21</v>
      </c>
      <c r="F1534">
        <v>35</v>
      </c>
      <c r="G1534">
        <v>2</v>
      </c>
      <c r="H1534">
        <v>59</v>
      </c>
      <c r="I1534" t="s">
        <v>11</v>
      </c>
    </row>
    <row r="1535" spans="1:9" x14ac:dyDescent="0.35">
      <c r="A1535">
        <v>623</v>
      </c>
      <c r="B1535">
        <v>13</v>
      </c>
      <c r="C1535" t="s">
        <v>49</v>
      </c>
      <c r="D1535" t="s">
        <v>50</v>
      </c>
      <c r="E1535">
        <v>15</v>
      </c>
      <c r="F1535">
        <v>25</v>
      </c>
      <c r="G1535">
        <v>1</v>
      </c>
      <c r="H1535">
        <v>20</v>
      </c>
      <c r="I1535" t="s">
        <v>11</v>
      </c>
    </row>
    <row r="1536" spans="1:9" x14ac:dyDescent="0.35">
      <c r="A1536">
        <v>623</v>
      </c>
      <c r="B1536">
        <v>13</v>
      </c>
      <c r="C1536" t="s">
        <v>33</v>
      </c>
      <c r="D1536" t="s">
        <v>34</v>
      </c>
      <c r="E1536">
        <v>19</v>
      </c>
      <c r="F1536">
        <v>32</v>
      </c>
      <c r="G1536">
        <v>3</v>
      </c>
      <c r="H1536">
        <v>43</v>
      </c>
      <c r="I1536" t="s">
        <v>14</v>
      </c>
    </row>
    <row r="1537" spans="1:9" x14ac:dyDescent="0.35">
      <c r="A1537">
        <v>624</v>
      </c>
      <c r="B1537">
        <v>1</v>
      </c>
      <c r="C1537" t="s">
        <v>21</v>
      </c>
      <c r="D1537" t="s">
        <v>22</v>
      </c>
      <c r="E1537">
        <v>22</v>
      </c>
      <c r="F1537">
        <v>36</v>
      </c>
      <c r="G1537">
        <v>1</v>
      </c>
      <c r="H1537">
        <v>19</v>
      </c>
      <c r="I1537" t="s">
        <v>14</v>
      </c>
    </row>
    <row r="1538" spans="1:9" x14ac:dyDescent="0.35">
      <c r="A1538">
        <v>624</v>
      </c>
      <c r="B1538">
        <v>1</v>
      </c>
      <c r="C1538" t="s">
        <v>9</v>
      </c>
      <c r="D1538" t="s">
        <v>10</v>
      </c>
      <c r="E1538">
        <v>14</v>
      </c>
      <c r="F1538">
        <v>24</v>
      </c>
      <c r="G1538">
        <v>1</v>
      </c>
      <c r="H1538">
        <v>45</v>
      </c>
      <c r="I1538" t="s">
        <v>11</v>
      </c>
    </row>
    <row r="1539" spans="1:9" x14ac:dyDescent="0.35">
      <c r="A1539">
        <v>624</v>
      </c>
      <c r="B1539">
        <v>1</v>
      </c>
      <c r="C1539" t="s">
        <v>43</v>
      </c>
      <c r="D1539" t="s">
        <v>44</v>
      </c>
      <c r="E1539">
        <v>13</v>
      </c>
      <c r="F1539">
        <v>21</v>
      </c>
      <c r="G1539">
        <v>2</v>
      </c>
      <c r="H1539">
        <v>15</v>
      </c>
      <c r="I1539" t="s">
        <v>14</v>
      </c>
    </row>
    <row r="1540" spans="1:9" x14ac:dyDescent="0.35">
      <c r="A1540">
        <v>625</v>
      </c>
      <c r="B1540">
        <v>5</v>
      </c>
      <c r="C1540" t="s">
        <v>45</v>
      </c>
      <c r="D1540" t="s">
        <v>46</v>
      </c>
      <c r="E1540">
        <v>10</v>
      </c>
      <c r="F1540">
        <v>18</v>
      </c>
      <c r="G1540">
        <v>2</v>
      </c>
      <c r="H1540">
        <v>12</v>
      </c>
      <c r="I1540" t="s">
        <v>11</v>
      </c>
    </row>
    <row r="1541" spans="1:9" x14ac:dyDescent="0.35">
      <c r="A1541">
        <v>625</v>
      </c>
      <c r="B1541">
        <v>5</v>
      </c>
      <c r="C1541" t="s">
        <v>19</v>
      </c>
      <c r="D1541" t="s">
        <v>20</v>
      </c>
      <c r="E1541">
        <v>25</v>
      </c>
      <c r="F1541">
        <v>40</v>
      </c>
      <c r="G1541">
        <v>1</v>
      </c>
      <c r="H1541">
        <v>46</v>
      </c>
      <c r="I1541" t="s">
        <v>14</v>
      </c>
    </row>
    <row r="1542" spans="1:9" x14ac:dyDescent="0.35">
      <c r="A1542">
        <v>625</v>
      </c>
      <c r="B1542">
        <v>5</v>
      </c>
      <c r="C1542" t="s">
        <v>43</v>
      </c>
      <c r="D1542" t="s">
        <v>44</v>
      </c>
      <c r="E1542">
        <v>13</v>
      </c>
      <c r="F1542">
        <v>21</v>
      </c>
      <c r="G1542">
        <v>3</v>
      </c>
      <c r="H1542">
        <v>39</v>
      </c>
      <c r="I1542" t="s">
        <v>11</v>
      </c>
    </row>
    <row r="1543" spans="1:9" x14ac:dyDescent="0.35">
      <c r="A1543">
        <v>626</v>
      </c>
      <c r="B1543">
        <v>14</v>
      </c>
      <c r="C1543" t="s">
        <v>12</v>
      </c>
      <c r="D1543" t="s">
        <v>13</v>
      </c>
      <c r="E1543">
        <v>18</v>
      </c>
      <c r="F1543">
        <v>30</v>
      </c>
      <c r="G1543">
        <v>2</v>
      </c>
      <c r="H1543">
        <v>11</v>
      </c>
      <c r="I1543" t="s">
        <v>11</v>
      </c>
    </row>
    <row r="1544" spans="1:9" x14ac:dyDescent="0.35">
      <c r="A1544">
        <v>626</v>
      </c>
      <c r="B1544">
        <v>14</v>
      </c>
      <c r="C1544" t="s">
        <v>9</v>
      </c>
      <c r="D1544" t="s">
        <v>10</v>
      </c>
      <c r="E1544">
        <v>14</v>
      </c>
      <c r="F1544">
        <v>24</v>
      </c>
      <c r="G1544">
        <v>2</v>
      </c>
      <c r="H1544">
        <v>36</v>
      </c>
      <c r="I1544" t="s">
        <v>14</v>
      </c>
    </row>
    <row r="1545" spans="1:9" x14ac:dyDescent="0.35">
      <c r="A1545">
        <v>626</v>
      </c>
      <c r="B1545">
        <v>14</v>
      </c>
      <c r="C1545" t="s">
        <v>23</v>
      </c>
      <c r="D1545" t="s">
        <v>24</v>
      </c>
      <c r="E1545">
        <v>17</v>
      </c>
      <c r="F1545">
        <v>29</v>
      </c>
      <c r="G1545">
        <v>1</v>
      </c>
      <c r="H1545">
        <v>11</v>
      </c>
      <c r="I1545" t="s">
        <v>14</v>
      </c>
    </row>
    <row r="1546" spans="1:9" x14ac:dyDescent="0.35">
      <c r="A1546">
        <v>627</v>
      </c>
      <c r="B1546">
        <v>4</v>
      </c>
      <c r="C1546" t="s">
        <v>43</v>
      </c>
      <c r="D1546" t="s">
        <v>44</v>
      </c>
      <c r="E1546">
        <v>13</v>
      </c>
      <c r="F1546">
        <v>21</v>
      </c>
      <c r="G1546">
        <v>1</v>
      </c>
      <c r="H1546">
        <v>37</v>
      </c>
      <c r="I1546" t="s">
        <v>11</v>
      </c>
    </row>
    <row r="1547" spans="1:9" x14ac:dyDescent="0.35">
      <c r="A1547">
        <v>628</v>
      </c>
      <c r="B1547">
        <v>2</v>
      </c>
      <c r="C1547" t="s">
        <v>9</v>
      </c>
      <c r="D1547" t="s">
        <v>10</v>
      </c>
      <c r="E1547">
        <v>14</v>
      </c>
      <c r="F1547">
        <v>24</v>
      </c>
      <c r="G1547">
        <v>2</v>
      </c>
      <c r="H1547">
        <v>10</v>
      </c>
      <c r="I1547" t="s">
        <v>11</v>
      </c>
    </row>
    <row r="1548" spans="1:9" x14ac:dyDescent="0.35">
      <c r="A1548">
        <v>628</v>
      </c>
      <c r="B1548">
        <v>2</v>
      </c>
      <c r="C1548" t="s">
        <v>19</v>
      </c>
      <c r="D1548" t="s">
        <v>20</v>
      </c>
      <c r="E1548">
        <v>25</v>
      </c>
      <c r="F1548">
        <v>40</v>
      </c>
      <c r="G1548">
        <v>3</v>
      </c>
      <c r="H1548">
        <v>33</v>
      </c>
      <c r="I1548" t="s">
        <v>14</v>
      </c>
    </row>
    <row r="1549" spans="1:9" x14ac:dyDescent="0.35">
      <c r="A1549">
        <v>629</v>
      </c>
      <c r="B1549">
        <v>17</v>
      </c>
      <c r="C1549" t="s">
        <v>37</v>
      </c>
      <c r="D1549" t="s">
        <v>38</v>
      </c>
      <c r="E1549">
        <v>20</v>
      </c>
      <c r="F1549">
        <v>34</v>
      </c>
      <c r="G1549">
        <v>1</v>
      </c>
      <c r="H1549">
        <v>22</v>
      </c>
      <c r="I1549" t="s">
        <v>14</v>
      </c>
    </row>
    <row r="1550" spans="1:9" x14ac:dyDescent="0.35">
      <c r="A1550">
        <v>629</v>
      </c>
      <c r="B1550">
        <v>17</v>
      </c>
      <c r="C1550" t="s">
        <v>39</v>
      </c>
      <c r="D1550" t="s">
        <v>40</v>
      </c>
      <c r="E1550">
        <v>12</v>
      </c>
      <c r="F1550">
        <v>20</v>
      </c>
      <c r="G1550">
        <v>3</v>
      </c>
      <c r="H1550">
        <v>19</v>
      </c>
      <c r="I1550" t="s">
        <v>11</v>
      </c>
    </row>
    <row r="1551" spans="1:9" x14ac:dyDescent="0.35">
      <c r="A1551">
        <v>629</v>
      </c>
      <c r="B1551">
        <v>17</v>
      </c>
      <c r="C1551" t="s">
        <v>45</v>
      </c>
      <c r="D1551" t="s">
        <v>46</v>
      </c>
      <c r="E1551">
        <v>10</v>
      </c>
      <c r="F1551">
        <v>18</v>
      </c>
      <c r="G1551">
        <v>2</v>
      </c>
      <c r="H1551">
        <v>43</v>
      </c>
      <c r="I1551" t="s">
        <v>14</v>
      </c>
    </row>
    <row r="1552" spans="1:9" x14ac:dyDescent="0.35">
      <c r="A1552">
        <v>630</v>
      </c>
      <c r="B1552">
        <v>2</v>
      </c>
      <c r="C1552" t="s">
        <v>15</v>
      </c>
      <c r="D1552" t="s">
        <v>16</v>
      </c>
      <c r="E1552">
        <v>19</v>
      </c>
      <c r="F1552">
        <v>31</v>
      </c>
      <c r="G1552">
        <v>2</v>
      </c>
      <c r="H1552">
        <v>19</v>
      </c>
      <c r="I1552" t="s">
        <v>11</v>
      </c>
    </row>
    <row r="1553" spans="1:9" x14ac:dyDescent="0.35">
      <c r="A1553">
        <v>630</v>
      </c>
      <c r="B1553">
        <v>2</v>
      </c>
      <c r="C1553" t="s">
        <v>19</v>
      </c>
      <c r="D1553" t="s">
        <v>20</v>
      </c>
      <c r="E1553">
        <v>25</v>
      </c>
      <c r="F1553">
        <v>40</v>
      </c>
      <c r="G1553">
        <v>3</v>
      </c>
      <c r="H1553">
        <v>56</v>
      </c>
      <c r="I1553" t="s">
        <v>11</v>
      </c>
    </row>
    <row r="1554" spans="1:9" x14ac:dyDescent="0.35">
      <c r="A1554">
        <v>631</v>
      </c>
      <c r="B1554">
        <v>6</v>
      </c>
      <c r="C1554" t="s">
        <v>35</v>
      </c>
      <c r="D1554" t="s">
        <v>36</v>
      </c>
      <c r="E1554">
        <v>13</v>
      </c>
      <c r="F1554">
        <v>22</v>
      </c>
      <c r="G1554">
        <v>3</v>
      </c>
      <c r="H1554">
        <v>46</v>
      </c>
      <c r="I1554" t="s">
        <v>11</v>
      </c>
    </row>
    <row r="1555" spans="1:9" x14ac:dyDescent="0.35">
      <c r="A1555">
        <v>632</v>
      </c>
      <c r="B1555">
        <v>16</v>
      </c>
      <c r="C1555" t="s">
        <v>33</v>
      </c>
      <c r="D1555" t="s">
        <v>34</v>
      </c>
      <c r="E1555">
        <v>19</v>
      </c>
      <c r="F1555">
        <v>32</v>
      </c>
      <c r="G1555">
        <v>3</v>
      </c>
      <c r="H1555">
        <v>41</v>
      </c>
      <c r="I1555" t="s">
        <v>14</v>
      </c>
    </row>
    <row r="1556" spans="1:9" x14ac:dyDescent="0.35">
      <c r="A1556">
        <v>632</v>
      </c>
      <c r="B1556">
        <v>16</v>
      </c>
      <c r="C1556" t="s">
        <v>25</v>
      </c>
      <c r="D1556" t="s">
        <v>26</v>
      </c>
      <c r="E1556">
        <v>20</v>
      </c>
      <c r="F1556">
        <v>33</v>
      </c>
      <c r="G1556">
        <v>1</v>
      </c>
      <c r="H1556">
        <v>47</v>
      </c>
      <c r="I1556" t="s">
        <v>11</v>
      </c>
    </row>
    <row r="1557" spans="1:9" x14ac:dyDescent="0.35">
      <c r="A1557">
        <v>633</v>
      </c>
      <c r="B1557">
        <v>16</v>
      </c>
      <c r="C1557" t="s">
        <v>12</v>
      </c>
      <c r="D1557" t="s">
        <v>13</v>
      </c>
      <c r="E1557">
        <v>18</v>
      </c>
      <c r="F1557">
        <v>30</v>
      </c>
      <c r="G1557">
        <v>3</v>
      </c>
      <c r="H1557">
        <v>10</v>
      </c>
      <c r="I1557" t="s">
        <v>11</v>
      </c>
    </row>
    <row r="1558" spans="1:9" x14ac:dyDescent="0.35">
      <c r="A1558">
        <v>633</v>
      </c>
      <c r="B1558">
        <v>16</v>
      </c>
      <c r="C1558" t="s">
        <v>9</v>
      </c>
      <c r="D1558" t="s">
        <v>10</v>
      </c>
      <c r="E1558">
        <v>14</v>
      </c>
      <c r="F1558">
        <v>24</v>
      </c>
      <c r="G1558">
        <v>2</v>
      </c>
      <c r="H1558">
        <v>51</v>
      </c>
      <c r="I1558" t="s">
        <v>14</v>
      </c>
    </row>
    <row r="1559" spans="1:9" x14ac:dyDescent="0.35">
      <c r="A1559">
        <v>633</v>
      </c>
      <c r="B1559">
        <v>16</v>
      </c>
      <c r="C1559" t="s">
        <v>35</v>
      </c>
      <c r="D1559" t="s">
        <v>36</v>
      </c>
      <c r="E1559">
        <v>13</v>
      </c>
      <c r="F1559">
        <v>22</v>
      </c>
      <c r="G1559">
        <v>2</v>
      </c>
      <c r="H1559">
        <v>34</v>
      </c>
      <c r="I1559" t="s">
        <v>11</v>
      </c>
    </row>
    <row r="1560" spans="1:9" x14ac:dyDescent="0.35">
      <c r="A1560">
        <v>633</v>
      </c>
      <c r="B1560">
        <v>16</v>
      </c>
      <c r="C1560" t="s">
        <v>45</v>
      </c>
      <c r="D1560" t="s">
        <v>46</v>
      </c>
      <c r="E1560">
        <v>10</v>
      </c>
      <c r="F1560">
        <v>18</v>
      </c>
      <c r="G1560">
        <v>3</v>
      </c>
      <c r="H1560">
        <v>54</v>
      </c>
      <c r="I1560" t="s">
        <v>14</v>
      </c>
    </row>
    <row r="1561" spans="1:9" x14ac:dyDescent="0.35">
      <c r="A1561">
        <v>634</v>
      </c>
      <c r="B1561">
        <v>2</v>
      </c>
      <c r="C1561" t="s">
        <v>35</v>
      </c>
      <c r="D1561" t="s">
        <v>36</v>
      </c>
      <c r="E1561">
        <v>13</v>
      </c>
      <c r="F1561">
        <v>22</v>
      </c>
      <c r="G1561">
        <v>2</v>
      </c>
      <c r="H1561">
        <v>25</v>
      </c>
      <c r="I1561" t="s">
        <v>11</v>
      </c>
    </row>
    <row r="1562" spans="1:9" x14ac:dyDescent="0.35">
      <c r="A1562">
        <v>634</v>
      </c>
      <c r="B1562">
        <v>2</v>
      </c>
      <c r="C1562" t="s">
        <v>19</v>
      </c>
      <c r="D1562" t="s">
        <v>20</v>
      </c>
      <c r="E1562">
        <v>25</v>
      </c>
      <c r="F1562">
        <v>40</v>
      </c>
      <c r="G1562">
        <v>3</v>
      </c>
      <c r="H1562">
        <v>38</v>
      </c>
      <c r="I1562" t="s">
        <v>14</v>
      </c>
    </row>
    <row r="1563" spans="1:9" x14ac:dyDescent="0.35">
      <c r="A1563">
        <v>634</v>
      </c>
      <c r="B1563">
        <v>2</v>
      </c>
      <c r="C1563" t="s">
        <v>49</v>
      </c>
      <c r="D1563" t="s">
        <v>50</v>
      </c>
      <c r="E1563">
        <v>15</v>
      </c>
      <c r="F1563">
        <v>25</v>
      </c>
      <c r="G1563">
        <v>3</v>
      </c>
      <c r="H1563">
        <v>43</v>
      </c>
      <c r="I1563" t="s">
        <v>14</v>
      </c>
    </row>
    <row r="1564" spans="1:9" x14ac:dyDescent="0.35">
      <c r="A1564">
        <v>634</v>
      </c>
      <c r="B1564">
        <v>2</v>
      </c>
      <c r="C1564" t="s">
        <v>31</v>
      </c>
      <c r="D1564" t="s">
        <v>32</v>
      </c>
      <c r="E1564">
        <v>21</v>
      </c>
      <c r="F1564">
        <v>35</v>
      </c>
      <c r="G1564">
        <v>3</v>
      </c>
      <c r="H1564">
        <v>51</v>
      </c>
      <c r="I1564" t="s">
        <v>11</v>
      </c>
    </row>
    <row r="1565" spans="1:9" x14ac:dyDescent="0.35">
      <c r="A1565">
        <v>635</v>
      </c>
      <c r="B1565">
        <v>5</v>
      </c>
      <c r="C1565" t="s">
        <v>23</v>
      </c>
      <c r="D1565" t="s">
        <v>24</v>
      </c>
      <c r="E1565">
        <v>17</v>
      </c>
      <c r="F1565">
        <v>29</v>
      </c>
      <c r="G1565">
        <v>2</v>
      </c>
      <c r="H1565">
        <v>25</v>
      </c>
      <c r="I1565" t="s">
        <v>14</v>
      </c>
    </row>
    <row r="1566" spans="1:9" x14ac:dyDescent="0.35">
      <c r="A1566">
        <v>636</v>
      </c>
      <c r="B1566">
        <v>14</v>
      </c>
      <c r="C1566" t="s">
        <v>9</v>
      </c>
      <c r="D1566" t="s">
        <v>10</v>
      </c>
      <c r="E1566">
        <v>14</v>
      </c>
      <c r="F1566">
        <v>24</v>
      </c>
      <c r="G1566">
        <v>2</v>
      </c>
      <c r="H1566">
        <v>45</v>
      </c>
      <c r="I1566" t="s">
        <v>11</v>
      </c>
    </row>
    <row r="1567" spans="1:9" x14ac:dyDescent="0.35">
      <c r="A1567">
        <v>636</v>
      </c>
      <c r="B1567">
        <v>14</v>
      </c>
      <c r="C1567" t="s">
        <v>29</v>
      </c>
      <c r="D1567" t="s">
        <v>30</v>
      </c>
      <c r="E1567">
        <v>11</v>
      </c>
      <c r="F1567">
        <v>19</v>
      </c>
      <c r="G1567">
        <v>3</v>
      </c>
      <c r="H1567">
        <v>54</v>
      </c>
      <c r="I1567" t="s">
        <v>14</v>
      </c>
    </row>
    <row r="1568" spans="1:9" x14ac:dyDescent="0.35">
      <c r="A1568">
        <v>636</v>
      </c>
      <c r="B1568">
        <v>14</v>
      </c>
      <c r="C1568" t="s">
        <v>43</v>
      </c>
      <c r="D1568" t="s">
        <v>44</v>
      </c>
      <c r="E1568">
        <v>13</v>
      </c>
      <c r="F1568">
        <v>21</v>
      </c>
      <c r="G1568">
        <v>1</v>
      </c>
      <c r="H1568">
        <v>52</v>
      </c>
      <c r="I1568" t="s">
        <v>14</v>
      </c>
    </row>
    <row r="1569" spans="1:9" x14ac:dyDescent="0.35">
      <c r="A1569">
        <v>637</v>
      </c>
      <c r="B1569">
        <v>6</v>
      </c>
      <c r="C1569" t="s">
        <v>25</v>
      </c>
      <c r="D1569" t="s">
        <v>26</v>
      </c>
      <c r="E1569">
        <v>20</v>
      </c>
      <c r="F1569">
        <v>33</v>
      </c>
      <c r="G1569">
        <v>1</v>
      </c>
      <c r="H1569">
        <v>23</v>
      </c>
      <c r="I1569" t="s">
        <v>14</v>
      </c>
    </row>
    <row r="1570" spans="1:9" x14ac:dyDescent="0.35">
      <c r="A1570">
        <v>637</v>
      </c>
      <c r="B1570">
        <v>6</v>
      </c>
      <c r="C1570" t="s">
        <v>37</v>
      </c>
      <c r="D1570" t="s">
        <v>38</v>
      </c>
      <c r="E1570">
        <v>20</v>
      </c>
      <c r="F1570">
        <v>34</v>
      </c>
      <c r="G1570">
        <v>1</v>
      </c>
      <c r="H1570">
        <v>6</v>
      </c>
      <c r="I1570" t="s">
        <v>14</v>
      </c>
    </row>
    <row r="1571" spans="1:9" x14ac:dyDescent="0.35">
      <c r="A1571">
        <v>637</v>
      </c>
      <c r="B1571">
        <v>6</v>
      </c>
      <c r="C1571" t="s">
        <v>49</v>
      </c>
      <c r="D1571" t="s">
        <v>50</v>
      </c>
      <c r="E1571">
        <v>15</v>
      </c>
      <c r="F1571">
        <v>25</v>
      </c>
      <c r="G1571">
        <v>2</v>
      </c>
      <c r="H1571">
        <v>32</v>
      </c>
      <c r="I1571" t="s">
        <v>11</v>
      </c>
    </row>
    <row r="1572" spans="1:9" x14ac:dyDescent="0.35">
      <c r="A1572">
        <v>638</v>
      </c>
      <c r="B1572">
        <v>16</v>
      </c>
      <c r="C1572" t="s">
        <v>12</v>
      </c>
      <c r="D1572" t="s">
        <v>13</v>
      </c>
      <c r="E1572">
        <v>18</v>
      </c>
      <c r="F1572">
        <v>30</v>
      </c>
      <c r="G1572">
        <v>3</v>
      </c>
      <c r="H1572">
        <v>44</v>
      </c>
      <c r="I1572" t="s">
        <v>11</v>
      </c>
    </row>
    <row r="1573" spans="1:9" x14ac:dyDescent="0.35">
      <c r="A1573">
        <v>639</v>
      </c>
      <c r="B1573">
        <v>8</v>
      </c>
      <c r="C1573" t="s">
        <v>47</v>
      </c>
      <c r="D1573" t="s">
        <v>48</v>
      </c>
      <c r="E1573">
        <v>15</v>
      </c>
      <c r="F1573">
        <v>26</v>
      </c>
      <c r="G1573">
        <v>2</v>
      </c>
      <c r="H1573">
        <v>52</v>
      </c>
      <c r="I1573" t="s">
        <v>11</v>
      </c>
    </row>
    <row r="1574" spans="1:9" x14ac:dyDescent="0.35">
      <c r="A1574">
        <v>639</v>
      </c>
      <c r="B1574">
        <v>8</v>
      </c>
      <c r="C1574" t="s">
        <v>15</v>
      </c>
      <c r="D1574" t="s">
        <v>16</v>
      </c>
      <c r="E1574">
        <v>19</v>
      </c>
      <c r="F1574">
        <v>31</v>
      </c>
      <c r="G1574">
        <v>2</v>
      </c>
      <c r="H1574">
        <v>29</v>
      </c>
      <c r="I1574" t="s">
        <v>11</v>
      </c>
    </row>
    <row r="1575" spans="1:9" x14ac:dyDescent="0.35">
      <c r="A1575">
        <v>639</v>
      </c>
      <c r="B1575">
        <v>8</v>
      </c>
      <c r="C1575" t="s">
        <v>29</v>
      </c>
      <c r="D1575" t="s">
        <v>30</v>
      </c>
      <c r="E1575">
        <v>11</v>
      </c>
      <c r="F1575">
        <v>19</v>
      </c>
      <c r="G1575">
        <v>2</v>
      </c>
      <c r="H1575">
        <v>55</v>
      </c>
      <c r="I1575" t="s">
        <v>11</v>
      </c>
    </row>
    <row r="1576" spans="1:9" x14ac:dyDescent="0.35">
      <c r="A1576">
        <v>640</v>
      </c>
      <c r="B1576">
        <v>14</v>
      </c>
      <c r="C1576" t="s">
        <v>47</v>
      </c>
      <c r="D1576" t="s">
        <v>48</v>
      </c>
      <c r="E1576">
        <v>15</v>
      </c>
      <c r="F1576">
        <v>26</v>
      </c>
      <c r="G1576">
        <v>3</v>
      </c>
      <c r="H1576">
        <v>7</v>
      </c>
      <c r="I1576" t="s">
        <v>14</v>
      </c>
    </row>
    <row r="1577" spans="1:9" x14ac:dyDescent="0.35">
      <c r="A1577">
        <v>640</v>
      </c>
      <c r="B1577">
        <v>14</v>
      </c>
      <c r="C1577" t="s">
        <v>43</v>
      </c>
      <c r="D1577" t="s">
        <v>44</v>
      </c>
      <c r="E1577">
        <v>13</v>
      </c>
      <c r="F1577">
        <v>21</v>
      </c>
      <c r="G1577">
        <v>2</v>
      </c>
      <c r="H1577">
        <v>12</v>
      </c>
      <c r="I1577" t="s">
        <v>11</v>
      </c>
    </row>
    <row r="1578" spans="1:9" x14ac:dyDescent="0.35">
      <c r="A1578">
        <v>640</v>
      </c>
      <c r="B1578">
        <v>14</v>
      </c>
      <c r="C1578" t="s">
        <v>25</v>
      </c>
      <c r="D1578" t="s">
        <v>26</v>
      </c>
      <c r="E1578">
        <v>20</v>
      </c>
      <c r="F1578">
        <v>33</v>
      </c>
      <c r="G1578">
        <v>3</v>
      </c>
      <c r="H1578">
        <v>56</v>
      </c>
      <c r="I1578" t="s">
        <v>14</v>
      </c>
    </row>
    <row r="1579" spans="1:9" x14ac:dyDescent="0.35">
      <c r="A1579">
        <v>641</v>
      </c>
      <c r="B1579">
        <v>2</v>
      </c>
      <c r="C1579" t="s">
        <v>23</v>
      </c>
      <c r="D1579" t="s">
        <v>24</v>
      </c>
      <c r="E1579">
        <v>17</v>
      </c>
      <c r="F1579">
        <v>29</v>
      </c>
      <c r="G1579">
        <v>3</v>
      </c>
      <c r="H1579">
        <v>17</v>
      </c>
      <c r="I1579" t="s">
        <v>11</v>
      </c>
    </row>
    <row r="1580" spans="1:9" x14ac:dyDescent="0.35">
      <c r="A1580">
        <v>641</v>
      </c>
      <c r="B1580">
        <v>2</v>
      </c>
      <c r="C1580" t="s">
        <v>49</v>
      </c>
      <c r="D1580" t="s">
        <v>50</v>
      </c>
      <c r="E1580">
        <v>15</v>
      </c>
      <c r="F1580">
        <v>25</v>
      </c>
      <c r="G1580">
        <v>3</v>
      </c>
      <c r="H1580">
        <v>28</v>
      </c>
      <c r="I1580" t="s">
        <v>14</v>
      </c>
    </row>
    <row r="1581" spans="1:9" x14ac:dyDescent="0.35">
      <c r="A1581">
        <v>641</v>
      </c>
      <c r="B1581">
        <v>2</v>
      </c>
      <c r="C1581" t="s">
        <v>41</v>
      </c>
      <c r="D1581" t="s">
        <v>42</v>
      </c>
      <c r="E1581">
        <v>14</v>
      </c>
      <c r="F1581">
        <v>23</v>
      </c>
      <c r="G1581">
        <v>2</v>
      </c>
      <c r="H1581">
        <v>29</v>
      </c>
      <c r="I1581" t="s">
        <v>11</v>
      </c>
    </row>
    <row r="1582" spans="1:9" x14ac:dyDescent="0.35">
      <c r="A1582">
        <v>642</v>
      </c>
      <c r="B1582">
        <v>15</v>
      </c>
      <c r="C1582" t="s">
        <v>43</v>
      </c>
      <c r="D1582" t="s">
        <v>44</v>
      </c>
      <c r="E1582">
        <v>13</v>
      </c>
      <c r="F1582">
        <v>21</v>
      </c>
      <c r="G1582">
        <v>3</v>
      </c>
      <c r="H1582">
        <v>6</v>
      </c>
      <c r="I1582" t="s">
        <v>14</v>
      </c>
    </row>
    <row r="1583" spans="1:9" x14ac:dyDescent="0.35">
      <c r="A1583">
        <v>642</v>
      </c>
      <c r="B1583">
        <v>15</v>
      </c>
      <c r="C1583" t="s">
        <v>47</v>
      </c>
      <c r="D1583" t="s">
        <v>48</v>
      </c>
      <c r="E1583">
        <v>15</v>
      </c>
      <c r="F1583">
        <v>26</v>
      </c>
      <c r="G1583">
        <v>1</v>
      </c>
      <c r="H1583">
        <v>57</v>
      </c>
      <c r="I1583" t="s">
        <v>14</v>
      </c>
    </row>
    <row r="1584" spans="1:9" x14ac:dyDescent="0.35">
      <c r="A1584">
        <v>642</v>
      </c>
      <c r="B1584">
        <v>15</v>
      </c>
      <c r="C1584" t="s">
        <v>23</v>
      </c>
      <c r="D1584" t="s">
        <v>24</v>
      </c>
      <c r="E1584">
        <v>17</v>
      </c>
      <c r="F1584">
        <v>29</v>
      </c>
      <c r="G1584">
        <v>3</v>
      </c>
      <c r="H1584">
        <v>18</v>
      </c>
      <c r="I1584" t="s">
        <v>14</v>
      </c>
    </row>
    <row r="1585" spans="1:9" x14ac:dyDescent="0.35">
      <c r="A1585">
        <v>643</v>
      </c>
      <c r="B1585">
        <v>17</v>
      </c>
      <c r="C1585" t="s">
        <v>25</v>
      </c>
      <c r="D1585" t="s">
        <v>26</v>
      </c>
      <c r="E1585">
        <v>20</v>
      </c>
      <c r="F1585">
        <v>33</v>
      </c>
      <c r="G1585">
        <v>1</v>
      </c>
      <c r="H1585">
        <v>18</v>
      </c>
      <c r="I1585" t="s">
        <v>11</v>
      </c>
    </row>
    <row r="1586" spans="1:9" x14ac:dyDescent="0.35">
      <c r="A1586">
        <v>644</v>
      </c>
      <c r="B1586">
        <v>9</v>
      </c>
      <c r="C1586" t="s">
        <v>15</v>
      </c>
      <c r="D1586" t="s">
        <v>16</v>
      </c>
      <c r="E1586">
        <v>19</v>
      </c>
      <c r="F1586">
        <v>31</v>
      </c>
      <c r="G1586">
        <v>3</v>
      </c>
      <c r="H1586">
        <v>51</v>
      </c>
      <c r="I1586" t="s">
        <v>11</v>
      </c>
    </row>
    <row r="1587" spans="1:9" x14ac:dyDescent="0.35">
      <c r="A1587">
        <v>645</v>
      </c>
      <c r="B1587">
        <v>6</v>
      </c>
      <c r="C1587" t="s">
        <v>25</v>
      </c>
      <c r="D1587" t="s">
        <v>26</v>
      </c>
      <c r="E1587">
        <v>20</v>
      </c>
      <c r="F1587">
        <v>33</v>
      </c>
      <c r="G1587">
        <v>3</v>
      </c>
      <c r="H1587">
        <v>43</v>
      </c>
      <c r="I1587" t="s">
        <v>14</v>
      </c>
    </row>
    <row r="1588" spans="1:9" x14ac:dyDescent="0.35">
      <c r="A1588">
        <v>645</v>
      </c>
      <c r="B1588">
        <v>6</v>
      </c>
      <c r="C1588" t="s">
        <v>17</v>
      </c>
      <c r="D1588" t="s">
        <v>18</v>
      </c>
      <c r="E1588">
        <v>16</v>
      </c>
      <c r="F1588">
        <v>27</v>
      </c>
      <c r="G1588">
        <v>3</v>
      </c>
      <c r="H1588">
        <v>54</v>
      </c>
      <c r="I1588" t="s">
        <v>11</v>
      </c>
    </row>
    <row r="1589" spans="1:9" x14ac:dyDescent="0.35">
      <c r="A1589">
        <v>646</v>
      </c>
      <c r="B1589">
        <v>12</v>
      </c>
      <c r="C1589" t="s">
        <v>31</v>
      </c>
      <c r="D1589" t="s">
        <v>32</v>
      </c>
      <c r="E1589">
        <v>21</v>
      </c>
      <c r="F1589">
        <v>35</v>
      </c>
      <c r="G1589">
        <v>2</v>
      </c>
      <c r="H1589">
        <v>36</v>
      </c>
      <c r="I1589" t="s">
        <v>11</v>
      </c>
    </row>
    <row r="1590" spans="1:9" x14ac:dyDescent="0.35">
      <c r="A1590">
        <v>647</v>
      </c>
      <c r="B1590">
        <v>12</v>
      </c>
      <c r="C1590" t="s">
        <v>45</v>
      </c>
      <c r="D1590" t="s">
        <v>46</v>
      </c>
      <c r="E1590">
        <v>10</v>
      </c>
      <c r="F1590">
        <v>18</v>
      </c>
      <c r="G1590">
        <v>2</v>
      </c>
      <c r="H1590">
        <v>13</v>
      </c>
      <c r="I1590" t="s">
        <v>14</v>
      </c>
    </row>
    <row r="1591" spans="1:9" x14ac:dyDescent="0.35">
      <c r="A1591">
        <v>647</v>
      </c>
      <c r="B1591">
        <v>12</v>
      </c>
      <c r="C1591" t="s">
        <v>15</v>
      </c>
      <c r="D1591" t="s">
        <v>16</v>
      </c>
      <c r="E1591">
        <v>19</v>
      </c>
      <c r="F1591">
        <v>31</v>
      </c>
      <c r="G1591">
        <v>2</v>
      </c>
      <c r="H1591">
        <v>26</v>
      </c>
      <c r="I1591" t="s">
        <v>14</v>
      </c>
    </row>
    <row r="1592" spans="1:9" x14ac:dyDescent="0.35">
      <c r="A1592">
        <v>648</v>
      </c>
      <c r="B1592">
        <v>9</v>
      </c>
      <c r="C1592" t="s">
        <v>27</v>
      </c>
      <c r="D1592" t="s">
        <v>28</v>
      </c>
      <c r="E1592">
        <v>16</v>
      </c>
      <c r="F1592">
        <v>28</v>
      </c>
      <c r="G1592">
        <v>2</v>
      </c>
      <c r="H1592">
        <v>47</v>
      </c>
      <c r="I1592" t="s">
        <v>11</v>
      </c>
    </row>
    <row r="1593" spans="1:9" x14ac:dyDescent="0.35">
      <c r="A1593">
        <v>649</v>
      </c>
      <c r="B1593">
        <v>9</v>
      </c>
      <c r="C1593" t="s">
        <v>23</v>
      </c>
      <c r="D1593" t="s">
        <v>24</v>
      </c>
      <c r="E1593">
        <v>17</v>
      </c>
      <c r="F1593">
        <v>29</v>
      </c>
      <c r="G1593">
        <v>3</v>
      </c>
      <c r="H1593">
        <v>22</v>
      </c>
      <c r="I1593" t="s">
        <v>14</v>
      </c>
    </row>
    <row r="1594" spans="1:9" x14ac:dyDescent="0.35">
      <c r="A1594">
        <v>649</v>
      </c>
      <c r="B1594">
        <v>9</v>
      </c>
      <c r="C1594" t="s">
        <v>27</v>
      </c>
      <c r="D1594" t="s">
        <v>28</v>
      </c>
      <c r="E1594">
        <v>16</v>
      </c>
      <c r="F1594">
        <v>28</v>
      </c>
      <c r="G1594">
        <v>3</v>
      </c>
      <c r="H1594">
        <v>40</v>
      </c>
      <c r="I1594" t="s">
        <v>11</v>
      </c>
    </row>
    <row r="1595" spans="1:9" x14ac:dyDescent="0.35">
      <c r="A1595">
        <v>649</v>
      </c>
      <c r="B1595">
        <v>9</v>
      </c>
      <c r="C1595" t="s">
        <v>49</v>
      </c>
      <c r="D1595" t="s">
        <v>50</v>
      </c>
      <c r="E1595">
        <v>15</v>
      </c>
      <c r="F1595">
        <v>25</v>
      </c>
      <c r="G1595">
        <v>1</v>
      </c>
      <c r="H1595">
        <v>32</v>
      </c>
      <c r="I1595" t="s">
        <v>14</v>
      </c>
    </row>
    <row r="1596" spans="1:9" x14ac:dyDescent="0.35">
      <c r="A1596">
        <v>649</v>
      </c>
      <c r="B1596">
        <v>9</v>
      </c>
      <c r="C1596" t="s">
        <v>39</v>
      </c>
      <c r="D1596" t="s">
        <v>40</v>
      </c>
      <c r="E1596">
        <v>12</v>
      </c>
      <c r="F1596">
        <v>20</v>
      </c>
      <c r="G1596">
        <v>3</v>
      </c>
      <c r="H1596">
        <v>15</v>
      </c>
      <c r="I1596" t="s">
        <v>11</v>
      </c>
    </row>
    <row r="1597" spans="1:9" x14ac:dyDescent="0.35">
      <c r="A1597">
        <v>650</v>
      </c>
      <c r="B1597">
        <v>11</v>
      </c>
      <c r="C1597" t="s">
        <v>43</v>
      </c>
      <c r="D1597" t="s">
        <v>44</v>
      </c>
      <c r="E1597">
        <v>13</v>
      </c>
      <c r="F1597">
        <v>21</v>
      </c>
      <c r="G1597">
        <v>2</v>
      </c>
      <c r="H1597">
        <v>18</v>
      </c>
      <c r="I1597" t="s">
        <v>14</v>
      </c>
    </row>
    <row r="1598" spans="1:9" x14ac:dyDescent="0.35">
      <c r="A1598">
        <v>650</v>
      </c>
      <c r="B1598">
        <v>11</v>
      </c>
      <c r="C1598" t="s">
        <v>23</v>
      </c>
      <c r="D1598" t="s">
        <v>24</v>
      </c>
      <c r="E1598">
        <v>17</v>
      </c>
      <c r="F1598">
        <v>29</v>
      </c>
      <c r="G1598">
        <v>2</v>
      </c>
      <c r="H1598">
        <v>35</v>
      </c>
      <c r="I1598" t="s">
        <v>14</v>
      </c>
    </row>
    <row r="1599" spans="1:9" x14ac:dyDescent="0.35">
      <c r="A1599">
        <v>650</v>
      </c>
      <c r="B1599">
        <v>11</v>
      </c>
      <c r="C1599" t="s">
        <v>33</v>
      </c>
      <c r="D1599" t="s">
        <v>34</v>
      </c>
      <c r="E1599">
        <v>19</v>
      </c>
      <c r="F1599">
        <v>32</v>
      </c>
      <c r="G1599">
        <v>1</v>
      </c>
      <c r="H1599">
        <v>12</v>
      </c>
      <c r="I1599" t="s">
        <v>14</v>
      </c>
    </row>
    <row r="1600" spans="1:9" x14ac:dyDescent="0.35">
      <c r="A1600">
        <v>650</v>
      </c>
      <c r="B1600">
        <v>11</v>
      </c>
      <c r="C1600" t="s">
        <v>31</v>
      </c>
      <c r="D1600" t="s">
        <v>32</v>
      </c>
      <c r="E1600">
        <v>21</v>
      </c>
      <c r="F1600">
        <v>35</v>
      </c>
      <c r="G1600">
        <v>3</v>
      </c>
      <c r="H1600">
        <v>11</v>
      </c>
      <c r="I1600" t="s">
        <v>11</v>
      </c>
    </row>
    <row r="1601" spans="1:9" x14ac:dyDescent="0.35">
      <c r="A1601">
        <v>651</v>
      </c>
      <c r="B1601">
        <v>16</v>
      </c>
      <c r="C1601" t="s">
        <v>19</v>
      </c>
      <c r="D1601" t="s">
        <v>20</v>
      </c>
      <c r="E1601">
        <v>25</v>
      </c>
      <c r="F1601">
        <v>40</v>
      </c>
      <c r="G1601">
        <v>2</v>
      </c>
      <c r="H1601">
        <v>50</v>
      </c>
      <c r="I1601" t="s">
        <v>11</v>
      </c>
    </row>
    <row r="1602" spans="1:9" x14ac:dyDescent="0.35">
      <c r="A1602">
        <v>651</v>
      </c>
      <c r="B1602">
        <v>16</v>
      </c>
      <c r="C1602" t="s">
        <v>43</v>
      </c>
      <c r="D1602" t="s">
        <v>44</v>
      </c>
      <c r="E1602">
        <v>13</v>
      </c>
      <c r="F1602">
        <v>21</v>
      </c>
      <c r="G1602">
        <v>3</v>
      </c>
      <c r="H1602">
        <v>9</v>
      </c>
      <c r="I1602" t="s">
        <v>11</v>
      </c>
    </row>
    <row r="1603" spans="1:9" x14ac:dyDescent="0.35">
      <c r="A1603">
        <v>651</v>
      </c>
      <c r="B1603">
        <v>16</v>
      </c>
      <c r="C1603" t="s">
        <v>25</v>
      </c>
      <c r="D1603" t="s">
        <v>26</v>
      </c>
      <c r="E1603">
        <v>20</v>
      </c>
      <c r="F1603">
        <v>33</v>
      </c>
      <c r="G1603">
        <v>2</v>
      </c>
      <c r="H1603">
        <v>29</v>
      </c>
      <c r="I1603" t="s">
        <v>11</v>
      </c>
    </row>
    <row r="1604" spans="1:9" x14ac:dyDescent="0.35">
      <c r="A1604">
        <v>652</v>
      </c>
      <c r="B1604">
        <v>14</v>
      </c>
      <c r="C1604" t="s">
        <v>15</v>
      </c>
      <c r="D1604" t="s">
        <v>16</v>
      </c>
      <c r="E1604">
        <v>19</v>
      </c>
      <c r="F1604">
        <v>31</v>
      </c>
      <c r="G1604">
        <v>2</v>
      </c>
      <c r="H1604">
        <v>12</v>
      </c>
      <c r="I1604" t="s">
        <v>11</v>
      </c>
    </row>
    <row r="1605" spans="1:9" x14ac:dyDescent="0.35">
      <c r="A1605">
        <v>652</v>
      </c>
      <c r="B1605">
        <v>14</v>
      </c>
      <c r="C1605" t="s">
        <v>21</v>
      </c>
      <c r="D1605" t="s">
        <v>22</v>
      </c>
      <c r="E1605">
        <v>22</v>
      </c>
      <c r="F1605">
        <v>36</v>
      </c>
      <c r="G1605">
        <v>3</v>
      </c>
      <c r="H1605">
        <v>38</v>
      </c>
      <c r="I1605" t="s">
        <v>14</v>
      </c>
    </row>
    <row r="1606" spans="1:9" x14ac:dyDescent="0.35">
      <c r="A1606">
        <v>653</v>
      </c>
      <c r="B1606">
        <v>13</v>
      </c>
      <c r="C1606" t="s">
        <v>27</v>
      </c>
      <c r="D1606" t="s">
        <v>28</v>
      </c>
      <c r="E1606">
        <v>16</v>
      </c>
      <c r="F1606">
        <v>28</v>
      </c>
      <c r="G1606">
        <v>3</v>
      </c>
      <c r="H1606">
        <v>51</v>
      </c>
      <c r="I1606" t="s">
        <v>14</v>
      </c>
    </row>
    <row r="1607" spans="1:9" x14ac:dyDescent="0.35">
      <c r="A1607">
        <v>653</v>
      </c>
      <c r="B1607">
        <v>13</v>
      </c>
      <c r="C1607" t="s">
        <v>12</v>
      </c>
      <c r="D1607" t="s">
        <v>13</v>
      </c>
      <c r="E1607">
        <v>18</v>
      </c>
      <c r="F1607">
        <v>30</v>
      </c>
      <c r="G1607">
        <v>3</v>
      </c>
      <c r="H1607">
        <v>46</v>
      </c>
      <c r="I1607" t="s">
        <v>11</v>
      </c>
    </row>
    <row r="1608" spans="1:9" x14ac:dyDescent="0.35">
      <c r="A1608">
        <v>653</v>
      </c>
      <c r="B1608">
        <v>13</v>
      </c>
      <c r="C1608" t="s">
        <v>31</v>
      </c>
      <c r="D1608" t="s">
        <v>32</v>
      </c>
      <c r="E1608">
        <v>21</v>
      </c>
      <c r="F1608">
        <v>35</v>
      </c>
      <c r="G1608">
        <v>2</v>
      </c>
      <c r="H1608">
        <v>53</v>
      </c>
      <c r="I1608" t="s">
        <v>11</v>
      </c>
    </row>
    <row r="1609" spans="1:9" x14ac:dyDescent="0.35">
      <c r="A1609">
        <v>654</v>
      </c>
      <c r="B1609">
        <v>12</v>
      </c>
      <c r="C1609" t="s">
        <v>35</v>
      </c>
      <c r="D1609" t="s">
        <v>36</v>
      </c>
      <c r="E1609">
        <v>13</v>
      </c>
      <c r="F1609">
        <v>22</v>
      </c>
      <c r="G1609">
        <v>1</v>
      </c>
      <c r="H1609">
        <v>31</v>
      </c>
      <c r="I1609" t="s">
        <v>11</v>
      </c>
    </row>
    <row r="1610" spans="1:9" x14ac:dyDescent="0.35">
      <c r="A1610">
        <v>654</v>
      </c>
      <c r="B1610">
        <v>12</v>
      </c>
      <c r="C1610" t="s">
        <v>39</v>
      </c>
      <c r="D1610" t="s">
        <v>40</v>
      </c>
      <c r="E1610">
        <v>12</v>
      </c>
      <c r="F1610">
        <v>20</v>
      </c>
      <c r="G1610">
        <v>1</v>
      </c>
      <c r="H1610">
        <v>13</v>
      </c>
      <c r="I1610" t="s">
        <v>11</v>
      </c>
    </row>
    <row r="1611" spans="1:9" x14ac:dyDescent="0.35">
      <c r="A1611">
        <v>655</v>
      </c>
      <c r="B1611">
        <v>5</v>
      </c>
      <c r="C1611" t="s">
        <v>15</v>
      </c>
      <c r="D1611" t="s">
        <v>16</v>
      </c>
      <c r="E1611">
        <v>19</v>
      </c>
      <c r="F1611">
        <v>31</v>
      </c>
      <c r="G1611">
        <v>3</v>
      </c>
      <c r="H1611">
        <v>36</v>
      </c>
      <c r="I1611" t="s">
        <v>14</v>
      </c>
    </row>
    <row r="1612" spans="1:9" x14ac:dyDescent="0.35">
      <c r="A1612">
        <v>656</v>
      </c>
      <c r="B1612">
        <v>19</v>
      </c>
      <c r="C1612" t="s">
        <v>41</v>
      </c>
      <c r="D1612" t="s">
        <v>42</v>
      </c>
      <c r="E1612">
        <v>14</v>
      </c>
      <c r="F1612">
        <v>23</v>
      </c>
      <c r="G1612">
        <v>1</v>
      </c>
      <c r="H1612">
        <v>13</v>
      </c>
      <c r="I1612" t="s">
        <v>11</v>
      </c>
    </row>
    <row r="1613" spans="1:9" x14ac:dyDescent="0.35">
      <c r="A1613">
        <v>656</v>
      </c>
      <c r="B1613">
        <v>19</v>
      </c>
      <c r="C1613" t="s">
        <v>39</v>
      </c>
      <c r="D1613" t="s">
        <v>40</v>
      </c>
      <c r="E1613">
        <v>12</v>
      </c>
      <c r="F1613">
        <v>20</v>
      </c>
      <c r="G1613">
        <v>3</v>
      </c>
      <c r="H1613">
        <v>44</v>
      </c>
      <c r="I1613" t="s">
        <v>14</v>
      </c>
    </row>
    <row r="1614" spans="1:9" x14ac:dyDescent="0.35">
      <c r="A1614">
        <v>656</v>
      </c>
      <c r="B1614">
        <v>19</v>
      </c>
      <c r="C1614" t="s">
        <v>29</v>
      </c>
      <c r="D1614" t="s">
        <v>30</v>
      </c>
      <c r="E1614">
        <v>11</v>
      </c>
      <c r="F1614">
        <v>19</v>
      </c>
      <c r="G1614">
        <v>2</v>
      </c>
      <c r="H1614">
        <v>39</v>
      </c>
      <c r="I1614" t="s">
        <v>14</v>
      </c>
    </row>
    <row r="1615" spans="1:9" x14ac:dyDescent="0.35">
      <c r="A1615">
        <v>656</v>
      </c>
      <c r="B1615">
        <v>19</v>
      </c>
      <c r="C1615" t="s">
        <v>21</v>
      </c>
      <c r="D1615" t="s">
        <v>22</v>
      </c>
      <c r="E1615">
        <v>22</v>
      </c>
      <c r="F1615">
        <v>36</v>
      </c>
      <c r="G1615">
        <v>1</v>
      </c>
      <c r="H1615">
        <v>14</v>
      </c>
      <c r="I1615" t="s">
        <v>11</v>
      </c>
    </row>
    <row r="1616" spans="1:9" x14ac:dyDescent="0.35">
      <c r="A1616">
        <v>657</v>
      </c>
      <c r="B1616">
        <v>1</v>
      </c>
      <c r="C1616" t="s">
        <v>19</v>
      </c>
      <c r="D1616" t="s">
        <v>20</v>
      </c>
      <c r="E1616">
        <v>25</v>
      </c>
      <c r="F1616">
        <v>40</v>
      </c>
      <c r="G1616">
        <v>2</v>
      </c>
      <c r="H1616">
        <v>55</v>
      </c>
      <c r="I1616" t="s">
        <v>14</v>
      </c>
    </row>
    <row r="1617" spans="1:9" x14ac:dyDescent="0.35">
      <c r="A1617">
        <v>657</v>
      </c>
      <c r="B1617">
        <v>1</v>
      </c>
      <c r="C1617" t="s">
        <v>41</v>
      </c>
      <c r="D1617" t="s">
        <v>42</v>
      </c>
      <c r="E1617">
        <v>14</v>
      </c>
      <c r="F1617">
        <v>23</v>
      </c>
      <c r="G1617">
        <v>2</v>
      </c>
      <c r="H1617">
        <v>39</v>
      </c>
      <c r="I1617" t="s">
        <v>14</v>
      </c>
    </row>
    <row r="1618" spans="1:9" x14ac:dyDescent="0.35">
      <c r="A1618">
        <v>657</v>
      </c>
      <c r="B1618">
        <v>1</v>
      </c>
      <c r="C1618" t="s">
        <v>31</v>
      </c>
      <c r="D1618" t="s">
        <v>32</v>
      </c>
      <c r="E1618">
        <v>21</v>
      </c>
      <c r="F1618">
        <v>35</v>
      </c>
      <c r="G1618">
        <v>2</v>
      </c>
      <c r="H1618">
        <v>40</v>
      </c>
      <c r="I1618" t="s">
        <v>14</v>
      </c>
    </row>
    <row r="1619" spans="1:9" x14ac:dyDescent="0.35">
      <c r="A1619">
        <v>658</v>
      </c>
      <c r="B1619">
        <v>19</v>
      </c>
      <c r="C1619" t="s">
        <v>33</v>
      </c>
      <c r="D1619" t="s">
        <v>34</v>
      </c>
      <c r="E1619">
        <v>19</v>
      </c>
      <c r="F1619">
        <v>32</v>
      </c>
      <c r="G1619">
        <v>1</v>
      </c>
      <c r="H1619">
        <v>21</v>
      </c>
      <c r="I1619" t="s">
        <v>14</v>
      </c>
    </row>
    <row r="1620" spans="1:9" x14ac:dyDescent="0.35">
      <c r="A1620">
        <v>658</v>
      </c>
      <c r="B1620">
        <v>19</v>
      </c>
      <c r="C1620" t="s">
        <v>17</v>
      </c>
      <c r="D1620" t="s">
        <v>18</v>
      </c>
      <c r="E1620">
        <v>16</v>
      </c>
      <c r="F1620">
        <v>27</v>
      </c>
      <c r="G1620">
        <v>2</v>
      </c>
      <c r="H1620">
        <v>27</v>
      </c>
      <c r="I1620" t="s">
        <v>14</v>
      </c>
    </row>
    <row r="1621" spans="1:9" x14ac:dyDescent="0.35">
      <c r="A1621">
        <v>659</v>
      </c>
      <c r="B1621">
        <v>9</v>
      </c>
      <c r="C1621" t="s">
        <v>23</v>
      </c>
      <c r="D1621" t="s">
        <v>24</v>
      </c>
      <c r="E1621">
        <v>17</v>
      </c>
      <c r="F1621">
        <v>29</v>
      </c>
      <c r="G1621">
        <v>3</v>
      </c>
      <c r="H1621">
        <v>31</v>
      </c>
      <c r="I1621" t="s">
        <v>11</v>
      </c>
    </row>
    <row r="1622" spans="1:9" x14ac:dyDescent="0.35">
      <c r="A1622">
        <v>660</v>
      </c>
      <c r="B1622">
        <v>19</v>
      </c>
      <c r="C1622" t="s">
        <v>29</v>
      </c>
      <c r="D1622" t="s">
        <v>30</v>
      </c>
      <c r="E1622">
        <v>11</v>
      </c>
      <c r="F1622">
        <v>19</v>
      </c>
      <c r="G1622">
        <v>2</v>
      </c>
      <c r="H1622">
        <v>24</v>
      </c>
      <c r="I1622" t="s">
        <v>14</v>
      </c>
    </row>
    <row r="1623" spans="1:9" x14ac:dyDescent="0.35">
      <c r="A1623">
        <v>660</v>
      </c>
      <c r="B1623">
        <v>19</v>
      </c>
      <c r="C1623" t="s">
        <v>12</v>
      </c>
      <c r="D1623" t="s">
        <v>13</v>
      </c>
      <c r="E1623">
        <v>18</v>
      </c>
      <c r="F1623">
        <v>30</v>
      </c>
      <c r="G1623">
        <v>3</v>
      </c>
      <c r="H1623">
        <v>16</v>
      </c>
      <c r="I1623" t="s">
        <v>11</v>
      </c>
    </row>
    <row r="1624" spans="1:9" x14ac:dyDescent="0.35">
      <c r="A1624">
        <v>660</v>
      </c>
      <c r="B1624">
        <v>19</v>
      </c>
      <c r="C1624" t="s">
        <v>19</v>
      </c>
      <c r="D1624" t="s">
        <v>20</v>
      </c>
      <c r="E1624">
        <v>25</v>
      </c>
      <c r="F1624">
        <v>40</v>
      </c>
      <c r="G1624">
        <v>2</v>
      </c>
      <c r="H1624">
        <v>5</v>
      </c>
      <c r="I1624" t="s">
        <v>14</v>
      </c>
    </row>
    <row r="1625" spans="1:9" x14ac:dyDescent="0.35">
      <c r="A1625">
        <v>661</v>
      </c>
      <c r="B1625">
        <v>16</v>
      </c>
      <c r="C1625" t="s">
        <v>41</v>
      </c>
      <c r="D1625" t="s">
        <v>42</v>
      </c>
      <c r="E1625">
        <v>14</v>
      </c>
      <c r="F1625">
        <v>23</v>
      </c>
      <c r="G1625">
        <v>3</v>
      </c>
      <c r="H1625">
        <v>56</v>
      </c>
      <c r="I1625" t="s">
        <v>14</v>
      </c>
    </row>
    <row r="1626" spans="1:9" x14ac:dyDescent="0.35">
      <c r="A1626">
        <v>661</v>
      </c>
      <c r="B1626">
        <v>16</v>
      </c>
      <c r="C1626" t="s">
        <v>15</v>
      </c>
      <c r="D1626" t="s">
        <v>16</v>
      </c>
      <c r="E1626">
        <v>19</v>
      </c>
      <c r="F1626">
        <v>31</v>
      </c>
      <c r="G1626">
        <v>1</v>
      </c>
      <c r="H1626">
        <v>22</v>
      </c>
      <c r="I1626" t="s">
        <v>14</v>
      </c>
    </row>
    <row r="1627" spans="1:9" x14ac:dyDescent="0.35">
      <c r="A1627">
        <v>661</v>
      </c>
      <c r="B1627">
        <v>16</v>
      </c>
      <c r="C1627" t="s">
        <v>49</v>
      </c>
      <c r="D1627" t="s">
        <v>50</v>
      </c>
      <c r="E1627">
        <v>15</v>
      </c>
      <c r="F1627">
        <v>25</v>
      </c>
      <c r="G1627">
        <v>2</v>
      </c>
      <c r="H1627">
        <v>30</v>
      </c>
      <c r="I1627" t="s">
        <v>11</v>
      </c>
    </row>
    <row r="1628" spans="1:9" x14ac:dyDescent="0.35">
      <c r="A1628">
        <v>661</v>
      </c>
      <c r="B1628">
        <v>16</v>
      </c>
      <c r="C1628" t="s">
        <v>27</v>
      </c>
      <c r="D1628" t="s">
        <v>28</v>
      </c>
      <c r="E1628">
        <v>16</v>
      </c>
      <c r="F1628">
        <v>28</v>
      </c>
      <c r="G1628">
        <v>2</v>
      </c>
      <c r="H1628">
        <v>27</v>
      </c>
      <c r="I1628" t="s">
        <v>14</v>
      </c>
    </row>
    <row r="1629" spans="1:9" x14ac:dyDescent="0.35">
      <c r="A1629">
        <v>662</v>
      </c>
      <c r="B1629">
        <v>15</v>
      </c>
      <c r="C1629" t="s">
        <v>9</v>
      </c>
      <c r="D1629" t="s">
        <v>10</v>
      </c>
      <c r="E1629">
        <v>14</v>
      </c>
      <c r="F1629">
        <v>24</v>
      </c>
      <c r="G1629">
        <v>3</v>
      </c>
      <c r="H1629">
        <v>34</v>
      </c>
      <c r="I1629" t="s">
        <v>11</v>
      </c>
    </row>
    <row r="1630" spans="1:9" x14ac:dyDescent="0.35">
      <c r="A1630">
        <v>662</v>
      </c>
      <c r="B1630">
        <v>15</v>
      </c>
      <c r="C1630" t="s">
        <v>49</v>
      </c>
      <c r="D1630" t="s">
        <v>50</v>
      </c>
      <c r="E1630">
        <v>15</v>
      </c>
      <c r="F1630">
        <v>25</v>
      </c>
      <c r="G1630">
        <v>1</v>
      </c>
      <c r="H1630">
        <v>10</v>
      </c>
      <c r="I1630" t="s">
        <v>14</v>
      </c>
    </row>
    <row r="1631" spans="1:9" x14ac:dyDescent="0.35">
      <c r="A1631">
        <v>662</v>
      </c>
      <c r="B1631">
        <v>15</v>
      </c>
      <c r="C1631" t="s">
        <v>21</v>
      </c>
      <c r="D1631" t="s">
        <v>22</v>
      </c>
      <c r="E1631">
        <v>22</v>
      </c>
      <c r="F1631">
        <v>36</v>
      </c>
      <c r="G1631">
        <v>1</v>
      </c>
      <c r="H1631">
        <v>41</v>
      </c>
      <c r="I1631" t="s">
        <v>11</v>
      </c>
    </row>
    <row r="1632" spans="1:9" x14ac:dyDescent="0.35">
      <c r="A1632">
        <v>663</v>
      </c>
      <c r="B1632">
        <v>3</v>
      </c>
      <c r="C1632" t="s">
        <v>45</v>
      </c>
      <c r="D1632" t="s">
        <v>46</v>
      </c>
      <c r="E1632">
        <v>10</v>
      </c>
      <c r="F1632">
        <v>18</v>
      </c>
      <c r="G1632">
        <v>2</v>
      </c>
      <c r="H1632">
        <v>40</v>
      </c>
      <c r="I1632" t="s">
        <v>14</v>
      </c>
    </row>
    <row r="1633" spans="1:9" x14ac:dyDescent="0.35">
      <c r="A1633">
        <v>663</v>
      </c>
      <c r="B1633">
        <v>3</v>
      </c>
      <c r="C1633" t="s">
        <v>23</v>
      </c>
      <c r="D1633" t="s">
        <v>24</v>
      </c>
      <c r="E1633">
        <v>17</v>
      </c>
      <c r="F1633">
        <v>29</v>
      </c>
      <c r="G1633">
        <v>2</v>
      </c>
      <c r="H1633">
        <v>5</v>
      </c>
      <c r="I1633" t="s">
        <v>14</v>
      </c>
    </row>
    <row r="1634" spans="1:9" x14ac:dyDescent="0.35">
      <c r="A1634">
        <v>663</v>
      </c>
      <c r="B1634">
        <v>3</v>
      </c>
      <c r="C1634" t="s">
        <v>39</v>
      </c>
      <c r="D1634" t="s">
        <v>40</v>
      </c>
      <c r="E1634">
        <v>12</v>
      </c>
      <c r="F1634">
        <v>20</v>
      </c>
      <c r="G1634">
        <v>1</v>
      </c>
      <c r="H1634">
        <v>42</v>
      </c>
      <c r="I1634" t="s">
        <v>14</v>
      </c>
    </row>
    <row r="1635" spans="1:9" x14ac:dyDescent="0.35">
      <c r="A1635">
        <v>664</v>
      </c>
      <c r="B1635">
        <v>20</v>
      </c>
      <c r="C1635" t="s">
        <v>45</v>
      </c>
      <c r="D1635" t="s">
        <v>46</v>
      </c>
      <c r="E1635">
        <v>10</v>
      </c>
      <c r="F1635">
        <v>18</v>
      </c>
      <c r="G1635">
        <v>1</v>
      </c>
      <c r="H1635">
        <v>9</v>
      </c>
      <c r="I1635" t="s">
        <v>11</v>
      </c>
    </row>
    <row r="1636" spans="1:9" x14ac:dyDescent="0.35">
      <c r="A1636">
        <v>664</v>
      </c>
      <c r="B1636">
        <v>20</v>
      </c>
      <c r="C1636" t="s">
        <v>29</v>
      </c>
      <c r="D1636" t="s">
        <v>30</v>
      </c>
      <c r="E1636">
        <v>11</v>
      </c>
      <c r="F1636">
        <v>19</v>
      </c>
      <c r="G1636">
        <v>2</v>
      </c>
      <c r="H1636">
        <v>42</v>
      </c>
      <c r="I1636" t="s">
        <v>11</v>
      </c>
    </row>
    <row r="1637" spans="1:9" x14ac:dyDescent="0.35">
      <c r="A1637">
        <v>664</v>
      </c>
      <c r="B1637">
        <v>20</v>
      </c>
      <c r="C1637" t="s">
        <v>35</v>
      </c>
      <c r="D1637" t="s">
        <v>36</v>
      </c>
      <c r="E1637">
        <v>13</v>
      </c>
      <c r="F1637">
        <v>22</v>
      </c>
      <c r="G1637">
        <v>3</v>
      </c>
      <c r="H1637">
        <v>48</v>
      </c>
      <c r="I1637" t="s">
        <v>14</v>
      </c>
    </row>
    <row r="1638" spans="1:9" x14ac:dyDescent="0.35">
      <c r="A1638">
        <v>665</v>
      </c>
      <c r="B1638">
        <v>6</v>
      </c>
      <c r="C1638" t="s">
        <v>49</v>
      </c>
      <c r="D1638" t="s">
        <v>50</v>
      </c>
      <c r="E1638">
        <v>15</v>
      </c>
      <c r="F1638">
        <v>25</v>
      </c>
      <c r="G1638">
        <v>3</v>
      </c>
      <c r="H1638">
        <v>25</v>
      </c>
      <c r="I1638" t="s">
        <v>14</v>
      </c>
    </row>
    <row r="1639" spans="1:9" x14ac:dyDescent="0.35">
      <c r="A1639">
        <v>665</v>
      </c>
      <c r="B1639">
        <v>6</v>
      </c>
      <c r="C1639" t="s">
        <v>17</v>
      </c>
      <c r="D1639" t="s">
        <v>18</v>
      </c>
      <c r="E1639">
        <v>16</v>
      </c>
      <c r="F1639">
        <v>27</v>
      </c>
      <c r="G1639">
        <v>2</v>
      </c>
      <c r="H1639">
        <v>15</v>
      </c>
      <c r="I1639" t="s">
        <v>14</v>
      </c>
    </row>
    <row r="1640" spans="1:9" x14ac:dyDescent="0.35">
      <c r="A1640">
        <v>666</v>
      </c>
      <c r="B1640">
        <v>8</v>
      </c>
      <c r="C1640" t="s">
        <v>39</v>
      </c>
      <c r="D1640" t="s">
        <v>40</v>
      </c>
      <c r="E1640">
        <v>12</v>
      </c>
      <c r="F1640">
        <v>20</v>
      </c>
      <c r="G1640">
        <v>2</v>
      </c>
      <c r="H1640">
        <v>27</v>
      </c>
      <c r="I1640" t="s">
        <v>14</v>
      </c>
    </row>
    <row r="1641" spans="1:9" x14ac:dyDescent="0.35">
      <c r="A1641">
        <v>667</v>
      </c>
      <c r="B1641">
        <v>6</v>
      </c>
      <c r="C1641" t="s">
        <v>21</v>
      </c>
      <c r="D1641" t="s">
        <v>22</v>
      </c>
      <c r="E1641">
        <v>22</v>
      </c>
      <c r="F1641">
        <v>36</v>
      </c>
      <c r="G1641">
        <v>1</v>
      </c>
      <c r="H1641">
        <v>12</v>
      </c>
      <c r="I1641" t="s">
        <v>11</v>
      </c>
    </row>
    <row r="1642" spans="1:9" x14ac:dyDescent="0.35">
      <c r="A1642">
        <v>668</v>
      </c>
      <c r="B1642">
        <v>12</v>
      </c>
      <c r="C1642" t="s">
        <v>47</v>
      </c>
      <c r="D1642" t="s">
        <v>48</v>
      </c>
      <c r="E1642">
        <v>15</v>
      </c>
      <c r="F1642">
        <v>26</v>
      </c>
      <c r="G1642">
        <v>3</v>
      </c>
      <c r="H1642">
        <v>59</v>
      </c>
      <c r="I1642" t="s">
        <v>11</v>
      </c>
    </row>
    <row r="1643" spans="1:9" x14ac:dyDescent="0.35">
      <c r="A1643">
        <v>668</v>
      </c>
      <c r="B1643">
        <v>12</v>
      </c>
      <c r="C1643" t="s">
        <v>9</v>
      </c>
      <c r="D1643" t="s">
        <v>10</v>
      </c>
      <c r="E1643">
        <v>14</v>
      </c>
      <c r="F1643">
        <v>24</v>
      </c>
      <c r="G1643">
        <v>2</v>
      </c>
      <c r="H1643">
        <v>9</v>
      </c>
      <c r="I1643" t="s">
        <v>14</v>
      </c>
    </row>
    <row r="1644" spans="1:9" x14ac:dyDescent="0.35">
      <c r="A1644">
        <v>668</v>
      </c>
      <c r="B1644">
        <v>12</v>
      </c>
      <c r="C1644" t="s">
        <v>49</v>
      </c>
      <c r="D1644" t="s">
        <v>50</v>
      </c>
      <c r="E1644">
        <v>15</v>
      </c>
      <c r="F1644">
        <v>25</v>
      </c>
      <c r="G1644">
        <v>3</v>
      </c>
      <c r="H1644">
        <v>47</v>
      </c>
      <c r="I1644" t="s">
        <v>11</v>
      </c>
    </row>
    <row r="1645" spans="1:9" x14ac:dyDescent="0.35">
      <c r="A1645">
        <v>669</v>
      </c>
      <c r="B1645">
        <v>10</v>
      </c>
      <c r="C1645" t="s">
        <v>15</v>
      </c>
      <c r="D1645" t="s">
        <v>16</v>
      </c>
      <c r="E1645">
        <v>19</v>
      </c>
      <c r="F1645">
        <v>31</v>
      </c>
      <c r="G1645">
        <v>1</v>
      </c>
      <c r="H1645">
        <v>13</v>
      </c>
      <c r="I1645" t="s">
        <v>14</v>
      </c>
    </row>
    <row r="1646" spans="1:9" x14ac:dyDescent="0.35">
      <c r="A1646">
        <v>669</v>
      </c>
      <c r="B1646">
        <v>10</v>
      </c>
      <c r="C1646" t="s">
        <v>17</v>
      </c>
      <c r="D1646" t="s">
        <v>18</v>
      </c>
      <c r="E1646">
        <v>16</v>
      </c>
      <c r="F1646">
        <v>27</v>
      </c>
      <c r="G1646">
        <v>2</v>
      </c>
      <c r="H1646">
        <v>14</v>
      </c>
      <c r="I1646" t="s">
        <v>14</v>
      </c>
    </row>
    <row r="1647" spans="1:9" x14ac:dyDescent="0.35">
      <c r="A1647">
        <v>669</v>
      </c>
      <c r="B1647">
        <v>10</v>
      </c>
      <c r="C1647" t="s">
        <v>33</v>
      </c>
      <c r="D1647" t="s">
        <v>34</v>
      </c>
      <c r="E1647">
        <v>19</v>
      </c>
      <c r="F1647">
        <v>32</v>
      </c>
      <c r="G1647">
        <v>3</v>
      </c>
      <c r="H1647">
        <v>42</v>
      </c>
      <c r="I1647" t="s">
        <v>14</v>
      </c>
    </row>
    <row r="1648" spans="1:9" x14ac:dyDescent="0.35">
      <c r="A1648">
        <v>670</v>
      </c>
      <c r="B1648">
        <v>16</v>
      </c>
      <c r="C1648" t="s">
        <v>41</v>
      </c>
      <c r="D1648" t="s">
        <v>42</v>
      </c>
      <c r="E1648">
        <v>14</v>
      </c>
      <c r="F1648">
        <v>23</v>
      </c>
      <c r="G1648">
        <v>1</v>
      </c>
      <c r="H1648">
        <v>26</v>
      </c>
      <c r="I1648" t="s">
        <v>11</v>
      </c>
    </row>
    <row r="1649" spans="1:9" x14ac:dyDescent="0.35">
      <c r="A1649">
        <v>670</v>
      </c>
      <c r="B1649">
        <v>16</v>
      </c>
      <c r="C1649" t="s">
        <v>31</v>
      </c>
      <c r="D1649" t="s">
        <v>32</v>
      </c>
      <c r="E1649">
        <v>21</v>
      </c>
      <c r="F1649">
        <v>35</v>
      </c>
      <c r="G1649">
        <v>1</v>
      </c>
      <c r="H1649">
        <v>17</v>
      </c>
      <c r="I1649" t="s">
        <v>14</v>
      </c>
    </row>
    <row r="1650" spans="1:9" x14ac:dyDescent="0.35">
      <c r="A1650">
        <v>670</v>
      </c>
      <c r="B1650">
        <v>16</v>
      </c>
      <c r="C1650" t="s">
        <v>21</v>
      </c>
      <c r="D1650" t="s">
        <v>22</v>
      </c>
      <c r="E1650">
        <v>22</v>
      </c>
      <c r="F1650">
        <v>36</v>
      </c>
      <c r="G1650">
        <v>1</v>
      </c>
      <c r="H1650">
        <v>32</v>
      </c>
      <c r="I1650" t="s">
        <v>11</v>
      </c>
    </row>
    <row r="1651" spans="1:9" x14ac:dyDescent="0.35">
      <c r="A1651">
        <v>671</v>
      </c>
      <c r="B1651">
        <v>17</v>
      </c>
      <c r="C1651" t="s">
        <v>31</v>
      </c>
      <c r="D1651" t="s">
        <v>32</v>
      </c>
      <c r="E1651">
        <v>21</v>
      </c>
      <c r="F1651">
        <v>35</v>
      </c>
      <c r="G1651">
        <v>2</v>
      </c>
      <c r="H1651">
        <v>29</v>
      </c>
      <c r="I1651" t="s">
        <v>14</v>
      </c>
    </row>
    <row r="1652" spans="1:9" x14ac:dyDescent="0.35">
      <c r="A1652">
        <v>671</v>
      </c>
      <c r="B1652">
        <v>17</v>
      </c>
      <c r="C1652" t="s">
        <v>49</v>
      </c>
      <c r="D1652" t="s">
        <v>50</v>
      </c>
      <c r="E1652">
        <v>15</v>
      </c>
      <c r="F1652">
        <v>25</v>
      </c>
      <c r="G1652">
        <v>2</v>
      </c>
      <c r="H1652">
        <v>32</v>
      </c>
      <c r="I1652" t="s">
        <v>11</v>
      </c>
    </row>
    <row r="1653" spans="1:9" x14ac:dyDescent="0.35">
      <c r="A1653">
        <v>671</v>
      </c>
      <c r="B1653">
        <v>17</v>
      </c>
      <c r="C1653" t="s">
        <v>33</v>
      </c>
      <c r="D1653" t="s">
        <v>34</v>
      </c>
      <c r="E1653">
        <v>19</v>
      </c>
      <c r="F1653">
        <v>32</v>
      </c>
      <c r="G1653">
        <v>2</v>
      </c>
      <c r="H1653">
        <v>34</v>
      </c>
      <c r="I1653" t="s">
        <v>11</v>
      </c>
    </row>
    <row r="1654" spans="1:9" x14ac:dyDescent="0.35">
      <c r="A1654">
        <v>672</v>
      </c>
      <c r="B1654">
        <v>12</v>
      </c>
      <c r="C1654" t="s">
        <v>33</v>
      </c>
      <c r="D1654" t="s">
        <v>34</v>
      </c>
      <c r="E1654">
        <v>19</v>
      </c>
      <c r="F1654">
        <v>32</v>
      </c>
      <c r="G1654">
        <v>3</v>
      </c>
      <c r="H1654">
        <v>21</v>
      </c>
      <c r="I1654" t="s">
        <v>14</v>
      </c>
    </row>
    <row r="1655" spans="1:9" x14ac:dyDescent="0.35">
      <c r="A1655">
        <v>672</v>
      </c>
      <c r="B1655">
        <v>12</v>
      </c>
      <c r="C1655" t="s">
        <v>43</v>
      </c>
      <c r="D1655" t="s">
        <v>44</v>
      </c>
      <c r="E1655">
        <v>13</v>
      </c>
      <c r="F1655">
        <v>21</v>
      </c>
      <c r="G1655">
        <v>2</v>
      </c>
      <c r="H1655">
        <v>15</v>
      </c>
      <c r="I1655" t="s">
        <v>14</v>
      </c>
    </row>
    <row r="1656" spans="1:9" x14ac:dyDescent="0.35">
      <c r="A1656">
        <v>672</v>
      </c>
      <c r="B1656">
        <v>12</v>
      </c>
      <c r="C1656" t="s">
        <v>29</v>
      </c>
      <c r="D1656" t="s">
        <v>30</v>
      </c>
      <c r="E1656">
        <v>11</v>
      </c>
      <c r="F1656">
        <v>19</v>
      </c>
      <c r="G1656">
        <v>1</v>
      </c>
      <c r="H1656">
        <v>42</v>
      </c>
      <c r="I1656" t="s">
        <v>11</v>
      </c>
    </row>
    <row r="1657" spans="1:9" x14ac:dyDescent="0.35">
      <c r="A1657">
        <v>673</v>
      </c>
      <c r="B1657">
        <v>20</v>
      </c>
      <c r="C1657" t="s">
        <v>19</v>
      </c>
      <c r="D1657" t="s">
        <v>20</v>
      </c>
      <c r="E1657">
        <v>25</v>
      </c>
      <c r="F1657">
        <v>40</v>
      </c>
      <c r="G1657">
        <v>2</v>
      </c>
      <c r="H1657">
        <v>13</v>
      </c>
      <c r="I1657" t="s">
        <v>11</v>
      </c>
    </row>
    <row r="1658" spans="1:9" x14ac:dyDescent="0.35">
      <c r="A1658">
        <v>673</v>
      </c>
      <c r="B1658">
        <v>20</v>
      </c>
      <c r="C1658" t="s">
        <v>31</v>
      </c>
      <c r="D1658" t="s">
        <v>32</v>
      </c>
      <c r="E1658">
        <v>21</v>
      </c>
      <c r="F1658">
        <v>35</v>
      </c>
      <c r="G1658">
        <v>3</v>
      </c>
      <c r="H1658">
        <v>10</v>
      </c>
      <c r="I1658" t="s">
        <v>11</v>
      </c>
    </row>
    <row r="1659" spans="1:9" x14ac:dyDescent="0.35">
      <c r="A1659">
        <v>673</v>
      </c>
      <c r="B1659">
        <v>20</v>
      </c>
      <c r="C1659" t="s">
        <v>12</v>
      </c>
      <c r="D1659" t="s">
        <v>13</v>
      </c>
      <c r="E1659">
        <v>18</v>
      </c>
      <c r="F1659">
        <v>30</v>
      </c>
      <c r="G1659">
        <v>1</v>
      </c>
      <c r="H1659">
        <v>25</v>
      </c>
      <c r="I1659" t="s">
        <v>11</v>
      </c>
    </row>
    <row r="1660" spans="1:9" x14ac:dyDescent="0.35">
      <c r="A1660">
        <v>673</v>
      </c>
      <c r="B1660">
        <v>20</v>
      </c>
      <c r="C1660" t="s">
        <v>49</v>
      </c>
      <c r="D1660" t="s">
        <v>50</v>
      </c>
      <c r="E1660">
        <v>15</v>
      </c>
      <c r="F1660">
        <v>25</v>
      </c>
      <c r="G1660">
        <v>2</v>
      </c>
      <c r="H1660">
        <v>45</v>
      </c>
      <c r="I1660" t="s">
        <v>14</v>
      </c>
    </row>
    <row r="1661" spans="1:9" x14ac:dyDescent="0.35">
      <c r="A1661">
        <v>674</v>
      </c>
      <c r="B1661">
        <v>1</v>
      </c>
      <c r="C1661" t="s">
        <v>29</v>
      </c>
      <c r="D1661" t="s">
        <v>30</v>
      </c>
      <c r="E1661">
        <v>11</v>
      </c>
      <c r="F1661">
        <v>19</v>
      </c>
      <c r="G1661">
        <v>3</v>
      </c>
      <c r="H1661">
        <v>11</v>
      </c>
      <c r="I1661" t="s">
        <v>11</v>
      </c>
    </row>
    <row r="1662" spans="1:9" x14ac:dyDescent="0.35">
      <c r="A1662">
        <v>674</v>
      </c>
      <c r="B1662">
        <v>1</v>
      </c>
      <c r="C1662" t="s">
        <v>45</v>
      </c>
      <c r="D1662" t="s">
        <v>46</v>
      </c>
      <c r="E1662">
        <v>10</v>
      </c>
      <c r="F1662">
        <v>18</v>
      </c>
      <c r="G1662">
        <v>2</v>
      </c>
      <c r="H1662">
        <v>12</v>
      </c>
      <c r="I1662" t="s">
        <v>11</v>
      </c>
    </row>
    <row r="1663" spans="1:9" x14ac:dyDescent="0.35">
      <c r="A1663">
        <v>674</v>
      </c>
      <c r="B1663">
        <v>1</v>
      </c>
      <c r="C1663" t="s">
        <v>15</v>
      </c>
      <c r="D1663" t="s">
        <v>16</v>
      </c>
      <c r="E1663">
        <v>19</v>
      </c>
      <c r="F1663">
        <v>31</v>
      </c>
      <c r="G1663">
        <v>3</v>
      </c>
      <c r="H1663">
        <v>7</v>
      </c>
      <c r="I1663" t="s">
        <v>14</v>
      </c>
    </row>
    <row r="1664" spans="1:9" x14ac:dyDescent="0.35">
      <c r="A1664">
        <v>674</v>
      </c>
      <c r="B1664">
        <v>1</v>
      </c>
      <c r="C1664" t="s">
        <v>43</v>
      </c>
      <c r="D1664" t="s">
        <v>44</v>
      </c>
      <c r="E1664">
        <v>13</v>
      </c>
      <c r="F1664">
        <v>21</v>
      </c>
      <c r="G1664">
        <v>1</v>
      </c>
      <c r="H1664">
        <v>35</v>
      </c>
      <c r="I1664" t="s">
        <v>11</v>
      </c>
    </row>
    <row r="1665" spans="1:9" x14ac:dyDescent="0.35">
      <c r="A1665">
        <v>675</v>
      </c>
      <c r="B1665">
        <v>5</v>
      </c>
      <c r="C1665" t="s">
        <v>49</v>
      </c>
      <c r="D1665" t="s">
        <v>50</v>
      </c>
      <c r="E1665">
        <v>15</v>
      </c>
      <c r="F1665">
        <v>25</v>
      </c>
      <c r="G1665">
        <v>1</v>
      </c>
      <c r="H1665">
        <v>8</v>
      </c>
      <c r="I1665" t="s">
        <v>11</v>
      </c>
    </row>
    <row r="1666" spans="1:9" x14ac:dyDescent="0.35">
      <c r="A1666">
        <v>675</v>
      </c>
      <c r="B1666">
        <v>5</v>
      </c>
      <c r="C1666" t="s">
        <v>39</v>
      </c>
      <c r="D1666" t="s">
        <v>40</v>
      </c>
      <c r="E1666">
        <v>12</v>
      </c>
      <c r="F1666">
        <v>20</v>
      </c>
      <c r="G1666">
        <v>3</v>
      </c>
      <c r="H1666">
        <v>54</v>
      </c>
      <c r="I1666" t="s">
        <v>14</v>
      </c>
    </row>
    <row r="1667" spans="1:9" x14ac:dyDescent="0.35">
      <c r="A1667">
        <v>675</v>
      </c>
      <c r="B1667">
        <v>5</v>
      </c>
      <c r="C1667" t="s">
        <v>21</v>
      </c>
      <c r="D1667" t="s">
        <v>22</v>
      </c>
      <c r="E1667">
        <v>22</v>
      </c>
      <c r="F1667">
        <v>36</v>
      </c>
      <c r="G1667">
        <v>3</v>
      </c>
      <c r="H1667">
        <v>59</v>
      </c>
      <c r="I1667" t="s">
        <v>11</v>
      </c>
    </row>
    <row r="1668" spans="1:9" x14ac:dyDescent="0.35">
      <c r="A1668">
        <v>676</v>
      </c>
      <c r="B1668">
        <v>7</v>
      </c>
      <c r="C1668" t="s">
        <v>15</v>
      </c>
      <c r="D1668" t="s">
        <v>16</v>
      </c>
      <c r="E1668">
        <v>19</v>
      </c>
      <c r="F1668">
        <v>31</v>
      </c>
      <c r="G1668">
        <v>1</v>
      </c>
      <c r="H1668">
        <v>45</v>
      </c>
      <c r="I1668" t="s">
        <v>11</v>
      </c>
    </row>
    <row r="1669" spans="1:9" x14ac:dyDescent="0.35">
      <c r="A1669">
        <v>676</v>
      </c>
      <c r="B1669">
        <v>7</v>
      </c>
      <c r="C1669" t="s">
        <v>41</v>
      </c>
      <c r="D1669" t="s">
        <v>42</v>
      </c>
      <c r="E1669">
        <v>14</v>
      </c>
      <c r="F1669">
        <v>23</v>
      </c>
      <c r="G1669">
        <v>1</v>
      </c>
      <c r="H1669">
        <v>40</v>
      </c>
      <c r="I1669" t="s">
        <v>14</v>
      </c>
    </row>
    <row r="1670" spans="1:9" x14ac:dyDescent="0.35">
      <c r="A1670">
        <v>676</v>
      </c>
      <c r="B1670">
        <v>7</v>
      </c>
      <c r="C1670" t="s">
        <v>27</v>
      </c>
      <c r="D1670" t="s">
        <v>28</v>
      </c>
      <c r="E1670">
        <v>16</v>
      </c>
      <c r="F1670">
        <v>28</v>
      </c>
      <c r="G1670">
        <v>1</v>
      </c>
      <c r="H1670">
        <v>12</v>
      </c>
      <c r="I1670" t="s">
        <v>14</v>
      </c>
    </row>
    <row r="1671" spans="1:9" x14ac:dyDescent="0.35">
      <c r="A1671">
        <v>676</v>
      </c>
      <c r="B1671">
        <v>7</v>
      </c>
      <c r="C1671" t="s">
        <v>43</v>
      </c>
      <c r="D1671" t="s">
        <v>44</v>
      </c>
      <c r="E1671">
        <v>13</v>
      </c>
      <c r="F1671">
        <v>21</v>
      </c>
      <c r="G1671">
        <v>2</v>
      </c>
      <c r="H1671">
        <v>24</v>
      </c>
      <c r="I1671" t="s">
        <v>11</v>
      </c>
    </row>
    <row r="1672" spans="1:9" x14ac:dyDescent="0.35">
      <c r="A1672">
        <v>677</v>
      </c>
      <c r="B1672">
        <v>14</v>
      </c>
      <c r="C1672" t="s">
        <v>39</v>
      </c>
      <c r="D1672" t="s">
        <v>40</v>
      </c>
      <c r="E1672">
        <v>12</v>
      </c>
      <c r="F1672">
        <v>20</v>
      </c>
      <c r="G1672">
        <v>2</v>
      </c>
      <c r="H1672">
        <v>55</v>
      </c>
      <c r="I1672" t="s">
        <v>11</v>
      </c>
    </row>
    <row r="1673" spans="1:9" x14ac:dyDescent="0.35">
      <c r="A1673">
        <v>677</v>
      </c>
      <c r="B1673">
        <v>14</v>
      </c>
      <c r="C1673" t="s">
        <v>31</v>
      </c>
      <c r="D1673" t="s">
        <v>32</v>
      </c>
      <c r="E1673">
        <v>21</v>
      </c>
      <c r="F1673">
        <v>35</v>
      </c>
      <c r="G1673">
        <v>2</v>
      </c>
      <c r="H1673">
        <v>59</v>
      </c>
      <c r="I1673" t="s">
        <v>14</v>
      </c>
    </row>
    <row r="1674" spans="1:9" x14ac:dyDescent="0.35">
      <c r="A1674">
        <v>677</v>
      </c>
      <c r="B1674">
        <v>14</v>
      </c>
      <c r="C1674" t="s">
        <v>37</v>
      </c>
      <c r="D1674" t="s">
        <v>38</v>
      </c>
      <c r="E1674">
        <v>20</v>
      </c>
      <c r="F1674">
        <v>34</v>
      </c>
      <c r="G1674">
        <v>1</v>
      </c>
      <c r="H1674">
        <v>34</v>
      </c>
      <c r="I1674" t="s">
        <v>14</v>
      </c>
    </row>
    <row r="1675" spans="1:9" x14ac:dyDescent="0.35">
      <c r="A1675">
        <v>678</v>
      </c>
      <c r="B1675">
        <v>19</v>
      </c>
      <c r="C1675" t="s">
        <v>23</v>
      </c>
      <c r="D1675" t="s">
        <v>24</v>
      </c>
      <c r="E1675">
        <v>17</v>
      </c>
      <c r="F1675">
        <v>29</v>
      </c>
      <c r="G1675">
        <v>1</v>
      </c>
      <c r="H1675">
        <v>27</v>
      </c>
      <c r="I1675" t="s">
        <v>11</v>
      </c>
    </row>
    <row r="1676" spans="1:9" x14ac:dyDescent="0.35">
      <c r="A1676">
        <v>678</v>
      </c>
      <c r="B1676">
        <v>19</v>
      </c>
      <c r="C1676" t="s">
        <v>29</v>
      </c>
      <c r="D1676" t="s">
        <v>30</v>
      </c>
      <c r="E1676">
        <v>11</v>
      </c>
      <c r="F1676">
        <v>19</v>
      </c>
      <c r="G1676">
        <v>3</v>
      </c>
      <c r="H1676">
        <v>37</v>
      </c>
      <c r="I1676" t="s">
        <v>14</v>
      </c>
    </row>
    <row r="1677" spans="1:9" x14ac:dyDescent="0.35">
      <c r="A1677">
        <v>678</v>
      </c>
      <c r="B1677">
        <v>19</v>
      </c>
      <c r="C1677" t="s">
        <v>31</v>
      </c>
      <c r="D1677" t="s">
        <v>32</v>
      </c>
      <c r="E1677">
        <v>21</v>
      </c>
      <c r="F1677">
        <v>35</v>
      </c>
      <c r="G1677">
        <v>2</v>
      </c>
      <c r="H1677">
        <v>37</v>
      </c>
      <c r="I1677" t="s">
        <v>14</v>
      </c>
    </row>
    <row r="1678" spans="1:9" x14ac:dyDescent="0.35">
      <c r="A1678">
        <v>678</v>
      </c>
      <c r="B1678">
        <v>19</v>
      </c>
      <c r="C1678" t="s">
        <v>9</v>
      </c>
      <c r="D1678" t="s">
        <v>10</v>
      </c>
      <c r="E1678">
        <v>14</v>
      </c>
      <c r="F1678">
        <v>24</v>
      </c>
      <c r="G1678">
        <v>2</v>
      </c>
      <c r="H1678">
        <v>20</v>
      </c>
      <c r="I1678" t="s">
        <v>14</v>
      </c>
    </row>
    <row r="1679" spans="1:9" x14ac:dyDescent="0.35">
      <c r="A1679">
        <v>679</v>
      </c>
      <c r="B1679">
        <v>9</v>
      </c>
      <c r="C1679" t="s">
        <v>43</v>
      </c>
      <c r="D1679" t="s">
        <v>44</v>
      </c>
      <c r="E1679">
        <v>13</v>
      </c>
      <c r="F1679">
        <v>21</v>
      </c>
      <c r="G1679">
        <v>2</v>
      </c>
      <c r="H1679">
        <v>27</v>
      </c>
      <c r="I1679" t="s">
        <v>14</v>
      </c>
    </row>
    <row r="1680" spans="1:9" x14ac:dyDescent="0.35">
      <c r="A1680">
        <v>679</v>
      </c>
      <c r="B1680">
        <v>9</v>
      </c>
      <c r="C1680" t="s">
        <v>47</v>
      </c>
      <c r="D1680" t="s">
        <v>48</v>
      </c>
      <c r="E1680">
        <v>15</v>
      </c>
      <c r="F1680">
        <v>26</v>
      </c>
      <c r="G1680">
        <v>1</v>
      </c>
      <c r="H1680">
        <v>11</v>
      </c>
      <c r="I1680" t="s">
        <v>14</v>
      </c>
    </row>
    <row r="1681" spans="1:9" x14ac:dyDescent="0.35">
      <c r="A1681">
        <v>679</v>
      </c>
      <c r="B1681">
        <v>9</v>
      </c>
      <c r="C1681" t="s">
        <v>27</v>
      </c>
      <c r="D1681" t="s">
        <v>28</v>
      </c>
      <c r="E1681">
        <v>16</v>
      </c>
      <c r="F1681">
        <v>28</v>
      </c>
      <c r="G1681">
        <v>2</v>
      </c>
      <c r="H1681">
        <v>16</v>
      </c>
      <c r="I1681" t="s">
        <v>14</v>
      </c>
    </row>
    <row r="1682" spans="1:9" x14ac:dyDescent="0.35">
      <c r="A1682">
        <v>679</v>
      </c>
      <c r="B1682">
        <v>9</v>
      </c>
      <c r="C1682" t="s">
        <v>49</v>
      </c>
      <c r="D1682" t="s">
        <v>50</v>
      </c>
      <c r="E1682">
        <v>15</v>
      </c>
      <c r="F1682">
        <v>25</v>
      </c>
      <c r="G1682">
        <v>3</v>
      </c>
      <c r="H1682">
        <v>52</v>
      </c>
      <c r="I1682" t="s">
        <v>14</v>
      </c>
    </row>
    <row r="1683" spans="1:9" x14ac:dyDescent="0.35">
      <c r="A1683">
        <v>680</v>
      </c>
      <c r="B1683">
        <v>5</v>
      </c>
      <c r="C1683" t="s">
        <v>45</v>
      </c>
      <c r="D1683" t="s">
        <v>46</v>
      </c>
      <c r="E1683">
        <v>10</v>
      </c>
      <c r="F1683">
        <v>18</v>
      </c>
      <c r="G1683">
        <v>2</v>
      </c>
      <c r="H1683">
        <v>6</v>
      </c>
      <c r="I1683" t="s">
        <v>14</v>
      </c>
    </row>
    <row r="1684" spans="1:9" x14ac:dyDescent="0.35">
      <c r="A1684">
        <v>680</v>
      </c>
      <c r="B1684">
        <v>5</v>
      </c>
      <c r="C1684" t="s">
        <v>39</v>
      </c>
      <c r="D1684" t="s">
        <v>40</v>
      </c>
      <c r="E1684">
        <v>12</v>
      </c>
      <c r="F1684">
        <v>20</v>
      </c>
      <c r="G1684">
        <v>3</v>
      </c>
      <c r="H1684">
        <v>49</v>
      </c>
      <c r="I1684" t="s">
        <v>14</v>
      </c>
    </row>
    <row r="1685" spans="1:9" x14ac:dyDescent="0.35">
      <c r="A1685">
        <v>680</v>
      </c>
      <c r="B1685">
        <v>5</v>
      </c>
      <c r="C1685" t="s">
        <v>25</v>
      </c>
      <c r="D1685" t="s">
        <v>26</v>
      </c>
      <c r="E1685">
        <v>20</v>
      </c>
      <c r="F1685">
        <v>33</v>
      </c>
      <c r="G1685">
        <v>2</v>
      </c>
      <c r="H1685">
        <v>56</v>
      </c>
      <c r="I1685" t="s">
        <v>11</v>
      </c>
    </row>
    <row r="1686" spans="1:9" x14ac:dyDescent="0.35">
      <c r="A1686">
        <v>681</v>
      </c>
      <c r="B1686">
        <v>2</v>
      </c>
      <c r="C1686" t="s">
        <v>25</v>
      </c>
      <c r="D1686" t="s">
        <v>26</v>
      </c>
      <c r="E1686">
        <v>20</v>
      </c>
      <c r="F1686">
        <v>33</v>
      </c>
      <c r="G1686">
        <v>1</v>
      </c>
      <c r="H1686">
        <v>44</v>
      </c>
      <c r="I1686" t="s">
        <v>11</v>
      </c>
    </row>
    <row r="1687" spans="1:9" x14ac:dyDescent="0.35">
      <c r="A1687">
        <v>681</v>
      </c>
      <c r="B1687">
        <v>2</v>
      </c>
      <c r="C1687" t="s">
        <v>43</v>
      </c>
      <c r="D1687" t="s">
        <v>44</v>
      </c>
      <c r="E1687">
        <v>13</v>
      </c>
      <c r="F1687">
        <v>21</v>
      </c>
      <c r="G1687">
        <v>2</v>
      </c>
      <c r="H1687">
        <v>21</v>
      </c>
      <c r="I1687" t="s">
        <v>14</v>
      </c>
    </row>
    <row r="1688" spans="1:9" x14ac:dyDescent="0.35">
      <c r="A1688">
        <v>682</v>
      </c>
      <c r="B1688">
        <v>1</v>
      </c>
      <c r="C1688" t="s">
        <v>41</v>
      </c>
      <c r="D1688" t="s">
        <v>42</v>
      </c>
      <c r="E1688">
        <v>14</v>
      </c>
      <c r="F1688">
        <v>23</v>
      </c>
      <c r="G1688">
        <v>1</v>
      </c>
      <c r="H1688">
        <v>43</v>
      </c>
      <c r="I1688" t="s">
        <v>11</v>
      </c>
    </row>
    <row r="1689" spans="1:9" x14ac:dyDescent="0.35">
      <c r="A1689">
        <v>683</v>
      </c>
      <c r="B1689">
        <v>2</v>
      </c>
      <c r="C1689" t="s">
        <v>35</v>
      </c>
      <c r="D1689" t="s">
        <v>36</v>
      </c>
      <c r="E1689">
        <v>13</v>
      </c>
      <c r="F1689">
        <v>22</v>
      </c>
      <c r="G1689">
        <v>1</v>
      </c>
      <c r="H1689">
        <v>25</v>
      </c>
      <c r="I1689" t="s">
        <v>14</v>
      </c>
    </row>
    <row r="1690" spans="1:9" x14ac:dyDescent="0.35">
      <c r="A1690">
        <v>683</v>
      </c>
      <c r="B1690">
        <v>2</v>
      </c>
      <c r="C1690" t="s">
        <v>39</v>
      </c>
      <c r="D1690" t="s">
        <v>40</v>
      </c>
      <c r="E1690">
        <v>12</v>
      </c>
      <c r="F1690">
        <v>20</v>
      </c>
      <c r="G1690">
        <v>2</v>
      </c>
      <c r="H1690">
        <v>35</v>
      </c>
      <c r="I1690" t="s">
        <v>11</v>
      </c>
    </row>
    <row r="1691" spans="1:9" x14ac:dyDescent="0.35">
      <c r="A1691">
        <v>683</v>
      </c>
      <c r="B1691">
        <v>2</v>
      </c>
      <c r="C1691" t="s">
        <v>19</v>
      </c>
      <c r="D1691" t="s">
        <v>20</v>
      </c>
      <c r="E1691">
        <v>25</v>
      </c>
      <c r="F1691">
        <v>40</v>
      </c>
      <c r="G1691">
        <v>1</v>
      </c>
      <c r="H1691">
        <v>6</v>
      </c>
      <c r="I1691" t="s">
        <v>14</v>
      </c>
    </row>
    <row r="1692" spans="1:9" x14ac:dyDescent="0.35">
      <c r="A1692">
        <v>683</v>
      </c>
      <c r="B1692">
        <v>2</v>
      </c>
      <c r="C1692" t="s">
        <v>15</v>
      </c>
      <c r="D1692" t="s">
        <v>16</v>
      </c>
      <c r="E1692">
        <v>19</v>
      </c>
      <c r="F1692">
        <v>31</v>
      </c>
      <c r="G1692">
        <v>2</v>
      </c>
      <c r="H1692">
        <v>16</v>
      </c>
      <c r="I1692" t="s">
        <v>14</v>
      </c>
    </row>
    <row r="1693" spans="1:9" x14ac:dyDescent="0.35">
      <c r="A1693">
        <v>684</v>
      </c>
      <c r="B1693">
        <v>10</v>
      </c>
      <c r="C1693" t="s">
        <v>21</v>
      </c>
      <c r="D1693" t="s">
        <v>22</v>
      </c>
      <c r="E1693">
        <v>22</v>
      </c>
      <c r="F1693">
        <v>36</v>
      </c>
      <c r="G1693">
        <v>1</v>
      </c>
      <c r="H1693">
        <v>38</v>
      </c>
      <c r="I1693" t="s">
        <v>11</v>
      </c>
    </row>
    <row r="1694" spans="1:9" x14ac:dyDescent="0.35">
      <c r="A1694">
        <v>684</v>
      </c>
      <c r="B1694">
        <v>10</v>
      </c>
      <c r="C1694" t="s">
        <v>15</v>
      </c>
      <c r="D1694" t="s">
        <v>16</v>
      </c>
      <c r="E1694">
        <v>19</v>
      </c>
      <c r="F1694">
        <v>31</v>
      </c>
      <c r="G1694">
        <v>1</v>
      </c>
      <c r="H1694">
        <v>10</v>
      </c>
      <c r="I1694" t="s">
        <v>14</v>
      </c>
    </row>
    <row r="1695" spans="1:9" x14ac:dyDescent="0.35">
      <c r="A1695">
        <v>684</v>
      </c>
      <c r="B1695">
        <v>10</v>
      </c>
      <c r="C1695" t="s">
        <v>47</v>
      </c>
      <c r="D1695" t="s">
        <v>48</v>
      </c>
      <c r="E1695">
        <v>15</v>
      </c>
      <c r="F1695">
        <v>26</v>
      </c>
      <c r="G1695">
        <v>1</v>
      </c>
      <c r="H1695">
        <v>25</v>
      </c>
      <c r="I1695" t="s">
        <v>11</v>
      </c>
    </row>
    <row r="1696" spans="1:9" x14ac:dyDescent="0.35">
      <c r="A1696">
        <v>684</v>
      </c>
      <c r="B1696">
        <v>10</v>
      </c>
      <c r="C1696" t="s">
        <v>23</v>
      </c>
      <c r="D1696" t="s">
        <v>24</v>
      </c>
      <c r="E1696">
        <v>17</v>
      </c>
      <c r="F1696">
        <v>29</v>
      </c>
      <c r="G1696">
        <v>3</v>
      </c>
      <c r="H1696">
        <v>37</v>
      </c>
      <c r="I1696" t="s">
        <v>11</v>
      </c>
    </row>
    <row r="1697" spans="1:9" x14ac:dyDescent="0.35">
      <c r="A1697">
        <v>685</v>
      </c>
      <c r="B1697">
        <v>5</v>
      </c>
      <c r="C1697" t="s">
        <v>17</v>
      </c>
      <c r="D1697" t="s">
        <v>18</v>
      </c>
      <c r="E1697">
        <v>16</v>
      </c>
      <c r="F1697">
        <v>27</v>
      </c>
      <c r="G1697">
        <v>2</v>
      </c>
      <c r="H1697">
        <v>17</v>
      </c>
      <c r="I1697" t="s">
        <v>14</v>
      </c>
    </row>
    <row r="1698" spans="1:9" x14ac:dyDescent="0.35">
      <c r="A1698">
        <v>686</v>
      </c>
      <c r="B1698">
        <v>10</v>
      </c>
      <c r="C1698" t="s">
        <v>15</v>
      </c>
      <c r="D1698" t="s">
        <v>16</v>
      </c>
      <c r="E1698">
        <v>19</v>
      </c>
      <c r="F1698">
        <v>31</v>
      </c>
      <c r="G1698">
        <v>2</v>
      </c>
      <c r="H1698">
        <v>37</v>
      </c>
      <c r="I1698" t="s">
        <v>11</v>
      </c>
    </row>
    <row r="1699" spans="1:9" x14ac:dyDescent="0.35">
      <c r="A1699">
        <v>686</v>
      </c>
      <c r="B1699">
        <v>10</v>
      </c>
      <c r="C1699" t="s">
        <v>39</v>
      </c>
      <c r="D1699" t="s">
        <v>40</v>
      </c>
      <c r="E1699">
        <v>12</v>
      </c>
      <c r="F1699">
        <v>20</v>
      </c>
      <c r="G1699">
        <v>2</v>
      </c>
      <c r="H1699">
        <v>21</v>
      </c>
      <c r="I1699" t="s">
        <v>14</v>
      </c>
    </row>
    <row r="1700" spans="1:9" x14ac:dyDescent="0.35">
      <c r="A1700">
        <v>687</v>
      </c>
      <c r="B1700">
        <v>2</v>
      </c>
      <c r="C1700" t="s">
        <v>21</v>
      </c>
      <c r="D1700" t="s">
        <v>22</v>
      </c>
      <c r="E1700">
        <v>22</v>
      </c>
      <c r="F1700">
        <v>36</v>
      </c>
      <c r="G1700">
        <v>2</v>
      </c>
      <c r="H1700">
        <v>29</v>
      </c>
      <c r="I1700" t="s">
        <v>11</v>
      </c>
    </row>
    <row r="1701" spans="1:9" x14ac:dyDescent="0.35">
      <c r="A1701">
        <v>688</v>
      </c>
      <c r="B1701">
        <v>3</v>
      </c>
      <c r="C1701" t="s">
        <v>23</v>
      </c>
      <c r="D1701" t="s">
        <v>24</v>
      </c>
      <c r="E1701">
        <v>17</v>
      </c>
      <c r="F1701">
        <v>29</v>
      </c>
      <c r="G1701">
        <v>1</v>
      </c>
      <c r="H1701">
        <v>14</v>
      </c>
      <c r="I1701" t="s">
        <v>14</v>
      </c>
    </row>
    <row r="1702" spans="1:9" x14ac:dyDescent="0.35">
      <c r="A1702">
        <v>689</v>
      </c>
      <c r="B1702">
        <v>14</v>
      </c>
      <c r="C1702" t="s">
        <v>41</v>
      </c>
      <c r="D1702" t="s">
        <v>42</v>
      </c>
      <c r="E1702">
        <v>14</v>
      </c>
      <c r="F1702">
        <v>23</v>
      </c>
      <c r="G1702">
        <v>3</v>
      </c>
      <c r="H1702">
        <v>16</v>
      </c>
      <c r="I1702" t="s">
        <v>11</v>
      </c>
    </row>
    <row r="1703" spans="1:9" x14ac:dyDescent="0.35">
      <c r="A1703">
        <v>689</v>
      </c>
      <c r="B1703">
        <v>14</v>
      </c>
      <c r="C1703" t="s">
        <v>49</v>
      </c>
      <c r="D1703" t="s">
        <v>50</v>
      </c>
      <c r="E1703">
        <v>15</v>
      </c>
      <c r="F1703">
        <v>25</v>
      </c>
      <c r="G1703">
        <v>3</v>
      </c>
      <c r="H1703">
        <v>7</v>
      </c>
      <c r="I1703" t="s">
        <v>11</v>
      </c>
    </row>
    <row r="1704" spans="1:9" x14ac:dyDescent="0.35">
      <c r="A1704">
        <v>689</v>
      </c>
      <c r="B1704">
        <v>14</v>
      </c>
      <c r="C1704" t="s">
        <v>43</v>
      </c>
      <c r="D1704" t="s">
        <v>44</v>
      </c>
      <c r="E1704">
        <v>13</v>
      </c>
      <c r="F1704">
        <v>21</v>
      </c>
      <c r="G1704">
        <v>1</v>
      </c>
      <c r="H1704">
        <v>6</v>
      </c>
      <c r="I1704" t="s">
        <v>14</v>
      </c>
    </row>
    <row r="1705" spans="1:9" x14ac:dyDescent="0.35">
      <c r="A1705">
        <v>690</v>
      </c>
      <c r="B1705">
        <v>15</v>
      </c>
      <c r="C1705" t="s">
        <v>19</v>
      </c>
      <c r="D1705" t="s">
        <v>20</v>
      </c>
      <c r="E1705">
        <v>25</v>
      </c>
      <c r="F1705">
        <v>40</v>
      </c>
      <c r="G1705">
        <v>1</v>
      </c>
      <c r="H1705">
        <v>49</v>
      </c>
      <c r="I1705" t="s">
        <v>11</v>
      </c>
    </row>
    <row r="1706" spans="1:9" x14ac:dyDescent="0.35">
      <c r="A1706">
        <v>690</v>
      </c>
      <c r="B1706">
        <v>15</v>
      </c>
      <c r="C1706" t="s">
        <v>15</v>
      </c>
      <c r="D1706" t="s">
        <v>16</v>
      </c>
      <c r="E1706">
        <v>19</v>
      </c>
      <c r="F1706">
        <v>31</v>
      </c>
      <c r="G1706">
        <v>2</v>
      </c>
      <c r="H1706">
        <v>16</v>
      </c>
      <c r="I1706" t="s">
        <v>11</v>
      </c>
    </row>
    <row r="1707" spans="1:9" x14ac:dyDescent="0.35">
      <c r="A1707">
        <v>690</v>
      </c>
      <c r="B1707">
        <v>15</v>
      </c>
      <c r="C1707" t="s">
        <v>27</v>
      </c>
      <c r="D1707" t="s">
        <v>28</v>
      </c>
      <c r="E1707">
        <v>16</v>
      </c>
      <c r="F1707">
        <v>28</v>
      </c>
      <c r="G1707">
        <v>2</v>
      </c>
      <c r="H1707">
        <v>54</v>
      </c>
      <c r="I1707" t="s">
        <v>11</v>
      </c>
    </row>
    <row r="1708" spans="1:9" x14ac:dyDescent="0.35">
      <c r="A1708">
        <v>690</v>
      </c>
      <c r="B1708">
        <v>15</v>
      </c>
      <c r="C1708" t="s">
        <v>25</v>
      </c>
      <c r="D1708" t="s">
        <v>26</v>
      </c>
      <c r="E1708">
        <v>20</v>
      </c>
      <c r="F1708">
        <v>33</v>
      </c>
      <c r="G1708">
        <v>1</v>
      </c>
      <c r="H1708">
        <v>24</v>
      </c>
      <c r="I1708" t="s">
        <v>11</v>
      </c>
    </row>
    <row r="1709" spans="1:9" x14ac:dyDescent="0.35">
      <c r="A1709">
        <v>691</v>
      </c>
      <c r="B1709">
        <v>19</v>
      </c>
      <c r="C1709" t="s">
        <v>35</v>
      </c>
      <c r="D1709" t="s">
        <v>36</v>
      </c>
      <c r="E1709">
        <v>13</v>
      </c>
      <c r="F1709">
        <v>22</v>
      </c>
      <c r="G1709">
        <v>3</v>
      </c>
      <c r="H1709">
        <v>34</v>
      </c>
      <c r="I1709" t="s">
        <v>11</v>
      </c>
    </row>
    <row r="1710" spans="1:9" x14ac:dyDescent="0.35">
      <c r="A1710">
        <v>692</v>
      </c>
      <c r="B1710">
        <v>9</v>
      </c>
      <c r="C1710" t="s">
        <v>31</v>
      </c>
      <c r="D1710" t="s">
        <v>32</v>
      </c>
      <c r="E1710">
        <v>21</v>
      </c>
      <c r="F1710">
        <v>35</v>
      </c>
      <c r="G1710">
        <v>3</v>
      </c>
      <c r="H1710">
        <v>33</v>
      </c>
      <c r="I1710" t="s">
        <v>14</v>
      </c>
    </row>
    <row r="1711" spans="1:9" x14ac:dyDescent="0.35">
      <c r="A1711">
        <v>692</v>
      </c>
      <c r="B1711">
        <v>9</v>
      </c>
      <c r="C1711" t="s">
        <v>12</v>
      </c>
      <c r="D1711" t="s">
        <v>13</v>
      </c>
      <c r="E1711">
        <v>18</v>
      </c>
      <c r="F1711">
        <v>30</v>
      </c>
      <c r="G1711">
        <v>1</v>
      </c>
      <c r="H1711">
        <v>49</v>
      </c>
      <c r="I1711" t="s">
        <v>11</v>
      </c>
    </row>
    <row r="1712" spans="1:9" x14ac:dyDescent="0.35">
      <c r="A1712">
        <v>692</v>
      </c>
      <c r="B1712">
        <v>9</v>
      </c>
      <c r="C1712" t="s">
        <v>45</v>
      </c>
      <c r="D1712" t="s">
        <v>46</v>
      </c>
      <c r="E1712">
        <v>10</v>
      </c>
      <c r="F1712">
        <v>18</v>
      </c>
      <c r="G1712">
        <v>1</v>
      </c>
      <c r="H1712">
        <v>11</v>
      </c>
      <c r="I1712" t="s">
        <v>11</v>
      </c>
    </row>
    <row r="1713" spans="1:9" x14ac:dyDescent="0.35">
      <c r="A1713">
        <v>692</v>
      </c>
      <c r="B1713">
        <v>9</v>
      </c>
      <c r="C1713" t="s">
        <v>39</v>
      </c>
      <c r="D1713" t="s">
        <v>40</v>
      </c>
      <c r="E1713">
        <v>12</v>
      </c>
      <c r="F1713">
        <v>20</v>
      </c>
      <c r="G1713">
        <v>1</v>
      </c>
      <c r="H1713">
        <v>7</v>
      </c>
      <c r="I1713" t="s">
        <v>11</v>
      </c>
    </row>
    <row r="1714" spans="1:9" x14ac:dyDescent="0.35">
      <c r="A1714">
        <v>693</v>
      </c>
      <c r="B1714">
        <v>15</v>
      </c>
      <c r="C1714" t="s">
        <v>21</v>
      </c>
      <c r="D1714" t="s">
        <v>22</v>
      </c>
      <c r="E1714">
        <v>22</v>
      </c>
      <c r="F1714">
        <v>36</v>
      </c>
      <c r="G1714">
        <v>1</v>
      </c>
      <c r="H1714">
        <v>20</v>
      </c>
      <c r="I1714" t="s">
        <v>11</v>
      </c>
    </row>
    <row r="1715" spans="1:9" x14ac:dyDescent="0.35">
      <c r="A1715">
        <v>693</v>
      </c>
      <c r="B1715">
        <v>15</v>
      </c>
      <c r="C1715" t="s">
        <v>43</v>
      </c>
      <c r="D1715" t="s">
        <v>44</v>
      </c>
      <c r="E1715">
        <v>13</v>
      </c>
      <c r="F1715">
        <v>21</v>
      </c>
      <c r="G1715">
        <v>2</v>
      </c>
      <c r="H1715">
        <v>24</v>
      </c>
      <c r="I1715" t="s">
        <v>11</v>
      </c>
    </row>
    <row r="1716" spans="1:9" x14ac:dyDescent="0.35">
      <c r="A1716">
        <v>694</v>
      </c>
      <c r="B1716">
        <v>5</v>
      </c>
      <c r="C1716" t="s">
        <v>39</v>
      </c>
      <c r="D1716" t="s">
        <v>40</v>
      </c>
      <c r="E1716">
        <v>12</v>
      </c>
      <c r="F1716">
        <v>20</v>
      </c>
      <c r="G1716">
        <v>3</v>
      </c>
      <c r="H1716">
        <v>20</v>
      </c>
      <c r="I1716" t="s">
        <v>11</v>
      </c>
    </row>
    <row r="1717" spans="1:9" x14ac:dyDescent="0.35">
      <c r="A1717">
        <v>694</v>
      </c>
      <c r="B1717">
        <v>5</v>
      </c>
      <c r="C1717" t="s">
        <v>45</v>
      </c>
      <c r="D1717" t="s">
        <v>46</v>
      </c>
      <c r="E1717">
        <v>10</v>
      </c>
      <c r="F1717">
        <v>18</v>
      </c>
      <c r="G1717">
        <v>2</v>
      </c>
      <c r="H1717">
        <v>26</v>
      </c>
      <c r="I1717" t="s">
        <v>14</v>
      </c>
    </row>
    <row r="1718" spans="1:9" x14ac:dyDescent="0.35">
      <c r="A1718">
        <v>694</v>
      </c>
      <c r="B1718">
        <v>5</v>
      </c>
      <c r="C1718" t="s">
        <v>19</v>
      </c>
      <c r="D1718" t="s">
        <v>20</v>
      </c>
      <c r="E1718">
        <v>25</v>
      </c>
      <c r="F1718">
        <v>40</v>
      </c>
      <c r="G1718">
        <v>1</v>
      </c>
      <c r="H1718">
        <v>40</v>
      </c>
      <c r="I1718" t="s">
        <v>11</v>
      </c>
    </row>
    <row r="1719" spans="1:9" x14ac:dyDescent="0.35">
      <c r="A1719">
        <v>694</v>
      </c>
      <c r="B1719">
        <v>5</v>
      </c>
      <c r="C1719" t="s">
        <v>43</v>
      </c>
      <c r="D1719" t="s">
        <v>44</v>
      </c>
      <c r="E1719">
        <v>13</v>
      </c>
      <c r="F1719">
        <v>21</v>
      </c>
      <c r="G1719">
        <v>1</v>
      </c>
      <c r="H1719">
        <v>42</v>
      </c>
      <c r="I1719" t="s">
        <v>14</v>
      </c>
    </row>
    <row r="1720" spans="1:9" x14ac:dyDescent="0.35">
      <c r="A1720">
        <v>695</v>
      </c>
      <c r="B1720">
        <v>9</v>
      </c>
      <c r="C1720" t="s">
        <v>27</v>
      </c>
      <c r="D1720" t="s">
        <v>28</v>
      </c>
      <c r="E1720">
        <v>16</v>
      </c>
      <c r="F1720">
        <v>28</v>
      </c>
      <c r="G1720">
        <v>2</v>
      </c>
      <c r="H1720">
        <v>30</v>
      </c>
      <c r="I1720" t="s">
        <v>14</v>
      </c>
    </row>
    <row r="1721" spans="1:9" x14ac:dyDescent="0.35">
      <c r="A1721">
        <v>695</v>
      </c>
      <c r="B1721">
        <v>9</v>
      </c>
      <c r="C1721" t="s">
        <v>12</v>
      </c>
      <c r="D1721" t="s">
        <v>13</v>
      </c>
      <c r="E1721">
        <v>18</v>
      </c>
      <c r="F1721">
        <v>30</v>
      </c>
      <c r="G1721">
        <v>2</v>
      </c>
      <c r="H1721">
        <v>7</v>
      </c>
      <c r="I1721" t="s">
        <v>14</v>
      </c>
    </row>
    <row r="1722" spans="1:9" x14ac:dyDescent="0.35">
      <c r="A1722">
        <v>696</v>
      </c>
      <c r="B1722">
        <v>2</v>
      </c>
      <c r="C1722" t="s">
        <v>41</v>
      </c>
      <c r="D1722" t="s">
        <v>42</v>
      </c>
      <c r="E1722">
        <v>14</v>
      </c>
      <c r="F1722">
        <v>23</v>
      </c>
      <c r="G1722">
        <v>2</v>
      </c>
      <c r="H1722">
        <v>23</v>
      </c>
      <c r="I1722" t="s">
        <v>11</v>
      </c>
    </row>
    <row r="1723" spans="1:9" x14ac:dyDescent="0.35">
      <c r="A1723">
        <v>697</v>
      </c>
      <c r="B1723">
        <v>4</v>
      </c>
      <c r="C1723" t="s">
        <v>41</v>
      </c>
      <c r="D1723" t="s">
        <v>42</v>
      </c>
      <c r="E1723">
        <v>14</v>
      </c>
      <c r="F1723">
        <v>23</v>
      </c>
      <c r="G1723">
        <v>2</v>
      </c>
      <c r="H1723">
        <v>24</v>
      </c>
      <c r="I1723" t="s">
        <v>11</v>
      </c>
    </row>
    <row r="1724" spans="1:9" x14ac:dyDescent="0.35">
      <c r="A1724">
        <v>697</v>
      </c>
      <c r="B1724">
        <v>4</v>
      </c>
      <c r="C1724" t="s">
        <v>25</v>
      </c>
      <c r="D1724" t="s">
        <v>26</v>
      </c>
      <c r="E1724">
        <v>20</v>
      </c>
      <c r="F1724">
        <v>33</v>
      </c>
      <c r="G1724">
        <v>2</v>
      </c>
      <c r="H1724">
        <v>41</v>
      </c>
      <c r="I1724" t="s">
        <v>14</v>
      </c>
    </row>
    <row r="1725" spans="1:9" x14ac:dyDescent="0.35">
      <c r="A1725">
        <v>697</v>
      </c>
      <c r="B1725">
        <v>4</v>
      </c>
      <c r="C1725" t="s">
        <v>12</v>
      </c>
      <c r="D1725" t="s">
        <v>13</v>
      </c>
      <c r="E1725">
        <v>18</v>
      </c>
      <c r="F1725">
        <v>30</v>
      </c>
      <c r="G1725">
        <v>2</v>
      </c>
      <c r="H1725">
        <v>35</v>
      </c>
      <c r="I1725" t="s">
        <v>14</v>
      </c>
    </row>
    <row r="1726" spans="1:9" x14ac:dyDescent="0.35">
      <c r="A1726">
        <v>697</v>
      </c>
      <c r="B1726">
        <v>4</v>
      </c>
      <c r="C1726" t="s">
        <v>17</v>
      </c>
      <c r="D1726" t="s">
        <v>18</v>
      </c>
      <c r="E1726">
        <v>16</v>
      </c>
      <c r="F1726">
        <v>27</v>
      </c>
      <c r="G1726">
        <v>1</v>
      </c>
      <c r="H1726">
        <v>7</v>
      </c>
      <c r="I1726" t="s">
        <v>11</v>
      </c>
    </row>
    <row r="1727" spans="1:9" x14ac:dyDescent="0.35">
      <c r="A1727">
        <v>698</v>
      </c>
      <c r="B1727">
        <v>19</v>
      </c>
      <c r="C1727" t="s">
        <v>17</v>
      </c>
      <c r="D1727" t="s">
        <v>18</v>
      </c>
      <c r="E1727">
        <v>16</v>
      </c>
      <c r="F1727">
        <v>27</v>
      </c>
      <c r="G1727">
        <v>1</v>
      </c>
      <c r="H1727">
        <v>55</v>
      </c>
      <c r="I1727" t="s">
        <v>14</v>
      </c>
    </row>
    <row r="1728" spans="1:9" x14ac:dyDescent="0.35">
      <c r="A1728">
        <v>698</v>
      </c>
      <c r="B1728">
        <v>19</v>
      </c>
      <c r="C1728" t="s">
        <v>47</v>
      </c>
      <c r="D1728" t="s">
        <v>48</v>
      </c>
      <c r="E1728">
        <v>15</v>
      </c>
      <c r="F1728">
        <v>26</v>
      </c>
      <c r="G1728">
        <v>1</v>
      </c>
      <c r="H1728">
        <v>12</v>
      </c>
      <c r="I1728" t="s">
        <v>14</v>
      </c>
    </row>
    <row r="1729" spans="1:9" x14ac:dyDescent="0.35">
      <c r="A1729">
        <v>698</v>
      </c>
      <c r="B1729">
        <v>19</v>
      </c>
      <c r="C1729" t="s">
        <v>41</v>
      </c>
      <c r="D1729" t="s">
        <v>42</v>
      </c>
      <c r="E1729">
        <v>14</v>
      </c>
      <c r="F1729">
        <v>23</v>
      </c>
      <c r="G1729">
        <v>3</v>
      </c>
      <c r="H1729">
        <v>19</v>
      </c>
      <c r="I1729" t="s">
        <v>14</v>
      </c>
    </row>
    <row r="1730" spans="1:9" x14ac:dyDescent="0.35">
      <c r="A1730">
        <v>698</v>
      </c>
      <c r="B1730">
        <v>19</v>
      </c>
      <c r="C1730" t="s">
        <v>43</v>
      </c>
      <c r="D1730" t="s">
        <v>44</v>
      </c>
      <c r="E1730">
        <v>13</v>
      </c>
      <c r="F1730">
        <v>21</v>
      </c>
      <c r="G1730">
        <v>3</v>
      </c>
      <c r="H1730">
        <v>15</v>
      </c>
      <c r="I1730" t="s">
        <v>14</v>
      </c>
    </row>
    <row r="1731" spans="1:9" x14ac:dyDescent="0.35">
      <c r="A1731">
        <v>699</v>
      </c>
      <c r="B1731">
        <v>8</v>
      </c>
      <c r="C1731" t="s">
        <v>23</v>
      </c>
      <c r="D1731" t="s">
        <v>24</v>
      </c>
      <c r="E1731">
        <v>17</v>
      </c>
      <c r="F1731">
        <v>29</v>
      </c>
      <c r="G1731">
        <v>2</v>
      </c>
      <c r="H1731">
        <v>11</v>
      </c>
      <c r="I1731" t="s">
        <v>14</v>
      </c>
    </row>
    <row r="1732" spans="1:9" x14ac:dyDescent="0.35">
      <c r="A1732">
        <v>700</v>
      </c>
      <c r="B1732">
        <v>8</v>
      </c>
      <c r="C1732" t="s">
        <v>37</v>
      </c>
      <c r="D1732" t="s">
        <v>38</v>
      </c>
      <c r="E1732">
        <v>20</v>
      </c>
      <c r="F1732">
        <v>34</v>
      </c>
      <c r="G1732">
        <v>3</v>
      </c>
      <c r="H1732">
        <v>37</v>
      </c>
      <c r="I1732" t="s">
        <v>14</v>
      </c>
    </row>
    <row r="1733" spans="1:9" x14ac:dyDescent="0.35">
      <c r="A1733">
        <v>700</v>
      </c>
      <c r="B1733">
        <v>8</v>
      </c>
      <c r="C1733" t="s">
        <v>47</v>
      </c>
      <c r="D1733" t="s">
        <v>48</v>
      </c>
      <c r="E1733">
        <v>15</v>
      </c>
      <c r="F1733">
        <v>26</v>
      </c>
      <c r="G1733">
        <v>3</v>
      </c>
      <c r="H1733">
        <v>35</v>
      </c>
      <c r="I1733" t="s">
        <v>14</v>
      </c>
    </row>
    <row r="1734" spans="1:9" x14ac:dyDescent="0.35">
      <c r="A1734">
        <v>700</v>
      </c>
      <c r="B1734">
        <v>8</v>
      </c>
      <c r="C1734" t="s">
        <v>17</v>
      </c>
      <c r="D1734" t="s">
        <v>18</v>
      </c>
      <c r="E1734">
        <v>16</v>
      </c>
      <c r="F1734">
        <v>27</v>
      </c>
      <c r="G1734">
        <v>2</v>
      </c>
      <c r="H1734">
        <v>14</v>
      </c>
      <c r="I1734" t="s">
        <v>14</v>
      </c>
    </row>
    <row r="1735" spans="1:9" x14ac:dyDescent="0.35">
      <c r="A1735">
        <v>701</v>
      </c>
      <c r="B1735">
        <v>19</v>
      </c>
      <c r="C1735" t="s">
        <v>25</v>
      </c>
      <c r="D1735" t="s">
        <v>26</v>
      </c>
      <c r="E1735">
        <v>20</v>
      </c>
      <c r="F1735">
        <v>33</v>
      </c>
      <c r="G1735">
        <v>2</v>
      </c>
      <c r="H1735">
        <v>42</v>
      </c>
      <c r="I1735" t="s">
        <v>14</v>
      </c>
    </row>
    <row r="1736" spans="1:9" x14ac:dyDescent="0.35">
      <c r="A1736">
        <v>701</v>
      </c>
      <c r="B1736">
        <v>19</v>
      </c>
      <c r="C1736" t="s">
        <v>45</v>
      </c>
      <c r="D1736" t="s">
        <v>46</v>
      </c>
      <c r="E1736">
        <v>10</v>
      </c>
      <c r="F1736">
        <v>18</v>
      </c>
      <c r="G1736">
        <v>2</v>
      </c>
      <c r="H1736">
        <v>55</v>
      </c>
      <c r="I1736" t="s">
        <v>14</v>
      </c>
    </row>
    <row r="1737" spans="1:9" x14ac:dyDescent="0.35">
      <c r="A1737">
        <v>702</v>
      </c>
      <c r="B1737">
        <v>13</v>
      </c>
      <c r="C1737" t="s">
        <v>45</v>
      </c>
      <c r="D1737" t="s">
        <v>46</v>
      </c>
      <c r="E1737">
        <v>10</v>
      </c>
      <c r="F1737">
        <v>18</v>
      </c>
      <c r="G1737">
        <v>2</v>
      </c>
      <c r="H1737">
        <v>59</v>
      </c>
      <c r="I1737" t="s">
        <v>11</v>
      </c>
    </row>
    <row r="1738" spans="1:9" x14ac:dyDescent="0.35">
      <c r="A1738">
        <v>702</v>
      </c>
      <c r="B1738">
        <v>13</v>
      </c>
      <c r="C1738" t="s">
        <v>43</v>
      </c>
      <c r="D1738" t="s">
        <v>44</v>
      </c>
      <c r="E1738">
        <v>13</v>
      </c>
      <c r="F1738">
        <v>21</v>
      </c>
      <c r="G1738">
        <v>1</v>
      </c>
      <c r="H1738">
        <v>36</v>
      </c>
      <c r="I1738" t="s">
        <v>11</v>
      </c>
    </row>
    <row r="1739" spans="1:9" x14ac:dyDescent="0.35">
      <c r="A1739">
        <v>702</v>
      </c>
      <c r="B1739">
        <v>13</v>
      </c>
      <c r="C1739" t="s">
        <v>17</v>
      </c>
      <c r="D1739" t="s">
        <v>18</v>
      </c>
      <c r="E1739">
        <v>16</v>
      </c>
      <c r="F1739">
        <v>27</v>
      </c>
      <c r="G1739">
        <v>2</v>
      </c>
      <c r="H1739">
        <v>29</v>
      </c>
      <c r="I1739" t="s">
        <v>14</v>
      </c>
    </row>
    <row r="1740" spans="1:9" x14ac:dyDescent="0.35">
      <c r="A1740">
        <v>702</v>
      </c>
      <c r="B1740">
        <v>13</v>
      </c>
      <c r="C1740" t="s">
        <v>27</v>
      </c>
      <c r="D1740" t="s">
        <v>28</v>
      </c>
      <c r="E1740">
        <v>16</v>
      </c>
      <c r="F1740">
        <v>28</v>
      </c>
      <c r="G1740">
        <v>3</v>
      </c>
      <c r="H1740">
        <v>31</v>
      </c>
      <c r="I1740" t="s">
        <v>11</v>
      </c>
    </row>
    <row r="1741" spans="1:9" x14ac:dyDescent="0.35">
      <c r="A1741">
        <v>703</v>
      </c>
      <c r="B1741">
        <v>9</v>
      </c>
      <c r="C1741" t="s">
        <v>43</v>
      </c>
      <c r="D1741" t="s">
        <v>44</v>
      </c>
      <c r="E1741">
        <v>13</v>
      </c>
      <c r="F1741">
        <v>21</v>
      </c>
      <c r="G1741">
        <v>3</v>
      </c>
      <c r="H1741">
        <v>29</v>
      </c>
      <c r="I1741" t="s">
        <v>14</v>
      </c>
    </row>
    <row r="1742" spans="1:9" x14ac:dyDescent="0.35">
      <c r="A1742">
        <v>704</v>
      </c>
      <c r="B1742">
        <v>13</v>
      </c>
      <c r="C1742" t="s">
        <v>45</v>
      </c>
      <c r="D1742" t="s">
        <v>46</v>
      </c>
      <c r="E1742">
        <v>10</v>
      </c>
      <c r="F1742">
        <v>18</v>
      </c>
      <c r="G1742">
        <v>1</v>
      </c>
      <c r="H1742">
        <v>38</v>
      </c>
      <c r="I1742" t="s">
        <v>11</v>
      </c>
    </row>
    <row r="1743" spans="1:9" x14ac:dyDescent="0.35">
      <c r="A1743">
        <v>705</v>
      </c>
      <c r="B1743">
        <v>12</v>
      </c>
      <c r="C1743" t="s">
        <v>39</v>
      </c>
      <c r="D1743" t="s">
        <v>40</v>
      </c>
      <c r="E1743">
        <v>12</v>
      </c>
      <c r="F1743">
        <v>20</v>
      </c>
      <c r="G1743">
        <v>3</v>
      </c>
      <c r="H1743">
        <v>25</v>
      </c>
      <c r="I1743" t="s">
        <v>14</v>
      </c>
    </row>
    <row r="1744" spans="1:9" x14ac:dyDescent="0.35">
      <c r="A1744">
        <v>705</v>
      </c>
      <c r="B1744">
        <v>12</v>
      </c>
      <c r="C1744" t="s">
        <v>47</v>
      </c>
      <c r="D1744" t="s">
        <v>48</v>
      </c>
      <c r="E1744">
        <v>15</v>
      </c>
      <c r="F1744">
        <v>26</v>
      </c>
      <c r="G1744">
        <v>2</v>
      </c>
      <c r="H1744">
        <v>8</v>
      </c>
      <c r="I1744" t="s">
        <v>11</v>
      </c>
    </row>
    <row r="1745" spans="1:9" x14ac:dyDescent="0.35">
      <c r="A1745">
        <v>706</v>
      </c>
      <c r="B1745">
        <v>20</v>
      </c>
      <c r="C1745" t="s">
        <v>45</v>
      </c>
      <c r="D1745" t="s">
        <v>46</v>
      </c>
      <c r="E1745">
        <v>10</v>
      </c>
      <c r="F1745">
        <v>18</v>
      </c>
      <c r="G1745">
        <v>3</v>
      </c>
      <c r="H1745">
        <v>33</v>
      </c>
      <c r="I1745" t="s">
        <v>14</v>
      </c>
    </row>
    <row r="1746" spans="1:9" x14ac:dyDescent="0.35">
      <c r="A1746">
        <v>707</v>
      </c>
      <c r="B1746">
        <v>15</v>
      </c>
      <c r="C1746" t="s">
        <v>33</v>
      </c>
      <c r="D1746" t="s">
        <v>34</v>
      </c>
      <c r="E1746">
        <v>19</v>
      </c>
      <c r="F1746">
        <v>32</v>
      </c>
      <c r="G1746">
        <v>1</v>
      </c>
      <c r="H1746">
        <v>31</v>
      </c>
      <c r="I1746" t="s">
        <v>11</v>
      </c>
    </row>
    <row r="1747" spans="1:9" x14ac:dyDescent="0.35">
      <c r="A1747">
        <v>707</v>
      </c>
      <c r="B1747">
        <v>15</v>
      </c>
      <c r="C1747" t="s">
        <v>43</v>
      </c>
      <c r="D1747" t="s">
        <v>44</v>
      </c>
      <c r="E1747">
        <v>13</v>
      </c>
      <c r="F1747">
        <v>21</v>
      </c>
      <c r="G1747">
        <v>1</v>
      </c>
      <c r="H1747">
        <v>42</v>
      </c>
      <c r="I1747" t="s">
        <v>14</v>
      </c>
    </row>
    <row r="1748" spans="1:9" x14ac:dyDescent="0.35">
      <c r="A1748">
        <v>707</v>
      </c>
      <c r="B1748">
        <v>15</v>
      </c>
      <c r="C1748" t="s">
        <v>12</v>
      </c>
      <c r="D1748" t="s">
        <v>13</v>
      </c>
      <c r="E1748">
        <v>18</v>
      </c>
      <c r="F1748">
        <v>30</v>
      </c>
      <c r="G1748">
        <v>2</v>
      </c>
      <c r="H1748">
        <v>53</v>
      </c>
      <c r="I1748" t="s">
        <v>11</v>
      </c>
    </row>
    <row r="1749" spans="1:9" x14ac:dyDescent="0.35">
      <c r="A1749">
        <v>707</v>
      </c>
      <c r="B1749">
        <v>15</v>
      </c>
      <c r="C1749" t="s">
        <v>21</v>
      </c>
      <c r="D1749" t="s">
        <v>22</v>
      </c>
      <c r="E1749">
        <v>22</v>
      </c>
      <c r="F1749">
        <v>36</v>
      </c>
      <c r="G1749">
        <v>2</v>
      </c>
      <c r="H1749">
        <v>11</v>
      </c>
      <c r="I1749" t="s">
        <v>11</v>
      </c>
    </row>
    <row r="1750" spans="1:9" x14ac:dyDescent="0.35">
      <c r="A1750">
        <v>708</v>
      </c>
      <c r="B1750">
        <v>5</v>
      </c>
      <c r="C1750" t="s">
        <v>17</v>
      </c>
      <c r="D1750" t="s">
        <v>18</v>
      </c>
      <c r="E1750">
        <v>16</v>
      </c>
      <c r="F1750">
        <v>27</v>
      </c>
      <c r="G1750">
        <v>2</v>
      </c>
      <c r="H1750">
        <v>24</v>
      </c>
      <c r="I1750" t="s">
        <v>14</v>
      </c>
    </row>
    <row r="1751" spans="1:9" x14ac:dyDescent="0.35">
      <c r="A1751">
        <v>709</v>
      </c>
      <c r="B1751">
        <v>8</v>
      </c>
      <c r="C1751" t="s">
        <v>43</v>
      </c>
      <c r="D1751" t="s">
        <v>44</v>
      </c>
      <c r="E1751">
        <v>13</v>
      </c>
      <c r="F1751">
        <v>21</v>
      </c>
      <c r="G1751">
        <v>2</v>
      </c>
      <c r="H1751">
        <v>7</v>
      </c>
      <c r="I1751" t="s">
        <v>11</v>
      </c>
    </row>
    <row r="1752" spans="1:9" x14ac:dyDescent="0.35">
      <c r="A1752">
        <v>709</v>
      </c>
      <c r="B1752">
        <v>8</v>
      </c>
      <c r="C1752" t="s">
        <v>31</v>
      </c>
      <c r="D1752" t="s">
        <v>32</v>
      </c>
      <c r="E1752">
        <v>21</v>
      </c>
      <c r="F1752">
        <v>35</v>
      </c>
      <c r="G1752">
        <v>1</v>
      </c>
      <c r="H1752">
        <v>33</v>
      </c>
      <c r="I1752" t="s">
        <v>14</v>
      </c>
    </row>
    <row r="1753" spans="1:9" x14ac:dyDescent="0.35">
      <c r="A1753">
        <v>709</v>
      </c>
      <c r="B1753">
        <v>8</v>
      </c>
      <c r="C1753" t="s">
        <v>25</v>
      </c>
      <c r="D1753" t="s">
        <v>26</v>
      </c>
      <c r="E1753">
        <v>20</v>
      </c>
      <c r="F1753">
        <v>33</v>
      </c>
      <c r="G1753">
        <v>2</v>
      </c>
      <c r="H1753">
        <v>27</v>
      </c>
      <c r="I1753" t="s">
        <v>14</v>
      </c>
    </row>
    <row r="1754" spans="1:9" x14ac:dyDescent="0.35">
      <c r="A1754">
        <v>709</v>
      </c>
      <c r="B1754">
        <v>8</v>
      </c>
      <c r="C1754" t="s">
        <v>49</v>
      </c>
      <c r="D1754" t="s">
        <v>50</v>
      </c>
      <c r="E1754">
        <v>15</v>
      </c>
      <c r="F1754">
        <v>25</v>
      </c>
      <c r="G1754">
        <v>2</v>
      </c>
      <c r="H1754">
        <v>31</v>
      </c>
      <c r="I1754" t="s">
        <v>11</v>
      </c>
    </row>
    <row r="1755" spans="1:9" x14ac:dyDescent="0.35">
      <c r="A1755">
        <v>710</v>
      </c>
      <c r="B1755">
        <v>18</v>
      </c>
      <c r="C1755" t="s">
        <v>39</v>
      </c>
      <c r="D1755" t="s">
        <v>40</v>
      </c>
      <c r="E1755">
        <v>12</v>
      </c>
      <c r="F1755">
        <v>20</v>
      </c>
      <c r="G1755">
        <v>2</v>
      </c>
      <c r="H1755">
        <v>32</v>
      </c>
      <c r="I1755" t="s">
        <v>11</v>
      </c>
    </row>
    <row r="1756" spans="1:9" x14ac:dyDescent="0.35">
      <c r="A1756">
        <v>710</v>
      </c>
      <c r="B1756">
        <v>18</v>
      </c>
      <c r="C1756" t="s">
        <v>29</v>
      </c>
      <c r="D1756" t="s">
        <v>30</v>
      </c>
      <c r="E1756">
        <v>11</v>
      </c>
      <c r="F1756">
        <v>19</v>
      </c>
      <c r="G1756">
        <v>3</v>
      </c>
      <c r="H1756">
        <v>45</v>
      </c>
      <c r="I1756" t="s">
        <v>14</v>
      </c>
    </row>
    <row r="1757" spans="1:9" x14ac:dyDescent="0.35">
      <c r="A1757">
        <v>710</v>
      </c>
      <c r="B1757">
        <v>18</v>
      </c>
      <c r="C1757" t="s">
        <v>45</v>
      </c>
      <c r="D1757" t="s">
        <v>46</v>
      </c>
      <c r="E1757">
        <v>10</v>
      </c>
      <c r="F1757">
        <v>18</v>
      </c>
      <c r="G1757">
        <v>1</v>
      </c>
      <c r="H1757">
        <v>20</v>
      </c>
      <c r="I1757" t="s">
        <v>14</v>
      </c>
    </row>
    <row r="1758" spans="1:9" x14ac:dyDescent="0.35">
      <c r="A1758">
        <v>710</v>
      </c>
      <c r="B1758">
        <v>18</v>
      </c>
      <c r="C1758" t="s">
        <v>41</v>
      </c>
      <c r="D1758" t="s">
        <v>42</v>
      </c>
      <c r="E1758">
        <v>14</v>
      </c>
      <c r="F1758">
        <v>23</v>
      </c>
      <c r="G1758">
        <v>1</v>
      </c>
      <c r="H1758">
        <v>43</v>
      </c>
      <c r="I1758" t="s">
        <v>14</v>
      </c>
    </row>
    <row r="1759" spans="1:9" x14ac:dyDescent="0.35">
      <c r="A1759">
        <v>711</v>
      </c>
      <c r="B1759">
        <v>20</v>
      </c>
      <c r="C1759" t="s">
        <v>37</v>
      </c>
      <c r="D1759" t="s">
        <v>38</v>
      </c>
      <c r="E1759">
        <v>20</v>
      </c>
      <c r="F1759">
        <v>34</v>
      </c>
      <c r="G1759">
        <v>3</v>
      </c>
      <c r="H1759">
        <v>43</v>
      </c>
      <c r="I1759" t="s">
        <v>11</v>
      </c>
    </row>
    <row r="1760" spans="1:9" x14ac:dyDescent="0.35">
      <c r="A1760">
        <v>711</v>
      </c>
      <c r="B1760">
        <v>20</v>
      </c>
      <c r="C1760" t="s">
        <v>33</v>
      </c>
      <c r="D1760" t="s">
        <v>34</v>
      </c>
      <c r="E1760">
        <v>19</v>
      </c>
      <c r="F1760">
        <v>32</v>
      </c>
      <c r="G1760">
        <v>2</v>
      </c>
      <c r="H1760">
        <v>16</v>
      </c>
      <c r="I1760" t="s">
        <v>14</v>
      </c>
    </row>
    <row r="1761" spans="1:9" x14ac:dyDescent="0.35">
      <c r="A1761">
        <v>712</v>
      </c>
      <c r="B1761">
        <v>10</v>
      </c>
      <c r="C1761" t="s">
        <v>9</v>
      </c>
      <c r="D1761" t="s">
        <v>10</v>
      </c>
      <c r="E1761">
        <v>14</v>
      </c>
      <c r="F1761">
        <v>24</v>
      </c>
      <c r="G1761">
        <v>2</v>
      </c>
      <c r="H1761">
        <v>49</v>
      </c>
      <c r="I1761" t="s">
        <v>11</v>
      </c>
    </row>
    <row r="1762" spans="1:9" x14ac:dyDescent="0.35">
      <c r="A1762">
        <v>713</v>
      </c>
      <c r="B1762">
        <v>6</v>
      </c>
      <c r="C1762" t="s">
        <v>25</v>
      </c>
      <c r="D1762" t="s">
        <v>26</v>
      </c>
      <c r="E1762">
        <v>20</v>
      </c>
      <c r="F1762">
        <v>33</v>
      </c>
      <c r="G1762">
        <v>3</v>
      </c>
      <c r="H1762">
        <v>41</v>
      </c>
      <c r="I1762" t="s">
        <v>14</v>
      </c>
    </row>
    <row r="1763" spans="1:9" x14ac:dyDescent="0.35">
      <c r="A1763">
        <v>713</v>
      </c>
      <c r="B1763">
        <v>6</v>
      </c>
      <c r="C1763" t="s">
        <v>23</v>
      </c>
      <c r="D1763" t="s">
        <v>24</v>
      </c>
      <c r="E1763">
        <v>17</v>
      </c>
      <c r="F1763">
        <v>29</v>
      </c>
      <c r="G1763">
        <v>3</v>
      </c>
      <c r="H1763">
        <v>14</v>
      </c>
      <c r="I1763" t="s">
        <v>14</v>
      </c>
    </row>
    <row r="1764" spans="1:9" x14ac:dyDescent="0.35">
      <c r="A1764">
        <v>713</v>
      </c>
      <c r="B1764">
        <v>6</v>
      </c>
      <c r="C1764" t="s">
        <v>33</v>
      </c>
      <c r="D1764" t="s">
        <v>34</v>
      </c>
      <c r="E1764">
        <v>19</v>
      </c>
      <c r="F1764">
        <v>32</v>
      </c>
      <c r="G1764">
        <v>3</v>
      </c>
      <c r="H1764">
        <v>45</v>
      </c>
      <c r="I1764" t="s">
        <v>11</v>
      </c>
    </row>
    <row r="1765" spans="1:9" x14ac:dyDescent="0.35">
      <c r="A1765">
        <v>713</v>
      </c>
      <c r="B1765">
        <v>6</v>
      </c>
      <c r="C1765" t="s">
        <v>47</v>
      </c>
      <c r="D1765" t="s">
        <v>48</v>
      </c>
      <c r="E1765">
        <v>15</v>
      </c>
      <c r="F1765">
        <v>26</v>
      </c>
      <c r="G1765">
        <v>3</v>
      </c>
      <c r="H1765">
        <v>25</v>
      </c>
      <c r="I1765" t="s">
        <v>11</v>
      </c>
    </row>
    <row r="1766" spans="1:9" x14ac:dyDescent="0.35">
      <c r="A1766">
        <v>714</v>
      </c>
      <c r="B1766">
        <v>19</v>
      </c>
      <c r="C1766" t="s">
        <v>37</v>
      </c>
      <c r="D1766" t="s">
        <v>38</v>
      </c>
      <c r="E1766">
        <v>20</v>
      </c>
      <c r="F1766">
        <v>34</v>
      </c>
      <c r="G1766">
        <v>3</v>
      </c>
      <c r="H1766">
        <v>17</v>
      </c>
      <c r="I1766" t="s">
        <v>14</v>
      </c>
    </row>
    <row r="1767" spans="1:9" x14ac:dyDescent="0.35">
      <c r="A1767">
        <v>714</v>
      </c>
      <c r="B1767">
        <v>19</v>
      </c>
      <c r="C1767" t="s">
        <v>12</v>
      </c>
      <c r="D1767" t="s">
        <v>13</v>
      </c>
      <c r="E1767">
        <v>18</v>
      </c>
      <c r="F1767">
        <v>30</v>
      </c>
      <c r="G1767">
        <v>3</v>
      </c>
      <c r="H1767">
        <v>17</v>
      </c>
      <c r="I1767" t="s">
        <v>14</v>
      </c>
    </row>
    <row r="1768" spans="1:9" x14ac:dyDescent="0.35">
      <c r="A1768">
        <v>714</v>
      </c>
      <c r="B1768">
        <v>19</v>
      </c>
      <c r="C1768" t="s">
        <v>25</v>
      </c>
      <c r="D1768" t="s">
        <v>26</v>
      </c>
      <c r="E1768">
        <v>20</v>
      </c>
      <c r="F1768">
        <v>33</v>
      </c>
      <c r="G1768">
        <v>1</v>
      </c>
      <c r="H1768">
        <v>29</v>
      </c>
      <c r="I1768" t="s">
        <v>14</v>
      </c>
    </row>
    <row r="1769" spans="1:9" x14ac:dyDescent="0.35">
      <c r="A1769">
        <v>715</v>
      </c>
      <c r="B1769">
        <v>12</v>
      </c>
      <c r="C1769" t="s">
        <v>12</v>
      </c>
      <c r="D1769" t="s">
        <v>13</v>
      </c>
      <c r="E1769">
        <v>18</v>
      </c>
      <c r="F1769">
        <v>30</v>
      </c>
      <c r="G1769">
        <v>3</v>
      </c>
      <c r="H1769">
        <v>35</v>
      </c>
      <c r="I1769" t="s">
        <v>11</v>
      </c>
    </row>
    <row r="1770" spans="1:9" x14ac:dyDescent="0.35">
      <c r="A1770">
        <v>715</v>
      </c>
      <c r="B1770">
        <v>12</v>
      </c>
      <c r="C1770" t="s">
        <v>17</v>
      </c>
      <c r="D1770" t="s">
        <v>18</v>
      </c>
      <c r="E1770">
        <v>16</v>
      </c>
      <c r="F1770">
        <v>27</v>
      </c>
      <c r="G1770">
        <v>1</v>
      </c>
      <c r="H1770">
        <v>14</v>
      </c>
      <c r="I1770" t="s">
        <v>11</v>
      </c>
    </row>
    <row r="1771" spans="1:9" x14ac:dyDescent="0.35">
      <c r="A1771">
        <v>715</v>
      </c>
      <c r="B1771">
        <v>12</v>
      </c>
      <c r="C1771" t="s">
        <v>49</v>
      </c>
      <c r="D1771" t="s">
        <v>50</v>
      </c>
      <c r="E1771">
        <v>15</v>
      </c>
      <c r="F1771">
        <v>25</v>
      </c>
      <c r="G1771">
        <v>3</v>
      </c>
      <c r="H1771">
        <v>38</v>
      </c>
      <c r="I1771" t="s">
        <v>11</v>
      </c>
    </row>
    <row r="1772" spans="1:9" x14ac:dyDescent="0.35">
      <c r="A1772">
        <v>715</v>
      </c>
      <c r="B1772">
        <v>12</v>
      </c>
      <c r="C1772" t="s">
        <v>45</v>
      </c>
      <c r="D1772" t="s">
        <v>46</v>
      </c>
      <c r="E1772">
        <v>10</v>
      </c>
      <c r="F1772">
        <v>18</v>
      </c>
      <c r="G1772">
        <v>3</v>
      </c>
      <c r="H1772">
        <v>49</v>
      </c>
      <c r="I1772" t="s">
        <v>14</v>
      </c>
    </row>
    <row r="1773" spans="1:9" x14ac:dyDescent="0.35">
      <c r="A1773">
        <v>716</v>
      </c>
      <c r="B1773">
        <v>12</v>
      </c>
      <c r="C1773" t="s">
        <v>43</v>
      </c>
      <c r="D1773" t="s">
        <v>44</v>
      </c>
      <c r="E1773">
        <v>13</v>
      </c>
      <c r="F1773">
        <v>21</v>
      </c>
      <c r="G1773">
        <v>3</v>
      </c>
      <c r="H1773">
        <v>12</v>
      </c>
      <c r="I1773" t="s">
        <v>11</v>
      </c>
    </row>
    <row r="1774" spans="1:9" x14ac:dyDescent="0.35">
      <c r="A1774">
        <v>716</v>
      </c>
      <c r="B1774">
        <v>12</v>
      </c>
      <c r="C1774" t="s">
        <v>49</v>
      </c>
      <c r="D1774" t="s">
        <v>50</v>
      </c>
      <c r="E1774">
        <v>15</v>
      </c>
      <c r="F1774">
        <v>25</v>
      </c>
      <c r="G1774">
        <v>3</v>
      </c>
      <c r="H1774">
        <v>48</v>
      </c>
      <c r="I1774" t="s">
        <v>11</v>
      </c>
    </row>
    <row r="1775" spans="1:9" x14ac:dyDescent="0.35">
      <c r="A1775">
        <v>716</v>
      </c>
      <c r="B1775">
        <v>12</v>
      </c>
      <c r="C1775" t="s">
        <v>15</v>
      </c>
      <c r="D1775" t="s">
        <v>16</v>
      </c>
      <c r="E1775">
        <v>19</v>
      </c>
      <c r="F1775">
        <v>31</v>
      </c>
      <c r="G1775">
        <v>3</v>
      </c>
      <c r="H1775">
        <v>30</v>
      </c>
      <c r="I1775" t="s">
        <v>14</v>
      </c>
    </row>
    <row r="1776" spans="1:9" x14ac:dyDescent="0.35">
      <c r="A1776">
        <v>717</v>
      </c>
      <c r="B1776">
        <v>8</v>
      </c>
      <c r="C1776" t="s">
        <v>35</v>
      </c>
      <c r="D1776" t="s">
        <v>36</v>
      </c>
      <c r="E1776">
        <v>13</v>
      </c>
      <c r="F1776">
        <v>22</v>
      </c>
      <c r="G1776">
        <v>2</v>
      </c>
      <c r="H1776">
        <v>23</v>
      </c>
      <c r="I1776" t="s">
        <v>14</v>
      </c>
    </row>
    <row r="1777" spans="1:9" x14ac:dyDescent="0.35">
      <c r="A1777">
        <v>717</v>
      </c>
      <c r="B1777">
        <v>8</v>
      </c>
      <c r="C1777" t="s">
        <v>12</v>
      </c>
      <c r="D1777" t="s">
        <v>13</v>
      </c>
      <c r="E1777">
        <v>18</v>
      </c>
      <c r="F1777">
        <v>30</v>
      </c>
      <c r="G1777">
        <v>1</v>
      </c>
      <c r="H1777">
        <v>36</v>
      </c>
      <c r="I1777" t="s">
        <v>14</v>
      </c>
    </row>
    <row r="1778" spans="1:9" x14ac:dyDescent="0.35">
      <c r="A1778">
        <v>717</v>
      </c>
      <c r="B1778">
        <v>8</v>
      </c>
      <c r="C1778" t="s">
        <v>17</v>
      </c>
      <c r="D1778" t="s">
        <v>18</v>
      </c>
      <c r="E1778">
        <v>16</v>
      </c>
      <c r="F1778">
        <v>27</v>
      </c>
      <c r="G1778">
        <v>3</v>
      </c>
      <c r="H1778">
        <v>13</v>
      </c>
      <c r="I1778" t="s">
        <v>14</v>
      </c>
    </row>
    <row r="1779" spans="1:9" x14ac:dyDescent="0.35">
      <c r="A1779">
        <v>718</v>
      </c>
      <c r="B1779">
        <v>7</v>
      </c>
      <c r="C1779" t="s">
        <v>39</v>
      </c>
      <c r="D1779" t="s">
        <v>40</v>
      </c>
      <c r="E1779">
        <v>12</v>
      </c>
      <c r="F1779">
        <v>20</v>
      </c>
      <c r="G1779">
        <v>1</v>
      </c>
      <c r="H1779">
        <v>58</v>
      </c>
      <c r="I1779" t="s">
        <v>14</v>
      </c>
    </row>
    <row r="1780" spans="1:9" x14ac:dyDescent="0.35">
      <c r="A1780">
        <v>719</v>
      </c>
      <c r="B1780">
        <v>16</v>
      </c>
      <c r="C1780" t="s">
        <v>19</v>
      </c>
      <c r="D1780" t="s">
        <v>20</v>
      </c>
      <c r="E1780">
        <v>25</v>
      </c>
      <c r="F1780">
        <v>40</v>
      </c>
      <c r="G1780">
        <v>1</v>
      </c>
      <c r="H1780">
        <v>15</v>
      </c>
      <c r="I1780" t="s">
        <v>11</v>
      </c>
    </row>
    <row r="1781" spans="1:9" x14ac:dyDescent="0.35">
      <c r="A1781">
        <v>719</v>
      </c>
      <c r="B1781">
        <v>16</v>
      </c>
      <c r="C1781" t="s">
        <v>29</v>
      </c>
      <c r="D1781" t="s">
        <v>30</v>
      </c>
      <c r="E1781">
        <v>11</v>
      </c>
      <c r="F1781">
        <v>19</v>
      </c>
      <c r="G1781">
        <v>2</v>
      </c>
      <c r="H1781">
        <v>34</v>
      </c>
      <c r="I1781" t="s">
        <v>11</v>
      </c>
    </row>
    <row r="1782" spans="1:9" x14ac:dyDescent="0.35">
      <c r="A1782">
        <v>719</v>
      </c>
      <c r="B1782">
        <v>16</v>
      </c>
      <c r="C1782" t="s">
        <v>23</v>
      </c>
      <c r="D1782" t="s">
        <v>24</v>
      </c>
      <c r="E1782">
        <v>17</v>
      </c>
      <c r="F1782">
        <v>29</v>
      </c>
      <c r="G1782">
        <v>1</v>
      </c>
      <c r="H1782">
        <v>21</v>
      </c>
      <c r="I1782" t="s">
        <v>11</v>
      </c>
    </row>
    <row r="1783" spans="1:9" x14ac:dyDescent="0.35">
      <c r="A1783">
        <v>720</v>
      </c>
      <c r="B1783">
        <v>4</v>
      </c>
      <c r="C1783" t="s">
        <v>25</v>
      </c>
      <c r="D1783" t="s">
        <v>26</v>
      </c>
      <c r="E1783">
        <v>20</v>
      </c>
      <c r="F1783">
        <v>33</v>
      </c>
      <c r="G1783">
        <v>1</v>
      </c>
      <c r="H1783">
        <v>36</v>
      </c>
      <c r="I1783" t="s">
        <v>11</v>
      </c>
    </row>
    <row r="1784" spans="1:9" x14ac:dyDescent="0.35">
      <c r="A1784">
        <v>720</v>
      </c>
      <c r="B1784">
        <v>4</v>
      </c>
      <c r="C1784" t="s">
        <v>23</v>
      </c>
      <c r="D1784" t="s">
        <v>24</v>
      </c>
      <c r="E1784">
        <v>17</v>
      </c>
      <c r="F1784">
        <v>29</v>
      </c>
      <c r="G1784">
        <v>3</v>
      </c>
      <c r="H1784">
        <v>44</v>
      </c>
      <c r="I1784" t="s">
        <v>14</v>
      </c>
    </row>
    <row r="1785" spans="1:9" x14ac:dyDescent="0.35">
      <c r="A1785">
        <v>720</v>
      </c>
      <c r="B1785">
        <v>4</v>
      </c>
      <c r="C1785" t="s">
        <v>9</v>
      </c>
      <c r="D1785" t="s">
        <v>10</v>
      </c>
      <c r="E1785">
        <v>14</v>
      </c>
      <c r="F1785">
        <v>24</v>
      </c>
      <c r="G1785">
        <v>2</v>
      </c>
      <c r="H1785">
        <v>53</v>
      </c>
      <c r="I1785" t="s">
        <v>14</v>
      </c>
    </row>
    <row r="1786" spans="1:9" x14ac:dyDescent="0.35">
      <c r="A1786">
        <v>721</v>
      </c>
      <c r="B1786">
        <v>6</v>
      </c>
      <c r="C1786" t="s">
        <v>23</v>
      </c>
      <c r="D1786" t="s">
        <v>24</v>
      </c>
      <c r="E1786">
        <v>17</v>
      </c>
      <c r="F1786">
        <v>29</v>
      </c>
      <c r="G1786">
        <v>1</v>
      </c>
      <c r="H1786">
        <v>20</v>
      </c>
      <c r="I1786" t="s">
        <v>14</v>
      </c>
    </row>
    <row r="1787" spans="1:9" x14ac:dyDescent="0.35">
      <c r="A1787">
        <v>721</v>
      </c>
      <c r="B1787">
        <v>6</v>
      </c>
      <c r="C1787" t="s">
        <v>21</v>
      </c>
      <c r="D1787" t="s">
        <v>22</v>
      </c>
      <c r="E1787">
        <v>22</v>
      </c>
      <c r="F1787">
        <v>36</v>
      </c>
      <c r="G1787">
        <v>1</v>
      </c>
      <c r="H1787">
        <v>15</v>
      </c>
      <c r="I1787" t="s">
        <v>14</v>
      </c>
    </row>
    <row r="1788" spans="1:9" x14ac:dyDescent="0.35">
      <c r="A1788">
        <v>721</v>
      </c>
      <c r="B1788">
        <v>6</v>
      </c>
      <c r="C1788" t="s">
        <v>9</v>
      </c>
      <c r="D1788" t="s">
        <v>10</v>
      </c>
      <c r="E1788">
        <v>14</v>
      </c>
      <c r="F1788">
        <v>24</v>
      </c>
      <c r="G1788">
        <v>3</v>
      </c>
      <c r="H1788">
        <v>44</v>
      </c>
      <c r="I1788" t="s">
        <v>11</v>
      </c>
    </row>
    <row r="1789" spans="1:9" x14ac:dyDescent="0.35">
      <c r="A1789">
        <v>721</v>
      </c>
      <c r="B1789">
        <v>6</v>
      </c>
      <c r="C1789" t="s">
        <v>17</v>
      </c>
      <c r="D1789" t="s">
        <v>18</v>
      </c>
      <c r="E1789">
        <v>16</v>
      </c>
      <c r="F1789">
        <v>27</v>
      </c>
      <c r="G1789">
        <v>3</v>
      </c>
      <c r="H1789">
        <v>54</v>
      </c>
      <c r="I1789" t="s">
        <v>14</v>
      </c>
    </row>
    <row r="1790" spans="1:9" x14ac:dyDescent="0.35">
      <c r="A1790">
        <v>722</v>
      </c>
      <c r="B1790">
        <v>13</v>
      </c>
      <c r="C1790" t="s">
        <v>43</v>
      </c>
      <c r="D1790" t="s">
        <v>44</v>
      </c>
      <c r="E1790">
        <v>13</v>
      </c>
      <c r="F1790">
        <v>21</v>
      </c>
      <c r="G1790">
        <v>3</v>
      </c>
      <c r="H1790">
        <v>43</v>
      </c>
      <c r="I1790" t="s">
        <v>11</v>
      </c>
    </row>
    <row r="1791" spans="1:9" x14ac:dyDescent="0.35">
      <c r="A1791">
        <v>722</v>
      </c>
      <c r="B1791">
        <v>13</v>
      </c>
      <c r="C1791" t="s">
        <v>35</v>
      </c>
      <c r="D1791" t="s">
        <v>36</v>
      </c>
      <c r="E1791">
        <v>13</v>
      </c>
      <c r="F1791">
        <v>22</v>
      </c>
      <c r="G1791">
        <v>1</v>
      </c>
      <c r="H1791">
        <v>16</v>
      </c>
      <c r="I1791" t="s">
        <v>11</v>
      </c>
    </row>
    <row r="1792" spans="1:9" x14ac:dyDescent="0.35">
      <c r="A1792">
        <v>723</v>
      </c>
      <c r="B1792">
        <v>12</v>
      </c>
      <c r="C1792" t="s">
        <v>27</v>
      </c>
      <c r="D1792" t="s">
        <v>28</v>
      </c>
      <c r="E1792">
        <v>16</v>
      </c>
      <c r="F1792">
        <v>28</v>
      </c>
      <c r="G1792">
        <v>2</v>
      </c>
      <c r="H1792">
        <v>22</v>
      </c>
      <c r="I1792" t="s">
        <v>11</v>
      </c>
    </row>
    <row r="1793" spans="1:9" x14ac:dyDescent="0.35">
      <c r="A1793">
        <v>723</v>
      </c>
      <c r="B1793">
        <v>12</v>
      </c>
      <c r="C1793" t="s">
        <v>31</v>
      </c>
      <c r="D1793" t="s">
        <v>32</v>
      </c>
      <c r="E1793">
        <v>21</v>
      </c>
      <c r="F1793">
        <v>35</v>
      </c>
      <c r="G1793">
        <v>2</v>
      </c>
      <c r="H1793">
        <v>9</v>
      </c>
      <c r="I1793" t="s">
        <v>11</v>
      </c>
    </row>
    <row r="1794" spans="1:9" x14ac:dyDescent="0.35">
      <c r="A1794">
        <v>724</v>
      </c>
      <c r="B1794">
        <v>8</v>
      </c>
      <c r="C1794" t="s">
        <v>35</v>
      </c>
      <c r="D1794" t="s">
        <v>36</v>
      </c>
      <c r="E1794">
        <v>13</v>
      </c>
      <c r="F1794">
        <v>22</v>
      </c>
      <c r="G1794">
        <v>3</v>
      </c>
      <c r="H1794">
        <v>56</v>
      </c>
      <c r="I1794" t="s">
        <v>11</v>
      </c>
    </row>
    <row r="1795" spans="1:9" x14ac:dyDescent="0.35">
      <c r="A1795">
        <v>725</v>
      </c>
      <c r="B1795">
        <v>10</v>
      </c>
      <c r="C1795" t="s">
        <v>37</v>
      </c>
      <c r="D1795" t="s">
        <v>38</v>
      </c>
      <c r="E1795">
        <v>20</v>
      </c>
      <c r="F1795">
        <v>34</v>
      </c>
      <c r="G1795">
        <v>3</v>
      </c>
      <c r="H1795">
        <v>30</v>
      </c>
      <c r="I1795" t="s">
        <v>11</v>
      </c>
    </row>
    <row r="1796" spans="1:9" x14ac:dyDescent="0.35">
      <c r="A1796">
        <v>725</v>
      </c>
      <c r="B1796">
        <v>10</v>
      </c>
      <c r="C1796" t="s">
        <v>35</v>
      </c>
      <c r="D1796" t="s">
        <v>36</v>
      </c>
      <c r="E1796">
        <v>13</v>
      </c>
      <c r="F1796">
        <v>22</v>
      </c>
      <c r="G1796">
        <v>3</v>
      </c>
      <c r="H1796">
        <v>55</v>
      </c>
      <c r="I1796" t="s">
        <v>11</v>
      </c>
    </row>
    <row r="1797" spans="1:9" x14ac:dyDescent="0.35">
      <c r="A1797">
        <v>726</v>
      </c>
      <c r="B1797">
        <v>11</v>
      </c>
      <c r="C1797" t="s">
        <v>35</v>
      </c>
      <c r="D1797" t="s">
        <v>36</v>
      </c>
      <c r="E1797">
        <v>13</v>
      </c>
      <c r="F1797">
        <v>22</v>
      </c>
      <c r="G1797">
        <v>2</v>
      </c>
      <c r="H1797">
        <v>6</v>
      </c>
      <c r="I1797" t="s">
        <v>11</v>
      </c>
    </row>
    <row r="1798" spans="1:9" x14ac:dyDescent="0.35">
      <c r="A1798">
        <v>726</v>
      </c>
      <c r="B1798">
        <v>11</v>
      </c>
      <c r="C1798" t="s">
        <v>21</v>
      </c>
      <c r="D1798" t="s">
        <v>22</v>
      </c>
      <c r="E1798">
        <v>22</v>
      </c>
      <c r="F1798">
        <v>36</v>
      </c>
      <c r="G1798">
        <v>1</v>
      </c>
      <c r="H1798">
        <v>13</v>
      </c>
      <c r="I1798" t="s">
        <v>11</v>
      </c>
    </row>
    <row r="1799" spans="1:9" x14ac:dyDescent="0.35">
      <c r="A1799">
        <v>726</v>
      </c>
      <c r="B1799">
        <v>11</v>
      </c>
      <c r="C1799" t="s">
        <v>41</v>
      </c>
      <c r="D1799" t="s">
        <v>42</v>
      </c>
      <c r="E1799">
        <v>14</v>
      </c>
      <c r="F1799">
        <v>23</v>
      </c>
      <c r="G1799">
        <v>2</v>
      </c>
      <c r="H1799">
        <v>55</v>
      </c>
      <c r="I1799" t="s">
        <v>11</v>
      </c>
    </row>
    <row r="1800" spans="1:9" x14ac:dyDescent="0.35">
      <c r="A1800">
        <v>727</v>
      </c>
      <c r="B1800">
        <v>17</v>
      </c>
      <c r="C1800" t="s">
        <v>39</v>
      </c>
      <c r="D1800" t="s">
        <v>40</v>
      </c>
      <c r="E1800">
        <v>12</v>
      </c>
      <c r="F1800">
        <v>20</v>
      </c>
      <c r="G1800">
        <v>2</v>
      </c>
      <c r="H1800">
        <v>21</v>
      </c>
      <c r="I1800" t="s">
        <v>14</v>
      </c>
    </row>
    <row r="1801" spans="1:9" x14ac:dyDescent="0.35">
      <c r="A1801">
        <v>728</v>
      </c>
      <c r="B1801">
        <v>9</v>
      </c>
      <c r="C1801" t="s">
        <v>45</v>
      </c>
      <c r="D1801" t="s">
        <v>46</v>
      </c>
      <c r="E1801">
        <v>10</v>
      </c>
      <c r="F1801">
        <v>18</v>
      </c>
      <c r="G1801">
        <v>1</v>
      </c>
      <c r="H1801">
        <v>42</v>
      </c>
      <c r="I1801" t="s">
        <v>11</v>
      </c>
    </row>
    <row r="1802" spans="1:9" x14ac:dyDescent="0.35">
      <c r="A1802">
        <v>728</v>
      </c>
      <c r="B1802">
        <v>9</v>
      </c>
      <c r="C1802" t="s">
        <v>17</v>
      </c>
      <c r="D1802" t="s">
        <v>18</v>
      </c>
      <c r="E1802">
        <v>16</v>
      </c>
      <c r="F1802">
        <v>27</v>
      </c>
      <c r="G1802">
        <v>3</v>
      </c>
      <c r="H1802">
        <v>8</v>
      </c>
      <c r="I1802" t="s">
        <v>11</v>
      </c>
    </row>
    <row r="1803" spans="1:9" x14ac:dyDescent="0.35">
      <c r="A1803">
        <v>728</v>
      </c>
      <c r="B1803">
        <v>9</v>
      </c>
      <c r="C1803" t="s">
        <v>33</v>
      </c>
      <c r="D1803" t="s">
        <v>34</v>
      </c>
      <c r="E1803">
        <v>19</v>
      </c>
      <c r="F1803">
        <v>32</v>
      </c>
      <c r="G1803">
        <v>3</v>
      </c>
      <c r="H1803">
        <v>22</v>
      </c>
      <c r="I1803" t="s">
        <v>11</v>
      </c>
    </row>
    <row r="1804" spans="1:9" x14ac:dyDescent="0.35">
      <c r="A1804">
        <v>729</v>
      </c>
      <c r="B1804">
        <v>20</v>
      </c>
      <c r="C1804" t="s">
        <v>37</v>
      </c>
      <c r="D1804" t="s">
        <v>38</v>
      </c>
      <c r="E1804">
        <v>20</v>
      </c>
      <c r="F1804">
        <v>34</v>
      </c>
      <c r="G1804">
        <v>2</v>
      </c>
      <c r="H1804">
        <v>57</v>
      </c>
      <c r="I1804" t="s">
        <v>11</v>
      </c>
    </row>
    <row r="1805" spans="1:9" x14ac:dyDescent="0.35">
      <c r="A1805">
        <v>729</v>
      </c>
      <c r="B1805">
        <v>20</v>
      </c>
      <c r="C1805" t="s">
        <v>39</v>
      </c>
      <c r="D1805" t="s">
        <v>40</v>
      </c>
      <c r="E1805">
        <v>12</v>
      </c>
      <c r="F1805">
        <v>20</v>
      </c>
      <c r="G1805">
        <v>3</v>
      </c>
      <c r="H1805">
        <v>8</v>
      </c>
      <c r="I1805" t="s">
        <v>14</v>
      </c>
    </row>
    <row r="1806" spans="1:9" x14ac:dyDescent="0.35">
      <c r="A1806">
        <v>730</v>
      </c>
      <c r="B1806">
        <v>8</v>
      </c>
      <c r="C1806" t="s">
        <v>12</v>
      </c>
      <c r="D1806" t="s">
        <v>13</v>
      </c>
      <c r="E1806">
        <v>18</v>
      </c>
      <c r="F1806">
        <v>30</v>
      </c>
      <c r="G1806">
        <v>3</v>
      </c>
      <c r="H1806">
        <v>32</v>
      </c>
      <c r="I1806" t="s">
        <v>14</v>
      </c>
    </row>
    <row r="1807" spans="1:9" x14ac:dyDescent="0.35">
      <c r="A1807">
        <v>730</v>
      </c>
      <c r="B1807">
        <v>8</v>
      </c>
      <c r="C1807" t="s">
        <v>9</v>
      </c>
      <c r="D1807" t="s">
        <v>10</v>
      </c>
      <c r="E1807">
        <v>14</v>
      </c>
      <c r="F1807">
        <v>24</v>
      </c>
      <c r="G1807">
        <v>1</v>
      </c>
      <c r="H1807">
        <v>47</v>
      </c>
      <c r="I1807" t="s">
        <v>14</v>
      </c>
    </row>
    <row r="1808" spans="1:9" x14ac:dyDescent="0.35">
      <c r="A1808">
        <v>731</v>
      </c>
      <c r="B1808">
        <v>17</v>
      </c>
      <c r="C1808" t="s">
        <v>33</v>
      </c>
      <c r="D1808" t="s">
        <v>34</v>
      </c>
      <c r="E1808">
        <v>19</v>
      </c>
      <c r="F1808">
        <v>32</v>
      </c>
      <c r="G1808">
        <v>2</v>
      </c>
      <c r="H1808">
        <v>47</v>
      </c>
      <c r="I1808" t="s">
        <v>14</v>
      </c>
    </row>
    <row r="1809" spans="1:9" x14ac:dyDescent="0.35">
      <c r="A1809">
        <v>732</v>
      </c>
      <c r="B1809">
        <v>12</v>
      </c>
      <c r="C1809" t="s">
        <v>19</v>
      </c>
      <c r="D1809" t="s">
        <v>20</v>
      </c>
      <c r="E1809">
        <v>25</v>
      </c>
      <c r="F1809">
        <v>40</v>
      </c>
      <c r="G1809">
        <v>3</v>
      </c>
      <c r="H1809">
        <v>29</v>
      </c>
      <c r="I1809" t="s">
        <v>11</v>
      </c>
    </row>
    <row r="1810" spans="1:9" x14ac:dyDescent="0.35">
      <c r="A1810">
        <v>732</v>
      </c>
      <c r="B1810">
        <v>12</v>
      </c>
      <c r="C1810" t="s">
        <v>47</v>
      </c>
      <c r="D1810" t="s">
        <v>48</v>
      </c>
      <c r="E1810">
        <v>15</v>
      </c>
      <c r="F1810">
        <v>26</v>
      </c>
      <c r="G1810">
        <v>3</v>
      </c>
      <c r="H1810">
        <v>36</v>
      </c>
      <c r="I1810" t="s">
        <v>14</v>
      </c>
    </row>
    <row r="1811" spans="1:9" x14ac:dyDescent="0.35">
      <c r="A1811">
        <v>732</v>
      </c>
      <c r="B1811">
        <v>12</v>
      </c>
      <c r="C1811" t="s">
        <v>21</v>
      </c>
      <c r="D1811" t="s">
        <v>22</v>
      </c>
      <c r="E1811">
        <v>22</v>
      </c>
      <c r="F1811">
        <v>36</v>
      </c>
      <c r="G1811">
        <v>3</v>
      </c>
      <c r="H1811">
        <v>56</v>
      </c>
      <c r="I1811" t="s">
        <v>14</v>
      </c>
    </row>
    <row r="1812" spans="1:9" x14ac:dyDescent="0.35">
      <c r="A1812">
        <v>733</v>
      </c>
      <c r="B1812">
        <v>14</v>
      </c>
      <c r="C1812" t="s">
        <v>21</v>
      </c>
      <c r="D1812" t="s">
        <v>22</v>
      </c>
      <c r="E1812">
        <v>22</v>
      </c>
      <c r="F1812">
        <v>36</v>
      </c>
      <c r="G1812">
        <v>3</v>
      </c>
      <c r="H1812">
        <v>31</v>
      </c>
      <c r="I1812" t="s">
        <v>14</v>
      </c>
    </row>
    <row r="1813" spans="1:9" x14ac:dyDescent="0.35">
      <c r="A1813">
        <v>733</v>
      </c>
      <c r="B1813">
        <v>14</v>
      </c>
      <c r="C1813" t="s">
        <v>9</v>
      </c>
      <c r="D1813" t="s">
        <v>10</v>
      </c>
      <c r="E1813">
        <v>14</v>
      </c>
      <c r="F1813">
        <v>24</v>
      </c>
      <c r="G1813">
        <v>1</v>
      </c>
      <c r="H1813">
        <v>34</v>
      </c>
      <c r="I1813" t="s">
        <v>11</v>
      </c>
    </row>
    <row r="1814" spans="1:9" x14ac:dyDescent="0.35">
      <c r="A1814">
        <v>733</v>
      </c>
      <c r="B1814">
        <v>14</v>
      </c>
      <c r="C1814" t="s">
        <v>17</v>
      </c>
      <c r="D1814" t="s">
        <v>18</v>
      </c>
      <c r="E1814">
        <v>16</v>
      </c>
      <c r="F1814">
        <v>27</v>
      </c>
      <c r="G1814">
        <v>2</v>
      </c>
      <c r="H1814">
        <v>9</v>
      </c>
      <c r="I1814" t="s">
        <v>14</v>
      </c>
    </row>
    <row r="1815" spans="1:9" x14ac:dyDescent="0.35">
      <c r="A1815">
        <v>734</v>
      </c>
      <c r="B1815">
        <v>14</v>
      </c>
      <c r="C1815" t="s">
        <v>33</v>
      </c>
      <c r="D1815" t="s">
        <v>34</v>
      </c>
      <c r="E1815">
        <v>19</v>
      </c>
      <c r="F1815">
        <v>32</v>
      </c>
      <c r="G1815">
        <v>3</v>
      </c>
      <c r="H1815">
        <v>11</v>
      </c>
      <c r="I1815" t="s">
        <v>14</v>
      </c>
    </row>
    <row r="1816" spans="1:9" x14ac:dyDescent="0.35">
      <c r="A1816">
        <v>734</v>
      </c>
      <c r="B1816">
        <v>14</v>
      </c>
      <c r="C1816" t="s">
        <v>9</v>
      </c>
      <c r="D1816" t="s">
        <v>10</v>
      </c>
      <c r="E1816">
        <v>14</v>
      </c>
      <c r="F1816">
        <v>24</v>
      </c>
      <c r="G1816">
        <v>1</v>
      </c>
      <c r="H1816">
        <v>16</v>
      </c>
      <c r="I1816" t="s">
        <v>11</v>
      </c>
    </row>
    <row r="1817" spans="1:9" x14ac:dyDescent="0.35">
      <c r="A1817">
        <v>734</v>
      </c>
      <c r="B1817">
        <v>14</v>
      </c>
      <c r="C1817" t="s">
        <v>29</v>
      </c>
      <c r="D1817" t="s">
        <v>30</v>
      </c>
      <c r="E1817">
        <v>11</v>
      </c>
      <c r="F1817">
        <v>19</v>
      </c>
      <c r="G1817">
        <v>1</v>
      </c>
      <c r="H1817">
        <v>25</v>
      </c>
      <c r="I1817" t="s">
        <v>11</v>
      </c>
    </row>
    <row r="1818" spans="1:9" x14ac:dyDescent="0.35">
      <c r="A1818">
        <v>735</v>
      </c>
      <c r="B1818">
        <v>20</v>
      </c>
      <c r="C1818" t="s">
        <v>41</v>
      </c>
      <c r="D1818" t="s">
        <v>42</v>
      </c>
      <c r="E1818">
        <v>14</v>
      </c>
      <c r="F1818">
        <v>23</v>
      </c>
      <c r="G1818">
        <v>2</v>
      </c>
      <c r="H1818">
        <v>30</v>
      </c>
      <c r="I1818" t="s">
        <v>14</v>
      </c>
    </row>
    <row r="1819" spans="1:9" x14ac:dyDescent="0.35">
      <c r="A1819">
        <v>735</v>
      </c>
      <c r="B1819">
        <v>20</v>
      </c>
      <c r="C1819" t="s">
        <v>33</v>
      </c>
      <c r="D1819" t="s">
        <v>34</v>
      </c>
      <c r="E1819">
        <v>19</v>
      </c>
      <c r="F1819">
        <v>32</v>
      </c>
      <c r="G1819">
        <v>3</v>
      </c>
      <c r="H1819">
        <v>57</v>
      </c>
      <c r="I1819" t="s">
        <v>11</v>
      </c>
    </row>
    <row r="1820" spans="1:9" x14ac:dyDescent="0.35">
      <c r="A1820">
        <v>736</v>
      </c>
      <c r="B1820">
        <v>17</v>
      </c>
      <c r="C1820" t="s">
        <v>35</v>
      </c>
      <c r="D1820" t="s">
        <v>36</v>
      </c>
      <c r="E1820">
        <v>13</v>
      </c>
      <c r="F1820">
        <v>22</v>
      </c>
      <c r="G1820">
        <v>3</v>
      </c>
      <c r="H1820">
        <v>22</v>
      </c>
      <c r="I1820" t="s">
        <v>14</v>
      </c>
    </row>
    <row r="1821" spans="1:9" x14ac:dyDescent="0.35">
      <c r="A1821">
        <v>736</v>
      </c>
      <c r="B1821">
        <v>17</v>
      </c>
      <c r="C1821" t="s">
        <v>27</v>
      </c>
      <c r="D1821" t="s">
        <v>28</v>
      </c>
      <c r="E1821">
        <v>16</v>
      </c>
      <c r="F1821">
        <v>28</v>
      </c>
      <c r="G1821">
        <v>2</v>
      </c>
      <c r="H1821">
        <v>43</v>
      </c>
      <c r="I1821" t="s">
        <v>11</v>
      </c>
    </row>
    <row r="1822" spans="1:9" x14ac:dyDescent="0.35">
      <c r="A1822">
        <v>736</v>
      </c>
      <c r="B1822">
        <v>17</v>
      </c>
      <c r="C1822" t="s">
        <v>15</v>
      </c>
      <c r="D1822" t="s">
        <v>16</v>
      </c>
      <c r="E1822">
        <v>19</v>
      </c>
      <c r="F1822">
        <v>31</v>
      </c>
      <c r="G1822">
        <v>3</v>
      </c>
      <c r="H1822">
        <v>27</v>
      </c>
      <c r="I1822" t="s">
        <v>14</v>
      </c>
    </row>
    <row r="1823" spans="1:9" x14ac:dyDescent="0.35">
      <c r="A1823">
        <v>737</v>
      </c>
      <c r="B1823">
        <v>6</v>
      </c>
      <c r="C1823" t="s">
        <v>23</v>
      </c>
      <c r="D1823" t="s">
        <v>24</v>
      </c>
      <c r="E1823">
        <v>17</v>
      </c>
      <c r="F1823">
        <v>29</v>
      </c>
      <c r="G1823">
        <v>2</v>
      </c>
      <c r="H1823">
        <v>17</v>
      </c>
      <c r="I1823" t="s">
        <v>14</v>
      </c>
    </row>
    <row r="1824" spans="1:9" x14ac:dyDescent="0.35">
      <c r="A1824">
        <v>737</v>
      </c>
      <c r="B1824">
        <v>6</v>
      </c>
      <c r="C1824" t="s">
        <v>12</v>
      </c>
      <c r="D1824" t="s">
        <v>13</v>
      </c>
      <c r="E1824">
        <v>18</v>
      </c>
      <c r="F1824">
        <v>30</v>
      </c>
      <c r="G1824">
        <v>2</v>
      </c>
      <c r="H1824">
        <v>5</v>
      </c>
      <c r="I1824" t="s">
        <v>11</v>
      </c>
    </row>
    <row r="1825" spans="1:9" x14ac:dyDescent="0.35">
      <c r="A1825">
        <v>738</v>
      </c>
      <c r="B1825">
        <v>15</v>
      </c>
      <c r="C1825" t="s">
        <v>47</v>
      </c>
      <c r="D1825" t="s">
        <v>48</v>
      </c>
      <c r="E1825">
        <v>15</v>
      </c>
      <c r="F1825">
        <v>26</v>
      </c>
      <c r="G1825">
        <v>2</v>
      </c>
      <c r="H1825">
        <v>59</v>
      </c>
      <c r="I1825" t="s">
        <v>11</v>
      </c>
    </row>
    <row r="1826" spans="1:9" x14ac:dyDescent="0.35">
      <c r="A1826">
        <v>738</v>
      </c>
      <c r="B1826">
        <v>15</v>
      </c>
      <c r="C1826" t="s">
        <v>27</v>
      </c>
      <c r="D1826" t="s">
        <v>28</v>
      </c>
      <c r="E1826">
        <v>16</v>
      </c>
      <c r="F1826">
        <v>28</v>
      </c>
      <c r="G1826">
        <v>1</v>
      </c>
      <c r="H1826">
        <v>15</v>
      </c>
      <c r="I1826" t="s">
        <v>11</v>
      </c>
    </row>
    <row r="1827" spans="1:9" x14ac:dyDescent="0.35">
      <c r="A1827">
        <v>738</v>
      </c>
      <c r="B1827">
        <v>15</v>
      </c>
      <c r="C1827" t="s">
        <v>45</v>
      </c>
      <c r="D1827" t="s">
        <v>46</v>
      </c>
      <c r="E1827">
        <v>10</v>
      </c>
      <c r="F1827">
        <v>18</v>
      </c>
      <c r="G1827">
        <v>3</v>
      </c>
      <c r="H1827">
        <v>20</v>
      </c>
      <c r="I1827" t="s">
        <v>14</v>
      </c>
    </row>
    <row r="1828" spans="1:9" x14ac:dyDescent="0.35">
      <c r="A1828">
        <v>739</v>
      </c>
      <c r="B1828">
        <v>10</v>
      </c>
      <c r="C1828" t="s">
        <v>41</v>
      </c>
      <c r="D1828" t="s">
        <v>42</v>
      </c>
      <c r="E1828">
        <v>14</v>
      </c>
      <c r="F1828">
        <v>23</v>
      </c>
      <c r="G1828">
        <v>2</v>
      </c>
      <c r="H1828">
        <v>54</v>
      </c>
      <c r="I1828" t="s">
        <v>11</v>
      </c>
    </row>
    <row r="1829" spans="1:9" x14ac:dyDescent="0.35">
      <c r="A1829">
        <v>740</v>
      </c>
      <c r="B1829">
        <v>16</v>
      </c>
      <c r="C1829" t="s">
        <v>27</v>
      </c>
      <c r="D1829" t="s">
        <v>28</v>
      </c>
      <c r="E1829">
        <v>16</v>
      </c>
      <c r="F1829">
        <v>28</v>
      </c>
      <c r="G1829">
        <v>3</v>
      </c>
      <c r="H1829">
        <v>31</v>
      </c>
      <c r="I1829" t="s">
        <v>11</v>
      </c>
    </row>
    <row r="1830" spans="1:9" x14ac:dyDescent="0.35">
      <c r="A1830">
        <v>740</v>
      </c>
      <c r="B1830">
        <v>16</v>
      </c>
      <c r="C1830" t="s">
        <v>33</v>
      </c>
      <c r="D1830" t="s">
        <v>34</v>
      </c>
      <c r="E1830">
        <v>19</v>
      </c>
      <c r="F1830">
        <v>32</v>
      </c>
      <c r="G1830">
        <v>1</v>
      </c>
      <c r="H1830">
        <v>16</v>
      </c>
      <c r="I1830" t="s">
        <v>14</v>
      </c>
    </row>
    <row r="1831" spans="1:9" x14ac:dyDescent="0.35">
      <c r="A1831">
        <v>740</v>
      </c>
      <c r="B1831">
        <v>16</v>
      </c>
      <c r="C1831" t="s">
        <v>21</v>
      </c>
      <c r="D1831" t="s">
        <v>22</v>
      </c>
      <c r="E1831">
        <v>22</v>
      </c>
      <c r="F1831">
        <v>36</v>
      </c>
      <c r="G1831">
        <v>3</v>
      </c>
      <c r="H1831">
        <v>45</v>
      </c>
      <c r="I1831" t="s">
        <v>14</v>
      </c>
    </row>
    <row r="1832" spans="1:9" x14ac:dyDescent="0.35">
      <c r="A1832">
        <v>740</v>
      </c>
      <c r="B1832">
        <v>16</v>
      </c>
      <c r="C1832" t="s">
        <v>41</v>
      </c>
      <c r="D1832" t="s">
        <v>42</v>
      </c>
      <c r="E1832">
        <v>14</v>
      </c>
      <c r="F1832">
        <v>23</v>
      </c>
      <c r="G1832">
        <v>3</v>
      </c>
      <c r="H1832">
        <v>21</v>
      </c>
      <c r="I1832" t="s">
        <v>14</v>
      </c>
    </row>
    <row r="1833" spans="1:9" x14ac:dyDescent="0.35">
      <c r="A1833">
        <v>741</v>
      </c>
      <c r="B1833">
        <v>14</v>
      </c>
      <c r="C1833" t="s">
        <v>9</v>
      </c>
      <c r="D1833" t="s">
        <v>10</v>
      </c>
      <c r="E1833">
        <v>14</v>
      </c>
      <c r="F1833">
        <v>24</v>
      </c>
      <c r="G1833">
        <v>3</v>
      </c>
      <c r="H1833">
        <v>52</v>
      </c>
      <c r="I1833" t="s">
        <v>14</v>
      </c>
    </row>
    <row r="1834" spans="1:9" x14ac:dyDescent="0.35">
      <c r="A1834">
        <v>741</v>
      </c>
      <c r="B1834">
        <v>14</v>
      </c>
      <c r="C1834" t="s">
        <v>23</v>
      </c>
      <c r="D1834" t="s">
        <v>24</v>
      </c>
      <c r="E1834">
        <v>17</v>
      </c>
      <c r="F1834">
        <v>29</v>
      </c>
      <c r="G1834">
        <v>2</v>
      </c>
      <c r="H1834">
        <v>40</v>
      </c>
      <c r="I1834" t="s">
        <v>11</v>
      </c>
    </row>
    <row r="1835" spans="1:9" x14ac:dyDescent="0.35">
      <c r="A1835">
        <v>741</v>
      </c>
      <c r="B1835">
        <v>14</v>
      </c>
      <c r="C1835" t="s">
        <v>25</v>
      </c>
      <c r="D1835" t="s">
        <v>26</v>
      </c>
      <c r="E1835">
        <v>20</v>
      </c>
      <c r="F1835">
        <v>33</v>
      </c>
      <c r="G1835">
        <v>3</v>
      </c>
      <c r="H1835">
        <v>39</v>
      </c>
      <c r="I1835" t="s">
        <v>14</v>
      </c>
    </row>
    <row r="1836" spans="1:9" x14ac:dyDescent="0.35">
      <c r="A1836">
        <v>741</v>
      </c>
      <c r="B1836">
        <v>14</v>
      </c>
      <c r="C1836" t="s">
        <v>27</v>
      </c>
      <c r="D1836" t="s">
        <v>28</v>
      </c>
      <c r="E1836">
        <v>16</v>
      </c>
      <c r="F1836">
        <v>28</v>
      </c>
      <c r="G1836">
        <v>2</v>
      </c>
      <c r="H1836">
        <v>34</v>
      </c>
      <c r="I1836" t="s">
        <v>14</v>
      </c>
    </row>
    <row r="1837" spans="1:9" x14ac:dyDescent="0.35">
      <c r="A1837">
        <v>742</v>
      </c>
      <c r="B1837">
        <v>20</v>
      </c>
      <c r="C1837" t="s">
        <v>15</v>
      </c>
      <c r="D1837" t="s">
        <v>16</v>
      </c>
      <c r="E1837">
        <v>19</v>
      </c>
      <c r="F1837">
        <v>31</v>
      </c>
      <c r="G1837">
        <v>1</v>
      </c>
      <c r="H1837">
        <v>41</v>
      </c>
      <c r="I1837" t="s">
        <v>14</v>
      </c>
    </row>
    <row r="1838" spans="1:9" x14ac:dyDescent="0.35">
      <c r="A1838">
        <v>742</v>
      </c>
      <c r="B1838">
        <v>20</v>
      </c>
      <c r="C1838" t="s">
        <v>12</v>
      </c>
      <c r="D1838" t="s">
        <v>13</v>
      </c>
      <c r="E1838">
        <v>18</v>
      </c>
      <c r="F1838">
        <v>30</v>
      </c>
      <c r="G1838">
        <v>3</v>
      </c>
      <c r="H1838">
        <v>43</v>
      </c>
      <c r="I1838" t="s">
        <v>11</v>
      </c>
    </row>
    <row r="1839" spans="1:9" x14ac:dyDescent="0.35">
      <c r="A1839">
        <v>742</v>
      </c>
      <c r="B1839">
        <v>20</v>
      </c>
      <c r="C1839" t="s">
        <v>47</v>
      </c>
      <c r="D1839" t="s">
        <v>48</v>
      </c>
      <c r="E1839">
        <v>15</v>
      </c>
      <c r="F1839">
        <v>26</v>
      </c>
      <c r="G1839">
        <v>1</v>
      </c>
      <c r="H1839">
        <v>26</v>
      </c>
      <c r="I1839" t="s">
        <v>14</v>
      </c>
    </row>
    <row r="1840" spans="1:9" x14ac:dyDescent="0.35">
      <c r="A1840">
        <v>742</v>
      </c>
      <c r="B1840">
        <v>20</v>
      </c>
      <c r="C1840" t="s">
        <v>29</v>
      </c>
      <c r="D1840" t="s">
        <v>30</v>
      </c>
      <c r="E1840">
        <v>11</v>
      </c>
      <c r="F1840">
        <v>19</v>
      </c>
      <c r="G1840">
        <v>1</v>
      </c>
      <c r="H1840">
        <v>35</v>
      </c>
      <c r="I1840" t="s">
        <v>11</v>
      </c>
    </row>
    <row r="1841" spans="1:9" x14ac:dyDescent="0.35">
      <c r="A1841">
        <v>743</v>
      </c>
      <c r="B1841">
        <v>19</v>
      </c>
      <c r="C1841" t="s">
        <v>47</v>
      </c>
      <c r="D1841" t="s">
        <v>48</v>
      </c>
      <c r="E1841">
        <v>15</v>
      </c>
      <c r="F1841">
        <v>26</v>
      </c>
      <c r="G1841">
        <v>2</v>
      </c>
      <c r="H1841">
        <v>59</v>
      </c>
      <c r="I1841" t="s">
        <v>14</v>
      </c>
    </row>
    <row r="1842" spans="1:9" x14ac:dyDescent="0.35">
      <c r="A1842">
        <v>743</v>
      </c>
      <c r="B1842">
        <v>19</v>
      </c>
      <c r="C1842" t="s">
        <v>45</v>
      </c>
      <c r="D1842" t="s">
        <v>46</v>
      </c>
      <c r="E1842">
        <v>10</v>
      </c>
      <c r="F1842">
        <v>18</v>
      </c>
      <c r="G1842">
        <v>2</v>
      </c>
      <c r="H1842">
        <v>41</v>
      </c>
      <c r="I1842" t="s">
        <v>11</v>
      </c>
    </row>
    <row r="1843" spans="1:9" x14ac:dyDescent="0.35">
      <c r="A1843">
        <v>743</v>
      </c>
      <c r="B1843">
        <v>19</v>
      </c>
      <c r="C1843" t="s">
        <v>41</v>
      </c>
      <c r="D1843" t="s">
        <v>42</v>
      </c>
      <c r="E1843">
        <v>14</v>
      </c>
      <c r="F1843">
        <v>23</v>
      </c>
      <c r="G1843">
        <v>2</v>
      </c>
      <c r="H1843">
        <v>43</v>
      </c>
      <c r="I1843" t="s">
        <v>14</v>
      </c>
    </row>
    <row r="1844" spans="1:9" x14ac:dyDescent="0.35">
      <c r="A1844">
        <v>744</v>
      </c>
      <c r="B1844">
        <v>11</v>
      </c>
      <c r="C1844" t="s">
        <v>45</v>
      </c>
      <c r="D1844" t="s">
        <v>46</v>
      </c>
      <c r="E1844">
        <v>10</v>
      </c>
      <c r="F1844">
        <v>18</v>
      </c>
      <c r="G1844">
        <v>1</v>
      </c>
      <c r="H1844">
        <v>57</v>
      </c>
      <c r="I1844" t="s">
        <v>11</v>
      </c>
    </row>
    <row r="1845" spans="1:9" x14ac:dyDescent="0.35">
      <c r="A1845">
        <v>744</v>
      </c>
      <c r="B1845">
        <v>11</v>
      </c>
      <c r="C1845" t="s">
        <v>23</v>
      </c>
      <c r="D1845" t="s">
        <v>24</v>
      </c>
      <c r="E1845">
        <v>17</v>
      </c>
      <c r="F1845">
        <v>29</v>
      </c>
      <c r="G1845">
        <v>2</v>
      </c>
      <c r="H1845">
        <v>10</v>
      </c>
      <c r="I1845" t="s">
        <v>11</v>
      </c>
    </row>
    <row r="1846" spans="1:9" x14ac:dyDescent="0.35">
      <c r="A1846">
        <v>745</v>
      </c>
      <c r="B1846">
        <v>3</v>
      </c>
      <c r="C1846" t="s">
        <v>31</v>
      </c>
      <c r="D1846" t="s">
        <v>32</v>
      </c>
      <c r="E1846">
        <v>21</v>
      </c>
      <c r="F1846">
        <v>35</v>
      </c>
      <c r="G1846">
        <v>3</v>
      </c>
      <c r="H1846">
        <v>34</v>
      </c>
      <c r="I1846" t="s">
        <v>11</v>
      </c>
    </row>
    <row r="1847" spans="1:9" x14ac:dyDescent="0.35">
      <c r="A1847">
        <v>745</v>
      </c>
      <c r="B1847">
        <v>3</v>
      </c>
      <c r="C1847" t="s">
        <v>9</v>
      </c>
      <c r="D1847" t="s">
        <v>10</v>
      </c>
      <c r="E1847">
        <v>14</v>
      </c>
      <c r="F1847">
        <v>24</v>
      </c>
      <c r="G1847">
        <v>2</v>
      </c>
      <c r="H1847">
        <v>9</v>
      </c>
      <c r="I1847" t="s">
        <v>11</v>
      </c>
    </row>
    <row r="1848" spans="1:9" x14ac:dyDescent="0.35">
      <c r="A1848">
        <v>745</v>
      </c>
      <c r="B1848">
        <v>3</v>
      </c>
      <c r="C1848" t="s">
        <v>49</v>
      </c>
      <c r="D1848" t="s">
        <v>50</v>
      </c>
      <c r="E1848">
        <v>15</v>
      </c>
      <c r="F1848">
        <v>25</v>
      </c>
      <c r="G1848">
        <v>2</v>
      </c>
      <c r="H1848">
        <v>23</v>
      </c>
      <c r="I1848" t="s">
        <v>11</v>
      </c>
    </row>
    <row r="1849" spans="1:9" x14ac:dyDescent="0.35">
      <c r="A1849">
        <v>745</v>
      </c>
      <c r="B1849">
        <v>3</v>
      </c>
      <c r="C1849" t="s">
        <v>17</v>
      </c>
      <c r="D1849" t="s">
        <v>18</v>
      </c>
      <c r="E1849">
        <v>16</v>
      </c>
      <c r="F1849">
        <v>27</v>
      </c>
      <c r="G1849">
        <v>3</v>
      </c>
      <c r="H1849">
        <v>7</v>
      </c>
      <c r="I1849" t="s">
        <v>14</v>
      </c>
    </row>
    <row r="1850" spans="1:9" x14ac:dyDescent="0.35">
      <c r="A1850">
        <v>746</v>
      </c>
      <c r="B1850">
        <v>13</v>
      </c>
      <c r="C1850" t="s">
        <v>31</v>
      </c>
      <c r="D1850" t="s">
        <v>32</v>
      </c>
      <c r="E1850">
        <v>21</v>
      </c>
      <c r="F1850">
        <v>35</v>
      </c>
      <c r="G1850">
        <v>3</v>
      </c>
      <c r="H1850">
        <v>34</v>
      </c>
      <c r="I1850" t="s">
        <v>11</v>
      </c>
    </row>
    <row r="1851" spans="1:9" x14ac:dyDescent="0.35">
      <c r="A1851">
        <v>746</v>
      </c>
      <c r="B1851">
        <v>13</v>
      </c>
      <c r="C1851" t="s">
        <v>33</v>
      </c>
      <c r="D1851" t="s">
        <v>34</v>
      </c>
      <c r="E1851">
        <v>19</v>
      </c>
      <c r="F1851">
        <v>32</v>
      </c>
      <c r="G1851">
        <v>3</v>
      </c>
      <c r="H1851">
        <v>43</v>
      </c>
      <c r="I1851" t="s">
        <v>11</v>
      </c>
    </row>
    <row r="1852" spans="1:9" x14ac:dyDescent="0.35">
      <c r="A1852">
        <v>747</v>
      </c>
      <c r="B1852">
        <v>16</v>
      </c>
      <c r="C1852" t="s">
        <v>49</v>
      </c>
      <c r="D1852" t="s">
        <v>50</v>
      </c>
      <c r="E1852">
        <v>15</v>
      </c>
      <c r="F1852">
        <v>25</v>
      </c>
      <c r="G1852">
        <v>1</v>
      </c>
      <c r="H1852">
        <v>28</v>
      </c>
      <c r="I1852" t="s">
        <v>11</v>
      </c>
    </row>
    <row r="1853" spans="1:9" x14ac:dyDescent="0.35">
      <c r="A1853">
        <v>748</v>
      </c>
      <c r="B1853">
        <v>2</v>
      </c>
      <c r="C1853" t="s">
        <v>33</v>
      </c>
      <c r="D1853" t="s">
        <v>34</v>
      </c>
      <c r="E1853">
        <v>19</v>
      </c>
      <c r="F1853">
        <v>32</v>
      </c>
      <c r="G1853">
        <v>1</v>
      </c>
      <c r="H1853">
        <v>5</v>
      </c>
      <c r="I1853" t="s">
        <v>14</v>
      </c>
    </row>
    <row r="1854" spans="1:9" x14ac:dyDescent="0.35">
      <c r="A1854">
        <v>748</v>
      </c>
      <c r="B1854">
        <v>2</v>
      </c>
      <c r="C1854" t="s">
        <v>47</v>
      </c>
      <c r="D1854" t="s">
        <v>48</v>
      </c>
      <c r="E1854">
        <v>15</v>
      </c>
      <c r="F1854">
        <v>26</v>
      </c>
      <c r="G1854">
        <v>3</v>
      </c>
      <c r="H1854">
        <v>32</v>
      </c>
      <c r="I1854" t="s">
        <v>11</v>
      </c>
    </row>
    <row r="1855" spans="1:9" x14ac:dyDescent="0.35">
      <c r="A1855">
        <v>749</v>
      </c>
      <c r="B1855">
        <v>1</v>
      </c>
      <c r="C1855" t="s">
        <v>31</v>
      </c>
      <c r="D1855" t="s">
        <v>32</v>
      </c>
      <c r="E1855">
        <v>21</v>
      </c>
      <c r="F1855">
        <v>35</v>
      </c>
      <c r="G1855">
        <v>2</v>
      </c>
      <c r="H1855">
        <v>8</v>
      </c>
      <c r="I1855" t="s">
        <v>11</v>
      </c>
    </row>
    <row r="1856" spans="1:9" x14ac:dyDescent="0.35">
      <c r="A1856">
        <v>750</v>
      </c>
      <c r="B1856">
        <v>6</v>
      </c>
      <c r="C1856" t="s">
        <v>15</v>
      </c>
      <c r="D1856" t="s">
        <v>16</v>
      </c>
      <c r="E1856">
        <v>19</v>
      </c>
      <c r="F1856">
        <v>31</v>
      </c>
      <c r="G1856">
        <v>3</v>
      </c>
      <c r="H1856">
        <v>47</v>
      </c>
      <c r="I1856" t="s">
        <v>11</v>
      </c>
    </row>
    <row r="1857" spans="1:9" x14ac:dyDescent="0.35">
      <c r="A1857">
        <v>750</v>
      </c>
      <c r="B1857">
        <v>6</v>
      </c>
      <c r="C1857" t="s">
        <v>47</v>
      </c>
      <c r="D1857" t="s">
        <v>48</v>
      </c>
      <c r="E1857">
        <v>15</v>
      </c>
      <c r="F1857">
        <v>26</v>
      </c>
      <c r="G1857">
        <v>1</v>
      </c>
      <c r="H1857">
        <v>39</v>
      </c>
      <c r="I1857" t="s">
        <v>11</v>
      </c>
    </row>
    <row r="1858" spans="1:9" x14ac:dyDescent="0.35">
      <c r="A1858">
        <v>751</v>
      </c>
      <c r="B1858">
        <v>17</v>
      </c>
      <c r="C1858" t="s">
        <v>23</v>
      </c>
      <c r="D1858" t="s">
        <v>24</v>
      </c>
      <c r="E1858">
        <v>17</v>
      </c>
      <c r="F1858">
        <v>29</v>
      </c>
      <c r="G1858">
        <v>1</v>
      </c>
      <c r="H1858">
        <v>37</v>
      </c>
      <c r="I1858" t="s">
        <v>11</v>
      </c>
    </row>
    <row r="1859" spans="1:9" x14ac:dyDescent="0.35">
      <c r="A1859">
        <v>751</v>
      </c>
      <c r="B1859">
        <v>17</v>
      </c>
      <c r="C1859" t="s">
        <v>49</v>
      </c>
      <c r="D1859" t="s">
        <v>50</v>
      </c>
      <c r="E1859">
        <v>15</v>
      </c>
      <c r="F1859">
        <v>25</v>
      </c>
      <c r="G1859">
        <v>3</v>
      </c>
      <c r="H1859">
        <v>31</v>
      </c>
      <c r="I1859" t="s">
        <v>14</v>
      </c>
    </row>
    <row r="1860" spans="1:9" x14ac:dyDescent="0.35">
      <c r="A1860">
        <v>751</v>
      </c>
      <c r="B1860">
        <v>17</v>
      </c>
      <c r="C1860" t="s">
        <v>35</v>
      </c>
      <c r="D1860" t="s">
        <v>36</v>
      </c>
      <c r="E1860">
        <v>13</v>
      </c>
      <c r="F1860">
        <v>22</v>
      </c>
      <c r="G1860">
        <v>3</v>
      </c>
      <c r="H1860">
        <v>19</v>
      </c>
      <c r="I1860" t="s">
        <v>11</v>
      </c>
    </row>
    <row r="1861" spans="1:9" x14ac:dyDescent="0.35">
      <c r="A1861">
        <v>752</v>
      </c>
      <c r="B1861">
        <v>3</v>
      </c>
      <c r="C1861" t="s">
        <v>12</v>
      </c>
      <c r="D1861" t="s">
        <v>13</v>
      </c>
      <c r="E1861">
        <v>18</v>
      </c>
      <c r="F1861">
        <v>30</v>
      </c>
      <c r="G1861">
        <v>2</v>
      </c>
      <c r="H1861">
        <v>30</v>
      </c>
      <c r="I1861" t="s">
        <v>14</v>
      </c>
    </row>
    <row r="1862" spans="1:9" x14ac:dyDescent="0.35">
      <c r="A1862">
        <v>753</v>
      </c>
      <c r="B1862">
        <v>11</v>
      </c>
      <c r="C1862" t="s">
        <v>33</v>
      </c>
      <c r="D1862" t="s">
        <v>34</v>
      </c>
      <c r="E1862">
        <v>19</v>
      </c>
      <c r="F1862">
        <v>32</v>
      </c>
      <c r="G1862">
        <v>1</v>
      </c>
      <c r="H1862">
        <v>35</v>
      </c>
      <c r="I1862" t="s">
        <v>14</v>
      </c>
    </row>
    <row r="1863" spans="1:9" x14ac:dyDescent="0.35">
      <c r="A1863">
        <v>753</v>
      </c>
      <c r="B1863">
        <v>11</v>
      </c>
      <c r="C1863" t="s">
        <v>41</v>
      </c>
      <c r="D1863" t="s">
        <v>42</v>
      </c>
      <c r="E1863">
        <v>14</v>
      </c>
      <c r="F1863">
        <v>23</v>
      </c>
      <c r="G1863">
        <v>1</v>
      </c>
      <c r="H1863">
        <v>23</v>
      </c>
      <c r="I1863" t="s">
        <v>14</v>
      </c>
    </row>
    <row r="1864" spans="1:9" x14ac:dyDescent="0.35">
      <c r="A1864">
        <v>753</v>
      </c>
      <c r="B1864">
        <v>11</v>
      </c>
      <c r="C1864" t="s">
        <v>9</v>
      </c>
      <c r="D1864" t="s">
        <v>10</v>
      </c>
      <c r="E1864">
        <v>14</v>
      </c>
      <c r="F1864">
        <v>24</v>
      </c>
      <c r="G1864">
        <v>3</v>
      </c>
      <c r="H1864">
        <v>24</v>
      </c>
      <c r="I1864" t="s">
        <v>11</v>
      </c>
    </row>
    <row r="1865" spans="1:9" x14ac:dyDescent="0.35">
      <c r="A1865">
        <v>753</v>
      </c>
      <c r="B1865">
        <v>11</v>
      </c>
      <c r="C1865" t="s">
        <v>21</v>
      </c>
      <c r="D1865" t="s">
        <v>22</v>
      </c>
      <c r="E1865">
        <v>22</v>
      </c>
      <c r="F1865">
        <v>36</v>
      </c>
      <c r="G1865">
        <v>1</v>
      </c>
      <c r="H1865">
        <v>46</v>
      </c>
      <c r="I1865" t="s">
        <v>11</v>
      </c>
    </row>
    <row r="1866" spans="1:9" x14ac:dyDescent="0.35">
      <c r="A1866">
        <v>754</v>
      </c>
      <c r="B1866">
        <v>8</v>
      </c>
      <c r="C1866" t="s">
        <v>9</v>
      </c>
      <c r="D1866" t="s">
        <v>10</v>
      </c>
      <c r="E1866">
        <v>14</v>
      </c>
      <c r="F1866">
        <v>24</v>
      </c>
      <c r="G1866">
        <v>3</v>
      </c>
      <c r="H1866">
        <v>26</v>
      </c>
      <c r="I1866" t="s">
        <v>11</v>
      </c>
    </row>
    <row r="1867" spans="1:9" x14ac:dyDescent="0.35">
      <c r="A1867">
        <v>754</v>
      </c>
      <c r="B1867">
        <v>8</v>
      </c>
      <c r="C1867" t="s">
        <v>17</v>
      </c>
      <c r="D1867" t="s">
        <v>18</v>
      </c>
      <c r="E1867">
        <v>16</v>
      </c>
      <c r="F1867">
        <v>27</v>
      </c>
      <c r="G1867">
        <v>3</v>
      </c>
      <c r="H1867">
        <v>11</v>
      </c>
      <c r="I1867" t="s">
        <v>14</v>
      </c>
    </row>
    <row r="1868" spans="1:9" x14ac:dyDescent="0.35">
      <c r="A1868">
        <v>754</v>
      </c>
      <c r="B1868">
        <v>8</v>
      </c>
      <c r="C1868" t="s">
        <v>27</v>
      </c>
      <c r="D1868" t="s">
        <v>28</v>
      </c>
      <c r="E1868">
        <v>16</v>
      </c>
      <c r="F1868">
        <v>28</v>
      </c>
      <c r="G1868">
        <v>3</v>
      </c>
      <c r="H1868">
        <v>52</v>
      </c>
      <c r="I1868" t="s">
        <v>11</v>
      </c>
    </row>
    <row r="1869" spans="1:9" x14ac:dyDescent="0.35">
      <c r="A1869">
        <v>755</v>
      </c>
      <c r="B1869">
        <v>12</v>
      </c>
      <c r="C1869" t="s">
        <v>43</v>
      </c>
      <c r="D1869" t="s">
        <v>44</v>
      </c>
      <c r="E1869">
        <v>13</v>
      </c>
      <c r="F1869">
        <v>21</v>
      </c>
      <c r="G1869">
        <v>1</v>
      </c>
      <c r="H1869">
        <v>6</v>
      </c>
      <c r="I1869" t="s">
        <v>11</v>
      </c>
    </row>
    <row r="1870" spans="1:9" x14ac:dyDescent="0.35">
      <c r="A1870">
        <v>755</v>
      </c>
      <c r="B1870">
        <v>12</v>
      </c>
      <c r="C1870" t="s">
        <v>49</v>
      </c>
      <c r="D1870" t="s">
        <v>50</v>
      </c>
      <c r="E1870">
        <v>15</v>
      </c>
      <c r="F1870">
        <v>25</v>
      </c>
      <c r="G1870">
        <v>3</v>
      </c>
      <c r="H1870">
        <v>37</v>
      </c>
      <c r="I1870" t="s">
        <v>11</v>
      </c>
    </row>
    <row r="1871" spans="1:9" x14ac:dyDescent="0.35">
      <c r="A1871">
        <v>755</v>
      </c>
      <c r="B1871">
        <v>12</v>
      </c>
      <c r="C1871" t="s">
        <v>29</v>
      </c>
      <c r="D1871" t="s">
        <v>30</v>
      </c>
      <c r="E1871">
        <v>11</v>
      </c>
      <c r="F1871">
        <v>19</v>
      </c>
      <c r="G1871">
        <v>3</v>
      </c>
      <c r="H1871">
        <v>46</v>
      </c>
      <c r="I1871" t="s">
        <v>11</v>
      </c>
    </row>
    <row r="1872" spans="1:9" x14ac:dyDescent="0.35">
      <c r="A1872">
        <v>755</v>
      </c>
      <c r="B1872">
        <v>12</v>
      </c>
      <c r="C1872" t="s">
        <v>23</v>
      </c>
      <c r="D1872" t="s">
        <v>24</v>
      </c>
      <c r="E1872">
        <v>17</v>
      </c>
      <c r="F1872">
        <v>29</v>
      </c>
      <c r="G1872">
        <v>2</v>
      </c>
      <c r="H1872">
        <v>20</v>
      </c>
      <c r="I1872" t="s">
        <v>14</v>
      </c>
    </row>
    <row r="1873" spans="1:9" x14ac:dyDescent="0.35">
      <c r="A1873">
        <v>756</v>
      </c>
      <c r="B1873">
        <v>11</v>
      </c>
      <c r="C1873" t="s">
        <v>15</v>
      </c>
      <c r="D1873" t="s">
        <v>16</v>
      </c>
      <c r="E1873">
        <v>19</v>
      </c>
      <c r="F1873">
        <v>31</v>
      </c>
      <c r="G1873">
        <v>1</v>
      </c>
      <c r="H1873">
        <v>21</v>
      </c>
      <c r="I1873" t="s">
        <v>11</v>
      </c>
    </row>
    <row r="1874" spans="1:9" x14ac:dyDescent="0.35">
      <c r="A1874">
        <v>756</v>
      </c>
      <c r="B1874">
        <v>11</v>
      </c>
      <c r="C1874" t="s">
        <v>29</v>
      </c>
      <c r="D1874" t="s">
        <v>30</v>
      </c>
      <c r="E1874">
        <v>11</v>
      </c>
      <c r="F1874">
        <v>19</v>
      </c>
      <c r="G1874">
        <v>1</v>
      </c>
      <c r="H1874">
        <v>13</v>
      </c>
      <c r="I1874" t="s">
        <v>11</v>
      </c>
    </row>
    <row r="1875" spans="1:9" x14ac:dyDescent="0.35">
      <c r="A1875">
        <v>757</v>
      </c>
      <c r="B1875">
        <v>3</v>
      </c>
      <c r="C1875" t="s">
        <v>12</v>
      </c>
      <c r="D1875" t="s">
        <v>13</v>
      </c>
      <c r="E1875">
        <v>18</v>
      </c>
      <c r="F1875">
        <v>30</v>
      </c>
      <c r="G1875">
        <v>2</v>
      </c>
      <c r="H1875">
        <v>40</v>
      </c>
      <c r="I1875" t="s">
        <v>11</v>
      </c>
    </row>
    <row r="1876" spans="1:9" x14ac:dyDescent="0.35">
      <c r="A1876">
        <v>758</v>
      </c>
      <c r="B1876">
        <v>18</v>
      </c>
      <c r="C1876" t="s">
        <v>12</v>
      </c>
      <c r="D1876" t="s">
        <v>13</v>
      </c>
      <c r="E1876">
        <v>18</v>
      </c>
      <c r="F1876">
        <v>30</v>
      </c>
      <c r="G1876">
        <v>1</v>
      </c>
      <c r="H1876">
        <v>32</v>
      </c>
      <c r="I1876" t="s">
        <v>11</v>
      </c>
    </row>
    <row r="1877" spans="1:9" x14ac:dyDescent="0.35">
      <c r="A1877">
        <v>758</v>
      </c>
      <c r="B1877">
        <v>18</v>
      </c>
      <c r="C1877" t="s">
        <v>35</v>
      </c>
      <c r="D1877" t="s">
        <v>36</v>
      </c>
      <c r="E1877">
        <v>13</v>
      </c>
      <c r="F1877">
        <v>22</v>
      </c>
      <c r="G1877">
        <v>1</v>
      </c>
      <c r="H1877">
        <v>9</v>
      </c>
      <c r="I1877" t="s">
        <v>14</v>
      </c>
    </row>
    <row r="1878" spans="1:9" x14ac:dyDescent="0.35">
      <c r="A1878">
        <v>759</v>
      </c>
      <c r="B1878">
        <v>20</v>
      </c>
      <c r="C1878" t="s">
        <v>25</v>
      </c>
      <c r="D1878" t="s">
        <v>26</v>
      </c>
      <c r="E1878">
        <v>20</v>
      </c>
      <c r="F1878">
        <v>33</v>
      </c>
      <c r="G1878">
        <v>3</v>
      </c>
      <c r="H1878">
        <v>48</v>
      </c>
      <c r="I1878" t="s">
        <v>11</v>
      </c>
    </row>
    <row r="1879" spans="1:9" x14ac:dyDescent="0.35">
      <c r="A1879">
        <v>759</v>
      </c>
      <c r="B1879">
        <v>20</v>
      </c>
      <c r="C1879" t="s">
        <v>17</v>
      </c>
      <c r="D1879" t="s">
        <v>18</v>
      </c>
      <c r="E1879">
        <v>16</v>
      </c>
      <c r="F1879">
        <v>27</v>
      </c>
      <c r="G1879">
        <v>3</v>
      </c>
      <c r="H1879">
        <v>51</v>
      </c>
      <c r="I1879" t="s">
        <v>11</v>
      </c>
    </row>
    <row r="1880" spans="1:9" x14ac:dyDescent="0.35">
      <c r="A1880">
        <v>759</v>
      </c>
      <c r="B1880">
        <v>20</v>
      </c>
      <c r="C1880" t="s">
        <v>49</v>
      </c>
      <c r="D1880" t="s">
        <v>50</v>
      </c>
      <c r="E1880">
        <v>15</v>
      </c>
      <c r="F1880">
        <v>25</v>
      </c>
      <c r="G1880">
        <v>3</v>
      </c>
      <c r="H1880">
        <v>41</v>
      </c>
      <c r="I1880" t="s">
        <v>11</v>
      </c>
    </row>
    <row r="1881" spans="1:9" x14ac:dyDescent="0.35">
      <c r="A1881">
        <v>759</v>
      </c>
      <c r="B1881">
        <v>20</v>
      </c>
      <c r="C1881" t="s">
        <v>23</v>
      </c>
      <c r="D1881" t="s">
        <v>24</v>
      </c>
      <c r="E1881">
        <v>17</v>
      </c>
      <c r="F1881">
        <v>29</v>
      </c>
      <c r="G1881">
        <v>3</v>
      </c>
      <c r="H1881">
        <v>56</v>
      </c>
      <c r="I1881" t="s">
        <v>14</v>
      </c>
    </row>
    <row r="1882" spans="1:9" x14ac:dyDescent="0.35">
      <c r="A1882">
        <v>760</v>
      </c>
      <c r="B1882">
        <v>5</v>
      </c>
      <c r="C1882" t="s">
        <v>31</v>
      </c>
      <c r="D1882" t="s">
        <v>32</v>
      </c>
      <c r="E1882">
        <v>21</v>
      </c>
      <c r="F1882">
        <v>35</v>
      </c>
      <c r="G1882">
        <v>3</v>
      </c>
      <c r="H1882">
        <v>20</v>
      </c>
      <c r="I1882" t="s">
        <v>11</v>
      </c>
    </row>
    <row r="1883" spans="1:9" x14ac:dyDescent="0.35">
      <c r="A1883">
        <v>761</v>
      </c>
      <c r="B1883">
        <v>4</v>
      </c>
      <c r="C1883" t="s">
        <v>9</v>
      </c>
      <c r="D1883" t="s">
        <v>10</v>
      </c>
      <c r="E1883">
        <v>14</v>
      </c>
      <c r="F1883">
        <v>24</v>
      </c>
      <c r="G1883">
        <v>3</v>
      </c>
      <c r="H1883">
        <v>54</v>
      </c>
      <c r="I1883" t="s">
        <v>14</v>
      </c>
    </row>
    <row r="1884" spans="1:9" x14ac:dyDescent="0.35">
      <c r="A1884">
        <v>761</v>
      </c>
      <c r="B1884">
        <v>4</v>
      </c>
      <c r="C1884" t="s">
        <v>27</v>
      </c>
      <c r="D1884" t="s">
        <v>28</v>
      </c>
      <c r="E1884">
        <v>16</v>
      </c>
      <c r="F1884">
        <v>28</v>
      </c>
      <c r="G1884">
        <v>2</v>
      </c>
      <c r="H1884">
        <v>20</v>
      </c>
      <c r="I1884" t="s">
        <v>11</v>
      </c>
    </row>
    <row r="1885" spans="1:9" x14ac:dyDescent="0.35">
      <c r="A1885">
        <v>761</v>
      </c>
      <c r="B1885">
        <v>4</v>
      </c>
      <c r="C1885" t="s">
        <v>41</v>
      </c>
      <c r="D1885" t="s">
        <v>42</v>
      </c>
      <c r="E1885">
        <v>14</v>
      </c>
      <c r="F1885">
        <v>23</v>
      </c>
      <c r="G1885">
        <v>2</v>
      </c>
      <c r="H1885">
        <v>28</v>
      </c>
      <c r="I1885" t="s">
        <v>11</v>
      </c>
    </row>
    <row r="1886" spans="1:9" x14ac:dyDescent="0.35">
      <c r="A1886">
        <v>762</v>
      </c>
      <c r="B1886">
        <v>4</v>
      </c>
      <c r="C1886" t="s">
        <v>43</v>
      </c>
      <c r="D1886" t="s">
        <v>44</v>
      </c>
      <c r="E1886">
        <v>13</v>
      </c>
      <c r="F1886">
        <v>21</v>
      </c>
      <c r="G1886">
        <v>1</v>
      </c>
      <c r="H1886">
        <v>20</v>
      </c>
      <c r="I1886" t="s">
        <v>14</v>
      </c>
    </row>
    <row r="1887" spans="1:9" x14ac:dyDescent="0.35">
      <c r="A1887">
        <v>762</v>
      </c>
      <c r="B1887">
        <v>4</v>
      </c>
      <c r="C1887" t="s">
        <v>47</v>
      </c>
      <c r="D1887" t="s">
        <v>48</v>
      </c>
      <c r="E1887">
        <v>15</v>
      </c>
      <c r="F1887">
        <v>26</v>
      </c>
      <c r="G1887">
        <v>3</v>
      </c>
      <c r="H1887">
        <v>9</v>
      </c>
      <c r="I1887" t="s">
        <v>11</v>
      </c>
    </row>
    <row r="1888" spans="1:9" x14ac:dyDescent="0.35">
      <c r="A1888">
        <v>763</v>
      </c>
      <c r="B1888">
        <v>18</v>
      </c>
      <c r="C1888" t="s">
        <v>25</v>
      </c>
      <c r="D1888" t="s">
        <v>26</v>
      </c>
      <c r="E1888">
        <v>20</v>
      </c>
      <c r="F1888">
        <v>33</v>
      </c>
      <c r="G1888">
        <v>2</v>
      </c>
      <c r="H1888">
        <v>14</v>
      </c>
      <c r="I1888" t="s">
        <v>14</v>
      </c>
    </row>
    <row r="1889" spans="1:9" x14ac:dyDescent="0.35">
      <c r="A1889">
        <v>763</v>
      </c>
      <c r="B1889">
        <v>18</v>
      </c>
      <c r="C1889" t="s">
        <v>29</v>
      </c>
      <c r="D1889" t="s">
        <v>30</v>
      </c>
      <c r="E1889">
        <v>11</v>
      </c>
      <c r="F1889">
        <v>19</v>
      </c>
      <c r="G1889">
        <v>2</v>
      </c>
      <c r="H1889">
        <v>18</v>
      </c>
      <c r="I1889" t="s">
        <v>14</v>
      </c>
    </row>
    <row r="1890" spans="1:9" x14ac:dyDescent="0.35">
      <c r="A1890">
        <v>764</v>
      </c>
      <c r="B1890">
        <v>20</v>
      </c>
      <c r="C1890" t="s">
        <v>17</v>
      </c>
      <c r="D1890" t="s">
        <v>18</v>
      </c>
      <c r="E1890">
        <v>16</v>
      </c>
      <c r="F1890">
        <v>27</v>
      </c>
      <c r="G1890">
        <v>1</v>
      </c>
      <c r="H1890">
        <v>53</v>
      </c>
      <c r="I1890" t="s">
        <v>11</v>
      </c>
    </row>
    <row r="1891" spans="1:9" x14ac:dyDescent="0.35">
      <c r="A1891">
        <v>764</v>
      </c>
      <c r="B1891">
        <v>20</v>
      </c>
      <c r="C1891" t="s">
        <v>37</v>
      </c>
      <c r="D1891" t="s">
        <v>38</v>
      </c>
      <c r="E1891">
        <v>20</v>
      </c>
      <c r="F1891">
        <v>34</v>
      </c>
      <c r="G1891">
        <v>1</v>
      </c>
      <c r="H1891">
        <v>24</v>
      </c>
      <c r="I1891" t="s">
        <v>11</v>
      </c>
    </row>
    <row r="1892" spans="1:9" x14ac:dyDescent="0.35">
      <c r="A1892">
        <v>764</v>
      </c>
      <c r="B1892">
        <v>20</v>
      </c>
      <c r="C1892" t="s">
        <v>9</v>
      </c>
      <c r="D1892" t="s">
        <v>10</v>
      </c>
      <c r="E1892">
        <v>14</v>
      </c>
      <c r="F1892">
        <v>24</v>
      </c>
      <c r="G1892">
        <v>1</v>
      </c>
      <c r="H1892">
        <v>35</v>
      </c>
      <c r="I1892" t="s">
        <v>11</v>
      </c>
    </row>
    <row r="1893" spans="1:9" x14ac:dyDescent="0.35">
      <c r="A1893">
        <v>765</v>
      </c>
      <c r="B1893">
        <v>20</v>
      </c>
      <c r="C1893" t="s">
        <v>47</v>
      </c>
      <c r="D1893" t="s">
        <v>48</v>
      </c>
      <c r="E1893">
        <v>15</v>
      </c>
      <c r="F1893">
        <v>26</v>
      </c>
      <c r="G1893">
        <v>3</v>
      </c>
      <c r="H1893">
        <v>55</v>
      </c>
      <c r="I1893" t="s">
        <v>14</v>
      </c>
    </row>
    <row r="1894" spans="1:9" x14ac:dyDescent="0.35">
      <c r="A1894">
        <v>765</v>
      </c>
      <c r="B1894">
        <v>20</v>
      </c>
      <c r="C1894" t="s">
        <v>27</v>
      </c>
      <c r="D1894" t="s">
        <v>28</v>
      </c>
      <c r="E1894">
        <v>16</v>
      </c>
      <c r="F1894">
        <v>28</v>
      </c>
      <c r="G1894">
        <v>2</v>
      </c>
      <c r="H1894">
        <v>14</v>
      </c>
      <c r="I1894" t="s">
        <v>11</v>
      </c>
    </row>
    <row r="1895" spans="1:9" x14ac:dyDescent="0.35">
      <c r="A1895">
        <v>765</v>
      </c>
      <c r="B1895">
        <v>20</v>
      </c>
      <c r="C1895" t="s">
        <v>43</v>
      </c>
      <c r="D1895" t="s">
        <v>44</v>
      </c>
      <c r="E1895">
        <v>13</v>
      </c>
      <c r="F1895">
        <v>21</v>
      </c>
      <c r="G1895">
        <v>3</v>
      </c>
      <c r="H1895">
        <v>52</v>
      </c>
      <c r="I1895" t="s">
        <v>11</v>
      </c>
    </row>
    <row r="1896" spans="1:9" x14ac:dyDescent="0.35">
      <c r="A1896">
        <v>765</v>
      </c>
      <c r="B1896">
        <v>20</v>
      </c>
      <c r="C1896" t="s">
        <v>21</v>
      </c>
      <c r="D1896" t="s">
        <v>22</v>
      </c>
      <c r="E1896">
        <v>22</v>
      </c>
      <c r="F1896">
        <v>36</v>
      </c>
      <c r="G1896">
        <v>1</v>
      </c>
      <c r="H1896">
        <v>43</v>
      </c>
      <c r="I1896" t="s">
        <v>11</v>
      </c>
    </row>
    <row r="1897" spans="1:9" x14ac:dyDescent="0.35">
      <c r="A1897">
        <v>766</v>
      </c>
      <c r="B1897">
        <v>17</v>
      </c>
      <c r="C1897" t="s">
        <v>12</v>
      </c>
      <c r="D1897" t="s">
        <v>13</v>
      </c>
      <c r="E1897">
        <v>18</v>
      </c>
      <c r="F1897">
        <v>30</v>
      </c>
      <c r="G1897">
        <v>2</v>
      </c>
      <c r="H1897">
        <v>52</v>
      </c>
      <c r="I1897" t="s">
        <v>11</v>
      </c>
    </row>
    <row r="1898" spans="1:9" x14ac:dyDescent="0.35">
      <c r="A1898">
        <v>766</v>
      </c>
      <c r="B1898">
        <v>17</v>
      </c>
      <c r="C1898" t="s">
        <v>29</v>
      </c>
      <c r="D1898" t="s">
        <v>30</v>
      </c>
      <c r="E1898">
        <v>11</v>
      </c>
      <c r="F1898">
        <v>19</v>
      </c>
      <c r="G1898">
        <v>1</v>
      </c>
      <c r="H1898">
        <v>59</v>
      </c>
      <c r="I1898" t="s">
        <v>11</v>
      </c>
    </row>
    <row r="1899" spans="1:9" x14ac:dyDescent="0.35">
      <c r="A1899">
        <v>766</v>
      </c>
      <c r="B1899">
        <v>17</v>
      </c>
      <c r="C1899" t="s">
        <v>39</v>
      </c>
      <c r="D1899" t="s">
        <v>40</v>
      </c>
      <c r="E1899">
        <v>12</v>
      </c>
      <c r="F1899">
        <v>20</v>
      </c>
      <c r="G1899">
        <v>3</v>
      </c>
      <c r="H1899">
        <v>7</v>
      </c>
      <c r="I1899" t="s">
        <v>11</v>
      </c>
    </row>
    <row r="1900" spans="1:9" x14ac:dyDescent="0.35">
      <c r="A1900">
        <v>766</v>
      </c>
      <c r="B1900">
        <v>17</v>
      </c>
      <c r="C1900" t="s">
        <v>41</v>
      </c>
      <c r="D1900" t="s">
        <v>42</v>
      </c>
      <c r="E1900">
        <v>14</v>
      </c>
      <c r="F1900">
        <v>23</v>
      </c>
      <c r="G1900">
        <v>2</v>
      </c>
      <c r="H1900">
        <v>16</v>
      </c>
      <c r="I1900" t="s">
        <v>14</v>
      </c>
    </row>
    <row r="1901" spans="1:9" x14ac:dyDescent="0.35">
      <c r="A1901">
        <v>767</v>
      </c>
      <c r="B1901">
        <v>10</v>
      </c>
      <c r="C1901" t="s">
        <v>23</v>
      </c>
      <c r="D1901" t="s">
        <v>24</v>
      </c>
      <c r="E1901">
        <v>17</v>
      </c>
      <c r="F1901">
        <v>29</v>
      </c>
      <c r="G1901">
        <v>2</v>
      </c>
      <c r="H1901">
        <v>12</v>
      </c>
      <c r="I1901" t="s">
        <v>14</v>
      </c>
    </row>
    <row r="1902" spans="1:9" x14ac:dyDescent="0.35">
      <c r="A1902">
        <v>767</v>
      </c>
      <c r="B1902">
        <v>10</v>
      </c>
      <c r="C1902" t="s">
        <v>9</v>
      </c>
      <c r="D1902" t="s">
        <v>10</v>
      </c>
      <c r="E1902">
        <v>14</v>
      </c>
      <c r="F1902">
        <v>24</v>
      </c>
      <c r="G1902">
        <v>2</v>
      </c>
      <c r="H1902">
        <v>30</v>
      </c>
      <c r="I1902" t="s">
        <v>14</v>
      </c>
    </row>
    <row r="1903" spans="1:9" x14ac:dyDescent="0.35">
      <c r="A1903">
        <v>767</v>
      </c>
      <c r="B1903">
        <v>10</v>
      </c>
      <c r="C1903" t="s">
        <v>43</v>
      </c>
      <c r="D1903" t="s">
        <v>44</v>
      </c>
      <c r="E1903">
        <v>13</v>
      </c>
      <c r="F1903">
        <v>21</v>
      </c>
      <c r="G1903">
        <v>3</v>
      </c>
      <c r="H1903">
        <v>43</v>
      </c>
      <c r="I1903" t="s">
        <v>14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A19765-362E-4778-9233-6EB81A5C63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Memoria</vt:lpstr>
      <vt:lpstr>Cocina</vt:lpstr>
      <vt:lpstr>Sala</vt:lpstr>
      <vt:lpstr>Tablas dinámicas</vt:lpstr>
      <vt:lpstr>Tablas dash</vt:lpstr>
      <vt:lpstr>Dashboard</vt:lpstr>
      <vt:lpstr>Saladinamica</vt:lpstr>
      <vt:lpstr>Cocinadinamica</vt:lpstr>
      <vt:lpstr>SalaOG</vt:lpstr>
      <vt:lpstr>CocinaOG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Fernández García Víctor</dc:creator>
  <cp:lastModifiedBy>Fernández García Víctor</cp:lastModifiedBy>
  <dcterms:created xsi:type="dcterms:W3CDTF">2024-07-06T10:49:59Z</dcterms:created>
  <dcterms:modified xsi:type="dcterms:W3CDTF">2024-07-15T11:08:54Z</dcterms:modified>
</cp:coreProperties>
</file>